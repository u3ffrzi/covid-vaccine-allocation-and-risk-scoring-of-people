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sktop\Projects\vaccine Prioritization\"/>
    </mc:Choice>
  </mc:AlternateContent>
  <xr:revisionPtr revIDLastSave="0" documentId="13_ncr:1_{80F0BA85-5647-4DFC-A723-0FF0815C4199}" xr6:coauthVersionLast="45" xr6:coauthVersionMax="45" xr10:uidLastSave="{00000000-0000-0000-0000-000000000000}"/>
  <bookViews>
    <workbookView xWindow="30" yWindow="720" windowWidth="20460" windowHeight="10800" activeTab="7" xr2:uid="{00000000-000D-0000-FFFF-FFFF00000000}"/>
  </bookViews>
  <sheets>
    <sheet name="definedNames" sheetId="3" r:id="rId1"/>
    <sheet name="data" sheetId="2" r:id="rId2"/>
    <sheet name="USERS" sheetId="8" r:id="rId3"/>
    <sheet name="pivot" sheetId="4" r:id="rId4"/>
    <sheet name="controls" sheetId="9" r:id="rId5"/>
    <sheet name="Sheet2" sheetId="12" r:id="rId6"/>
    <sheet name="provPivot" sheetId="10" r:id="rId7"/>
    <sheet name="distPivot" sheetId="11" r:id="rId8"/>
    <sheet name="Sheet1" sheetId="1" r:id="rId9"/>
    <sheet name="ProfessionalRisk" sheetId="6" r:id="rId10"/>
    <sheet name="generalRisks" sheetId="7" r:id="rId11"/>
    <sheet name="healthProfessionalRisks" sheetId="5" r:id="rId12"/>
  </sheets>
  <externalReferences>
    <externalReference r:id="rId13"/>
  </externalReferences>
  <definedNames>
    <definedName name="_xlnm._FilterDatabase" localSheetId="10" hidden="1">generalRisks!$A$1:$G$3862</definedName>
    <definedName name="east">Sheet1!$G$2:$G$5</definedName>
    <definedName name="north">Sheet1!$H$2:$H$5</definedName>
    <definedName name="Province">definedNames!$F$1:$AH$1</definedName>
    <definedName name="south">Sheet1!$I$2:$I$5</definedName>
    <definedName name="west">Sheet1!$F$2:$F$5</definedName>
    <definedName name="آذربايجان_شرقي">definedNames!$G$5:$AI$5</definedName>
    <definedName name="آذربايجان_غربي">definedNames!$G$6:$AI$6</definedName>
    <definedName name="اردبيل">definedNames!$G$1:$AI$1</definedName>
    <definedName name="اصفهان">definedNames!$G$2:$AI$2</definedName>
    <definedName name="البرز">definedNames!$G$3:$AI$3</definedName>
    <definedName name="ايلام">definedNames!$G$4:$AI$4</definedName>
    <definedName name="بوشهر">definedNames!$G$7:$AI$7</definedName>
    <definedName name="تهران">definedNames!$G$8:$AI$8</definedName>
    <definedName name="چهارمحال_وبختيارئ">definedNames!$G$9:$AI$9</definedName>
    <definedName name="خراسان_جنوبي">definedNames!$G$10:$AI$10</definedName>
    <definedName name="خراسان_رضوئ">definedNames!$G$11:$AI$11</definedName>
    <definedName name="خراسان_شمالي">definedNames!$G$12:$AI$12</definedName>
    <definedName name="خوزستان">definedNames!$G$13:$AI$13</definedName>
    <definedName name="زنجان">definedNames!$G$14:$AI$14</definedName>
    <definedName name="سمنان">definedNames!$G$15:$AI$15</definedName>
    <definedName name="سيستان_وبلوچستان">definedNames!$G$16:$AI$16</definedName>
    <definedName name="فارس">definedNames!$G$17:$AI$17</definedName>
    <definedName name="قزوين">definedNames!$G$18:$AI$18</definedName>
    <definedName name="قم">definedNames!$G$19:$AI$19</definedName>
    <definedName name="كردستان">definedNames!$G$20:$AI$20</definedName>
    <definedName name="كرمان">definedNames!$G$21:$AI$21</definedName>
    <definedName name="كرمانشاه">definedNames!$G$22:$AI$22</definedName>
    <definedName name="كهگيلويه_وبويراحمد">definedNames!$G$23:$AI$23</definedName>
    <definedName name="گلستان">definedNames!$G$24:$AI$24</definedName>
    <definedName name="گيلان">definedNames!$G$25:$AI$25</definedName>
    <definedName name="لرستان">definedNames!$G$26:$AI$26</definedName>
    <definedName name="مازندران">definedNames!$G$27:$AI$27</definedName>
    <definedName name="مركزئ">definedNames!$G$28:$AI$28</definedName>
    <definedName name="هرمزگان">definedNames!$G$29:$AI$29</definedName>
    <definedName name="همدان">definedNames!$G$30:$AI$30</definedName>
    <definedName name="يزد">definedNames!$G$31:$AI$31</definedName>
  </definedNames>
  <calcPr calcId="191029"/>
  <pivotCaches>
    <pivotCache cacheId="72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76" i="7" l="1"/>
  <c r="F3177" i="7"/>
  <c r="F3178" i="7"/>
  <c r="F3777" i="7"/>
  <c r="L37" i="10"/>
  <c r="L38" i="10"/>
  <c r="L6" i="10"/>
  <c r="L8" i="10"/>
  <c r="L10" i="10"/>
  <c r="L12" i="10"/>
  <c r="L14" i="10"/>
  <c r="L16" i="10"/>
  <c r="L18" i="10"/>
  <c r="L20" i="10"/>
  <c r="L22" i="10"/>
  <c r="L24" i="10"/>
  <c r="L26" i="10"/>
  <c r="L28" i="10"/>
  <c r="L30" i="10"/>
  <c r="L32" i="10"/>
  <c r="L34" i="10"/>
  <c r="L36" i="10"/>
  <c r="L7" i="10"/>
  <c r="L9" i="10"/>
  <c r="L11" i="10"/>
  <c r="L13" i="10"/>
  <c r="L15" i="10"/>
  <c r="L17" i="10"/>
  <c r="L19" i="10"/>
  <c r="L21" i="10"/>
  <c r="L23" i="10"/>
  <c r="L25" i="10"/>
  <c r="L27" i="10"/>
  <c r="L29" i="10"/>
  <c r="L31" i="10"/>
  <c r="L33" i="10"/>
  <c r="L35" i="10"/>
  <c r="L5" i="10"/>
  <c r="L38" i="11"/>
  <c r="L36" i="11"/>
  <c r="L34" i="11"/>
  <c r="L32" i="11"/>
  <c r="L30" i="11"/>
  <c r="L28" i="11"/>
  <c r="L26" i="11"/>
  <c r="L24" i="11"/>
  <c r="L22" i="11"/>
  <c r="L20" i="11"/>
  <c r="L18" i="11"/>
  <c r="L16" i="11"/>
  <c r="L14" i="11"/>
  <c r="L12" i="11"/>
  <c r="L10" i="11"/>
  <c r="L8" i="11"/>
  <c r="L6" i="11"/>
  <c r="L37" i="11"/>
  <c r="L35" i="11"/>
  <c r="L33" i="11"/>
  <c r="L31" i="11"/>
  <c r="L29" i="11"/>
  <c r="L27" i="11"/>
  <c r="L25" i="11"/>
  <c r="L23" i="11"/>
  <c r="L21" i="11"/>
  <c r="L19" i="11"/>
  <c r="L17" i="11"/>
  <c r="L15" i="11"/>
  <c r="L13" i="11"/>
  <c r="L11" i="11"/>
  <c r="L9" i="11"/>
  <c r="L7" i="11"/>
  <c r="L5" i="11"/>
  <c r="A1" i="4"/>
  <c r="A1" i="11"/>
  <c r="H3" i="6" l="1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2" i="6"/>
  <c r="I2" i="6" s="1"/>
  <c r="G2" i="6"/>
  <c r="D821" i="10"/>
  <c r="A1" i="1"/>
  <c r="A1" i="10"/>
  <c r="D821" i="11"/>
  <c r="F2320" i="7" l="1"/>
  <c r="F2318" i="7"/>
  <c r="F2319" i="7"/>
  <c r="F3491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1267" i="7"/>
  <c r="G1268" i="7"/>
  <c r="G1269" i="7"/>
  <c r="G1270" i="7"/>
  <c r="G1271" i="7"/>
  <c r="G1272" i="7"/>
  <c r="G1273" i="7"/>
  <c r="G1274" i="7"/>
  <c r="G1275" i="7"/>
  <c r="G1276" i="7"/>
  <c r="G1277" i="7"/>
  <c r="G1278" i="7"/>
  <c r="G1279" i="7"/>
  <c r="G1280" i="7"/>
  <c r="G1281" i="7"/>
  <c r="G1282" i="7"/>
  <c r="G1283" i="7"/>
  <c r="G1284" i="7"/>
  <c r="G1285" i="7"/>
  <c r="G1286" i="7"/>
  <c r="G1287" i="7"/>
  <c r="G1288" i="7"/>
  <c r="G1289" i="7"/>
  <c r="G1290" i="7"/>
  <c r="G1291" i="7"/>
  <c r="G1292" i="7"/>
  <c r="G1293" i="7"/>
  <c r="G1294" i="7"/>
  <c r="G1295" i="7"/>
  <c r="G1296" i="7"/>
  <c r="G1297" i="7"/>
  <c r="G1298" i="7"/>
  <c r="G1299" i="7"/>
  <c r="G1300" i="7"/>
  <c r="G1301" i="7"/>
  <c r="G1302" i="7"/>
  <c r="G1303" i="7"/>
  <c r="G1304" i="7"/>
  <c r="G1305" i="7"/>
  <c r="G1306" i="7"/>
  <c r="G1307" i="7"/>
  <c r="G1308" i="7"/>
  <c r="G1309" i="7"/>
  <c r="G1310" i="7"/>
  <c r="G1311" i="7"/>
  <c r="G1312" i="7"/>
  <c r="G1313" i="7"/>
  <c r="G1314" i="7"/>
  <c r="G1315" i="7"/>
  <c r="G1316" i="7"/>
  <c r="G1317" i="7"/>
  <c r="G1318" i="7"/>
  <c r="G1319" i="7"/>
  <c r="G1320" i="7"/>
  <c r="G1321" i="7"/>
  <c r="G1322" i="7"/>
  <c r="G1323" i="7"/>
  <c r="G1324" i="7"/>
  <c r="G1325" i="7"/>
  <c r="G1326" i="7"/>
  <c r="G1327" i="7"/>
  <c r="G1328" i="7"/>
  <c r="G1329" i="7"/>
  <c r="G1330" i="7"/>
  <c r="G1331" i="7"/>
  <c r="G1332" i="7"/>
  <c r="G1333" i="7"/>
  <c r="G1334" i="7"/>
  <c r="G1335" i="7"/>
  <c r="G1336" i="7"/>
  <c r="G1337" i="7"/>
  <c r="G1338" i="7"/>
  <c r="G1339" i="7"/>
  <c r="G1340" i="7"/>
  <c r="G1341" i="7"/>
  <c r="G1342" i="7"/>
  <c r="G1343" i="7"/>
  <c r="G1344" i="7"/>
  <c r="G1345" i="7"/>
  <c r="G1346" i="7"/>
  <c r="G1347" i="7"/>
  <c r="G1348" i="7"/>
  <c r="G1349" i="7"/>
  <c r="G1350" i="7"/>
  <c r="G1351" i="7"/>
  <c r="G1352" i="7"/>
  <c r="G1353" i="7"/>
  <c r="G1354" i="7"/>
  <c r="G1355" i="7"/>
  <c r="G1356" i="7"/>
  <c r="G1357" i="7"/>
  <c r="G1358" i="7"/>
  <c r="G1359" i="7"/>
  <c r="G1360" i="7"/>
  <c r="G1361" i="7"/>
  <c r="G1362" i="7"/>
  <c r="G1363" i="7"/>
  <c r="G1364" i="7"/>
  <c r="G1365" i="7"/>
  <c r="G1366" i="7"/>
  <c r="G1367" i="7"/>
  <c r="G1368" i="7"/>
  <c r="G1369" i="7"/>
  <c r="G1370" i="7"/>
  <c r="G1371" i="7"/>
  <c r="G1372" i="7"/>
  <c r="G1373" i="7"/>
  <c r="G1374" i="7"/>
  <c r="G1375" i="7"/>
  <c r="G1376" i="7"/>
  <c r="G1377" i="7"/>
  <c r="G1378" i="7"/>
  <c r="G1379" i="7"/>
  <c r="G1380" i="7"/>
  <c r="G1381" i="7"/>
  <c r="G1382" i="7"/>
  <c r="G1383" i="7"/>
  <c r="G1384" i="7"/>
  <c r="G1385" i="7"/>
  <c r="G1386" i="7"/>
  <c r="G1387" i="7"/>
  <c r="G1388" i="7"/>
  <c r="G1389" i="7"/>
  <c r="G1390" i="7"/>
  <c r="G1391" i="7"/>
  <c r="G1392" i="7"/>
  <c r="G1393" i="7"/>
  <c r="G1394" i="7"/>
  <c r="G1395" i="7"/>
  <c r="G1396" i="7"/>
  <c r="G1397" i="7"/>
  <c r="G1398" i="7"/>
  <c r="G1399" i="7"/>
  <c r="G1400" i="7"/>
  <c r="G1401" i="7"/>
  <c r="G1402" i="7"/>
  <c r="G1403" i="7"/>
  <c r="G1404" i="7"/>
  <c r="G1405" i="7"/>
  <c r="G1406" i="7"/>
  <c r="G1407" i="7"/>
  <c r="G1408" i="7"/>
  <c r="G1409" i="7"/>
  <c r="G1410" i="7"/>
  <c r="G1411" i="7"/>
  <c r="G1412" i="7"/>
  <c r="G1413" i="7"/>
  <c r="G1414" i="7"/>
  <c r="G1415" i="7"/>
  <c r="G1416" i="7"/>
  <c r="G1417" i="7"/>
  <c r="G1418" i="7"/>
  <c r="G1419" i="7"/>
  <c r="G1420" i="7"/>
  <c r="G1421" i="7"/>
  <c r="G1422" i="7"/>
  <c r="G1423" i="7"/>
  <c r="G1424" i="7"/>
  <c r="G1425" i="7"/>
  <c r="G1426" i="7"/>
  <c r="G1427" i="7"/>
  <c r="G1428" i="7"/>
  <c r="G1429" i="7"/>
  <c r="G1430" i="7"/>
  <c r="G1431" i="7"/>
  <c r="G1432" i="7"/>
  <c r="G1433" i="7"/>
  <c r="G1434" i="7"/>
  <c r="G1435" i="7"/>
  <c r="G1436" i="7"/>
  <c r="G1437" i="7"/>
  <c r="G1438" i="7"/>
  <c r="G1439" i="7"/>
  <c r="G1440" i="7"/>
  <c r="G1441" i="7"/>
  <c r="G1442" i="7"/>
  <c r="G1443" i="7"/>
  <c r="G1444" i="7"/>
  <c r="G1445" i="7"/>
  <c r="G1446" i="7"/>
  <c r="G1447" i="7"/>
  <c r="G1448" i="7"/>
  <c r="G1449" i="7"/>
  <c r="G1450" i="7"/>
  <c r="G1451" i="7"/>
  <c r="G1452" i="7"/>
  <c r="G1453" i="7"/>
  <c r="G1454" i="7"/>
  <c r="G1455" i="7"/>
  <c r="G1456" i="7"/>
  <c r="G1457" i="7"/>
  <c r="G1458" i="7"/>
  <c r="G1459" i="7"/>
  <c r="G1460" i="7"/>
  <c r="G1461" i="7"/>
  <c r="G1462" i="7"/>
  <c r="G1463" i="7"/>
  <c r="G1464" i="7"/>
  <c r="G1465" i="7"/>
  <c r="G1466" i="7"/>
  <c r="G1467" i="7"/>
  <c r="G1468" i="7"/>
  <c r="G1469" i="7"/>
  <c r="G1470" i="7"/>
  <c r="G1471" i="7"/>
  <c r="G1472" i="7"/>
  <c r="G1473" i="7"/>
  <c r="G1474" i="7"/>
  <c r="G1475" i="7"/>
  <c r="G1476" i="7"/>
  <c r="G1477" i="7"/>
  <c r="G1478" i="7"/>
  <c r="G1479" i="7"/>
  <c r="G1480" i="7"/>
  <c r="G1481" i="7"/>
  <c r="G1482" i="7"/>
  <c r="G1483" i="7"/>
  <c r="G1484" i="7"/>
  <c r="G1485" i="7"/>
  <c r="G1486" i="7"/>
  <c r="G1487" i="7"/>
  <c r="G1488" i="7"/>
  <c r="G1489" i="7"/>
  <c r="G1490" i="7"/>
  <c r="G1491" i="7"/>
  <c r="G1492" i="7"/>
  <c r="G1493" i="7"/>
  <c r="G1494" i="7"/>
  <c r="G1495" i="7"/>
  <c r="G1496" i="7"/>
  <c r="G1497" i="7"/>
  <c r="G1498" i="7"/>
  <c r="G1499" i="7"/>
  <c r="G1500" i="7"/>
  <c r="G1501" i="7"/>
  <c r="G1502" i="7"/>
  <c r="G1503" i="7"/>
  <c r="G1504" i="7"/>
  <c r="G1505" i="7"/>
  <c r="G1506" i="7"/>
  <c r="G1507" i="7"/>
  <c r="G1508" i="7"/>
  <c r="G1509" i="7"/>
  <c r="G1510" i="7"/>
  <c r="G1511" i="7"/>
  <c r="G1512" i="7"/>
  <c r="G1513" i="7"/>
  <c r="G1514" i="7"/>
  <c r="G1515" i="7"/>
  <c r="G1516" i="7"/>
  <c r="G1517" i="7"/>
  <c r="G1518" i="7"/>
  <c r="G1519" i="7"/>
  <c r="G1520" i="7"/>
  <c r="G1521" i="7"/>
  <c r="G1522" i="7"/>
  <c r="G1523" i="7"/>
  <c r="G1524" i="7"/>
  <c r="G1525" i="7"/>
  <c r="G1526" i="7"/>
  <c r="G1527" i="7"/>
  <c r="G1528" i="7"/>
  <c r="G1529" i="7"/>
  <c r="G1530" i="7"/>
  <c r="G1531" i="7"/>
  <c r="G1532" i="7"/>
  <c r="G1533" i="7"/>
  <c r="G1534" i="7"/>
  <c r="G1535" i="7"/>
  <c r="G1536" i="7"/>
  <c r="G1537" i="7"/>
  <c r="G1538" i="7"/>
  <c r="G1539" i="7"/>
  <c r="G1540" i="7"/>
  <c r="G1541" i="7"/>
  <c r="G1542" i="7"/>
  <c r="G1543" i="7"/>
  <c r="G1544" i="7"/>
  <c r="G1545" i="7"/>
  <c r="G1546" i="7"/>
  <c r="G1547" i="7"/>
  <c r="G1548" i="7"/>
  <c r="G1549" i="7"/>
  <c r="G1550" i="7"/>
  <c r="G1551" i="7"/>
  <c r="G1552" i="7"/>
  <c r="G1553" i="7"/>
  <c r="G1554" i="7"/>
  <c r="G1555" i="7"/>
  <c r="G1556" i="7"/>
  <c r="G1557" i="7"/>
  <c r="G1558" i="7"/>
  <c r="G1559" i="7"/>
  <c r="G1560" i="7"/>
  <c r="G1561" i="7"/>
  <c r="G1562" i="7"/>
  <c r="G1563" i="7"/>
  <c r="G1564" i="7"/>
  <c r="G1565" i="7"/>
  <c r="G1566" i="7"/>
  <c r="G1567" i="7"/>
  <c r="G1568" i="7"/>
  <c r="G1569" i="7"/>
  <c r="G1570" i="7"/>
  <c r="G1571" i="7"/>
  <c r="G1572" i="7"/>
  <c r="G1573" i="7"/>
  <c r="G1574" i="7"/>
  <c r="G1575" i="7"/>
  <c r="G1576" i="7"/>
  <c r="G1577" i="7"/>
  <c r="G1578" i="7"/>
  <c r="G1579" i="7"/>
  <c r="G1580" i="7"/>
  <c r="G1581" i="7"/>
  <c r="G1582" i="7"/>
  <c r="G1583" i="7"/>
  <c r="G1584" i="7"/>
  <c r="G1585" i="7"/>
  <c r="G1586" i="7"/>
  <c r="G1587" i="7"/>
  <c r="G1588" i="7"/>
  <c r="G1589" i="7"/>
  <c r="G1590" i="7"/>
  <c r="G1591" i="7"/>
  <c r="G1592" i="7"/>
  <c r="G1593" i="7"/>
  <c r="G1594" i="7"/>
  <c r="G1595" i="7"/>
  <c r="G1596" i="7"/>
  <c r="G1597" i="7"/>
  <c r="G1598" i="7"/>
  <c r="G1599" i="7"/>
  <c r="G1600" i="7"/>
  <c r="G1601" i="7"/>
  <c r="G1602" i="7"/>
  <c r="G1603" i="7"/>
  <c r="G1604" i="7"/>
  <c r="G1605" i="7"/>
  <c r="G1606" i="7"/>
  <c r="G1607" i="7"/>
  <c r="G1608" i="7"/>
  <c r="G1609" i="7"/>
  <c r="G1610" i="7"/>
  <c r="G1611" i="7"/>
  <c r="G1612" i="7"/>
  <c r="G1613" i="7"/>
  <c r="G1614" i="7"/>
  <c r="G1615" i="7"/>
  <c r="G1616" i="7"/>
  <c r="G1617" i="7"/>
  <c r="G1618" i="7"/>
  <c r="G1619" i="7"/>
  <c r="G1620" i="7"/>
  <c r="G1621" i="7"/>
  <c r="G1622" i="7"/>
  <c r="G1623" i="7"/>
  <c r="G1624" i="7"/>
  <c r="G1625" i="7"/>
  <c r="G1626" i="7"/>
  <c r="G1627" i="7"/>
  <c r="G1628" i="7"/>
  <c r="G1629" i="7"/>
  <c r="G1630" i="7"/>
  <c r="G1631" i="7"/>
  <c r="G1632" i="7"/>
  <c r="G1633" i="7"/>
  <c r="G1634" i="7"/>
  <c r="G1635" i="7"/>
  <c r="G1636" i="7"/>
  <c r="G1637" i="7"/>
  <c r="G1638" i="7"/>
  <c r="G1639" i="7"/>
  <c r="G1640" i="7"/>
  <c r="G1641" i="7"/>
  <c r="G1642" i="7"/>
  <c r="G1643" i="7"/>
  <c r="G1644" i="7"/>
  <c r="G1645" i="7"/>
  <c r="G1646" i="7"/>
  <c r="G1647" i="7"/>
  <c r="G1648" i="7"/>
  <c r="G1649" i="7"/>
  <c r="G1650" i="7"/>
  <c r="G1651" i="7"/>
  <c r="G1652" i="7"/>
  <c r="G1653" i="7"/>
  <c r="G1654" i="7"/>
  <c r="G1655" i="7"/>
  <c r="G1656" i="7"/>
  <c r="G1657" i="7"/>
  <c r="G1658" i="7"/>
  <c r="G1659" i="7"/>
  <c r="G1660" i="7"/>
  <c r="G1661" i="7"/>
  <c r="G1662" i="7"/>
  <c r="G1663" i="7"/>
  <c r="G1664" i="7"/>
  <c r="G1665" i="7"/>
  <c r="G1666" i="7"/>
  <c r="G1667" i="7"/>
  <c r="G1668" i="7"/>
  <c r="G1669" i="7"/>
  <c r="G1670" i="7"/>
  <c r="G1671" i="7"/>
  <c r="G1672" i="7"/>
  <c r="G1673" i="7"/>
  <c r="G1674" i="7"/>
  <c r="G1675" i="7"/>
  <c r="G1676" i="7"/>
  <c r="G1677" i="7"/>
  <c r="G1678" i="7"/>
  <c r="G1679" i="7"/>
  <c r="G1680" i="7"/>
  <c r="G1681" i="7"/>
  <c r="G1682" i="7"/>
  <c r="G1683" i="7"/>
  <c r="G1684" i="7"/>
  <c r="G1685" i="7"/>
  <c r="G1686" i="7"/>
  <c r="G1687" i="7"/>
  <c r="G1688" i="7"/>
  <c r="G1689" i="7"/>
  <c r="G1690" i="7"/>
  <c r="G1691" i="7"/>
  <c r="G1692" i="7"/>
  <c r="G1693" i="7"/>
  <c r="G1694" i="7"/>
  <c r="G1695" i="7"/>
  <c r="G1696" i="7"/>
  <c r="G1697" i="7"/>
  <c r="G1698" i="7"/>
  <c r="G1699" i="7"/>
  <c r="G1700" i="7"/>
  <c r="G1701" i="7"/>
  <c r="G1702" i="7"/>
  <c r="G1703" i="7"/>
  <c r="G1704" i="7"/>
  <c r="G1705" i="7"/>
  <c r="G1706" i="7"/>
  <c r="G1707" i="7"/>
  <c r="G1708" i="7"/>
  <c r="G1709" i="7"/>
  <c r="G1710" i="7"/>
  <c r="G1711" i="7"/>
  <c r="G1712" i="7"/>
  <c r="G1713" i="7"/>
  <c r="G1714" i="7"/>
  <c r="G1715" i="7"/>
  <c r="G1716" i="7"/>
  <c r="G1717" i="7"/>
  <c r="G1718" i="7"/>
  <c r="G1719" i="7"/>
  <c r="G1720" i="7"/>
  <c r="G1721" i="7"/>
  <c r="G1722" i="7"/>
  <c r="G1723" i="7"/>
  <c r="G1724" i="7"/>
  <c r="G1725" i="7"/>
  <c r="G1726" i="7"/>
  <c r="G1727" i="7"/>
  <c r="G1728" i="7"/>
  <c r="G1729" i="7"/>
  <c r="G1730" i="7"/>
  <c r="G1731" i="7"/>
  <c r="G1732" i="7"/>
  <c r="G1733" i="7"/>
  <c r="G1734" i="7"/>
  <c r="G1735" i="7"/>
  <c r="G1736" i="7"/>
  <c r="G1737" i="7"/>
  <c r="G1738" i="7"/>
  <c r="G1739" i="7"/>
  <c r="G1740" i="7"/>
  <c r="G1741" i="7"/>
  <c r="G1742" i="7"/>
  <c r="G1743" i="7"/>
  <c r="G1744" i="7"/>
  <c r="G1745" i="7"/>
  <c r="G1746" i="7"/>
  <c r="G1747" i="7"/>
  <c r="G1748" i="7"/>
  <c r="G1749" i="7"/>
  <c r="G1750" i="7"/>
  <c r="G1751" i="7"/>
  <c r="G1752" i="7"/>
  <c r="G1753" i="7"/>
  <c r="G1754" i="7"/>
  <c r="G1755" i="7"/>
  <c r="G1756" i="7"/>
  <c r="G1757" i="7"/>
  <c r="G1758" i="7"/>
  <c r="G1759" i="7"/>
  <c r="G1760" i="7"/>
  <c r="G1761" i="7"/>
  <c r="G1762" i="7"/>
  <c r="G1763" i="7"/>
  <c r="G1764" i="7"/>
  <c r="G1765" i="7"/>
  <c r="G1766" i="7"/>
  <c r="G1767" i="7"/>
  <c r="G1768" i="7"/>
  <c r="G1769" i="7"/>
  <c r="G1770" i="7"/>
  <c r="G1771" i="7"/>
  <c r="G1772" i="7"/>
  <c r="G1773" i="7"/>
  <c r="G1774" i="7"/>
  <c r="G1775" i="7"/>
  <c r="G1776" i="7"/>
  <c r="G1777" i="7"/>
  <c r="G1778" i="7"/>
  <c r="G1779" i="7"/>
  <c r="G1780" i="7"/>
  <c r="G1781" i="7"/>
  <c r="G1782" i="7"/>
  <c r="G1783" i="7"/>
  <c r="G1784" i="7"/>
  <c r="G1785" i="7"/>
  <c r="G1786" i="7"/>
  <c r="G1787" i="7"/>
  <c r="G1788" i="7"/>
  <c r="G1789" i="7"/>
  <c r="G1790" i="7"/>
  <c r="G1791" i="7"/>
  <c r="G1792" i="7"/>
  <c r="G1793" i="7"/>
  <c r="G1794" i="7"/>
  <c r="G1795" i="7"/>
  <c r="G1796" i="7"/>
  <c r="G1797" i="7"/>
  <c r="G1798" i="7"/>
  <c r="G1799" i="7"/>
  <c r="G1800" i="7"/>
  <c r="G1801" i="7"/>
  <c r="G1802" i="7"/>
  <c r="G1803" i="7"/>
  <c r="G1804" i="7"/>
  <c r="G1805" i="7"/>
  <c r="G1806" i="7"/>
  <c r="G1807" i="7"/>
  <c r="G1808" i="7"/>
  <c r="G1809" i="7"/>
  <c r="G1810" i="7"/>
  <c r="G1811" i="7"/>
  <c r="G1812" i="7"/>
  <c r="G1813" i="7"/>
  <c r="G1814" i="7"/>
  <c r="G1815" i="7"/>
  <c r="G1816" i="7"/>
  <c r="G1817" i="7"/>
  <c r="G1818" i="7"/>
  <c r="G1819" i="7"/>
  <c r="G1820" i="7"/>
  <c r="G1821" i="7"/>
  <c r="G1822" i="7"/>
  <c r="G1823" i="7"/>
  <c r="G1824" i="7"/>
  <c r="G1825" i="7"/>
  <c r="G1826" i="7"/>
  <c r="G1827" i="7"/>
  <c r="G1828" i="7"/>
  <c r="G1829" i="7"/>
  <c r="G1830" i="7"/>
  <c r="G1831" i="7"/>
  <c r="G1832" i="7"/>
  <c r="G1833" i="7"/>
  <c r="G1834" i="7"/>
  <c r="G1835" i="7"/>
  <c r="G1836" i="7"/>
  <c r="G1837" i="7"/>
  <c r="G1838" i="7"/>
  <c r="G1839" i="7"/>
  <c r="G1840" i="7"/>
  <c r="G1841" i="7"/>
  <c r="G1842" i="7"/>
  <c r="G1843" i="7"/>
  <c r="G1844" i="7"/>
  <c r="G1845" i="7"/>
  <c r="G1846" i="7"/>
  <c r="G1847" i="7"/>
  <c r="G1848" i="7"/>
  <c r="G1849" i="7"/>
  <c r="G1850" i="7"/>
  <c r="G1851" i="7"/>
  <c r="G1852" i="7"/>
  <c r="G1853" i="7"/>
  <c r="G1854" i="7"/>
  <c r="G1855" i="7"/>
  <c r="G1856" i="7"/>
  <c r="G1857" i="7"/>
  <c r="G1858" i="7"/>
  <c r="G1859" i="7"/>
  <c r="G1860" i="7"/>
  <c r="G1861" i="7"/>
  <c r="G1862" i="7"/>
  <c r="G1863" i="7"/>
  <c r="G1864" i="7"/>
  <c r="G1865" i="7"/>
  <c r="G1866" i="7"/>
  <c r="G1867" i="7"/>
  <c r="G1868" i="7"/>
  <c r="G1869" i="7"/>
  <c r="G1870" i="7"/>
  <c r="G1871" i="7"/>
  <c r="G1872" i="7"/>
  <c r="G1873" i="7"/>
  <c r="G1874" i="7"/>
  <c r="G1875" i="7"/>
  <c r="G1876" i="7"/>
  <c r="G1877" i="7"/>
  <c r="G1878" i="7"/>
  <c r="G1879" i="7"/>
  <c r="G1880" i="7"/>
  <c r="G1881" i="7"/>
  <c r="G1882" i="7"/>
  <c r="G1883" i="7"/>
  <c r="G1884" i="7"/>
  <c r="G1885" i="7"/>
  <c r="G1886" i="7"/>
  <c r="G1887" i="7"/>
  <c r="G1888" i="7"/>
  <c r="G1889" i="7"/>
  <c r="G1890" i="7"/>
  <c r="G1891" i="7"/>
  <c r="G1892" i="7"/>
  <c r="G1893" i="7"/>
  <c r="G1894" i="7"/>
  <c r="G1895" i="7"/>
  <c r="G1896" i="7"/>
  <c r="G1897" i="7"/>
  <c r="G1898" i="7"/>
  <c r="G1899" i="7"/>
  <c r="G1900" i="7"/>
  <c r="G1901" i="7"/>
  <c r="G1902" i="7"/>
  <c r="G1903" i="7"/>
  <c r="G1904" i="7"/>
  <c r="G1905" i="7"/>
  <c r="G1906" i="7"/>
  <c r="G1907" i="7"/>
  <c r="G1908" i="7"/>
  <c r="G1909" i="7"/>
  <c r="G1910" i="7"/>
  <c r="G1911" i="7"/>
  <c r="G1912" i="7"/>
  <c r="G1913" i="7"/>
  <c r="G1914" i="7"/>
  <c r="G1915" i="7"/>
  <c r="G1916" i="7"/>
  <c r="G1917" i="7"/>
  <c r="G1918" i="7"/>
  <c r="G1919" i="7"/>
  <c r="G1920" i="7"/>
  <c r="G1921" i="7"/>
  <c r="G1922" i="7"/>
  <c r="G1923" i="7"/>
  <c r="G1924" i="7"/>
  <c r="G1925" i="7"/>
  <c r="G1926" i="7"/>
  <c r="G1927" i="7"/>
  <c r="G1928" i="7"/>
  <c r="G1929" i="7"/>
  <c r="G1930" i="7"/>
  <c r="G1931" i="7"/>
  <c r="G1932" i="7"/>
  <c r="G1933" i="7"/>
  <c r="G1934" i="7"/>
  <c r="G1935" i="7"/>
  <c r="G1936" i="7"/>
  <c r="G1937" i="7"/>
  <c r="G1938" i="7"/>
  <c r="G1939" i="7"/>
  <c r="G1940" i="7"/>
  <c r="G1941" i="7"/>
  <c r="G1942" i="7"/>
  <c r="G1943" i="7"/>
  <c r="G1944" i="7"/>
  <c r="G1945" i="7"/>
  <c r="G1946" i="7"/>
  <c r="G1947" i="7"/>
  <c r="G1948" i="7"/>
  <c r="G1949" i="7"/>
  <c r="G1950" i="7"/>
  <c r="G1951" i="7"/>
  <c r="G1952" i="7"/>
  <c r="G1953" i="7"/>
  <c r="G1954" i="7"/>
  <c r="G1955" i="7"/>
  <c r="G1956" i="7"/>
  <c r="G1957" i="7"/>
  <c r="G1958" i="7"/>
  <c r="G1959" i="7"/>
  <c r="G1960" i="7"/>
  <c r="G1961" i="7"/>
  <c r="G1962" i="7"/>
  <c r="G1963" i="7"/>
  <c r="G1964" i="7"/>
  <c r="G1965" i="7"/>
  <c r="G1966" i="7"/>
  <c r="G1967" i="7"/>
  <c r="G1968" i="7"/>
  <c r="G1969" i="7"/>
  <c r="G1970" i="7"/>
  <c r="G1971" i="7"/>
  <c r="G1972" i="7"/>
  <c r="G1973" i="7"/>
  <c r="G1974" i="7"/>
  <c r="G1975" i="7"/>
  <c r="G1976" i="7"/>
  <c r="G1977" i="7"/>
  <c r="G1978" i="7"/>
  <c r="G1979" i="7"/>
  <c r="G1980" i="7"/>
  <c r="G1981" i="7"/>
  <c r="G1982" i="7"/>
  <c r="G1983" i="7"/>
  <c r="G1984" i="7"/>
  <c r="G1985" i="7"/>
  <c r="G1986" i="7"/>
  <c r="G1987" i="7"/>
  <c r="G1988" i="7"/>
  <c r="G1989" i="7"/>
  <c r="G1990" i="7"/>
  <c r="G1991" i="7"/>
  <c r="G1992" i="7"/>
  <c r="G1993" i="7"/>
  <c r="G1994" i="7"/>
  <c r="G1995" i="7"/>
  <c r="G1996" i="7"/>
  <c r="G1997" i="7"/>
  <c r="G1998" i="7"/>
  <c r="G1999" i="7"/>
  <c r="G2000" i="7"/>
  <c r="G2001" i="7"/>
  <c r="G2002" i="7"/>
  <c r="G2003" i="7"/>
  <c r="G2004" i="7"/>
  <c r="G2005" i="7"/>
  <c r="G2006" i="7"/>
  <c r="G2007" i="7"/>
  <c r="G2008" i="7"/>
  <c r="G2009" i="7"/>
  <c r="G2010" i="7"/>
  <c r="G2011" i="7"/>
  <c r="G2012" i="7"/>
  <c r="G2013" i="7"/>
  <c r="G2014" i="7"/>
  <c r="G2015" i="7"/>
  <c r="G2016" i="7"/>
  <c r="G2017" i="7"/>
  <c r="G2018" i="7"/>
  <c r="G2019" i="7"/>
  <c r="G2020" i="7"/>
  <c r="G2021" i="7"/>
  <c r="G2022" i="7"/>
  <c r="G2023" i="7"/>
  <c r="G2024" i="7"/>
  <c r="G2025" i="7"/>
  <c r="G2026" i="7"/>
  <c r="G2027" i="7"/>
  <c r="G2028" i="7"/>
  <c r="G2029" i="7"/>
  <c r="G2030" i="7"/>
  <c r="G2031" i="7"/>
  <c r="G2032" i="7"/>
  <c r="G2033" i="7"/>
  <c r="G2034" i="7"/>
  <c r="G2035" i="7"/>
  <c r="G2036" i="7"/>
  <c r="G2037" i="7"/>
  <c r="G2038" i="7"/>
  <c r="G2039" i="7"/>
  <c r="G2040" i="7"/>
  <c r="G2041" i="7"/>
  <c r="G2042" i="7"/>
  <c r="G2043" i="7"/>
  <c r="G2044" i="7"/>
  <c r="G2045" i="7"/>
  <c r="G2046" i="7"/>
  <c r="G2047" i="7"/>
  <c r="G2048" i="7"/>
  <c r="G2049" i="7"/>
  <c r="G2050" i="7"/>
  <c r="G2051" i="7"/>
  <c r="G2052" i="7"/>
  <c r="G2053" i="7"/>
  <c r="G2054" i="7"/>
  <c r="G2055" i="7"/>
  <c r="G2056" i="7"/>
  <c r="G2057" i="7"/>
  <c r="G2058" i="7"/>
  <c r="G2059" i="7"/>
  <c r="G2060" i="7"/>
  <c r="G2061" i="7"/>
  <c r="G2062" i="7"/>
  <c r="G2063" i="7"/>
  <c r="G2064" i="7"/>
  <c r="G2065" i="7"/>
  <c r="G2066" i="7"/>
  <c r="G2067" i="7"/>
  <c r="G2068" i="7"/>
  <c r="G2069" i="7"/>
  <c r="G2070" i="7"/>
  <c r="G2071" i="7"/>
  <c r="G2072" i="7"/>
  <c r="G2073" i="7"/>
  <c r="G2074" i="7"/>
  <c r="G2075" i="7"/>
  <c r="G2076" i="7"/>
  <c r="G2077" i="7"/>
  <c r="G2078" i="7"/>
  <c r="G2079" i="7"/>
  <c r="G2080" i="7"/>
  <c r="G2081" i="7"/>
  <c r="G2082" i="7"/>
  <c r="G2083" i="7"/>
  <c r="G2084" i="7"/>
  <c r="G2085" i="7"/>
  <c r="G2086" i="7"/>
  <c r="G2087" i="7"/>
  <c r="G2088" i="7"/>
  <c r="G2089" i="7"/>
  <c r="G2090" i="7"/>
  <c r="G2091" i="7"/>
  <c r="G2092" i="7"/>
  <c r="G2093" i="7"/>
  <c r="G2094" i="7"/>
  <c r="G2095" i="7"/>
  <c r="G2096" i="7"/>
  <c r="G2097" i="7"/>
  <c r="G2098" i="7"/>
  <c r="G2099" i="7"/>
  <c r="G2100" i="7"/>
  <c r="G2101" i="7"/>
  <c r="G2102" i="7"/>
  <c r="G2103" i="7"/>
  <c r="G2104" i="7"/>
  <c r="G2105" i="7"/>
  <c r="G2106" i="7"/>
  <c r="G2107" i="7"/>
  <c r="G2108" i="7"/>
  <c r="G2109" i="7"/>
  <c r="G2110" i="7"/>
  <c r="G2111" i="7"/>
  <c r="G2112" i="7"/>
  <c r="G2113" i="7"/>
  <c r="G2114" i="7"/>
  <c r="G2115" i="7"/>
  <c r="G2116" i="7"/>
  <c r="G2117" i="7"/>
  <c r="G2118" i="7"/>
  <c r="G2119" i="7"/>
  <c r="G2120" i="7"/>
  <c r="G2121" i="7"/>
  <c r="G2122" i="7"/>
  <c r="G2123" i="7"/>
  <c r="G2124" i="7"/>
  <c r="G2125" i="7"/>
  <c r="G2126" i="7"/>
  <c r="G2127" i="7"/>
  <c r="G2128" i="7"/>
  <c r="G2129" i="7"/>
  <c r="G2130" i="7"/>
  <c r="G2131" i="7"/>
  <c r="G2132" i="7"/>
  <c r="G2133" i="7"/>
  <c r="G2134" i="7"/>
  <c r="G2135" i="7"/>
  <c r="G2136" i="7"/>
  <c r="G2137" i="7"/>
  <c r="G2138" i="7"/>
  <c r="G2139" i="7"/>
  <c r="G2140" i="7"/>
  <c r="G2141" i="7"/>
  <c r="G2142" i="7"/>
  <c r="G2143" i="7"/>
  <c r="G2144" i="7"/>
  <c r="G2145" i="7"/>
  <c r="G2146" i="7"/>
  <c r="G2" i="7"/>
  <c r="E3435" i="7"/>
  <c r="E3436" i="7"/>
  <c r="E3437" i="7"/>
  <c r="E3438" i="7"/>
  <c r="E3439" i="7"/>
  <c r="E3440" i="7"/>
  <c r="E3441" i="7"/>
  <c r="E3442" i="7"/>
  <c r="E3443" i="7"/>
  <c r="E3444" i="7"/>
  <c r="E3445" i="7"/>
  <c r="E3446" i="7"/>
  <c r="E3447" i="7"/>
  <c r="E3448" i="7"/>
  <c r="E3449" i="7"/>
  <c r="E3450" i="7"/>
  <c r="E3451" i="7"/>
  <c r="E3452" i="7"/>
  <c r="E3453" i="7"/>
  <c r="E3454" i="7"/>
  <c r="E3455" i="7"/>
  <c r="E3456" i="7"/>
  <c r="E3457" i="7"/>
  <c r="E3458" i="7"/>
  <c r="E3459" i="7"/>
  <c r="E3460" i="7"/>
  <c r="E3461" i="7"/>
  <c r="E3462" i="7"/>
  <c r="E3463" i="7"/>
  <c r="E3464" i="7"/>
  <c r="E3465" i="7"/>
  <c r="E3466" i="7"/>
  <c r="E3467" i="7"/>
  <c r="E3468" i="7"/>
  <c r="E3469" i="7"/>
  <c r="E3470" i="7"/>
  <c r="E3471" i="7"/>
  <c r="E3472" i="7"/>
  <c r="E3473" i="7"/>
  <c r="E3474" i="7"/>
  <c r="E3475" i="7"/>
  <c r="E3476" i="7"/>
  <c r="E3477" i="7"/>
  <c r="E3478" i="7"/>
  <c r="E3479" i="7"/>
  <c r="E3480" i="7"/>
  <c r="E3481" i="7"/>
  <c r="E3482" i="7"/>
  <c r="E3483" i="7"/>
  <c r="E3484" i="7"/>
  <c r="E3485" i="7"/>
  <c r="E3486" i="7"/>
  <c r="E3487" i="7"/>
  <c r="E3488" i="7"/>
  <c r="E3489" i="7"/>
  <c r="E3490" i="7"/>
  <c r="E3491" i="7"/>
  <c r="E3492" i="7"/>
  <c r="E3493" i="7"/>
  <c r="E3494" i="7"/>
  <c r="E3495" i="7"/>
  <c r="E3496" i="7"/>
  <c r="E3497" i="7"/>
  <c r="E3498" i="7"/>
  <c r="E3499" i="7"/>
  <c r="E3500" i="7"/>
  <c r="E3501" i="7"/>
  <c r="E3502" i="7"/>
  <c r="E3503" i="7"/>
  <c r="E3504" i="7"/>
  <c r="E3505" i="7"/>
  <c r="E3506" i="7"/>
  <c r="E3507" i="7"/>
  <c r="E3508" i="7"/>
  <c r="E3509" i="7"/>
  <c r="E3510" i="7"/>
  <c r="E3511" i="7"/>
  <c r="E3512" i="7"/>
  <c r="E3513" i="7"/>
  <c r="E3514" i="7"/>
  <c r="E3515" i="7"/>
  <c r="E3516" i="7"/>
  <c r="E3517" i="7"/>
  <c r="E3518" i="7"/>
  <c r="E3519" i="7"/>
  <c r="E3520" i="7"/>
  <c r="E3521" i="7"/>
  <c r="E3522" i="7"/>
  <c r="E3523" i="7"/>
  <c r="E3524" i="7"/>
  <c r="E3525" i="7"/>
  <c r="E3526" i="7"/>
  <c r="E3527" i="7"/>
  <c r="E3528" i="7"/>
  <c r="E3529" i="7"/>
  <c r="E3530" i="7"/>
  <c r="E3531" i="7"/>
  <c r="E3532" i="7"/>
  <c r="E3533" i="7"/>
  <c r="E3534" i="7"/>
  <c r="E3535" i="7"/>
  <c r="E3536" i="7"/>
  <c r="E3537" i="7"/>
  <c r="E3538" i="7"/>
  <c r="E3539" i="7"/>
  <c r="E3540" i="7"/>
  <c r="E3541" i="7"/>
  <c r="E3542" i="7"/>
  <c r="E3543" i="7"/>
  <c r="E3544" i="7"/>
  <c r="E3545" i="7"/>
  <c r="E3546" i="7"/>
  <c r="E3547" i="7"/>
  <c r="E3548" i="7"/>
  <c r="E3549" i="7"/>
  <c r="E3550" i="7"/>
  <c r="E3551" i="7"/>
  <c r="E3552" i="7"/>
  <c r="E3553" i="7"/>
  <c r="E3554" i="7"/>
  <c r="E3555" i="7"/>
  <c r="E3556" i="7"/>
  <c r="E3557" i="7"/>
  <c r="E3558" i="7"/>
  <c r="E3559" i="7"/>
  <c r="E3560" i="7"/>
  <c r="E3561" i="7"/>
  <c r="E3562" i="7"/>
  <c r="E3563" i="7"/>
  <c r="E3564" i="7"/>
  <c r="E3565" i="7"/>
  <c r="E3566" i="7"/>
  <c r="E3567" i="7"/>
  <c r="E3568" i="7"/>
  <c r="E3569" i="7"/>
  <c r="E3570" i="7"/>
  <c r="E3571" i="7"/>
  <c r="E3572" i="7"/>
  <c r="E3573" i="7"/>
  <c r="E3574" i="7"/>
  <c r="E3575" i="7"/>
  <c r="E3576" i="7"/>
  <c r="E3577" i="7"/>
  <c r="E3578" i="7"/>
  <c r="E3579" i="7"/>
  <c r="E3580" i="7"/>
  <c r="E3581" i="7"/>
  <c r="E3582" i="7"/>
  <c r="E3583" i="7"/>
  <c r="E3584" i="7"/>
  <c r="E3585" i="7"/>
  <c r="E3586" i="7"/>
  <c r="E3587" i="7"/>
  <c r="E3588" i="7"/>
  <c r="E3589" i="7"/>
  <c r="E3590" i="7"/>
  <c r="E3591" i="7"/>
  <c r="E3592" i="7"/>
  <c r="E3593" i="7"/>
  <c r="E3594" i="7"/>
  <c r="E3595" i="7"/>
  <c r="E3596" i="7"/>
  <c r="E3597" i="7"/>
  <c r="E3598" i="7"/>
  <c r="E3599" i="7"/>
  <c r="E3600" i="7"/>
  <c r="E3601" i="7"/>
  <c r="E3602" i="7"/>
  <c r="E3603" i="7"/>
  <c r="E3604" i="7"/>
  <c r="E3605" i="7"/>
  <c r="E3606" i="7"/>
  <c r="E3607" i="7"/>
  <c r="E3608" i="7"/>
  <c r="E3609" i="7"/>
  <c r="E3610" i="7"/>
  <c r="E3611" i="7"/>
  <c r="E3612" i="7"/>
  <c r="E3613" i="7"/>
  <c r="E3614" i="7"/>
  <c r="E3615" i="7"/>
  <c r="E3616" i="7"/>
  <c r="E3617" i="7"/>
  <c r="E3618" i="7"/>
  <c r="E3619" i="7"/>
  <c r="E3620" i="7"/>
  <c r="E3621" i="7"/>
  <c r="E3622" i="7"/>
  <c r="E3623" i="7"/>
  <c r="E3624" i="7"/>
  <c r="E3625" i="7"/>
  <c r="E3626" i="7"/>
  <c r="E3627" i="7"/>
  <c r="E3628" i="7"/>
  <c r="E3629" i="7"/>
  <c r="E3630" i="7"/>
  <c r="E3631" i="7"/>
  <c r="E3632" i="7"/>
  <c r="E3633" i="7"/>
  <c r="E3634" i="7"/>
  <c r="E3635" i="7"/>
  <c r="E3636" i="7"/>
  <c r="E3637" i="7"/>
  <c r="E3638" i="7"/>
  <c r="E3639" i="7"/>
  <c r="E3640" i="7"/>
  <c r="E3641" i="7"/>
  <c r="E3642" i="7"/>
  <c r="E3643" i="7"/>
  <c r="E3644" i="7"/>
  <c r="E3645" i="7"/>
  <c r="E3646" i="7"/>
  <c r="E3647" i="7"/>
  <c r="E3648" i="7"/>
  <c r="E3649" i="7"/>
  <c r="E3650" i="7"/>
  <c r="E3651" i="7"/>
  <c r="E3652" i="7"/>
  <c r="E3653" i="7"/>
  <c r="E3654" i="7"/>
  <c r="E3655" i="7"/>
  <c r="E3656" i="7"/>
  <c r="E3657" i="7"/>
  <c r="E3658" i="7"/>
  <c r="E3659" i="7"/>
  <c r="E3660" i="7"/>
  <c r="E3661" i="7"/>
  <c r="E3662" i="7"/>
  <c r="E3663" i="7"/>
  <c r="E3664" i="7"/>
  <c r="E3665" i="7"/>
  <c r="E3666" i="7"/>
  <c r="E3667" i="7"/>
  <c r="E3668" i="7"/>
  <c r="E3669" i="7"/>
  <c r="E3670" i="7"/>
  <c r="E3671" i="7"/>
  <c r="E3672" i="7"/>
  <c r="E3673" i="7"/>
  <c r="E3674" i="7"/>
  <c r="E3675" i="7"/>
  <c r="E3676" i="7"/>
  <c r="E3677" i="7"/>
  <c r="E3678" i="7"/>
  <c r="E3679" i="7"/>
  <c r="E3680" i="7"/>
  <c r="E3681" i="7"/>
  <c r="E3682" i="7"/>
  <c r="E3683" i="7"/>
  <c r="E3684" i="7"/>
  <c r="E3685" i="7"/>
  <c r="E3686" i="7"/>
  <c r="E3687" i="7"/>
  <c r="E3688" i="7"/>
  <c r="E3689" i="7"/>
  <c r="E3690" i="7"/>
  <c r="E3691" i="7"/>
  <c r="E3692" i="7"/>
  <c r="E3693" i="7"/>
  <c r="E3694" i="7"/>
  <c r="E3695" i="7"/>
  <c r="E3696" i="7"/>
  <c r="E3697" i="7"/>
  <c r="E3698" i="7"/>
  <c r="E3699" i="7"/>
  <c r="E3700" i="7"/>
  <c r="E3701" i="7"/>
  <c r="E3702" i="7"/>
  <c r="E3703" i="7"/>
  <c r="E3704" i="7"/>
  <c r="E3705" i="7"/>
  <c r="E3706" i="7"/>
  <c r="E3707" i="7"/>
  <c r="E3708" i="7"/>
  <c r="E3709" i="7"/>
  <c r="E3710" i="7"/>
  <c r="E3711" i="7"/>
  <c r="E3712" i="7"/>
  <c r="E3713" i="7"/>
  <c r="E3714" i="7"/>
  <c r="E3715" i="7"/>
  <c r="E3716" i="7"/>
  <c r="E3717" i="7"/>
  <c r="E3718" i="7"/>
  <c r="E3719" i="7"/>
  <c r="E3720" i="7"/>
  <c r="E3721" i="7"/>
  <c r="E3722" i="7"/>
  <c r="E3723" i="7"/>
  <c r="E3724" i="7"/>
  <c r="E3725" i="7"/>
  <c r="E3726" i="7"/>
  <c r="E3727" i="7"/>
  <c r="E3728" i="7"/>
  <c r="E3729" i="7"/>
  <c r="E3730" i="7"/>
  <c r="E3731" i="7"/>
  <c r="E3732" i="7"/>
  <c r="E3733" i="7"/>
  <c r="E3734" i="7"/>
  <c r="E3735" i="7"/>
  <c r="E3736" i="7"/>
  <c r="E3737" i="7"/>
  <c r="E3738" i="7"/>
  <c r="E3739" i="7"/>
  <c r="E3740" i="7"/>
  <c r="E3741" i="7"/>
  <c r="E3742" i="7"/>
  <c r="E3743" i="7"/>
  <c r="E3744" i="7"/>
  <c r="E3745" i="7"/>
  <c r="E3746" i="7"/>
  <c r="E3747" i="7"/>
  <c r="E3748" i="7"/>
  <c r="E3749" i="7"/>
  <c r="E3750" i="7"/>
  <c r="E3751" i="7"/>
  <c r="E3752" i="7"/>
  <c r="E3753" i="7"/>
  <c r="E3754" i="7"/>
  <c r="E3755" i="7"/>
  <c r="E3756" i="7"/>
  <c r="E3757" i="7"/>
  <c r="E3758" i="7"/>
  <c r="E3759" i="7"/>
  <c r="E3760" i="7"/>
  <c r="E3761" i="7"/>
  <c r="E3762" i="7"/>
  <c r="E3763" i="7"/>
  <c r="E3764" i="7"/>
  <c r="E3765" i="7"/>
  <c r="E3766" i="7"/>
  <c r="E3767" i="7"/>
  <c r="E3768" i="7"/>
  <c r="E3769" i="7"/>
  <c r="E3770" i="7"/>
  <c r="E3771" i="7"/>
  <c r="E3772" i="7"/>
  <c r="E3773" i="7"/>
  <c r="E3774" i="7"/>
  <c r="E3775" i="7"/>
  <c r="E3776" i="7"/>
  <c r="E3777" i="7"/>
  <c r="E3778" i="7"/>
  <c r="E3779" i="7"/>
  <c r="E3780" i="7"/>
  <c r="E3781" i="7"/>
  <c r="E3782" i="7"/>
  <c r="E3783" i="7"/>
  <c r="E3784" i="7"/>
  <c r="E3785" i="7"/>
  <c r="E3786" i="7"/>
  <c r="E3787" i="7"/>
  <c r="E3788" i="7"/>
  <c r="E3789" i="7"/>
  <c r="E3790" i="7"/>
  <c r="E3791" i="7"/>
  <c r="E3792" i="7"/>
  <c r="E3793" i="7"/>
  <c r="E3794" i="7"/>
  <c r="E3795" i="7"/>
  <c r="E3796" i="7"/>
  <c r="E3797" i="7"/>
  <c r="E3798" i="7"/>
  <c r="E3799" i="7"/>
  <c r="E3800" i="7"/>
  <c r="E3801" i="7"/>
  <c r="E3802" i="7"/>
  <c r="E3803" i="7"/>
  <c r="E3804" i="7"/>
  <c r="E3805" i="7"/>
  <c r="E3806" i="7"/>
  <c r="E3807" i="7"/>
  <c r="E3808" i="7"/>
  <c r="E3809" i="7"/>
  <c r="E3810" i="7"/>
  <c r="E3811" i="7"/>
  <c r="E3812" i="7"/>
  <c r="E3813" i="7"/>
  <c r="E3814" i="7"/>
  <c r="E3815" i="7"/>
  <c r="E3816" i="7"/>
  <c r="E3817" i="7"/>
  <c r="E3818" i="7"/>
  <c r="E3819" i="7"/>
  <c r="E3820" i="7"/>
  <c r="E3821" i="7"/>
  <c r="E3822" i="7"/>
  <c r="E3823" i="7"/>
  <c r="E3824" i="7"/>
  <c r="E3825" i="7"/>
  <c r="E3826" i="7"/>
  <c r="E3827" i="7"/>
  <c r="E3828" i="7"/>
  <c r="E3829" i="7"/>
  <c r="E3830" i="7"/>
  <c r="E3831" i="7"/>
  <c r="E3832" i="7"/>
  <c r="E3833" i="7"/>
  <c r="E3834" i="7"/>
  <c r="E3835" i="7"/>
  <c r="E3836" i="7"/>
  <c r="E3837" i="7"/>
  <c r="E3838" i="7"/>
  <c r="E3839" i="7"/>
  <c r="E3840" i="7"/>
  <c r="E3841" i="7"/>
  <c r="E3842" i="7"/>
  <c r="E3843" i="7"/>
  <c r="E3844" i="7"/>
  <c r="E3845" i="7"/>
  <c r="E3846" i="7"/>
  <c r="E3847" i="7"/>
  <c r="E3848" i="7"/>
  <c r="E3849" i="7"/>
  <c r="E3850" i="7"/>
  <c r="E3851" i="7"/>
  <c r="E3852" i="7"/>
  <c r="E3853" i="7"/>
  <c r="E3854" i="7"/>
  <c r="E3855" i="7"/>
  <c r="E3856" i="7"/>
  <c r="E3857" i="7"/>
  <c r="E3858" i="7"/>
  <c r="E3859" i="7"/>
  <c r="E3860" i="7"/>
  <c r="E3861" i="7"/>
  <c r="E3862" i="7"/>
  <c r="E3434" i="7"/>
  <c r="A3434" i="7"/>
  <c r="A3435" i="7"/>
  <c r="A3436" i="7"/>
  <c r="A3437" i="7"/>
  <c r="A3438" i="7"/>
  <c r="A3439" i="7"/>
  <c r="A3440" i="7"/>
  <c r="A3441" i="7"/>
  <c r="A3442" i="7"/>
  <c r="A3443" i="7"/>
  <c r="A3444" i="7"/>
  <c r="A3445" i="7"/>
  <c r="A3446" i="7"/>
  <c r="A3447" i="7"/>
  <c r="A3448" i="7"/>
  <c r="A3449" i="7"/>
  <c r="A3450" i="7"/>
  <c r="A3451" i="7"/>
  <c r="A3452" i="7"/>
  <c r="A3453" i="7"/>
  <c r="A3454" i="7"/>
  <c r="A3455" i="7"/>
  <c r="A3456" i="7"/>
  <c r="A3457" i="7"/>
  <c r="A3458" i="7"/>
  <c r="A3459" i="7"/>
  <c r="A3460" i="7"/>
  <c r="A3461" i="7"/>
  <c r="A3462" i="7"/>
  <c r="A3463" i="7"/>
  <c r="A3464" i="7"/>
  <c r="A3465" i="7"/>
  <c r="A3466" i="7"/>
  <c r="A3467" i="7"/>
  <c r="A3468" i="7"/>
  <c r="A3469" i="7"/>
  <c r="A3470" i="7"/>
  <c r="A3471" i="7"/>
  <c r="A3472" i="7"/>
  <c r="A3473" i="7"/>
  <c r="A3474" i="7"/>
  <c r="A3475" i="7"/>
  <c r="A3476" i="7"/>
  <c r="A3477" i="7"/>
  <c r="A3478" i="7"/>
  <c r="A3479" i="7"/>
  <c r="A3480" i="7"/>
  <c r="A3481" i="7"/>
  <c r="A3482" i="7"/>
  <c r="A3483" i="7"/>
  <c r="A3484" i="7"/>
  <c r="A3485" i="7"/>
  <c r="A3486" i="7"/>
  <c r="A3487" i="7"/>
  <c r="A3488" i="7"/>
  <c r="A3489" i="7"/>
  <c r="A3490" i="7"/>
  <c r="A3491" i="7"/>
  <c r="A3492" i="7"/>
  <c r="A3493" i="7"/>
  <c r="A3494" i="7"/>
  <c r="A3495" i="7"/>
  <c r="A3496" i="7"/>
  <c r="A3497" i="7"/>
  <c r="A3498" i="7"/>
  <c r="A3499" i="7"/>
  <c r="A3500" i="7"/>
  <c r="A3501" i="7"/>
  <c r="A3502" i="7"/>
  <c r="A3503" i="7"/>
  <c r="A3504" i="7"/>
  <c r="A3505" i="7"/>
  <c r="A3506" i="7"/>
  <c r="A3507" i="7"/>
  <c r="A3508" i="7"/>
  <c r="A3509" i="7"/>
  <c r="A3510" i="7"/>
  <c r="A3511" i="7"/>
  <c r="A3512" i="7"/>
  <c r="A3513" i="7"/>
  <c r="A3514" i="7"/>
  <c r="A3515" i="7"/>
  <c r="A3516" i="7"/>
  <c r="A3517" i="7"/>
  <c r="A3518" i="7"/>
  <c r="A3519" i="7"/>
  <c r="A3520" i="7"/>
  <c r="A3521" i="7"/>
  <c r="A3522" i="7"/>
  <c r="A3523" i="7"/>
  <c r="A3524" i="7"/>
  <c r="A3525" i="7"/>
  <c r="A3526" i="7"/>
  <c r="A3527" i="7"/>
  <c r="A3528" i="7"/>
  <c r="A3529" i="7"/>
  <c r="A3530" i="7"/>
  <c r="A3531" i="7"/>
  <c r="A3532" i="7"/>
  <c r="A3533" i="7"/>
  <c r="A3534" i="7"/>
  <c r="A3535" i="7"/>
  <c r="A3536" i="7"/>
  <c r="A3537" i="7"/>
  <c r="A3538" i="7"/>
  <c r="A3539" i="7"/>
  <c r="A3540" i="7"/>
  <c r="A3541" i="7"/>
  <c r="A3542" i="7"/>
  <c r="A3543" i="7"/>
  <c r="A3544" i="7"/>
  <c r="A3545" i="7"/>
  <c r="A3546" i="7"/>
  <c r="A3547" i="7"/>
  <c r="A3548" i="7"/>
  <c r="A3549" i="7"/>
  <c r="A3550" i="7"/>
  <c r="A3551" i="7"/>
  <c r="A3552" i="7"/>
  <c r="A3553" i="7"/>
  <c r="A3554" i="7"/>
  <c r="A3555" i="7"/>
  <c r="A3556" i="7"/>
  <c r="A3557" i="7"/>
  <c r="A3558" i="7"/>
  <c r="A3559" i="7"/>
  <c r="A3560" i="7"/>
  <c r="A3561" i="7"/>
  <c r="A3562" i="7"/>
  <c r="A3563" i="7"/>
  <c r="A3564" i="7"/>
  <c r="A3565" i="7"/>
  <c r="A3566" i="7"/>
  <c r="A3567" i="7"/>
  <c r="A3568" i="7"/>
  <c r="A3569" i="7"/>
  <c r="A3570" i="7"/>
  <c r="A3571" i="7"/>
  <c r="A3572" i="7"/>
  <c r="A3573" i="7"/>
  <c r="A3574" i="7"/>
  <c r="A3575" i="7"/>
  <c r="A3576" i="7"/>
  <c r="A3577" i="7"/>
  <c r="A3578" i="7"/>
  <c r="A3579" i="7"/>
  <c r="A3580" i="7"/>
  <c r="A3581" i="7"/>
  <c r="A3582" i="7"/>
  <c r="A3583" i="7"/>
  <c r="A3584" i="7"/>
  <c r="A3585" i="7"/>
  <c r="A3586" i="7"/>
  <c r="A3587" i="7"/>
  <c r="A3588" i="7"/>
  <c r="A3589" i="7"/>
  <c r="A3590" i="7"/>
  <c r="A3591" i="7"/>
  <c r="A3592" i="7"/>
  <c r="A3593" i="7"/>
  <c r="A3594" i="7"/>
  <c r="A3595" i="7"/>
  <c r="A3596" i="7"/>
  <c r="A3597" i="7"/>
  <c r="A3598" i="7"/>
  <c r="A3599" i="7"/>
  <c r="A3600" i="7"/>
  <c r="A3601" i="7"/>
  <c r="A3602" i="7"/>
  <c r="A3603" i="7"/>
  <c r="A3604" i="7"/>
  <c r="A3605" i="7"/>
  <c r="A3606" i="7"/>
  <c r="A3607" i="7"/>
  <c r="A3608" i="7"/>
  <c r="A3609" i="7"/>
  <c r="A3610" i="7"/>
  <c r="A3611" i="7"/>
  <c r="A3612" i="7"/>
  <c r="A3613" i="7"/>
  <c r="A3614" i="7"/>
  <c r="A3615" i="7"/>
  <c r="A3616" i="7"/>
  <c r="A3617" i="7"/>
  <c r="A3618" i="7"/>
  <c r="A3619" i="7"/>
  <c r="A3620" i="7"/>
  <c r="A3621" i="7"/>
  <c r="A3622" i="7"/>
  <c r="A3623" i="7"/>
  <c r="A3624" i="7"/>
  <c r="A3625" i="7"/>
  <c r="A3626" i="7"/>
  <c r="A3627" i="7"/>
  <c r="A3628" i="7"/>
  <c r="A3629" i="7"/>
  <c r="A3630" i="7"/>
  <c r="A3631" i="7"/>
  <c r="A3632" i="7"/>
  <c r="A3633" i="7"/>
  <c r="A3634" i="7"/>
  <c r="A3635" i="7"/>
  <c r="A3636" i="7"/>
  <c r="A3637" i="7"/>
  <c r="A3638" i="7"/>
  <c r="A3639" i="7"/>
  <c r="A3640" i="7"/>
  <c r="A3641" i="7"/>
  <c r="A3642" i="7"/>
  <c r="A3643" i="7"/>
  <c r="A3644" i="7"/>
  <c r="A3645" i="7"/>
  <c r="A3646" i="7"/>
  <c r="A3647" i="7"/>
  <c r="A3648" i="7"/>
  <c r="A3649" i="7"/>
  <c r="A3650" i="7"/>
  <c r="A3651" i="7"/>
  <c r="A3652" i="7"/>
  <c r="A3653" i="7"/>
  <c r="A3654" i="7"/>
  <c r="A3655" i="7"/>
  <c r="A3656" i="7"/>
  <c r="A3657" i="7"/>
  <c r="A3658" i="7"/>
  <c r="A3659" i="7"/>
  <c r="A3660" i="7"/>
  <c r="A3661" i="7"/>
  <c r="A3662" i="7"/>
  <c r="A3663" i="7"/>
  <c r="A3664" i="7"/>
  <c r="A3665" i="7"/>
  <c r="A3666" i="7"/>
  <c r="A3667" i="7"/>
  <c r="A3668" i="7"/>
  <c r="A3669" i="7"/>
  <c r="A3670" i="7"/>
  <c r="A3671" i="7"/>
  <c r="A3672" i="7"/>
  <c r="A3673" i="7"/>
  <c r="A3674" i="7"/>
  <c r="A3675" i="7"/>
  <c r="A3676" i="7"/>
  <c r="A3677" i="7"/>
  <c r="A3678" i="7"/>
  <c r="A3679" i="7"/>
  <c r="A3680" i="7"/>
  <c r="A3681" i="7"/>
  <c r="A3682" i="7"/>
  <c r="A3683" i="7"/>
  <c r="A3684" i="7"/>
  <c r="A3685" i="7"/>
  <c r="A3686" i="7"/>
  <c r="A3687" i="7"/>
  <c r="A3688" i="7"/>
  <c r="A3689" i="7"/>
  <c r="A3690" i="7"/>
  <c r="A3691" i="7"/>
  <c r="A3692" i="7"/>
  <c r="A3693" i="7"/>
  <c r="A3694" i="7"/>
  <c r="A3695" i="7"/>
  <c r="A3696" i="7"/>
  <c r="A3697" i="7"/>
  <c r="A3698" i="7"/>
  <c r="A3699" i="7"/>
  <c r="A3700" i="7"/>
  <c r="A3701" i="7"/>
  <c r="A3702" i="7"/>
  <c r="A3703" i="7"/>
  <c r="A3704" i="7"/>
  <c r="A3705" i="7"/>
  <c r="A3706" i="7"/>
  <c r="A3707" i="7"/>
  <c r="A3708" i="7"/>
  <c r="A3709" i="7"/>
  <c r="A3710" i="7"/>
  <c r="A3711" i="7"/>
  <c r="A3712" i="7"/>
  <c r="A3713" i="7"/>
  <c r="A3714" i="7"/>
  <c r="A3715" i="7"/>
  <c r="A3716" i="7"/>
  <c r="A3717" i="7"/>
  <c r="A3718" i="7"/>
  <c r="A3719" i="7"/>
  <c r="A3720" i="7"/>
  <c r="A3721" i="7"/>
  <c r="A3722" i="7"/>
  <c r="A3723" i="7"/>
  <c r="A3724" i="7"/>
  <c r="A3725" i="7"/>
  <c r="A3726" i="7"/>
  <c r="A3727" i="7"/>
  <c r="A3728" i="7"/>
  <c r="A3729" i="7"/>
  <c r="A3730" i="7"/>
  <c r="A3731" i="7"/>
  <c r="A3732" i="7"/>
  <c r="A3733" i="7"/>
  <c r="A3734" i="7"/>
  <c r="A3735" i="7"/>
  <c r="A3736" i="7"/>
  <c r="A3737" i="7"/>
  <c r="A3738" i="7"/>
  <c r="A3739" i="7"/>
  <c r="A3740" i="7"/>
  <c r="A3741" i="7"/>
  <c r="A3742" i="7"/>
  <c r="A3743" i="7"/>
  <c r="A3744" i="7"/>
  <c r="A3745" i="7"/>
  <c r="A3746" i="7"/>
  <c r="A3747" i="7"/>
  <c r="A3748" i="7"/>
  <c r="A3749" i="7"/>
  <c r="A3750" i="7"/>
  <c r="A3751" i="7"/>
  <c r="A3752" i="7"/>
  <c r="A3753" i="7"/>
  <c r="A3754" i="7"/>
  <c r="A3755" i="7"/>
  <c r="A3756" i="7"/>
  <c r="A3757" i="7"/>
  <c r="A3758" i="7"/>
  <c r="A3759" i="7"/>
  <c r="A3760" i="7"/>
  <c r="A3761" i="7"/>
  <c r="A3762" i="7"/>
  <c r="A3763" i="7"/>
  <c r="A3764" i="7"/>
  <c r="A3765" i="7"/>
  <c r="A3766" i="7"/>
  <c r="A3767" i="7"/>
  <c r="A3768" i="7"/>
  <c r="A3769" i="7"/>
  <c r="A3770" i="7"/>
  <c r="A3771" i="7"/>
  <c r="A3772" i="7"/>
  <c r="A3773" i="7"/>
  <c r="A3774" i="7"/>
  <c r="A3775" i="7"/>
  <c r="A3776" i="7"/>
  <c r="A3777" i="7"/>
  <c r="A3778" i="7"/>
  <c r="A3779" i="7"/>
  <c r="A3780" i="7"/>
  <c r="A3781" i="7"/>
  <c r="A3782" i="7"/>
  <c r="A3783" i="7"/>
  <c r="A3784" i="7"/>
  <c r="A3785" i="7"/>
  <c r="A3786" i="7"/>
  <c r="A3787" i="7"/>
  <c r="A3788" i="7"/>
  <c r="A3789" i="7"/>
  <c r="A3790" i="7"/>
  <c r="A3791" i="7"/>
  <c r="A3792" i="7"/>
  <c r="A3793" i="7"/>
  <c r="A3794" i="7"/>
  <c r="A3795" i="7"/>
  <c r="A3796" i="7"/>
  <c r="A3797" i="7"/>
  <c r="A3798" i="7"/>
  <c r="A3799" i="7"/>
  <c r="A3800" i="7"/>
  <c r="A3801" i="7"/>
  <c r="A3802" i="7"/>
  <c r="A3803" i="7"/>
  <c r="A3804" i="7"/>
  <c r="A3805" i="7"/>
  <c r="A3806" i="7"/>
  <c r="A3807" i="7"/>
  <c r="A3808" i="7"/>
  <c r="A3809" i="7"/>
  <c r="A3810" i="7"/>
  <c r="A3811" i="7"/>
  <c r="A3812" i="7"/>
  <c r="A3813" i="7"/>
  <c r="A3814" i="7"/>
  <c r="A3815" i="7"/>
  <c r="A3816" i="7"/>
  <c r="A3817" i="7"/>
  <c r="A3818" i="7"/>
  <c r="A3819" i="7"/>
  <c r="A3820" i="7"/>
  <c r="A3821" i="7"/>
  <c r="A3822" i="7"/>
  <c r="A3823" i="7"/>
  <c r="A3824" i="7"/>
  <c r="A3825" i="7"/>
  <c r="A3826" i="7"/>
  <c r="A3827" i="7"/>
  <c r="A3828" i="7"/>
  <c r="A3829" i="7"/>
  <c r="A3830" i="7"/>
  <c r="A3831" i="7"/>
  <c r="A3832" i="7"/>
  <c r="A3833" i="7"/>
  <c r="A3834" i="7"/>
  <c r="A3835" i="7"/>
  <c r="A3836" i="7"/>
  <c r="A3837" i="7"/>
  <c r="A3838" i="7"/>
  <c r="A3839" i="7"/>
  <c r="A3840" i="7"/>
  <c r="A3841" i="7"/>
  <c r="A3842" i="7"/>
  <c r="A3843" i="7"/>
  <c r="A3844" i="7"/>
  <c r="A3845" i="7"/>
  <c r="A3846" i="7"/>
  <c r="A3847" i="7"/>
  <c r="A3848" i="7"/>
  <c r="A3849" i="7"/>
  <c r="A3850" i="7"/>
  <c r="A3851" i="7"/>
  <c r="A3852" i="7"/>
  <c r="A3853" i="7"/>
  <c r="A3854" i="7"/>
  <c r="A3855" i="7"/>
  <c r="A3856" i="7"/>
  <c r="A3857" i="7"/>
  <c r="A3858" i="7"/>
  <c r="A3859" i="7"/>
  <c r="A3860" i="7"/>
  <c r="A3861" i="7"/>
  <c r="A3862" i="7"/>
  <c r="E2148" i="7"/>
  <c r="E2149" i="7"/>
  <c r="E2150" i="7"/>
  <c r="E2151" i="7"/>
  <c r="E2152" i="7"/>
  <c r="E2153" i="7"/>
  <c r="E2154" i="7"/>
  <c r="E2155" i="7"/>
  <c r="E2156" i="7"/>
  <c r="E2157" i="7"/>
  <c r="E2158" i="7"/>
  <c r="E2159" i="7"/>
  <c r="E2160" i="7"/>
  <c r="E2161" i="7"/>
  <c r="E2162" i="7"/>
  <c r="E2163" i="7"/>
  <c r="E2164" i="7"/>
  <c r="E2165" i="7"/>
  <c r="E2166" i="7"/>
  <c r="E2167" i="7"/>
  <c r="E2168" i="7"/>
  <c r="E2169" i="7"/>
  <c r="E2170" i="7"/>
  <c r="E2171" i="7"/>
  <c r="E2172" i="7"/>
  <c r="E2173" i="7"/>
  <c r="E2174" i="7"/>
  <c r="E2175" i="7"/>
  <c r="E2176" i="7"/>
  <c r="E2177" i="7"/>
  <c r="E2178" i="7"/>
  <c r="E2179" i="7"/>
  <c r="E2180" i="7"/>
  <c r="E2181" i="7"/>
  <c r="E2182" i="7"/>
  <c r="E2183" i="7"/>
  <c r="E2184" i="7"/>
  <c r="E2185" i="7"/>
  <c r="E2186" i="7"/>
  <c r="E2187" i="7"/>
  <c r="E2188" i="7"/>
  <c r="E2189" i="7"/>
  <c r="E2190" i="7"/>
  <c r="E2191" i="7"/>
  <c r="E2192" i="7"/>
  <c r="E2193" i="7"/>
  <c r="E2194" i="7"/>
  <c r="E2195" i="7"/>
  <c r="E2196" i="7"/>
  <c r="E2197" i="7"/>
  <c r="E2198" i="7"/>
  <c r="E2199" i="7"/>
  <c r="E2200" i="7"/>
  <c r="E2201" i="7"/>
  <c r="E2202" i="7"/>
  <c r="E2203" i="7"/>
  <c r="E2204" i="7"/>
  <c r="E2205" i="7"/>
  <c r="E2206" i="7"/>
  <c r="E2207" i="7"/>
  <c r="E2208" i="7"/>
  <c r="E2209" i="7"/>
  <c r="E2210" i="7"/>
  <c r="E2211" i="7"/>
  <c r="E2212" i="7"/>
  <c r="E2213" i="7"/>
  <c r="E2214" i="7"/>
  <c r="E2215" i="7"/>
  <c r="E2216" i="7"/>
  <c r="E2217" i="7"/>
  <c r="E2218" i="7"/>
  <c r="E2219" i="7"/>
  <c r="E2220" i="7"/>
  <c r="E2221" i="7"/>
  <c r="E2222" i="7"/>
  <c r="E2223" i="7"/>
  <c r="E2224" i="7"/>
  <c r="E2225" i="7"/>
  <c r="E2226" i="7"/>
  <c r="E2227" i="7"/>
  <c r="E2228" i="7"/>
  <c r="E2229" i="7"/>
  <c r="E2230" i="7"/>
  <c r="E2231" i="7"/>
  <c r="E2232" i="7"/>
  <c r="E2233" i="7"/>
  <c r="E2234" i="7"/>
  <c r="E2235" i="7"/>
  <c r="E2236" i="7"/>
  <c r="E2237" i="7"/>
  <c r="E2238" i="7"/>
  <c r="E2239" i="7"/>
  <c r="E2240" i="7"/>
  <c r="E2241" i="7"/>
  <c r="E2242" i="7"/>
  <c r="E2243" i="7"/>
  <c r="E2244" i="7"/>
  <c r="E2245" i="7"/>
  <c r="E2246" i="7"/>
  <c r="E2247" i="7"/>
  <c r="E2248" i="7"/>
  <c r="E2249" i="7"/>
  <c r="E2250" i="7"/>
  <c r="E2251" i="7"/>
  <c r="E2252" i="7"/>
  <c r="E2253" i="7"/>
  <c r="E2254" i="7"/>
  <c r="E2255" i="7"/>
  <c r="E2256" i="7"/>
  <c r="E2257" i="7"/>
  <c r="E2258" i="7"/>
  <c r="E2259" i="7"/>
  <c r="E2260" i="7"/>
  <c r="E2261" i="7"/>
  <c r="E2262" i="7"/>
  <c r="E2263" i="7"/>
  <c r="E2264" i="7"/>
  <c r="E2265" i="7"/>
  <c r="E2266" i="7"/>
  <c r="E2267" i="7"/>
  <c r="E2268" i="7"/>
  <c r="E2269" i="7"/>
  <c r="E2270" i="7"/>
  <c r="E2271" i="7"/>
  <c r="E2272" i="7"/>
  <c r="E2273" i="7"/>
  <c r="E2274" i="7"/>
  <c r="E2275" i="7"/>
  <c r="E2276" i="7"/>
  <c r="E2277" i="7"/>
  <c r="E2278" i="7"/>
  <c r="E2279" i="7"/>
  <c r="E2280" i="7"/>
  <c r="E2281" i="7"/>
  <c r="E2282" i="7"/>
  <c r="E2283" i="7"/>
  <c r="E2284" i="7"/>
  <c r="E2285" i="7"/>
  <c r="E2286" i="7"/>
  <c r="E2287" i="7"/>
  <c r="E2288" i="7"/>
  <c r="E2289" i="7"/>
  <c r="E2290" i="7"/>
  <c r="E2291" i="7"/>
  <c r="E2292" i="7"/>
  <c r="E2293" i="7"/>
  <c r="E2294" i="7"/>
  <c r="E2295" i="7"/>
  <c r="E2296" i="7"/>
  <c r="E2297" i="7"/>
  <c r="E2298" i="7"/>
  <c r="E2299" i="7"/>
  <c r="E2300" i="7"/>
  <c r="E2301" i="7"/>
  <c r="E2302" i="7"/>
  <c r="E2303" i="7"/>
  <c r="E2304" i="7"/>
  <c r="E2305" i="7"/>
  <c r="E2306" i="7"/>
  <c r="E2307" i="7"/>
  <c r="E2308" i="7"/>
  <c r="E2309" i="7"/>
  <c r="E2310" i="7"/>
  <c r="E2311" i="7"/>
  <c r="E2312" i="7"/>
  <c r="E2313" i="7"/>
  <c r="E2314" i="7"/>
  <c r="E2315" i="7"/>
  <c r="E2316" i="7"/>
  <c r="E2317" i="7"/>
  <c r="E2318" i="7"/>
  <c r="E2319" i="7"/>
  <c r="E2320" i="7"/>
  <c r="E2321" i="7"/>
  <c r="E2322" i="7"/>
  <c r="E2323" i="7"/>
  <c r="E2324" i="7"/>
  <c r="E2325" i="7"/>
  <c r="E2326" i="7"/>
  <c r="E2327" i="7"/>
  <c r="E2328" i="7"/>
  <c r="E2329" i="7"/>
  <c r="E2330" i="7"/>
  <c r="E2331" i="7"/>
  <c r="E2332" i="7"/>
  <c r="E2333" i="7"/>
  <c r="E2334" i="7"/>
  <c r="E2335" i="7"/>
  <c r="E2336" i="7"/>
  <c r="E2337" i="7"/>
  <c r="E2338" i="7"/>
  <c r="E2339" i="7"/>
  <c r="E2340" i="7"/>
  <c r="E2341" i="7"/>
  <c r="E2342" i="7"/>
  <c r="E2343" i="7"/>
  <c r="E2344" i="7"/>
  <c r="E2345" i="7"/>
  <c r="E2346" i="7"/>
  <c r="E2347" i="7"/>
  <c r="E2348" i="7"/>
  <c r="E2349" i="7"/>
  <c r="E2350" i="7"/>
  <c r="E2351" i="7"/>
  <c r="E2352" i="7"/>
  <c r="E2353" i="7"/>
  <c r="E2354" i="7"/>
  <c r="E2355" i="7"/>
  <c r="E2356" i="7"/>
  <c r="E2357" i="7"/>
  <c r="E2358" i="7"/>
  <c r="E2359" i="7"/>
  <c r="E2360" i="7"/>
  <c r="E2361" i="7"/>
  <c r="E2362" i="7"/>
  <c r="E2363" i="7"/>
  <c r="E2364" i="7"/>
  <c r="E2365" i="7"/>
  <c r="E2366" i="7"/>
  <c r="E2367" i="7"/>
  <c r="E2368" i="7"/>
  <c r="E2369" i="7"/>
  <c r="E2370" i="7"/>
  <c r="E2371" i="7"/>
  <c r="E2372" i="7"/>
  <c r="E2373" i="7"/>
  <c r="E2374" i="7"/>
  <c r="E2375" i="7"/>
  <c r="E2376" i="7"/>
  <c r="E2377" i="7"/>
  <c r="E2378" i="7"/>
  <c r="E2379" i="7"/>
  <c r="E2380" i="7"/>
  <c r="E2381" i="7"/>
  <c r="E2382" i="7"/>
  <c r="E2383" i="7"/>
  <c r="E2384" i="7"/>
  <c r="E2385" i="7"/>
  <c r="E2386" i="7"/>
  <c r="E2387" i="7"/>
  <c r="E2388" i="7"/>
  <c r="E2389" i="7"/>
  <c r="E2390" i="7"/>
  <c r="E2391" i="7"/>
  <c r="E2392" i="7"/>
  <c r="E2393" i="7"/>
  <c r="E2394" i="7"/>
  <c r="E2395" i="7"/>
  <c r="E2396" i="7"/>
  <c r="E2397" i="7"/>
  <c r="E2398" i="7"/>
  <c r="E2399" i="7"/>
  <c r="E2400" i="7"/>
  <c r="E2401" i="7"/>
  <c r="E2402" i="7"/>
  <c r="E2403" i="7"/>
  <c r="E2404" i="7"/>
  <c r="E2405" i="7"/>
  <c r="E2406" i="7"/>
  <c r="E2407" i="7"/>
  <c r="E2408" i="7"/>
  <c r="E2409" i="7"/>
  <c r="E2410" i="7"/>
  <c r="E2411" i="7"/>
  <c r="E2412" i="7"/>
  <c r="E2413" i="7"/>
  <c r="E2414" i="7"/>
  <c r="E2415" i="7"/>
  <c r="E2416" i="7"/>
  <c r="E2417" i="7"/>
  <c r="E2418" i="7"/>
  <c r="E2419" i="7"/>
  <c r="E2420" i="7"/>
  <c r="E2421" i="7"/>
  <c r="E2422" i="7"/>
  <c r="E2423" i="7"/>
  <c r="E2424" i="7"/>
  <c r="E2425" i="7"/>
  <c r="E2426" i="7"/>
  <c r="E2427" i="7"/>
  <c r="E2428" i="7"/>
  <c r="E2429" i="7"/>
  <c r="E2430" i="7"/>
  <c r="E2431" i="7"/>
  <c r="E2432" i="7"/>
  <c r="E2433" i="7"/>
  <c r="E2434" i="7"/>
  <c r="E2435" i="7"/>
  <c r="E2436" i="7"/>
  <c r="E2437" i="7"/>
  <c r="E2438" i="7"/>
  <c r="E2439" i="7"/>
  <c r="E2440" i="7"/>
  <c r="E2441" i="7"/>
  <c r="E2442" i="7"/>
  <c r="E2443" i="7"/>
  <c r="E2444" i="7"/>
  <c r="E2445" i="7"/>
  <c r="E2446" i="7"/>
  <c r="E2447" i="7"/>
  <c r="E2448" i="7"/>
  <c r="E2449" i="7"/>
  <c r="E2450" i="7"/>
  <c r="E2451" i="7"/>
  <c r="E2452" i="7"/>
  <c r="E2453" i="7"/>
  <c r="E2454" i="7"/>
  <c r="E2455" i="7"/>
  <c r="E2456" i="7"/>
  <c r="E2457" i="7"/>
  <c r="E2458" i="7"/>
  <c r="E2459" i="7"/>
  <c r="E2460" i="7"/>
  <c r="E2461" i="7"/>
  <c r="E2462" i="7"/>
  <c r="E2463" i="7"/>
  <c r="E2464" i="7"/>
  <c r="E2465" i="7"/>
  <c r="E2466" i="7"/>
  <c r="E2467" i="7"/>
  <c r="E2468" i="7"/>
  <c r="E2469" i="7"/>
  <c r="E2470" i="7"/>
  <c r="E2471" i="7"/>
  <c r="E2472" i="7"/>
  <c r="E2473" i="7"/>
  <c r="E2474" i="7"/>
  <c r="E2475" i="7"/>
  <c r="E2476" i="7"/>
  <c r="E2477" i="7"/>
  <c r="E2478" i="7"/>
  <c r="E2479" i="7"/>
  <c r="E2480" i="7"/>
  <c r="E2481" i="7"/>
  <c r="E2482" i="7"/>
  <c r="E2483" i="7"/>
  <c r="E2484" i="7"/>
  <c r="E2485" i="7"/>
  <c r="E2486" i="7"/>
  <c r="E2487" i="7"/>
  <c r="E2488" i="7"/>
  <c r="E2489" i="7"/>
  <c r="E2490" i="7"/>
  <c r="E2491" i="7"/>
  <c r="E2492" i="7"/>
  <c r="E2493" i="7"/>
  <c r="E2494" i="7"/>
  <c r="E2495" i="7"/>
  <c r="E2496" i="7"/>
  <c r="E2497" i="7"/>
  <c r="E2498" i="7"/>
  <c r="E2499" i="7"/>
  <c r="E2500" i="7"/>
  <c r="E2501" i="7"/>
  <c r="E2502" i="7"/>
  <c r="E2503" i="7"/>
  <c r="E2504" i="7"/>
  <c r="E2505" i="7"/>
  <c r="E2506" i="7"/>
  <c r="E2507" i="7"/>
  <c r="E2508" i="7"/>
  <c r="E2509" i="7"/>
  <c r="E2510" i="7"/>
  <c r="E2511" i="7"/>
  <c r="E2512" i="7"/>
  <c r="E2513" i="7"/>
  <c r="E2514" i="7"/>
  <c r="E2515" i="7"/>
  <c r="E2516" i="7"/>
  <c r="E2517" i="7"/>
  <c r="E2518" i="7"/>
  <c r="E2519" i="7"/>
  <c r="E2520" i="7"/>
  <c r="E2521" i="7"/>
  <c r="E2522" i="7"/>
  <c r="E2523" i="7"/>
  <c r="E2524" i="7"/>
  <c r="E2525" i="7"/>
  <c r="E2526" i="7"/>
  <c r="E2527" i="7"/>
  <c r="E2528" i="7"/>
  <c r="E2529" i="7"/>
  <c r="E2530" i="7"/>
  <c r="E2531" i="7"/>
  <c r="E2532" i="7"/>
  <c r="E2533" i="7"/>
  <c r="E2534" i="7"/>
  <c r="E2535" i="7"/>
  <c r="E2536" i="7"/>
  <c r="E2537" i="7"/>
  <c r="E2538" i="7"/>
  <c r="E2539" i="7"/>
  <c r="E2540" i="7"/>
  <c r="E2541" i="7"/>
  <c r="E2542" i="7"/>
  <c r="E2543" i="7"/>
  <c r="E2544" i="7"/>
  <c r="E2545" i="7"/>
  <c r="E2546" i="7"/>
  <c r="E2547" i="7"/>
  <c r="E2548" i="7"/>
  <c r="E2549" i="7"/>
  <c r="E2550" i="7"/>
  <c r="E2551" i="7"/>
  <c r="E2552" i="7"/>
  <c r="E2553" i="7"/>
  <c r="E2554" i="7"/>
  <c r="E2555" i="7"/>
  <c r="E2556" i="7"/>
  <c r="E2557" i="7"/>
  <c r="E2558" i="7"/>
  <c r="E2559" i="7"/>
  <c r="E2560" i="7"/>
  <c r="E2561" i="7"/>
  <c r="E2562" i="7"/>
  <c r="E2563" i="7"/>
  <c r="E2564" i="7"/>
  <c r="E2565" i="7"/>
  <c r="E2566" i="7"/>
  <c r="E2567" i="7"/>
  <c r="E2568" i="7"/>
  <c r="E2569" i="7"/>
  <c r="E2570" i="7"/>
  <c r="E2571" i="7"/>
  <c r="E2572" i="7"/>
  <c r="E2573" i="7"/>
  <c r="E2574" i="7"/>
  <c r="E2575" i="7"/>
  <c r="E2576" i="7"/>
  <c r="E2577" i="7"/>
  <c r="E2578" i="7"/>
  <c r="E2579" i="7"/>
  <c r="E2580" i="7"/>
  <c r="E2581" i="7"/>
  <c r="E2582" i="7"/>
  <c r="E2583" i="7"/>
  <c r="E2584" i="7"/>
  <c r="E2585" i="7"/>
  <c r="E2586" i="7"/>
  <c r="E2587" i="7"/>
  <c r="E2588" i="7"/>
  <c r="E2589" i="7"/>
  <c r="E2590" i="7"/>
  <c r="E2591" i="7"/>
  <c r="E2592" i="7"/>
  <c r="E2593" i="7"/>
  <c r="E2594" i="7"/>
  <c r="E2595" i="7"/>
  <c r="E2596" i="7"/>
  <c r="E2597" i="7"/>
  <c r="E2598" i="7"/>
  <c r="E2599" i="7"/>
  <c r="E2600" i="7"/>
  <c r="E2601" i="7"/>
  <c r="E2602" i="7"/>
  <c r="E2603" i="7"/>
  <c r="E2604" i="7"/>
  <c r="E2605" i="7"/>
  <c r="E2606" i="7"/>
  <c r="E2607" i="7"/>
  <c r="E2608" i="7"/>
  <c r="E2609" i="7"/>
  <c r="E2610" i="7"/>
  <c r="E2611" i="7"/>
  <c r="E2612" i="7"/>
  <c r="E2613" i="7"/>
  <c r="E2614" i="7"/>
  <c r="E2615" i="7"/>
  <c r="E2616" i="7"/>
  <c r="E2617" i="7"/>
  <c r="E2618" i="7"/>
  <c r="E2619" i="7"/>
  <c r="E2620" i="7"/>
  <c r="E2621" i="7"/>
  <c r="E2622" i="7"/>
  <c r="E2623" i="7"/>
  <c r="E2624" i="7"/>
  <c r="E2625" i="7"/>
  <c r="E2626" i="7"/>
  <c r="E2627" i="7"/>
  <c r="E2628" i="7"/>
  <c r="E2629" i="7"/>
  <c r="E2630" i="7"/>
  <c r="E2631" i="7"/>
  <c r="E2632" i="7"/>
  <c r="E2633" i="7"/>
  <c r="E2634" i="7"/>
  <c r="E2635" i="7"/>
  <c r="E2636" i="7"/>
  <c r="E2637" i="7"/>
  <c r="E2638" i="7"/>
  <c r="E2639" i="7"/>
  <c r="E2640" i="7"/>
  <c r="E2641" i="7"/>
  <c r="E2642" i="7"/>
  <c r="E2643" i="7"/>
  <c r="E2644" i="7"/>
  <c r="E2645" i="7"/>
  <c r="E2646" i="7"/>
  <c r="E2647" i="7"/>
  <c r="E2648" i="7"/>
  <c r="E2649" i="7"/>
  <c r="E2650" i="7"/>
  <c r="E2651" i="7"/>
  <c r="E2652" i="7"/>
  <c r="E2653" i="7"/>
  <c r="E2654" i="7"/>
  <c r="E2655" i="7"/>
  <c r="E2656" i="7"/>
  <c r="E2657" i="7"/>
  <c r="E2658" i="7"/>
  <c r="E2659" i="7"/>
  <c r="E2660" i="7"/>
  <c r="E2661" i="7"/>
  <c r="E2662" i="7"/>
  <c r="E2663" i="7"/>
  <c r="E2664" i="7"/>
  <c r="E2665" i="7"/>
  <c r="E2666" i="7"/>
  <c r="E2667" i="7"/>
  <c r="E2668" i="7"/>
  <c r="E2669" i="7"/>
  <c r="E2670" i="7"/>
  <c r="E2671" i="7"/>
  <c r="E2672" i="7"/>
  <c r="E2673" i="7"/>
  <c r="E2674" i="7"/>
  <c r="E2675" i="7"/>
  <c r="E2676" i="7"/>
  <c r="E2677" i="7"/>
  <c r="E2678" i="7"/>
  <c r="E2679" i="7"/>
  <c r="E2680" i="7"/>
  <c r="E2681" i="7"/>
  <c r="E2682" i="7"/>
  <c r="E2683" i="7"/>
  <c r="E2684" i="7"/>
  <c r="E2685" i="7"/>
  <c r="E2686" i="7"/>
  <c r="E2687" i="7"/>
  <c r="E2688" i="7"/>
  <c r="E2689" i="7"/>
  <c r="E2690" i="7"/>
  <c r="E2691" i="7"/>
  <c r="E2692" i="7"/>
  <c r="E2693" i="7"/>
  <c r="E2694" i="7"/>
  <c r="E2695" i="7"/>
  <c r="E2696" i="7"/>
  <c r="E2697" i="7"/>
  <c r="E2698" i="7"/>
  <c r="E2699" i="7"/>
  <c r="E2700" i="7"/>
  <c r="E2701" i="7"/>
  <c r="E2702" i="7"/>
  <c r="E2703" i="7"/>
  <c r="E2704" i="7"/>
  <c r="E2705" i="7"/>
  <c r="E2706" i="7"/>
  <c r="E2707" i="7"/>
  <c r="E2708" i="7"/>
  <c r="E2709" i="7"/>
  <c r="E2710" i="7"/>
  <c r="E2711" i="7"/>
  <c r="E2712" i="7"/>
  <c r="E2713" i="7"/>
  <c r="E2714" i="7"/>
  <c r="E2715" i="7"/>
  <c r="E2716" i="7"/>
  <c r="E2717" i="7"/>
  <c r="E2718" i="7"/>
  <c r="E2719" i="7"/>
  <c r="E2720" i="7"/>
  <c r="E2721" i="7"/>
  <c r="E2722" i="7"/>
  <c r="E2723" i="7"/>
  <c r="E2724" i="7"/>
  <c r="E2725" i="7"/>
  <c r="E2726" i="7"/>
  <c r="E2727" i="7"/>
  <c r="E2728" i="7"/>
  <c r="E2729" i="7"/>
  <c r="E2730" i="7"/>
  <c r="E2731" i="7"/>
  <c r="E2732" i="7"/>
  <c r="E2733" i="7"/>
  <c r="E2734" i="7"/>
  <c r="E2735" i="7"/>
  <c r="E2736" i="7"/>
  <c r="E2737" i="7"/>
  <c r="E2738" i="7"/>
  <c r="E2739" i="7"/>
  <c r="E2740" i="7"/>
  <c r="E2741" i="7"/>
  <c r="E2742" i="7"/>
  <c r="E2743" i="7"/>
  <c r="E2744" i="7"/>
  <c r="E2745" i="7"/>
  <c r="E2746" i="7"/>
  <c r="E2747" i="7"/>
  <c r="E2748" i="7"/>
  <c r="E2749" i="7"/>
  <c r="E2750" i="7"/>
  <c r="E2751" i="7"/>
  <c r="E2752" i="7"/>
  <c r="E2753" i="7"/>
  <c r="E2754" i="7"/>
  <c r="E2755" i="7"/>
  <c r="E2756" i="7"/>
  <c r="E2757" i="7"/>
  <c r="E2758" i="7"/>
  <c r="E2759" i="7"/>
  <c r="E2760" i="7"/>
  <c r="E2761" i="7"/>
  <c r="E2762" i="7"/>
  <c r="E2763" i="7"/>
  <c r="E2764" i="7"/>
  <c r="E2765" i="7"/>
  <c r="E2766" i="7"/>
  <c r="E2767" i="7"/>
  <c r="E2768" i="7"/>
  <c r="E2769" i="7"/>
  <c r="E2770" i="7"/>
  <c r="E2771" i="7"/>
  <c r="E2772" i="7"/>
  <c r="E2773" i="7"/>
  <c r="E2774" i="7"/>
  <c r="E2775" i="7"/>
  <c r="E2776" i="7"/>
  <c r="E2777" i="7"/>
  <c r="E2778" i="7"/>
  <c r="E2779" i="7"/>
  <c r="E2780" i="7"/>
  <c r="E2781" i="7"/>
  <c r="E2782" i="7"/>
  <c r="E2783" i="7"/>
  <c r="E2784" i="7"/>
  <c r="E2785" i="7"/>
  <c r="E2786" i="7"/>
  <c r="E2787" i="7"/>
  <c r="E2788" i="7"/>
  <c r="E2789" i="7"/>
  <c r="E2790" i="7"/>
  <c r="E2791" i="7"/>
  <c r="E2792" i="7"/>
  <c r="E2793" i="7"/>
  <c r="E2794" i="7"/>
  <c r="E2795" i="7"/>
  <c r="E2796" i="7"/>
  <c r="E2797" i="7"/>
  <c r="E2798" i="7"/>
  <c r="E2799" i="7"/>
  <c r="E2800" i="7"/>
  <c r="E2801" i="7"/>
  <c r="E2802" i="7"/>
  <c r="E2803" i="7"/>
  <c r="E2804" i="7"/>
  <c r="E2805" i="7"/>
  <c r="E2806" i="7"/>
  <c r="E2807" i="7"/>
  <c r="E2808" i="7"/>
  <c r="E2809" i="7"/>
  <c r="E2810" i="7"/>
  <c r="E2811" i="7"/>
  <c r="E2812" i="7"/>
  <c r="E2813" i="7"/>
  <c r="E2814" i="7"/>
  <c r="E2815" i="7"/>
  <c r="E2816" i="7"/>
  <c r="E2817" i="7"/>
  <c r="E2818" i="7"/>
  <c r="E2819" i="7"/>
  <c r="E2820" i="7"/>
  <c r="E2821" i="7"/>
  <c r="E2822" i="7"/>
  <c r="E2823" i="7"/>
  <c r="E2824" i="7"/>
  <c r="E2825" i="7"/>
  <c r="E2826" i="7"/>
  <c r="E2827" i="7"/>
  <c r="E2828" i="7"/>
  <c r="E2829" i="7"/>
  <c r="E2830" i="7"/>
  <c r="E2831" i="7"/>
  <c r="E2832" i="7"/>
  <c r="E2833" i="7"/>
  <c r="E2834" i="7"/>
  <c r="E2835" i="7"/>
  <c r="E2836" i="7"/>
  <c r="E2837" i="7"/>
  <c r="E2838" i="7"/>
  <c r="E2839" i="7"/>
  <c r="E2840" i="7"/>
  <c r="E2841" i="7"/>
  <c r="E2842" i="7"/>
  <c r="E2843" i="7"/>
  <c r="E2844" i="7"/>
  <c r="E2845" i="7"/>
  <c r="E2846" i="7"/>
  <c r="E2847" i="7"/>
  <c r="E2848" i="7"/>
  <c r="E2849" i="7"/>
  <c r="E2850" i="7"/>
  <c r="E2851" i="7"/>
  <c r="E2852" i="7"/>
  <c r="E2853" i="7"/>
  <c r="E2854" i="7"/>
  <c r="E2855" i="7"/>
  <c r="E2856" i="7"/>
  <c r="E2857" i="7"/>
  <c r="E2858" i="7"/>
  <c r="E2859" i="7"/>
  <c r="E2860" i="7"/>
  <c r="E2861" i="7"/>
  <c r="E2862" i="7"/>
  <c r="E2863" i="7"/>
  <c r="E2864" i="7"/>
  <c r="E2865" i="7"/>
  <c r="E2866" i="7"/>
  <c r="E2867" i="7"/>
  <c r="E2868" i="7"/>
  <c r="E2869" i="7"/>
  <c r="E2870" i="7"/>
  <c r="E2871" i="7"/>
  <c r="E2872" i="7"/>
  <c r="E2873" i="7"/>
  <c r="E2874" i="7"/>
  <c r="E2875" i="7"/>
  <c r="E2876" i="7"/>
  <c r="E2877" i="7"/>
  <c r="E2878" i="7"/>
  <c r="E2879" i="7"/>
  <c r="E2880" i="7"/>
  <c r="E2881" i="7"/>
  <c r="E2882" i="7"/>
  <c r="E2883" i="7"/>
  <c r="E2884" i="7"/>
  <c r="E2885" i="7"/>
  <c r="E2886" i="7"/>
  <c r="E2887" i="7"/>
  <c r="E2888" i="7"/>
  <c r="E2889" i="7"/>
  <c r="E2890" i="7"/>
  <c r="E2891" i="7"/>
  <c r="E2892" i="7"/>
  <c r="E2893" i="7"/>
  <c r="E2894" i="7"/>
  <c r="E2895" i="7"/>
  <c r="E2896" i="7"/>
  <c r="E2897" i="7"/>
  <c r="E2898" i="7"/>
  <c r="E2899" i="7"/>
  <c r="E2900" i="7"/>
  <c r="E2901" i="7"/>
  <c r="E2902" i="7"/>
  <c r="E2903" i="7"/>
  <c r="E2904" i="7"/>
  <c r="E2905" i="7"/>
  <c r="E2906" i="7"/>
  <c r="E2907" i="7"/>
  <c r="E2908" i="7"/>
  <c r="E2909" i="7"/>
  <c r="E2910" i="7"/>
  <c r="E2911" i="7"/>
  <c r="E2912" i="7"/>
  <c r="E2913" i="7"/>
  <c r="E2914" i="7"/>
  <c r="E2915" i="7"/>
  <c r="E2916" i="7"/>
  <c r="E2917" i="7"/>
  <c r="E2918" i="7"/>
  <c r="E2919" i="7"/>
  <c r="E2920" i="7"/>
  <c r="E2921" i="7"/>
  <c r="E2922" i="7"/>
  <c r="E2923" i="7"/>
  <c r="E2924" i="7"/>
  <c r="E2925" i="7"/>
  <c r="E2926" i="7"/>
  <c r="E2927" i="7"/>
  <c r="E2928" i="7"/>
  <c r="E2929" i="7"/>
  <c r="E2930" i="7"/>
  <c r="E2931" i="7"/>
  <c r="E2932" i="7"/>
  <c r="E2933" i="7"/>
  <c r="E2934" i="7"/>
  <c r="E2935" i="7"/>
  <c r="E2936" i="7"/>
  <c r="E2937" i="7"/>
  <c r="E2938" i="7"/>
  <c r="E2939" i="7"/>
  <c r="E2940" i="7"/>
  <c r="E2941" i="7"/>
  <c r="E2942" i="7"/>
  <c r="E2943" i="7"/>
  <c r="E2944" i="7"/>
  <c r="E2945" i="7"/>
  <c r="E2946" i="7"/>
  <c r="E2947" i="7"/>
  <c r="E2948" i="7"/>
  <c r="E2949" i="7"/>
  <c r="E2950" i="7"/>
  <c r="E2951" i="7"/>
  <c r="E2952" i="7"/>
  <c r="E2953" i="7"/>
  <c r="E2954" i="7"/>
  <c r="E2955" i="7"/>
  <c r="E2956" i="7"/>
  <c r="E2957" i="7"/>
  <c r="E2958" i="7"/>
  <c r="E2959" i="7"/>
  <c r="E2960" i="7"/>
  <c r="E2961" i="7"/>
  <c r="E2962" i="7"/>
  <c r="E2963" i="7"/>
  <c r="E2964" i="7"/>
  <c r="E2965" i="7"/>
  <c r="E2966" i="7"/>
  <c r="E2967" i="7"/>
  <c r="E2968" i="7"/>
  <c r="E2969" i="7"/>
  <c r="E2970" i="7"/>
  <c r="E2971" i="7"/>
  <c r="E2972" i="7"/>
  <c r="E2973" i="7"/>
  <c r="E2974" i="7"/>
  <c r="E2975" i="7"/>
  <c r="E2976" i="7"/>
  <c r="E2977" i="7"/>
  <c r="E2978" i="7"/>
  <c r="E2979" i="7"/>
  <c r="E2980" i="7"/>
  <c r="E2981" i="7"/>
  <c r="E2982" i="7"/>
  <c r="E2983" i="7"/>
  <c r="E2984" i="7"/>
  <c r="E2985" i="7"/>
  <c r="E2986" i="7"/>
  <c r="E2987" i="7"/>
  <c r="E2988" i="7"/>
  <c r="E2989" i="7"/>
  <c r="E2990" i="7"/>
  <c r="E2991" i="7"/>
  <c r="E2992" i="7"/>
  <c r="E2993" i="7"/>
  <c r="E2994" i="7"/>
  <c r="E2995" i="7"/>
  <c r="E2996" i="7"/>
  <c r="E2997" i="7"/>
  <c r="E2998" i="7"/>
  <c r="E2999" i="7"/>
  <c r="E3000" i="7"/>
  <c r="E3001" i="7"/>
  <c r="E3002" i="7"/>
  <c r="E3003" i="7"/>
  <c r="E3004" i="7"/>
  <c r="E3005" i="7"/>
  <c r="E3006" i="7"/>
  <c r="E3007" i="7"/>
  <c r="E3008" i="7"/>
  <c r="E3009" i="7"/>
  <c r="E3010" i="7"/>
  <c r="E3011" i="7"/>
  <c r="E3012" i="7"/>
  <c r="E3013" i="7"/>
  <c r="E3014" i="7"/>
  <c r="E3015" i="7"/>
  <c r="E3016" i="7"/>
  <c r="E3017" i="7"/>
  <c r="E3018" i="7"/>
  <c r="E3019" i="7"/>
  <c r="E3020" i="7"/>
  <c r="E3021" i="7"/>
  <c r="E3022" i="7"/>
  <c r="E3023" i="7"/>
  <c r="E3024" i="7"/>
  <c r="E3025" i="7"/>
  <c r="E3026" i="7"/>
  <c r="E3027" i="7"/>
  <c r="E3028" i="7"/>
  <c r="E3029" i="7"/>
  <c r="E3030" i="7"/>
  <c r="E3031" i="7"/>
  <c r="E3032" i="7"/>
  <c r="E3033" i="7"/>
  <c r="E3034" i="7"/>
  <c r="E3035" i="7"/>
  <c r="E3036" i="7"/>
  <c r="E3037" i="7"/>
  <c r="E3038" i="7"/>
  <c r="E3039" i="7"/>
  <c r="E3040" i="7"/>
  <c r="E3041" i="7"/>
  <c r="E3042" i="7"/>
  <c r="E3043" i="7"/>
  <c r="E3044" i="7"/>
  <c r="E3045" i="7"/>
  <c r="E3046" i="7"/>
  <c r="E3047" i="7"/>
  <c r="E3048" i="7"/>
  <c r="E3049" i="7"/>
  <c r="E3050" i="7"/>
  <c r="E3051" i="7"/>
  <c r="E3052" i="7"/>
  <c r="E3053" i="7"/>
  <c r="E3054" i="7"/>
  <c r="E3055" i="7"/>
  <c r="E3056" i="7"/>
  <c r="E3057" i="7"/>
  <c r="E3058" i="7"/>
  <c r="E3059" i="7"/>
  <c r="E3060" i="7"/>
  <c r="E3061" i="7"/>
  <c r="E3062" i="7"/>
  <c r="E3063" i="7"/>
  <c r="E3064" i="7"/>
  <c r="E3065" i="7"/>
  <c r="E3066" i="7"/>
  <c r="E3067" i="7"/>
  <c r="E3068" i="7"/>
  <c r="E3069" i="7"/>
  <c r="E3070" i="7"/>
  <c r="E3071" i="7"/>
  <c r="E3072" i="7"/>
  <c r="E3073" i="7"/>
  <c r="E3074" i="7"/>
  <c r="E3075" i="7"/>
  <c r="E3076" i="7"/>
  <c r="E3077" i="7"/>
  <c r="E3078" i="7"/>
  <c r="E3079" i="7"/>
  <c r="E3080" i="7"/>
  <c r="E3081" i="7"/>
  <c r="E3082" i="7"/>
  <c r="E3083" i="7"/>
  <c r="E3084" i="7"/>
  <c r="E3085" i="7"/>
  <c r="E3086" i="7"/>
  <c r="E3087" i="7"/>
  <c r="E3088" i="7"/>
  <c r="E3089" i="7"/>
  <c r="E3090" i="7"/>
  <c r="E3091" i="7"/>
  <c r="E3092" i="7"/>
  <c r="E3093" i="7"/>
  <c r="E3094" i="7"/>
  <c r="E3095" i="7"/>
  <c r="E3096" i="7"/>
  <c r="E3097" i="7"/>
  <c r="E3098" i="7"/>
  <c r="E3099" i="7"/>
  <c r="E3100" i="7"/>
  <c r="E3101" i="7"/>
  <c r="E3102" i="7"/>
  <c r="E3103" i="7"/>
  <c r="E3104" i="7"/>
  <c r="E3105" i="7"/>
  <c r="E3106" i="7"/>
  <c r="E3107" i="7"/>
  <c r="E3108" i="7"/>
  <c r="E3109" i="7"/>
  <c r="E3110" i="7"/>
  <c r="E3111" i="7"/>
  <c r="E3112" i="7"/>
  <c r="E3113" i="7"/>
  <c r="E3114" i="7"/>
  <c r="E3115" i="7"/>
  <c r="E3116" i="7"/>
  <c r="E3117" i="7"/>
  <c r="E3118" i="7"/>
  <c r="E3119" i="7"/>
  <c r="E3120" i="7"/>
  <c r="E3121" i="7"/>
  <c r="E3122" i="7"/>
  <c r="E3123" i="7"/>
  <c r="E3124" i="7"/>
  <c r="E3125" i="7"/>
  <c r="E3126" i="7"/>
  <c r="E3127" i="7"/>
  <c r="E3128" i="7"/>
  <c r="E3129" i="7"/>
  <c r="E3130" i="7"/>
  <c r="E3131" i="7"/>
  <c r="E3132" i="7"/>
  <c r="E3133" i="7"/>
  <c r="E3134" i="7"/>
  <c r="E3135" i="7"/>
  <c r="E3136" i="7"/>
  <c r="E3137" i="7"/>
  <c r="E3138" i="7"/>
  <c r="E3139" i="7"/>
  <c r="E3140" i="7"/>
  <c r="E3141" i="7"/>
  <c r="E3142" i="7"/>
  <c r="E3143" i="7"/>
  <c r="E3144" i="7"/>
  <c r="E3145" i="7"/>
  <c r="E3146" i="7"/>
  <c r="E3147" i="7"/>
  <c r="E3148" i="7"/>
  <c r="E3149" i="7"/>
  <c r="E3150" i="7"/>
  <c r="E3151" i="7"/>
  <c r="E3152" i="7"/>
  <c r="E3153" i="7"/>
  <c r="E3154" i="7"/>
  <c r="E3155" i="7"/>
  <c r="E3156" i="7"/>
  <c r="E3157" i="7"/>
  <c r="E3158" i="7"/>
  <c r="E3159" i="7"/>
  <c r="E3160" i="7"/>
  <c r="E3161" i="7"/>
  <c r="E3162" i="7"/>
  <c r="E3163" i="7"/>
  <c r="E3164" i="7"/>
  <c r="E3165" i="7"/>
  <c r="E3166" i="7"/>
  <c r="E3167" i="7"/>
  <c r="E3168" i="7"/>
  <c r="E3169" i="7"/>
  <c r="E3170" i="7"/>
  <c r="E3171" i="7"/>
  <c r="E3172" i="7"/>
  <c r="E3173" i="7"/>
  <c r="E3174" i="7"/>
  <c r="E3175" i="7"/>
  <c r="E3176" i="7"/>
  <c r="G3176" i="7" s="1"/>
  <c r="E3177" i="7"/>
  <c r="G3177" i="7" s="1"/>
  <c r="E3178" i="7"/>
  <c r="G3178" i="7" s="1"/>
  <c r="E3179" i="7"/>
  <c r="E3180" i="7"/>
  <c r="E3181" i="7"/>
  <c r="E3182" i="7"/>
  <c r="E3183" i="7"/>
  <c r="E3184" i="7"/>
  <c r="E3185" i="7"/>
  <c r="E3186" i="7"/>
  <c r="E3187" i="7"/>
  <c r="E3188" i="7"/>
  <c r="E3189" i="7"/>
  <c r="E3190" i="7"/>
  <c r="E3191" i="7"/>
  <c r="E3192" i="7"/>
  <c r="E3193" i="7"/>
  <c r="E3194" i="7"/>
  <c r="E3195" i="7"/>
  <c r="E3196" i="7"/>
  <c r="E3197" i="7"/>
  <c r="E3198" i="7"/>
  <c r="E3199" i="7"/>
  <c r="E3200" i="7"/>
  <c r="E3201" i="7"/>
  <c r="E3202" i="7"/>
  <c r="E3203" i="7"/>
  <c r="E3204" i="7"/>
  <c r="E3205" i="7"/>
  <c r="E3206" i="7"/>
  <c r="E3207" i="7"/>
  <c r="E3208" i="7"/>
  <c r="E3209" i="7"/>
  <c r="E3210" i="7"/>
  <c r="E3211" i="7"/>
  <c r="E3212" i="7"/>
  <c r="E3213" i="7"/>
  <c r="E3214" i="7"/>
  <c r="E3215" i="7"/>
  <c r="E3216" i="7"/>
  <c r="E3217" i="7"/>
  <c r="E3218" i="7"/>
  <c r="E3219" i="7"/>
  <c r="E3220" i="7"/>
  <c r="E3221" i="7"/>
  <c r="E3222" i="7"/>
  <c r="E3223" i="7"/>
  <c r="E3224" i="7"/>
  <c r="E3225" i="7"/>
  <c r="E3226" i="7"/>
  <c r="E3227" i="7"/>
  <c r="E3228" i="7"/>
  <c r="E3229" i="7"/>
  <c r="E3230" i="7"/>
  <c r="E3231" i="7"/>
  <c r="E3232" i="7"/>
  <c r="E3233" i="7"/>
  <c r="E3234" i="7"/>
  <c r="E3235" i="7"/>
  <c r="E3236" i="7"/>
  <c r="E3237" i="7"/>
  <c r="E3238" i="7"/>
  <c r="E3239" i="7"/>
  <c r="E3240" i="7"/>
  <c r="E3241" i="7"/>
  <c r="E3242" i="7"/>
  <c r="E3243" i="7"/>
  <c r="E3244" i="7"/>
  <c r="E3245" i="7"/>
  <c r="E3246" i="7"/>
  <c r="E3247" i="7"/>
  <c r="E3248" i="7"/>
  <c r="E3249" i="7"/>
  <c r="E3250" i="7"/>
  <c r="E3251" i="7"/>
  <c r="E3252" i="7"/>
  <c r="E3253" i="7"/>
  <c r="E3254" i="7"/>
  <c r="E3255" i="7"/>
  <c r="E3256" i="7"/>
  <c r="E3257" i="7"/>
  <c r="E3258" i="7"/>
  <c r="E3259" i="7"/>
  <c r="E3260" i="7"/>
  <c r="E3261" i="7"/>
  <c r="E3262" i="7"/>
  <c r="E3263" i="7"/>
  <c r="E3264" i="7"/>
  <c r="E3265" i="7"/>
  <c r="E3266" i="7"/>
  <c r="E3267" i="7"/>
  <c r="E3268" i="7"/>
  <c r="E3269" i="7"/>
  <c r="E3270" i="7"/>
  <c r="E3271" i="7"/>
  <c r="E3272" i="7"/>
  <c r="E3273" i="7"/>
  <c r="E3274" i="7"/>
  <c r="E3275" i="7"/>
  <c r="E3276" i="7"/>
  <c r="E3277" i="7"/>
  <c r="E3278" i="7"/>
  <c r="E3279" i="7"/>
  <c r="E3280" i="7"/>
  <c r="E3281" i="7"/>
  <c r="E3282" i="7"/>
  <c r="E3283" i="7"/>
  <c r="E3284" i="7"/>
  <c r="E3285" i="7"/>
  <c r="E3286" i="7"/>
  <c r="E3287" i="7"/>
  <c r="E3288" i="7"/>
  <c r="E3289" i="7"/>
  <c r="E3290" i="7"/>
  <c r="E3291" i="7"/>
  <c r="E3292" i="7"/>
  <c r="E3293" i="7"/>
  <c r="E3294" i="7"/>
  <c r="E3295" i="7"/>
  <c r="E3296" i="7"/>
  <c r="E3297" i="7"/>
  <c r="E3298" i="7"/>
  <c r="E3299" i="7"/>
  <c r="E3300" i="7"/>
  <c r="E3301" i="7"/>
  <c r="E3302" i="7"/>
  <c r="E3303" i="7"/>
  <c r="E3304" i="7"/>
  <c r="E3305" i="7"/>
  <c r="E3306" i="7"/>
  <c r="E3307" i="7"/>
  <c r="E3308" i="7"/>
  <c r="E3309" i="7"/>
  <c r="E3310" i="7"/>
  <c r="E3311" i="7"/>
  <c r="E3312" i="7"/>
  <c r="E3313" i="7"/>
  <c r="E3314" i="7"/>
  <c r="E3315" i="7"/>
  <c r="E3316" i="7"/>
  <c r="E3317" i="7"/>
  <c r="E3318" i="7"/>
  <c r="E3319" i="7"/>
  <c r="E3320" i="7"/>
  <c r="E3321" i="7"/>
  <c r="E3322" i="7"/>
  <c r="E3323" i="7"/>
  <c r="E3324" i="7"/>
  <c r="E3325" i="7"/>
  <c r="E3326" i="7"/>
  <c r="E3327" i="7"/>
  <c r="E3328" i="7"/>
  <c r="E3329" i="7"/>
  <c r="E3330" i="7"/>
  <c r="E3331" i="7"/>
  <c r="E3332" i="7"/>
  <c r="E3333" i="7"/>
  <c r="E3334" i="7"/>
  <c r="E3335" i="7"/>
  <c r="E3336" i="7"/>
  <c r="E3337" i="7"/>
  <c r="E3338" i="7"/>
  <c r="E3339" i="7"/>
  <c r="E3340" i="7"/>
  <c r="E3341" i="7"/>
  <c r="E3342" i="7"/>
  <c r="E3343" i="7"/>
  <c r="E3344" i="7"/>
  <c r="E3345" i="7"/>
  <c r="E3346" i="7"/>
  <c r="E3347" i="7"/>
  <c r="E3348" i="7"/>
  <c r="E3349" i="7"/>
  <c r="E3350" i="7"/>
  <c r="E3351" i="7"/>
  <c r="E3352" i="7"/>
  <c r="E3353" i="7"/>
  <c r="E3354" i="7"/>
  <c r="E3355" i="7"/>
  <c r="E3356" i="7"/>
  <c r="E3357" i="7"/>
  <c r="E3358" i="7"/>
  <c r="E3359" i="7"/>
  <c r="E3360" i="7"/>
  <c r="E3361" i="7"/>
  <c r="E3362" i="7"/>
  <c r="E3363" i="7"/>
  <c r="E3364" i="7"/>
  <c r="E3365" i="7"/>
  <c r="E3366" i="7"/>
  <c r="E3367" i="7"/>
  <c r="E3368" i="7"/>
  <c r="E3369" i="7"/>
  <c r="E3370" i="7"/>
  <c r="E3371" i="7"/>
  <c r="E3372" i="7"/>
  <c r="E3373" i="7"/>
  <c r="E3374" i="7"/>
  <c r="E3375" i="7"/>
  <c r="E3376" i="7"/>
  <c r="E3377" i="7"/>
  <c r="E3378" i="7"/>
  <c r="E3379" i="7"/>
  <c r="E3380" i="7"/>
  <c r="E3381" i="7"/>
  <c r="E3382" i="7"/>
  <c r="E3383" i="7"/>
  <c r="E3384" i="7"/>
  <c r="E3385" i="7"/>
  <c r="E3386" i="7"/>
  <c r="E3387" i="7"/>
  <c r="E3388" i="7"/>
  <c r="E3389" i="7"/>
  <c r="E3390" i="7"/>
  <c r="E3391" i="7"/>
  <c r="E3392" i="7"/>
  <c r="E3393" i="7"/>
  <c r="E3394" i="7"/>
  <c r="E3395" i="7"/>
  <c r="E3396" i="7"/>
  <c r="E3397" i="7"/>
  <c r="E3398" i="7"/>
  <c r="E3399" i="7"/>
  <c r="E3400" i="7"/>
  <c r="E3401" i="7"/>
  <c r="E3402" i="7"/>
  <c r="E3403" i="7"/>
  <c r="E3404" i="7"/>
  <c r="E3405" i="7"/>
  <c r="E3406" i="7"/>
  <c r="E3407" i="7"/>
  <c r="E3408" i="7"/>
  <c r="E3409" i="7"/>
  <c r="E3410" i="7"/>
  <c r="E3411" i="7"/>
  <c r="E3412" i="7"/>
  <c r="E3413" i="7"/>
  <c r="E3414" i="7"/>
  <c r="E3415" i="7"/>
  <c r="E3416" i="7"/>
  <c r="E3417" i="7"/>
  <c r="E3418" i="7"/>
  <c r="E3419" i="7"/>
  <c r="E3420" i="7"/>
  <c r="E3421" i="7"/>
  <c r="E3422" i="7"/>
  <c r="E3423" i="7"/>
  <c r="E3424" i="7"/>
  <c r="E3425" i="7"/>
  <c r="E3426" i="7"/>
  <c r="E3427" i="7"/>
  <c r="E3428" i="7"/>
  <c r="E3429" i="7"/>
  <c r="E3430" i="7"/>
  <c r="E3431" i="7"/>
  <c r="E3432" i="7"/>
  <c r="E3433" i="7"/>
  <c r="E2147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468" i="7"/>
  <c r="A2469" i="7"/>
  <c r="A2470" i="7"/>
  <c r="A2471" i="7"/>
  <c r="A2472" i="7"/>
  <c r="A2473" i="7"/>
  <c r="A2474" i="7"/>
  <c r="A2475" i="7"/>
  <c r="A2476" i="7"/>
  <c r="A2477" i="7"/>
  <c r="A2478" i="7"/>
  <c r="A2479" i="7"/>
  <c r="A2480" i="7"/>
  <c r="A2481" i="7"/>
  <c r="A2482" i="7"/>
  <c r="A2483" i="7"/>
  <c r="A2484" i="7"/>
  <c r="A2485" i="7"/>
  <c r="A2486" i="7"/>
  <c r="A2487" i="7"/>
  <c r="A2488" i="7"/>
  <c r="A2489" i="7"/>
  <c r="A2490" i="7"/>
  <c r="A2491" i="7"/>
  <c r="A2492" i="7"/>
  <c r="A2493" i="7"/>
  <c r="A2494" i="7"/>
  <c r="A2495" i="7"/>
  <c r="A2496" i="7"/>
  <c r="A2497" i="7"/>
  <c r="A2498" i="7"/>
  <c r="A2499" i="7"/>
  <c r="A2500" i="7"/>
  <c r="A2501" i="7"/>
  <c r="A2502" i="7"/>
  <c r="A2503" i="7"/>
  <c r="A2504" i="7"/>
  <c r="A2505" i="7"/>
  <c r="A2506" i="7"/>
  <c r="A2507" i="7"/>
  <c r="A2508" i="7"/>
  <c r="A2509" i="7"/>
  <c r="A2510" i="7"/>
  <c r="A2511" i="7"/>
  <c r="A2512" i="7"/>
  <c r="A2513" i="7"/>
  <c r="A2514" i="7"/>
  <c r="A2515" i="7"/>
  <c r="A2516" i="7"/>
  <c r="A2517" i="7"/>
  <c r="A2518" i="7"/>
  <c r="A2519" i="7"/>
  <c r="A2520" i="7"/>
  <c r="A2521" i="7"/>
  <c r="A2522" i="7"/>
  <c r="A2523" i="7"/>
  <c r="A2524" i="7"/>
  <c r="A2525" i="7"/>
  <c r="A2526" i="7"/>
  <c r="A2527" i="7"/>
  <c r="A2528" i="7"/>
  <c r="A2529" i="7"/>
  <c r="A2530" i="7"/>
  <c r="A2531" i="7"/>
  <c r="A2532" i="7"/>
  <c r="A2533" i="7"/>
  <c r="A2534" i="7"/>
  <c r="A2535" i="7"/>
  <c r="A2536" i="7"/>
  <c r="A2537" i="7"/>
  <c r="A2538" i="7"/>
  <c r="A2539" i="7"/>
  <c r="A2540" i="7"/>
  <c r="A2541" i="7"/>
  <c r="A2542" i="7"/>
  <c r="A2543" i="7"/>
  <c r="A2544" i="7"/>
  <c r="A2545" i="7"/>
  <c r="A2546" i="7"/>
  <c r="A2547" i="7"/>
  <c r="A2548" i="7"/>
  <c r="A2549" i="7"/>
  <c r="A2550" i="7"/>
  <c r="A2551" i="7"/>
  <c r="A2552" i="7"/>
  <c r="A2553" i="7"/>
  <c r="A2554" i="7"/>
  <c r="A2555" i="7"/>
  <c r="A2556" i="7"/>
  <c r="A2557" i="7"/>
  <c r="A2558" i="7"/>
  <c r="A2559" i="7"/>
  <c r="A2560" i="7"/>
  <c r="A2561" i="7"/>
  <c r="A2562" i="7"/>
  <c r="A2563" i="7"/>
  <c r="A2564" i="7"/>
  <c r="A2565" i="7"/>
  <c r="A2566" i="7"/>
  <c r="A2567" i="7"/>
  <c r="A2568" i="7"/>
  <c r="A2569" i="7"/>
  <c r="A2570" i="7"/>
  <c r="A2571" i="7"/>
  <c r="A2572" i="7"/>
  <c r="A2573" i="7"/>
  <c r="A2574" i="7"/>
  <c r="A2575" i="7"/>
  <c r="A2576" i="7"/>
  <c r="A2577" i="7"/>
  <c r="A2578" i="7"/>
  <c r="A2579" i="7"/>
  <c r="A2580" i="7"/>
  <c r="A2581" i="7"/>
  <c r="A2582" i="7"/>
  <c r="A2583" i="7"/>
  <c r="A2584" i="7"/>
  <c r="A2585" i="7"/>
  <c r="A2586" i="7"/>
  <c r="A2587" i="7"/>
  <c r="A2588" i="7"/>
  <c r="A2589" i="7"/>
  <c r="A2590" i="7"/>
  <c r="A2591" i="7"/>
  <c r="A2592" i="7"/>
  <c r="A2593" i="7"/>
  <c r="A2594" i="7"/>
  <c r="A2595" i="7"/>
  <c r="A2596" i="7"/>
  <c r="A2597" i="7"/>
  <c r="A2598" i="7"/>
  <c r="A2599" i="7"/>
  <c r="A2600" i="7"/>
  <c r="A2601" i="7"/>
  <c r="A2602" i="7"/>
  <c r="A2603" i="7"/>
  <c r="A2604" i="7"/>
  <c r="A2605" i="7"/>
  <c r="A2606" i="7"/>
  <c r="A2607" i="7"/>
  <c r="A2608" i="7"/>
  <c r="A2609" i="7"/>
  <c r="A2610" i="7"/>
  <c r="A2611" i="7"/>
  <c r="A2612" i="7"/>
  <c r="A2613" i="7"/>
  <c r="A2614" i="7"/>
  <c r="A2615" i="7"/>
  <c r="A2616" i="7"/>
  <c r="A2617" i="7"/>
  <c r="A2618" i="7"/>
  <c r="A2619" i="7"/>
  <c r="A2620" i="7"/>
  <c r="A2621" i="7"/>
  <c r="A2622" i="7"/>
  <c r="A2623" i="7"/>
  <c r="A2624" i="7"/>
  <c r="A2625" i="7"/>
  <c r="A2626" i="7"/>
  <c r="A2627" i="7"/>
  <c r="A2628" i="7"/>
  <c r="A2629" i="7"/>
  <c r="A2630" i="7"/>
  <c r="A2631" i="7"/>
  <c r="A2632" i="7"/>
  <c r="A2633" i="7"/>
  <c r="A2634" i="7"/>
  <c r="A2635" i="7"/>
  <c r="A2636" i="7"/>
  <c r="A2637" i="7"/>
  <c r="A2638" i="7"/>
  <c r="A2639" i="7"/>
  <c r="A2640" i="7"/>
  <c r="A2641" i="7"/>
  <c r="A2642" i="7"/>
  <c r="A2643" i="7"/>
  <c r="A2644" i="7"/>
  <c r="A2645" i="7"/>
  <c r="A2646" i="7"/>
  <c r="A2647" i="7"/>
  <c r="A2648" i="7"/>
  <c r="A2649" i="7"/>
  <c r="A2650" i="7"/>
  <c r="A2651" i="7"/>
  <c r="A2652" i="7"/>
  <c r="A2653" i="7"/>
  <c r="A2654" i="7"/>
  <c r="A2655" i="7"/>
  <c r="A2656" i="7"/>
  <c r="A2657" i="7"/>
  <c r="A2658" i="7"/>
  <c r="A2659" i="7"/>
  <c r="A2660" i="7"/>
  <c r="A2661" i="7"/>
  <c r="A2662" i="7"/>
  <c r="A2663" i="7"/>
  <c r="A2664" i="7"/>
  <c r="A2665" i="7"/>
  <c r="A2666" i="7"/>
  <c r="A2667" i="7"/>
  <c r="A2668" i="7"/>
  <c r="A2669" i="7"/>
  <c r="A2670" i="7"/>
  <c r="A2671" i="7"/>
  <c r="A2672" i="7"/>
  <c r="A2673" i="7"/>
  <c r="A2674" i="7"/>
  <c r="A2675" i="7"/>
  <c r="A2676" i="7"/>
  <c r="A2677" i="7"/>
  <c r="A2678" i="7"/>
  <c r="A2679" i="7"/>
  <c r="A2680" i="7"/>
  <c r="A2681" i="7"/>
  <c r="A2682" i="7"/>
  <c r="A2683" i="7"/>
  <c r="A2684" i="7"/>
  <c r="A2685" i="7"/>
  <c r="A2686" i="7"/>
  <c r="A2687" i="7"/>
  <c r="A2688" i="7"/>
  <c r="A2689" i="7"/>
  <c r="A2690" i="7"/>
  <c r="A2691" i="7"/>
  <c r="A2692" i="7"/>
  <c r="A2693" i="7"/>
  <c r="A2694" i="7"/>
  <c r="A2695" i="7"/>
  <c r="A2696" i="7"/>
  <c r="A2697" i="7"/>
  <c r="A2698" i="7"/>
  <c r="A2699" i="7"/>
  <c r="A2700" i="7"/>
  <c r="A2701" i="7"/>
  <c r="A2702" i="7"/>
  <c r="A2703" i="7"/>
  <c r="A2704" i="7"/>
  <c r="A2705" i="7"/>
  <c r="A2706" i="7"/>
  <c r="A2707" i="7"/>
  <c r="A2708" i="7"/>
  <c r="A2709" i="7"/>
  <c r="A2710" i="7"/>
  <c r="A2711" i="7"/>
  <c r="A2712" i="7"/>
  <c r="A2713" i="7"/>
  <c r="A2714" i="7"/>
  <c r="A2715" i="7"/>
  <c r="A2716" i="7"/>
  <c r="A2717" i="7"/>
  <c r="A2718" i="7"/>
  <c r="A2719" i="7"/>
  <c r="A2720" i="7"/>
  <c r="A2721" i="7"/>
  <c r="A2722" i="7"/>
  <c r="A2723" i="7"/>
  <c r="A2724" i="7"/>
  <c r="A2725" i="7"/>
  <c r="A2726" i="7"/>
  <c r="A2727" i="7"/>
  <c r="A2728" i="7"/>
  <c r="A2729" i="7"/>
  <c r="A2730" i="7"/>
  <c r="A2731" i="7"/>
  <c r="A2732" i="7"/>
  <c r="A2733" i="7"/>
  <c r="A2734" i="7"/>
  <c r="A2735" i="7"/>
  <c r="A2736" i="7"/>
  <c r="A2737" i="7"/>
  <c r="A2738" i="7"/>
  <c r="A2739" i="7"/>
  <c r="A2740" i="7"/>
  <c r="A2741" i="7"/>
  <c r="A2742" i="7"/>
  <c r="A2743" i="7"/>
  <c r="A2744" i="7"/>
  <c r="A2745" i="7"/>
  <c r="A2746" i="7"/>
  <c r="A2747" i="7"/>
  <c r="A2748" i="7"/>
  <c r="A2749" i="7"/>
  <c r="A2750" i="7"/>
  <c r="A2751" i="7"/>
  <c r="A2752" i="7"/>
  <c r="A2753" i="7"/>
  <c r="A2754" i="7"/>
  <c r="A2755" i="7"/>
  <c r="A2756" i="7"/>
  <c r="A2757" i="7"/>
  <c r="A2758" i="7"/>
  <c r="A2759" i="7"/>
  <c r="A2760" i="7"/>
  <c r="A2761" i="7"/>
  <c r="A2762" i="7"/>
  <c r="A2763" i="7"/>
  <c r="A2764" i="7"/>
  <c r="A2765" i="7"/>
  <c r="A2766" i="7"/>
  <c r="A2767" i="7"/>
  <c r="A2768" i="7"/>
  <c r="A2769" i="7"/>
  <c r="A2770" i="7"/>
  <c r="A2771" i="7"/>
  <c r="A2772" i="7"/>
  <c r="A2773" i="7"/>
  <c r="A2774" i="7"/>
  <c r="A2775" i="7"/>
  <c r="A2776" i="7"/>
  <c r="A2777" i="7"/>
  <c r="A2778" i="7"/>
  <c r="A2779" i="7"/>
  <c r="A2780" i="7"/>
  <c r="A2781" i="7"/>
  <c r="A2782" i="7"/>
  <c r="A2783" i="7"/>
  <c r="A2784" i="7"/>
  <c r="A2785" i="7"/>
  <c r="A2786" i="7"/>
  <c r="A2787" i="7"/>
  <c r="A2788" i="7"/>
  <c r="A2789" i="7"/>
  <c r="A2790" i="7"/>
  <c r="A2791" i="7"/>
  <c r="A2792" i="7"/>
  <c r="A2793" i="7"/>
  <c r="A2794" i="7"/>
  <c r="A2795" i="7"/>
  <c r="A2796" i="7"/>
  <c r="A2797" i="7"/>
  <c r="A2798" i="7"/>
  <c r="A2799" i="7"/>
  <c r="A2800" i="7"/>
  <c r="A2801" i="7"/>
  <c r="A2802" i="7"/>
  <c r="A2803" i="7"/>
  <c r="A2804" i="7"/>
  <c r="A2805" i="7"/>
  <c r="A2806" i="7"/>
  <c r="A2807" i="7"/>
  <c r="A2808" i="7"/>
  <c r="A2809" i="7"/>
  <c r="A2810" i="7"/>
  <c r="A2811" i="7"/>
  <c r="A2812" i="7"/>
  <c r="A2813" i="7"/>
  <c r="A2814" i="7"/>
  <c r="A2815" i="7"/>
  <c r="A2816" i="7"/>
  <c r="A2817" i="7"/>
  <c r="A2818" i="7"/>
  <c r="A2819" i="7"/>
  <c r="A2820" i="7"/>
  <c r="A2821" i="7"/>
  <c r="A2822" i="7"/>
  <c r="A2823" i="7"/>
  <c r="A2824" i="7"/>
  <c r="A2825" i="7"/>
  <c r="A2826" i="7"/>
  <c r="A2827" i="7"/>
  <c r="A2828" i="7"/>
  <c r="A2829" i="7"/>
  <c r="A2830" i="7"/>
  <c r="A2831" i="7"/>
  <c r="A2832" i="7"/>
  <c r="A2833" i="7"/>
  <c r="A2834" i="7"/>
  <c r="A2835" i="7"/>
  <c r="A2836" i="7"/>
  <c r="A2837" i="7"/>
  <c r="A2838" i="7"/>
  <c r="A2839" i="7"/>
  <c r="A2840" i="7"/>
  <c r="A2841" i="7"/>
  <c r="A2842" i="7"/>
  <c r="A2843" i="7"/>
  <c r="A2844" i="7"/>
  <c r="A2845" i="7"/>
  <c r="A2846" i="7"/>
  <c r="A2847" i="7"/>
  <c r="A2848" i="7"/>
  <c r="A2849" i="7"/>
  <c r="A2850" i="7"/>
  <c r="A2851" i="7"/>
  <c r="A2852" i="7"/>
  <c r="A2853" i="7"/>
  <c r="A2854" i="7"/>
  <c r="A2855" i="7"/>
  <c r="A2856" i="7"/>
  <c r="A2857" i="7"/>
  <c r="A2858" i="7"/>
  <c r="A2859" i="7"/>
  <c r="A2860" i="7"/>
  <c r="A2861" i="7"/>
  <c r="A2862" i="7"/>
  <c r="A2863" i="7"/>
  <c r="A2864" i="7"/>
  <c r="A2865" i="7"/>
  <c r="A2866" i="7"/>
  <c r="A2867" i="7"/>
  <c r="A2868" i="7"/>
  <c r="A2869" i="7"/>
  <c r="A2870" i="7"/>
  <c r="A2871" i="7"/>
  <c r="A2872" i="7"/>
  <c r="A2873" i="7"/>
  <c r="A2874" i="7"/>
  <c r="A2875" i="7"/>
  <c r="A2876" i="7"/>
  <c r="A2877" i="7"/>
  <c r="A2878" i="7"/>
  <c r="A2879" i="7"/>
  <c r="A2880" i="7"/>
  <c r="A2881" i="7"/>
  <c r="A2882" i="7"/>
  <c r="A2883" i="7"/>
  <c r="A2884" i="7"/>
  <c r="A2885" i="7"/>
  <c r="A2886" i="7"/>
  <c r="A2887" i="7"/>
  <c r="A2888" i="7"/>
  <c r="A2889" i="7"/>
  <c r="A2890" i="7"/>
  <c r="A2891" i="7"/>
  <c r="A2892" i="7"/>
  <c r="A2893" i="7"/>
  <c r="A2894" i="7"/>
  <c r="A2895" i="7"/>
  <c r="A2896" i="7"/>
  <c r="A2897" i="7"/>
  <c r="A2898" i="7"/>
  <c r="A2899" i="7"/>
  <c r="A2900" i="7"/>
  <c r="A2901" i="7"/>
  <c r="A2902" i="7"/>
  <c r="A2903" i="7"/>
  <c r="A2904" i="7"/>
  <c r="A2905" i="7"/>
  <c r="A2906" i="7"/>
  <c r="A2907" i="7"/>
  <c r="A2908" i="7"/>
  <c r="A2909" i="7"/>
  <c r="A2910" i="7"/>
  <c r="A2911" i="7"/>
  <c r="A2912" i="7"/>
  <c r="A2913" i="7"/>
  <c r="A2914" i="7"/>
  <c r="A2915" i="7"/>
  <c r="A2916" i="7"/>
  <c r="A2917" i="7"/>
  <c r="A2918" i="7"/>
  <c r="A2919" i="7"/>
  <c r="A2920" i="7"/>
  <c r="A2921" i="7"/>
  <c r="A2922" i="7"/>
  <c r="A2923" i="7"/>
  <c r="A2924" i="7"/>
  <c r="A2925" i="7"/>
  <c r="A2926" i="7"/>
  <c r="A2927" i="7"/>
  <c r="A2928" i="7"/>
  <c r="A2929" i="7"/>
  <c r="A2930" i="7"/>
  <c r="A2931" i="7"/>
  <c r="A2932" i="7"/>
  <c r="A2933" i="7"/>
  <c r="A2934" i="7"/>
  <c r="A2935" i="7"/>
  <c r="A2936" i="7"/>
  <c r="A2937" i="7"/>
  <c r="A2938" i="7"/>
  <c r="A2939" i="7"/>
  <c r="A2940" i="7"/>
  <c r="A2941" i="7"/>
  <c r="A2942" i="7"/>
  <c r="A2943" i="7"/>
  <c r="A2944" i="7"/>
  <c r="A2945" i="7"/>
  <c r="A2946" i="7"/>
  <c r="A2947" i="7"/>
  <c r="A2948" i="7"/>
  <c r="A2949" i="7"/>
  <c r="A2950" i="7"/>
  <c r="A2951" i="7"/>
  <c r="A2952" i="7"/>
  <c r="A2953" i="7"/>
  <c r="A2954" i="7"/>
  <c r="A2955" i="7"/>
  <c r="A2956" i="7"/>
  <c r="A2957" i="7"/>
  <c r="A2958" i="7"/>
  <c r="A2959" i="7"/>
  <c r="A2960" i="7"/>
  <c r="A2961" i="7"/>
  <c r="A2962" i="7"/>
  <c r="A2963" i="7"/>
  <c r="A2964" i="7"/>
  <c r="A2965" i="7"/>
  <c r="A2966" i="7"/>
  <c r="A2967" i="7"/>
  <c r="A2968" i="7"/>
  <c r="A2969" i="7"/>
  <c r="A2970" i="7"/>
  <c r="A2971" i="7"/>
  <c r="A2972" i="7"/>
  <c r="A2973" i="7"/>
  <c r="A2974" i="7"/>
  <c r="A2975" i="7"/>
  <c r="A2976" i="7"/>
  <c r="A2977" i="7"/>
  <c r="A2978" i="7"/>
  <c r="A2979" i="7"/>
  <c r="A2980" i="7"/>
  <c r="A2981" i="7"/>
  <c r="A2982" i="7"/>
  <c r="A2983" i="7"/>
  <c r="A2984" i="7"/>
  <c r="A2985" i="7"/>
  <c r="A2986" i="7"/>
  <c r="A2987" i="7"/>
  <c r="A2988" i="7"/>
  <c r="A2989" i="7"/>
  <c r="A2990" i="7"/>
  <c r="A2991" i="7"/>
  <c r="A2992" i="7"/>
  <c r="A2993" i="7"/>
  <c r="A2994" i="7"/>
  <c r="A2995" i="7"/>
  <c r="A2996" i="7"/>
  <c r="A2997" i="7"/>
  <c r="A2998" i="7"/>
  <c r="A2999" i="7"/>
  <c r="A3000" i="7"/>
  <c r="A3001" i="7"/>
  <c r="A3002" i="7"/>
  <c r="A3003" i="7"/>
  <c r="A3004" i="7"/>
  <c r="A3005" i="7"/>
  <c r="A3006" i="7"/>
  <c r="A3007" i="7"/>
  <c r="A3008" i="7"/>
  <c r="A3009" i="7"/>
  <c r="A3010" i="7"/>
  <c r="A3011" i="7"/>
  <c r="A3012" i="7"/>
  <c r="A3013" i="7"/>
  <c r="A3014" i="7"/>
  <c r="A3015" i="7"/>
  <c r="A3016" i="7"/>
  <c r="A3017" i="7"/>
  <c r="A3018" i="7"/>
  <c r="A3019" i="7"/>
  <c r="A3020" i="7"/>
  <c r="A3021" i="7"/>
  <c r="A3022" i="7"/>
  <c r="A3023" i="7"/>
  <c r="A3024" i="7"/>
  <c r="A3025" i="7"/>
  <c r="A3026" i="7"/>
  <c r="A3027" i="7"/>
  <c r="A3028" i="7"/>
  <c r="A3029" i="7"/>
  <c r="A3030" i="7"/>
  <c r="A3031" i="7"/>
  <c r="A3032" i="7"/>
  <c r="A3033" i="7"/>
  <c r="A3034" i="7"/>
  <c r="A3035" i="7"/>
  <c r="A3036" i="7"/>
  <c r="A3037" i="7"/>
  <c r="A3038" i="7"/>
  <c r="A3039" i="7"/>
  <c r="A3040" i="7"/>
  <c r="A3041" i="7"/>
  <c r="A3042" i="7"/>
  <c r="A3043" i="7"/>
  <c r="A3044" i="7"/>
  <c r="A3045" i="7"/>
  <c r="A3046" i="7"/>
  <c r="A3047" i="7"/>
  <c r="A3048" i="7"/>
  <c r="A3049" i="7"/>
  <c r="A3050" i="7"/>
  <c r="A3051" i="7"/>
  <c r="A3052" i="7"/>
  <c r="A3053" i="7"/>
  <c r="A3054" i="7"/>
  <c r="A3055" i="7"/>
  <c r="A3056" i="7"/>
  <c r="A3057" i="7"/>
  <c r="A3058" i="7"/>
  <c r="A3059" i="7"/>
  <c r="A3060" i="7"/>
  <c r="A3061" i="7"/>
  <c r="A3062" i="7"/>
  <c r="A3063" i="7"/>
  <c r="A3064" i="7"/>
  <c r="A3065" i="7"/>
  <c r="A3066" i="7"/>
  <c r="A3067" i="7"/>
  <c r="A3068" i="7"/>
  <c r="A3069" i="7"/>
  <c r="A3070" i="7"/>
  <c r="A3071" i="7"/>
  <c r="A3072" i="7"/>
  <c r="A3073" i="7"/>
  <c r="A3074" i="7"/>
  <c r="A3075" i="7"/>
  <c r="A3076" i="7"/>
  <c r="A3077" i="7"/>
  <c r="A3078" i="7"/>
  <c r="A3079" i="7"/>
  <c r="A3080" i="7"/>
  <c r="A3081" i="7"/>
  <c r="A3082" i="7"/>
  <c r="A3083" i="7"/>
  <c r="A3084" i="7"/>
  <c r="A3085" i="7"/>
  <c r="A3086" i="7"/>
  <c r="A3087" i="7"/>
  <c r="A3088" i="7"/>
  <c r="A3089" i="7"/>
  <c r="A3090" i="7"/>
  <c r="A3091" i="7"/>
  <c r="A3092" i="7"/>
  <c r="A3093" i="7"/>
  <c r="A3094" i="7"/>
  <c r="A3095" i="7"/>
  <c r="A3096" i="7"/>
  <c r="A3097" i="7"/>
  <c r="A3098" i="7"/>
  <c r="A3099" i="7"/>
  <c r="A3100" i="7"/>
  <c r="A3101" i="7"/>
  <c r="A3102" i="7"/>
  <c r="A3103" i="7"/>
  <c r="A3104" i="7"/>
  <c r="A3105" i="7"/>
  <c r="A3106" i="7"/>
  <c r="A3107" i="7"/>
  <c r="A3108" i="7"/>
  <c r="A3109" i="7"/>
  <c r="A3110" i="7"/>
  <c r="A3111" i="7"/>
  <c r="A3112" i="7"/>
  <c r="A3113" i="7"/>
  <c r="A3114" i="7"/>
  <c r="A3115" i="7"/>
  <c r="A3116" i="7"/>
  <c r="A3117" i="7"/>
  <c r="A3118" i="7"/>
  <c r="A3119" i="7"/>
  <c r="A3120" i="7"/>
  <c r="A3121" i="7"/>
  <c r="A3122" i="7"/>
  <c r="A3123" i="7"/>
  <c r="A3124" i="7"/>
  <c r="A3125" i="7"/>
  <c r="A3126" i="7"/>
  <c r="A3127" i="7"/>
  <c r="A3128" i="7"/>
  <c r="A3129" i="7"/>
  <c r="A3130" i="7"/>
  <c r="A3131" i="7"/>
  <c r="A3132" i="7"/>
  <c r="A3133" i="7"/>
  <c r="A3134" i="7"/>
  <c r="A3135" i="7"/>
  <c r="A3136" i="7"/>
  <c r="A3137" i="7"/>
  <c r="A3138" i="7"/>
  <c r="A3139" i="7"/>
  <c r="A3140" i="7"/>
  <c r="A3141" i="7"/>
  <c r="A3142" i="7"/>
  <c r="A3143" i="7"/>
  <c r="A3144" i="7"/>
  <c r="A3145" i="7"/>
  <c r="A3146" i="7"/>
  <c r="A3147" i="7"/>
  <c r="A3148" i="7"/>
  <c r="A3149" i="7"/>
  <c r="A3150" i="7"/>
  <c r="A3151" i="7"/>
  <c r="A3152" i="7"/>
  <c r="A3153" i="7"/>
  <c r="A3154" i="7"/>
  <c r="A3155" i="7"/>
  <c r="A3156" i="7"/>
  <c r="A3157" i="7"/>
  <c r="A3158" i="7"/>
  <c r="A3159" i="7"/>
  <c r="A3160" i="7"/>
  <c r="A3161" i="7"/>
  <c r="A3162" i="7"/>
  <c r="A3163" i="7"/>
  <c r="A3164" i="7"/>
  <c r="A3165" i="7"/>
  <c r="A3166" i="7"/>
  <c r="A3167" i="7"/>
  <c r="A3168" i="7"/>
  <c r="A3169" i="7"/>
  <c r="A3170" i="7"/>
  <c r="A3171" i="7"/>
  <c r="A3172" i="7"/>
  <c r="A3173" i="7"/>
  <c r="A3174" i="7"/>
  <c r="A3175" i="7"/>
  <c r="A3176" i="7"/>
  <c r="A3177" i="7"/>
  <c r="A3178" i="7"/>
  <c r="A3179" i="7"/>
  <c r="A3180" i="7"/>
  <c r="A3181" i="7"/>
  <c r="A3182" i="7"/>
  <c r="A3183" i="7"/>
  <c r="A3184" i="7"/>
  <c r="A3185" i="7"/>
  <c r="A3186" i="7"/>
  <c r="A3187" i="7"/>
  <c r="A3188" i="7"/>
  <c r="A3189" i="7"/>
  <c r="A3190" i="7"/>
  <c r="A3191" i="7"/>
  <c r="A3192" i="7"/>
  <c r="A3193" i="7"/>
  <c r="A3194" i="7"/>
  <c r="A3195" i="7"/>
  <c r="A3196" i="7"/>
  <c r="A3197" i="7"/>
  <c r="A3198" i="7"/>
  <c r="A3199" i="7"/>
  <c r="A3200" i="7"/>
  <c r="A3201" i="7"/>
  <c r="A3202" i="7"/>
  <c r="A3203" i="7"/>
  <c r="A3204" i="7"/>
  <c r="A3205" i="7"/>
  <c r="A3206" i="7"/>
  <c r="A3207" i="7"/>
  <c r="A3208" i="7"/>
  <c r="A3209" i="7"/>
  <c r="A3210" i="7"/>
  <c r="A3211" i="7"/>
  <c r="A3212" i="7"/>
  <c r="A3213" i="7"/>
  <c r="A3214" i="7"/>
  <c r="A3215" i="7"/>
  <c r="A3216" i="7"/>
  <c r="A3217" i="7"/>
  <c r="A3218" i="7"/>
  <c r="A3219" i="7"/>
  <c r="A3220" i="7"/>
  <c r="A3221" i="7"/>
  <c r="A3222" i="7"/>
  <c r="A3223" i="7"/>
  <c r="A3224" i="7"/>
  <c r="A3225" i="7"/>
  <c r="A3226" i="7"/>
  <c r="A3227" i="7"/>
  <c r="A3228" i="7"/>
  <c r="A3229" i="7"/>
  <c r="A3230" i="7"/>
  <c r="A3231" i="7"/>
  <c r="A3232" i="7"/>
  <c r="A3233" i="7"/>
  <c r="A3234" i="7"/>
  <c r="A3235" i="7"/>
  <c r="A3236" i="7"/>
  <c r="A3237" i="7"/>
  <c r="A3238" i="7"/>
  <c r="A3239" i="7"/>
  <c r="A3240" i="7"/>
  <c r="A3241" i="7"/>
  <c r="A3242" i="7"/>
  <c r="A3243" i="7"/>
  <c r="A3244" i="7"/>
  <c r="A3245" i="7"/>
  <c r="A3246" i="7"/>
  <c r="A3247" i="7"/>
  <c r="A3248" i="7"/>
  <c r="A3249" i="7"/>
  <c r="A3250" i="7"/>
  <c r="A3251" i="7"/>
  <c r="A3252" i="7"/>
  <c r="A3253" i="7"/>
  <c r="A3254" i="7"/>
  <c r="A3255" i="7"/>
  <c r="A3256" i="7"/>
  <c r="A3257" i="7"/>
  <c r="A3258" i="7"/>
  <c r="A3259" i="7"/>
  <c r="A3260" i="7"/>
  <c r="A3261" i="7"/>
  <c r="A3262" i="7"/>
  <c r="A3263" i="7"/>
  <c r="A3264" i="7"/>
  <c r="A3265" i="7"/>
  <c r="A3266" i="7"/>
  <c r="A3267" i="7"/>
  <c r="A3268" i="7"/>
  <c r="A3269" i="7"/>
  <c r="A3270" i="7"/>
  <c r="A3271" i="7"/>
  <c r="A3272" i="7"/>
  <c r="A3273" i="7"/>
  <c r="A3274" i="7"/>
  <c r="A3275" i="7"/>
  <c r="A3276" i="7"/>
  <c r="A3277" i="7"/>
  <c r="A3278" i="7"/>
  <c r="A3279" i="7"/>
  <c r="A3280" i="7"/>
  <c r="A3281" i="7"/>
  <c r="A3282" i="7"/>
  <c r="A3283" i="7"/>
  <c r="A3284" i="7"/>
  <c r="A3285" i="7"/>
  <c r="A3286" i="7"/>
  <c r="A3287" i="7"/>
  <c r="A3288" i="7"/>
  <c r="A3289" i="7"/>
  <c r="A3290" i="7"/>
  <c r="A3291" i="7"/>
  <c r="A3292" i="7"/>
  <c r="A3293" i="7"/>
  <c r="A3294" i="7"/>
  <c r="A3295" i="7"/>
  <c r="A3296" i="7"/>
  <c r="A3297" i="7"/>
  <c r="A3298" i="7"/>
  <c r="A3299" i="7"/>
  <c r="A3300" i="7"/>
  <c r="A3301" i="7"/>
  <c r="A3302" i="7"/>
  <c r="A3303" i="7"/>
  <c r="A3304" i="7"/>
  <c r="A3305" i="7"/>
  <c r="A3306" i="7"/>
  <c r="A3307" i="7"/>
  <c r="A3308" i="7"/>
  <c r="A3309" i="7"/>
  <c r="A3310" i="7"/>
  <c r="A3311" i="7"/>
  <c r="A3312" i="7"/>
  <c r="A3313" i="7"/>
  <c r="A3314" i="7"/>
  <c r="A3315" i="7"/>
  <c r="A3316" i="7"/>
  <c r="A3317" i="7"/>
  <c r="A3318" i="7"/>
  <c r="A3319" i="7"/>
  <c r="A3320" i="7"/>
  <c r="A3321" i="7"/>
  <c r="A3322" i="7"/>
  <c r="A3323" i="7"/>
  <c r="A3324" i="7"/>
  <c r="A3325" i="7"/>
  <c r="A3326" i="7"/>
  <c r="A3327" i="7"/>
  <c r="A3328" i="7"/>
  <c r="A3329" i="7"/>
  <c r="A3330" i="7"/>
  <c r="A3331" i="7"/>
  <c r="A3332" i="7"/>
  <c r="A3333" i="7"/>
  <c r="A3334" i="7"/>
  <c r="A3335" i="7"/>
  <c r="A3336" i="7"/>
  <c r="A3337" i="7"/>
  <c r="A3338" i="7"/>
  <c r="A3339" i="7"/>
  <c r="A3340" i="7"/>
  <c r="A3341" i="7"/>
  <c r="A3342" i="7"/>
  <c r="A3343" i="7"/>
  <c r="A3344" i="7"/>
  <c r="A3345" i="7"/>
  <c r="A3346" i="7"/>
  <c r="A3347" i="7"/>
  <c r="A3348" i="7"/>
  <c r="A3349" i="7"/>
  <c r="A3350" i="7"/>
  <c r="A3351" i="7"/>
  <c r="A3352" i="7"/>
  <c r="A3353" i="7"/>
  <c r="A3354" i="7"/>
  <c r="A3355" i="7"/>
  <c r="A3356" i="7"/>
  <c r="A3357" i="7"/>
  <c r="A3358" i="7"/>
  <c r="A3359" i="7"/>
  <c r="A3360" i="7"/>
  <c r="A3361" i="7"/>
  <c r="A3362" i="7"/>
  <c r="A3363" i="7"/>
  <c r="A3364" i="7"/>
  <c r="A3365" i="7"/>
  <c r="A3366" i="7"/>
  <c r="A3367" i="7"/>
  <c r="A3368" i="7"/>
  <c r="A3369" i="7"/>
  <c r="A3370" i="7"/>
  <c r="A3371" i="7"/>
  <c r="A3372" i="7"/>
  <c r="A3373" i="7"/>
  <c r="A3374" i="7"/>
  <c r="A3375" i="7"/>
  <c r="A3376" i="7"/>
  <c r="A3377" i="7"/>
  <c r="A3378" i="7"/>
  <c r="A3379" i="7"/>
  <c r="A3380" i="7"/>
  <c r="A3381" i="7"/>
  <c r="A3382" i="7"/>
  <c r="A3383" i="7"/>
  <c r="A3384" i="7"/>
  <c r="A3385" i="7"/>
  <c r="A3386" i="7"/>
  <c r="A3387" i="7"/>
  <c r="A3388" i="7"/>
  <c r="A3389" i="7"/>
  <c r="A3390" i="7"/>
  <c r="A3391" i="7"/>
  <c r="A3392" i="7"/>
  <c r="A3393" i="7"/>
  <c r="A3394" i="7"/>
  <c r="A3395" i="7"/>
  <c r="A3396" i="7"/>
  <c r="A3397" i="7"/>
  <c r="A3398" i="7"/>
  <c r="A3399" i="7"/>
  <c r="A3400" i="7"/>
  <c r="A3401" i="7"/>
  <c r="A3402" i="7"/>
  <c r="A3403" i="7"/>
  <c r="A3404" i="7"/>
  <c r="A3405" i="7"/>
  <c r="A3406" i="7"/>
  <c r="A3407" i="7"/>
  <c r="A3408" i="7"/>
  <c r="A3409" i="7"/>
  <c r="A3410" i="7"/>
  <c r="A3411" i="7"/>
  <c r="A3412" i="7"/>
  <c r="A3413" i="7"/>
  <c r="A3414" i="7"/>
  <c r="A3415" i="7"/>
  <c r="A3416" i="7"/>
  <c r="A3417" i="7"/>
  <c r="A3418" i="7"/>
  <c r="A3419" i="7"/>
  <c r="A3420" i="7"/>
  <c r="A3421" i="7"/>
  <c r="A3422" i="7"/>
  <c r="A3423" i="7"/>
  <c r="A3424" i="7"/>
  <c r="A3425" i="7"/>
  <c r="A3426" i="7"/>
  <c r="A3427" i="7"/>
  <c r="A3428" i="7"/>
  <c r="A3429" i="7"/>
  <c r="A3430" i="7"/>
  <c r="A3431" i="7"/>
  <c r="A3432" i="7"/>
  <c r="A3433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" i="7"/>
  <c r="G3777" i="7" l="1"/>
  <c r="G430" i="6"/>
  <c r="I430" i="6" s="1"/>
  <c r="G429" i="6"/>
  <c r="I429" i="6" s="1"/>
  <c r="G428" i="6"/>
  <c r="I428" i="6" s="1"/>
  <c r="G427" i="6"/>
  <c r="I427" i="6" s="1"/>
  <c r="F3775" i="7" s="1"/>
  <c r="G3775" i="7" s="1"/>
  <c r="G426" i="6"/>
  <c r="I426" i="6" s="1"/>
  <c r="G425" i="6"/>
  <c r="I425" i="6" s="1"/>
  <c r="G424" i="6"/>
  <c r="I424" i="6" s="1"/>
  <c r="G423" i="6"/>
  <c r="I423" i="6" s="1"/>
  <c r="G422" i="6"/>
  <c r="I422" i="6" s="1"/>
  <c r="G421" i="6"/>
  <c r="I421" i="6" s="1"/>
  <c r="G420" i="6"/>
  <c r="I420" i="6" s="1"/>
  <c r="G419" i="6"/>
  <c r="I419" i="6" s="1"/>
  <c r="G418" i="6"/>
  <c r="I418" i="6" s="1"/>
  <c r="G417" i="6"/>
  <c r="I417" i="6" s="1"/>
  <c r="G416" i="6"/>
  <c r="I416" i="6" s="1"/>
  <c r="G415" i="6"/>
  <c r="I415" i="6" s="1"/>
  <c r="G414" i="6"/>
  <c r="I414" i="6" s="1"/>
  <c r="G413" i="6"/>
  <c r="I413" i="6" s="1"/>
  <c r="G412" i="6"/>
  <c r="I412" i="6" s="1"/>
  <c r="G411" i="6"/>
  <c r="I411" i="6" s="1"/>
  <c r="G410" i="6"/>
  <c r="I410" i="6" s="1"/>
  <c r="G409" i="6"/>
  <c r="I409" i="6" s="1"/>
  <c r="G408" i="6"/>
  <c r="I408" i="6" s="1"/>
  <c r="G407" i="6"/>
  <c r="I407" i="6" s="1"/>
  <c r="G406" i="6"/>
  <c r="I406" i="6" s="1"/>
  <c r="G405" i="6"/>
  <c r="I405" i="6" s="1"/>
  <c r="G404" i="6"/>
  <c r="I404" i="6" s="1"/>
  <c r="G403" i="6"/>
  <c r="I403" i="6" s="1"/>
  <c r="G402" i="6"/>
  <c r="I402" i="6" s="1"/>
  <c r="G401" i="6"/>
  <c r="I401" i="6" s="1"/>
  <c r="G400" i="6"/>
  <c r="I400" i="6" s="1"/>
  <c r="G399" i="6"/>
  <c r="I399" i="6" s="1"/>
  <c r="G398" i="6"/>
  <c r="I398" i="6" s="1"/>
  <c r="G397" i="6"/>
  <c r="I397" i="6" s="1"/>
  <c r="G396" i="6"/>
  <c r="I396" i="6" s="1"/>
  <c r="G395" i="6"/>
  <c r="I395" i="6" s="1"/>
  <c r="G394" i="6"/>
  <c r="I394" i="6" s="1"/>
  <c r="G393" i="6"/>
  <c r="I393" i="6" s="1"/>
  <c r="G392" i="6"/>
  <c r="I392" i="6" s="1"/>
  <c r="G391" i="6"/>
  <c r="I391" i="6" s="1"/>
  <c r="G390" i="6"/>
  <c r="I390" i="6" s="1"/>
  <c r="G389" i="6"/>
  <c r="I389" i="6" s="1"/>
  <c r="G388" i="6"/>
  <c r="I388" i="6" s="1"/>
  <c r="G387" i="6"/>
  <c r="I387" i="6" s="1"/>
  <c r="G386" i="6"/>
  <c r="I386" i="6" s="1"/>
  <c r="G385" i="6"/>
  <c r="I385" i="6" s="1"/>
  <c r="G384" i="6"/>
  <c r="I384" i="6" s="1"/>
  <c r="G383" i="6"/>
  <c r="I383" i="6" s="1"/>
  <c r="G382" i="6"/>
  <c r="I382" i="6" s="1"/>
  <c r="G381" i="6"/>
  <c r="I381" i="6" s="1"/>
  <c r="G380" i="6"/>
  <c r="I380" i="6" s="1"/>
  <c r="G379" i="6"/>
  <c r="I379" i="6" s="1"/>
  <c r="G378" i="6"/>
  <c r="I378" i="6" s="1"/>
  <c r="G377" i="6"/>
  <c r="I377" i="6" s="1"/>
  <c r="G376" i="6"/>
  <c r="I376" i="6" s="1"/>
  <c r="G375" i="6"/>
  <c r="I375" i="6" s="1"/>
  <c r="G374" i="6"/>
  <c r="I374" i="6" s="1"/>
  <c r="G373" i="6"/>
  <c r="I373" i="6" s="1"/>
  <c r="G372" i="6"/>
  <c r="I372" i="6" s="1"/>
  <c r="G371" i="6"/>
  <c r="I371" i="6" s="1"/>
  <c r="G370" i="6"/>
  <c r="I370" i="6" s="1"/>
  <c r="G369" i="6"/>
  <c r="I369" i="6" s="1"/>
  <c r="G368" i="6"/>
  <c r="I368" i="6" s="1"/>
  <c r="G367" i="6"/>
  <c r="I367" i="6" s="1"/>
  <c r="G366" i="6"/>
  <c r="I366" i="6" s="1"/>
  <c r="G365" i="6"/>
  <c r="I365" i="6" s="1"/>
  <c r="G364" i="6"/>
  <c r="I364" i="6" s="1"/>
  <c r="G363" i="6"/>
  <c r="I363" i="6" s="1"/>
  <c r="G362" i="6"/>
  <c r="I362" i="6" s="1"/>
  <c r="G361" i="6"/>
  <c r="I361" i="6" s="1"/>
  <c r="G360" i="6"/>
  <c r="I360" i="6" s="1"/>
  <c r="G359" i="6"/>
  <c r="I359" i="6" s="1"/>
  <c r="G358" i="6"/>
  <c r="I358" i="6" s="1"/>
  <c r="G357" i="6"/>
  <c r="I357" i="6" s="1"/>
  <c r="G356" i="6"/>
  <c r="I356" i="6" s="1"/>
  <c r="G355" i="6"/>
  <c r="I355" i="6" s="1"/>
  <c r="G354" i="6"/>
  <c r="I354" i="6" s="1"/>
  <c r="G353" i="6"/>
  <c r="I353" i="6" s="1"/>
  <c r="G352" i="6"/>
  <c r="I352" i="6" s="1"/>
  <c r="G351" i="6"/>
  <c r="I351" i="6" s="1"/>
  <c r="G350" i="6"/>
  <c r="I350" i="6" s="1"/>
  <c r="G349" i="6"/>
  <c r="I349" i="6" s="1"/>
  <c r="G348" i="6"/>
  <c r="I348" i="6" s="1"/>
  <c r="G347" i="6"/>
  <c r="I347" i="6" s="1"/>
  <c r="G346" i="6"/>
  <c r="I346" i="6" s="1"/>
  <c r="G345" i="6"/>
  <c r="I345" i="6" s="1"/>
  <c r="G344" i="6"/>
  <c r="I344" i="6" s="1"/>
  <c r="G343" i="6"/>
  <c r="I343" i="6" s="1"/>
  <c r="G342" i="6"/>
  <c r="I342" i="6" s="1"/>
  <c r="G341" i="6"/>
  <c r="I341" i="6" s="1"/>
  <c r="G340" i="6"/>
  <c r="I340" i="6" s="1"/>
  <c r="G339" i="6"/>
  <c r="I339" i="6" s="1"/>
  <c r="G338" i="6"/>
  <c r="I338" i="6" s="1"/>
  <c r="G337" i="6"/>
  <c r="I337" i="6" s="1"/>
  <c r="G336" i="6"/>
  <c r="I336" i="6" s="1"/>
  <c r="G335" i="6"/>
  <c r="I335" i="6" s="1"/>
  <c r="G334" i="6"/>
  <c r="I334" i="6" s="1"/>
  <c r="G333" i="6"/>
  <c r="I333" i="6" s="1"/>
  <c r="G332" i="6"/>
  <c r="I332" i="6" s="1"/>
  <c r="G331" i="6"/>
  <c r="I331" i="6" s="1"/>
  <c r="G330" i="6"/>
  <c r="I330" i="6" s="1"/>
  <c r="G329" i="6"/>
  <c r="I329" i="6" s="1"/>
  <c r="G328" i="6"/>
  <c r="I328" i="6" s="1"/>
  <c r="G327" i="6"/>
  <c r="I327" i="6" s="1"/>
  <c r="G326" i="6"/>
  <c r="I326" i="6" s="1"/>
  <c r="G325" i="6"/>
  <c r="I325" i="6" s="1"/>
  <c r="G324" i="6"/>
  <c r="I324" i="6" s="1"/>
  <c r="G323" i="6"/>
  <c r="I323" i="6" s="1"/>
  <c r="G322" i="6"/>
  <c r="I322" i="6" s="1"/>
  <c r="G321" i="6"/>
  <c r="I321" i="6" s="1"/>
  <c r="G320" i="6"/>
  <c r="I320" i="6" s="1"/>
  <c r="G319" i="6"/>
  <c r="I319" i="6" s="1"/>
  <c r="G318" i="6"/>
  <c r="I318" i="6" s="1"/>
  <c r="G317" i="6"/>
  <c r="I317" i="6" s="1"/>
  <c r="G316" i="6"/>
  <c r="I316" i="6" s="1"/>
  <c r="G315" i="6"/>
  <c r="I315" i="6" s="1"/>
  <c r="G314" i="6"/>
  <c r="I314" i="6" s="1"/>
  <c r="G313" i="6"/>
  <c r="I313" i="6" s="1"/>
  <c r="G312" i="6"/>
  <c r="I312" i="6" s="1"/>
  <c r="G311" i="6"/>
  <c r="I311" i="6" s="1"/>
  <c r="G310" i="6"/>
  <c r="I310" i="6" s="1"/>
  <c r="G309" i="6"/>
  <c r="I309" i="6" s="1"/>
  <c r="G308" i="6"/>
  <c r="I308" i="6" s="1"/>
  <c r="G307" i="6"/>
  <c r="I307" i="6" s="1"/>
  <c r="G306" i="6"/>
  <c r="I306" i="6" s="1"/>
  <c r="G305" i="6"/>
  <c r="I305" i="6" s="1"/>
  <c r="G304" i="6"/>
  <c r="I304" i="6" s="1"/>
  <c r="G303" i="6"/>
  <c r="I303" i="6" s="1"/>
  <c r="G302" i="6"/>
  <c r="I302" i="6" s="1"/>
  <c r="G301" i="6"/>
  <c r="I301" i="6" s="1"/>
  <c r="G300" i="6"/>
  <c r="I300" i="6" s="1"/>
  <c r="G299" i="6"/>
  <c r="I299" i="6" s="1"/>
  <c r="G298" i="6"/>
  <c r="I298" i="6" s="1"/>
  <c r="G297" i="6"/>
  <c r="I297" i="6" s="1"/>
  <c r="G296" i="6"/>
  <c r="I296" i="6" s="1"/>
  <c r="G295" i="6"/>
  <c r="I295" i="6" s="1"/>
  <c r="G294" i="6"/>
  <c r="I294" i="6" s="1"/>
  <c r="G293" i="6"/>
  <c r="I293" i="6" s="1"/>
  <c r="G292" i="6"/>
  <c r="I292" i="6" s="1"/>
  <c r="G291" i="6"/>
  <c r="I291" i="6" s="1"/>
  <c r="F3483" i="7" s="1"/>
  <c r="G3483" i="7" s="1"/>
  <c r="G290" i="6"/>
  <c r="I290" i="6" s="1"/>
  <c r="G289" i="6"/>
  <c r="I289" i="6" s="1"/>
  <c r="G288" i="6"/>
  <c r="I288" i="6" s="1"/>
  <c r="G287" i="6"/>
  <c r="I287" i="6" s="1"/>
  <c r="G286" i="6"/>
  <c r="I286" i="6" s="1"/>
  <c r="G285" i="6"/>
  <c r="I285" i="6" s="1"/>
  <c r="G284" i="6"/>
  <c r="I284" i="6" s="1"/>
  <c r="G283" i="6"/>
  <c r="I283" i="6" s="1"/>
  <c r="G282" i="6"/>
  <c r="I282" i="6" s="1"/>
  <c r="G281" i="6"/>
  <c r="I281" i="6" s="1"/>
  <c r="G280" i="6"/>
  <c r="I280" i="6" s="1"/>
  <c r="G279" i="6"/>
  <c r="I279" i="6" s="1"/>
  <c r="G278" i="6"/>
  <c r="I278" i="6" s="1"/>
  <c r="G277" i="6"/>
  <c r="I277" i="6" s="1"/>
  <c r="G276" i="6"/>
  <c r="I276" i="6" s="1"/>
  <c r="G275" i="6"/>
  <c r="I275" i="6" s="1"/>
  <c r="G274" i="6"/>
  <c r="I274" i="6" s="1"/>
  <c r="G273" i="6"/>
  <c r="I273" i="6" s="1"/>
  <c r="G272" i="6"/>
  <c r="I272" i="6" s="1"/>
  <c r="G271" i="6"/>
  <c r="I271" i="6" s="1"/>
  <c r="G270" i="6"/>
  <c r="I270" i="6" s="1"/>
  <c r="G269" i="6"/>
  <c r="I269" i="6" s="1"/>
  <c r="G268" i="6"/>
  <c r="I268" i="6" s="1"/>
  <c r="G267" i="6"/>
  <c r="I267" i="6" s="1"/>
  <c r="G266" i="6"/>
  <c r="I266" i="6" s="1"/>
  <c r="G265" i="6"/>
  <c r="I265" i="6" s="1"/>
  <c r="G264" i="6"/>
  <c r="I264" i="6" s="1"/>
  <c r="G263" i="6"/>
  <c r="I263" i="6" s="1"/>
  <c r="F3718" i="7" s="1"/>
  <c r="G3718" i="7" s="1"/>
  <c r="G262" i="6"/>
  <c r="I262" i="6" s="1"/>
  <c r="F3723" i="7" s="1"/>
  <c r="G3723" i="7" s="1"/>
  <c r="G261" i="6"/>
  <c r="I261" i="6" s="1"/>
  <c r="G260" i="6"/>
  <c r="I260" i="6" s="1"/>
  <c r="G259" i="6"/>
  <c r="I259" i="6" s="1"/>
  <c r="G258" i="6"/>
  <c r="I258" i="6" s="1"/>
  <c r="G257" i="6"/>
  <c r="I257" i="6" s="1"/>
  <c r="G256" i="6"/>
  <c r="I256" i="6" s="1"/>
  <c r="G255" i="6"/>
  <c r="I255" i="6" s="1"/>
  <c r="G254" i="6"/>
  <c r="I254" i="6" s="1"/>
  <c r="G253" i="6"/>
  <c r="I253" i="6" s="1"/>
  <c r="G252" i="6"/>
  <c r="I252" i="6" s="1"/>
  <c r="G251" i="6"/>
  <c r="I251" i="6" s="1"/>
  <c r="G250" i="6"/>
  <c r="I250" i="6" s="1"/>
  <c r="G249" i="6"/>
  <c r="I249" i="6" s="1"/>
  <c r="G248" i="6"/>
  <c r="I248" i="6" s="1"/>
  <c r="G247" i="6"/>
  <c r="I247" i="6" s="1"/>
  <c r="G246" i="6"/>
  <c r="I246" i="6" s="1"/>
  <c r="G245" i="6"/>
  <c r="I245" i="6" s="1"/>
  <c r="G244" i="6"/>
  <c r="I244" i="6" s="1"/>
  <c r="G243" i="6"/>
  <c r="I243" i="6" s="1"/>
  <c r="G242" i="6"/>
  <c r="I242" i="6" s="1"/>
  <c r="G241" i="6"/>
  <c r="I241" i="6" s="1"/>
  <c r="G240" i="6"/>
  <c r="I240" i="6" s="1"/>
  <c r="G239" i="6"/>
  <c r="I239" i="6" s="1"/>
  <c r="G238" i="6"/>
  <c r="I238" i="6" s="1"/>
  <c r="G237" i="6"/>
  <c r="I237" i="6" s="1"/>
  <c r="G236" i="6"/>
  <c r="I236" i="6" s="1"/>
  <c r="G235" i="6"/>
  <c r="I235" i="6" s="1"/>
  <c r="G234" i="6"/>
  <c r="I234" i="6" s="1"/>
  <c r="G233" i="6"/>
  <c r="I233" i="6" s="1"/>
  <c r="G232" i="6"/>
  <c r="I232" i="6" s="1"/>
  <c r="G231" i="6"/>
  <c r="I231" i="6" s="1"/>
  <c r="G230" i="6"/>
  <c r="I230" i="6" s="1"/>
  <c r="G229" i="6"/>
  <c r="I229" i="6" s="1"/>
  <c r="G228" i="6"/>
  <c r="I228" i="6" s="1"/>
  <c r="G227" i="6"/>
  <c r="I227" i="6" s="1"/>
  <c r="G226" i="6"/>
  <c r="I226" i="6" s="1"/>
  <c r="G225" i="6"/>
  <c r="I225" i="6" s="1"/>
  <c r="G224" i="6"/>
  <c r="I224" i="6" s="1"/>
  <c r="G223" i="6"/>
  <c r="I223" i="6" s="1"/>
  <c r="G222" i="6"/>
  <c r="I222" i="6" s="1"/>
  <c r="G221" i="6"/>
  <c r="I221" i="6" s="1"/>
  <c r="G220" i="6"/>
  <c r="I220" i="6" s="1"/>
  <c r="G219" i="6"/>
  <c r="I219" i="6" s="1"/>
  <c r="G218" i="6"/>
  <c r="I218" i="6" s="1"/>
  <c r="G217" i="6"/>
  <c r="I217" i="6" s="1"/>
  <c r="G216" i="6"/>
  <c r="I216" i="6" s="1"/>
  <c r="G215" i="6"/>
  <c r="I215" i="6" s="1"/>
  <c r="G214" i="6"/>
  <c r="I214" i="6" s="1"/>
  <c r="G213" i="6"/>
  <c r="I213" i="6" s="1"/>
  <c r="G212" i="6"/>
  <c r="I212" i="6" s="1"/>
  <c r="G211" i="6"/>
  <c r="I211" i="6" s="1"/>
  <c r="G210" i="6"/>
  <c r="I210" i="6" s="1"/>
  <c r="G209" i="6"/>
  <c r="I209" i="6" s="1"/>
  <c r="G208" i="6"/>
  <c r="I208" i="6" s="1"/>
  <c r="G207" i="6"/>
  <c r="I207" i="6" s="1"/>
  <c r="G206" i="6"/>
  <c r="I206" i="6" s="1"/>
  <c r="G205" i="6"/>
  <c r="I205" i="6" s="1"/>
  <c r="G204" i="6"/>
  <c r="I204" i="6" s="1"/>
  <c r="G203" i="6"/>
  <c r="I203" i="6" s="1"/>
  <c r="G202" i="6"/>
  <c r="I202" i="6" s="1"/>
  <c r="G201" i="6"/>
  <c r="I201" i="6" s="1"/>
  <c r="G200" i="6"/>
  <c r="I200" i="6" s="1"/>
  <c r="G199" i="6"/>
  <c r="I199" i="6" s="1"/>
  <c r="G198" i="6"/>
  <c r="I198" i="6" s="1"/>
  <c r="G197" i="6"/>
  <c r="I197" i="6" s="1"/>
  <c r="G196" i="6"/>
  <c r="I196" i="6" s="1"/>
  <c r="G195" i="6"/>
  <c r="I195" i="6" s="1"/>
  <c r="G194" i="6"/>
  <c r="I194" i="6" s="1"/>
  <c r="G193" i="6"/>
  <c r="I193" i="6" s="1"/>
  <c r="G192" i="6"/>
  <c r="I192" i="6" s="1"/>
  <c r="G191" i="6"/>
  <c r="I191" i="6" s="1"/>
  <c r="G190" i="6"/>
  <c r="I190" i="6" s="1"/>
  <c r="G189" i="6"/>
  <c r="I189" i="6" s="1"/>
  <c r="G188" i="6"/>
  <c r="I188" i="6" s="1"/>
  <c r="G187" i="6"/>
  <c r="I187" i="6" s="1"/>
  <c r="G186" i="6"/>
  <c r="I186" i="6" s="1"/>
  <c r="G185" i="6"/>
  <c r="I185" i="6" s="1"/>
  <c r="G184" i="6"/>
  <c r="I184" i="6" s="1"/>
  <c r="G183" i="6"/>
  <c r="I183" i="6" s="1"/>
  <c r="G182" i="6"/>
  <c r="I182" i="6" s="1"/>
  <c r="F3536" i="7" s="1"/>
  <c r="G3536" i="7" s="1"/>
  <c r="G181" i="6"/>
  <c r="I181" i="6" s="1"/>
  <c r="G180" i="6"/>
  <c r="I180" i="6" s="1"/>
  <c r="G179" i="6"/>
  <c r="I179" i="6" s="1"/>
  <c r="G178" i="6"/>
  <c r="I178" i="6" s="1"/>
  <c r="G177" i="6"/>
  <c r="I177" i="6" s="1"/>
  <c r="F3549" i="7" s="1"/>
  <c r="G3549" i="7" s="1"/>
  <c r="G176" i="6"/>
  <c r="I176" i="6" s="1"/>
  <c r="G175" i="6"/>
  <c r="I175" i="6" s="1"/>
  <c r="G174" i="6"/>
  <c r="I174" i="6" s="1"/>
  <c r="F3561" i="7" s="1"/>
  <c r="G3561" i="7" s="1"/>
  <c r="G173" i="6"/>
  <c r="I173" i="6" s="1"/>
  <c r="F3555" i="7" s="1"/>
  <c r="G3555" i="7" s="1"/>
  <c r="G172" i="6"/>
  <c r="I172" i="6" s="1"/>
  <c r="G171" i="6"/>
  <c r="I171" i="6" s="1"/>
  <c r="G170" i="6"/>
  <c r="I170" i="6" s="1"/>
  <c r="G169" i="6"/>
  <c r="I169" i="6" s="1"/>
  <c r="G168" i="6"/>
  <c r="I168" i="6" s="1"/>
  <c r="G167" i="6"/>
  <c r="I167" i="6" s="1"/>
  <c r="G166" i="6"/>
  <c r="I166" i="6" s="1"/>
  <c r="G165" i="6"/>
  <c r="I165" i="6" s="1"/>
  <c r="G164" i="6"/>
  <c r="I164" i="6" s="1"/>
  <c r="G163" i="6"/>
  <c r="I163" i="6" s="1"/>
  <c r="G162" i="6"/>
  <c r="I162" i="6" s="1"/>
  <c r="G161" i="6"/>
  <c r="I161" i="6" s="1"/>
  <c r="G160" i="6"/>
  <c r="I160" i="6" s="1"/>
  <c r="G159" i="6"/>
  <c r="I159" i="6" s="1"/>
  <c r="G158" i="6"/>
  <c r="I158" i="6" s="1"/>
  <c r="G157" i="6"/>
  <c r="I157" i="6" s="1"/>
  <c r="G156" i="6"/>
  <c r="I156" i="6" s="1"/>
  <c r="G155" i="6"/>
  <c r="I155" i="6" s="1"/>
  <c r="G154" i="6"/>
  <c r="I154" i="6" s="1"/>
  <c r="G153" i="6"/>
  <c r="I153" i="6" s="1"/>
  <c r="G152" i="6"/>
  <c r="I152" i="6" s="1"/>
  <c r="G151" i="6"/>
  <c r="I151" i="6" s="1"/>
  <c r="G150" i="6"/>
  <c r="I150" i="6" s="1"/>
  <c r="G149" i="6"/>
  <c r="I149" i="6" s="1"/>
  <c r="G148" i="6"/>
  <c r="I148" i="6" s="1"/>
  <c r="G147" i="6"/>
  <c r="I147" i="6" s="1"/>
  <c r="G146" i="6"/>
  <c r="I146" i="6" s="1"/>
  <c r="G145" i="6"/>
  <c r="I145" i="6" s="1"/>
  <c r="G144" i="6"/>
  <c r="I144" i="6" s="1"/>
  <c r="G143" i="6"/>
  <c r="I143" i="6" s="1"/>
  <c r="G142" i="6"/>
  <c r="I142" i="6" s="1"/>
  <c r="G141" i="6"/>
  <c r="I141" i="6" s="1"/>
  <c r="G140" i="6"/>
  <c r="I140" i="6" s="1"/>
  <c r="G139" i="6"/>
  <c r="I139" i="6" s="1"/>
  <c r="G138" i="6"/>
  <c r="I138" i="6" s="1"/>
  <c r="G137" i="6"/>
  <c r="I137" i="6" s="1"/>
  <c r="G136" i="6"/>
  <c r="I136" i="6" s="1"/>
  <c r="G135" i="6"/>
  <c r="I135" i="6" s="1"/>
  <c r="G134" i="6"/>
  <c r="I134" i="6" s="1"/>
  <c r="G133" i="6"/>
  <c r="I133" i="6" s="1"/>
  <c r="G132" i="6"/>
  <c r="I132" i="6" s="1"/>
  <c r="G131" i="6"/>
  <c r="I131" i="6" s="1"/>
  <c r="G130" i="6"/>
  <c r="I130" i="6" s="1"/>
  <c r="G129" i="6"/>
  <c r="I129" i="6" s="1"/>
  <c r="G128" i="6"/>
  <c r="I128" i="6" s="1"/>
  <c r="G127" i="6"/>
  <c r="I127" i="6" s="1"/>
  <c r="G126" i="6"/>
  <c r="I126" i="6" s="1"/>
  <c r="G125" i="6"/>
  <c r="I125" i="6" s="1"/>
  <c r="G124" i="6"/>
  <c r="I124" i="6" s="1"/>
  <c r="G123" i="6"/>
  <c r="I123" i="6" s="1"/>
  <c r="G122" i="6"/>
  <c r="I122" i="6" s="1"/>
  <c r="G121" i="6"/>
  <c r="I121" i="6" s="1"/>
  <c r="G120" i="6"/>
  <c r="I120" i="6" s="1"/>
  <c r="G119" i="6"/>
  <c r="I119" i="6" s="1"/>
  <c r="G118" i="6"/>
  <c r="I118" i="6" s="1"/>
  <c r="G117" i="6"/>
  <c r="I117" i="6" s="1"/>
  <c r="G116" i="6"/>
  <c r="I116" i="6" s="1"/>
  <c r="G115" i="6"/>
  <c r="I115" i="6" s="1"/>
  <c r="G114" i="6"/>
  <c r="I114" i="6" s="1"/>
  <c r="F3806" i="7" s="1"/>
  <c r="G3806" i="7" s="1"/>
  <c r="G113" i="6"/>
  <c r="I113" i="6" s="1"/>
  <c r="G112" i="6"/>
  <c r="I112" i="6" s="1"/>
  <c r="G111" i="6"/>
  <c r="I111" i="6" s="1"/>
  <c r="G110" i="6"/>
  <c r="I110" i="6" s="1"/>
  <c r="G109" i="6"/>
  <c r="I109" i="6" s="1"/>
  <c r="G108" i="6"/>
  <c r="I108" i="6" s="1"/>
  <c r="G107" i="6"/>
  <c r="I107" i="6" s="1"/>
  <c r="G106" i="6"/>
  <c r="I106" i="6" s="1"/>
  <c r="G105" i="6"/>
  <c r="I105" i="6" s="1"/>
  <c r="G104" i="6"/>
  <c r="I104" i="6" s="1"/>
  <c r="G103" i="6"/>
  <c r="I103" i="6" s="1"/>
  <c r="G102" i="6"/>
  <c r="I102" i="6" s="1"/>
  <c r="G101" i="6"/>
  <c r="I101" i="6" s="1"/>
  <c r="G100" i="6"/>
  <c r="I100" i="6" s="1"/>
  <c r="G99" i="6"/>
  <c r="I99" i="6" s="1"/>
  <c r="G98" i="6"/>
  <c r="I98" i="6" s="1"/>
  <c r="G97" i="6"/>
  <c r="I97" i="6" s="1"/>
  <c r="G96" i="6"/>
  <c r="I96" i="6" s="1"/>
  <c r="G95" i="6"/>
  <c r="I95" i="6" s="1"/>
  <c r="G94" i="6"/>
  <c r="I94" i="6" s="1"/>
  <c r="G93" i="6"/>
  <c r="I93" i="6" s="1"/>
  <c r="G92" i="6"/>
  <c r="I92" i="6" s="1"/>
  <c r="G91" i="6"/>
  <c r="I91" i="6" s="1"/>
  <c r="G90" i="6"/>
  <c r="I90" i="6" s="1"/>
  <c r="G89" i="6"/>
  <c r="I89" i="6" s="1"/>
  <c r="G88" i="6"/>
  <c r="I88" i="6" s="1"/>
  <c r="G87" i="6"/>
  <c r="I87" i="6" s="1"/>
  <c r="G86" i="6"/>
  <c r="I86" i="6" s="1"/>
  <c r="G85" i="6"/>
  <c r="I85" i="6" s="1"/>
  <c r="G84" i="6"/>
  <c r="I84" i="6" s="1"/>
  <c r="G83" i="6"/>
  <c r="I83" i="6" s="1"/>
  <c r="G82" i="6"/>
  <c r="I82" i="6" s="1"/>
  <c r="G81" i="6"/>
  <c r="I81" i="6" s="1"/>
  <c r="G80" i="6"/>
  <c r="I80" i="6" s="1"/>
  <c r="G79" i="6"/>
  <c r="I79" i="6" s="1"/>
  <c r="G78" i="6"/>
  <c r="I78" i="6" s="1"/>
  <c r="G77" i="6"/>
  <c r="I77" i="6" s="1"/>
  <c r="G76" i="6"/>
  <c r="I76" i="6" s="1"/>
  <c r="G75" i="6"/>
  <c r="I75" i="6" s="1"/>
  <c r="G74" i="6"/>
  <c r="I74" i="6" s="1"/>
  <c r="F3862" i="7" s="1"/>
  <c r="G3862" i="7" s="1"/>
  <c r="G73" i="6"/>
  <c r="I73" i="6" s="1"/>
  <c r="G72" i="6"/>
  <c r="I72" i="6" s="1"/>
  <c r="G71" i="6"/>
  <c r="I71" i="6" s="1"/>
  <c r="G70" i="6"/>
  <c r="I70" i="6" s="1"/>
  <c r="G69" i="6"/>
  <c r="I69" i="6" s="1"/>
  <c r="G68" i="6"/>
  <c r="I68" i="6" s="1"/>
  <c r="G67" i="6"/>
  <c r="I67" i="6" s="1"/>
  <c r="G66" i="6"/>
  <c r="I66" i="6" s="1"/>
  <c r="G65" i="6"/>
  <c r="I65" i="6" s="1"/>
  <c r="G64" i="6"/>
  <c r="I64" i="6" s="1"/>
  <c r="G63" i="6"/>
  <c r="I63" i="6" s="1"/>
  <c r="G62" i="6"/>
  <c r="I62" i="6" s="1"/>
  <c r="G61" i="6"/>
  <c r="I61" i="6" s="1"/>
  <c r="G60" i="6"/>
  <c r="I60" i="6" s="1"/>
  <c r="G59" i="6"/>
  <c r="I59" i="6" s="1"/>
  <c r="G58" i="6"/>
  <c r="I58" i="6" s="1"/>
  <c r="G57" i="6"/>
  <c r="I57" i="6" s="1"/>
  <c r="G56" i="6"/>
  <c r="I56" i="6" s="1"/>
  <c r="G55" i="6"/>
  <c r="I55" i="6" s="1"/>
  <c r="F3651" i="7" s="1"/>
  <c r="G3651" i="7" s="1"/>
  <c r="G54" i="6"/>
  <c r="I54" i="6" s="1"/>
  <c r="F3658" i="7" s="1"/>
  <c r="G3658" i="7" s="1"/>
  <c r="G53" i="6"/>
  <c r="I53" i="6" s="1"/>
  <c r="G52" i="6"/>
  <c r="I52" i="6" s="1"/>
  <c r="G51" i="6"/>
  <c r="I51" i="6" s="1"/>
  <c r="G50" i="6"/>
  <c r="I50" i="6" s="1"/>
  <c r="G49" i="6"/>
  <c r="I49" i="6" s="1"/>
  <c r="G48" i="6"/>
  <c r="I48" i="6" s="1"/>
  <c r="G47" i="6"/>
  <c r="I47" i="6" s="1"/>
  <c r="G46" i="6"/>
  <c r="I46" i="6" s="1"/>
  <c r="G45" i="6"/>
  <c r="I45" i="6" s="1"/>
  <c r="G44" i="6"/>
  <c r="I44" i="6" s="1"/>
  <c r="G43" i="6"/>
  <c r="I43" i="6" s="1"/>
  <c r="G42" i="6"/>
  <c r="I42" i="6" s="1"/>
  <c r="G41" i="6"/>
  <c r="I41" i="6" s="1"/>
  <c r="G40" i="6"/>
  <c r="I40" i="6" s="1"/>
  <c r="G39" i="6"/>
  <c r="I39" i="6" s="1"/>
  <c r="G38" i="6"/>
  <c r="I38" i="6" s="1"/>
  <c r="G37" i="6"/>
  <c r="I37" i="6" s="1"/>
  <c r="G36" i="6"/>
  <c r="I36" i="6" s="1"/>
  <c r="G35" i="6"/>
  <c r="I35" i="6" s="1"/>
  <c r="G34" i="6"/>
  <c r="I34" i="6" s="1"/>
  <c r="G33" i="6"/>
  <c r="I33" i="6" s="1"/>
  <c r="G32" i="6"/>
  <c r="I32" i="6" s="1"/>
  <c r="G31" i="6"/>
  <c r="I31" i="6" s="1"/>
  <c r="G30" i="6"/>
  <c r="I30" i="6" s="1"/>
  <c r="G29" i="6"/>
  <c r="I29" i="6" s="1"/>
  <c r="G28" i="6"/>
  <c r="I28" i="6" s="1"/>
  <c r="G27" i="6"/>
  <c r="I27" i="6" s="1"/>
  <c r="G26" i="6"/>
  <c r="I26" i="6" s="1"/>
  <c r="G25" i="6"/>
  <c r="I25" i="6" s="1"/>
  <c r="G24" i="6"/>
  <c r="I24" i="6" s="1"/>
  <c r="G23" i="6"/>
  <c r="I23" i="6" s="1"/>
  <c r="G22" i="6"/>
  <c r="I22" i="6" s="1"/>
  <c r="G21" i="6"/>
  <c r="I21" i="6" s="1"/>
  <c r="G20" i="6"/>
  <c r="I20" i="6" s="1"/>
  <c r="G19" i="6"/>
  <c r="I19" i="6" s="1"/>
  <c r="G18" i="6"/>
  <c r="I18" i="6" s="1"/>
  <c r="G17" i="6"/>
  <c r="I17" i="6" s="1"/>
  <c r="G16" i="6"/>
  <c r="I16" i="6" s="1"/>
  <c r="G15" i="6"/>
  <c r="I15" i="6" s="1"/>
  <c r="G14" i="6"/>
  <c r="I14" i="6" s="1"/>
  <c r="G13" i="6"/>
  <c r="I13" i="6" s="1"/>
  <c r="G12" i="6"/>
  <c r="I12" i="6" s="1"/>
  <c r="G11" i="6"/>
  <c r="I11" i="6" s="1"/>
  <c r="G10" i="6"/>
  <c r="I10" i="6" s="1"/>
  <c r="G9" i="6"/>
  <c r="I9" i="6" s="1"/>
  <c r="G8" i="6"/>
  <c r="I8" i="6" s="1"/>
  <c r="G7" i="6"/>
  <c r="I7" i="6" s="1"/>
  <c r="G6" i="6"/>
  <c r="I6" i="6" s="1"/>
  <c r="G5" i="6"/>
  <c r="I5" i="6" s="1"/>
  <c r="G4" i="6"/>
  <c r="I4" i="6" s="1"/>
  <c r="G3" i="6"/>
  <c r="I3" i="6" s="1"/>
  <c r="F2352" i="7" l="1"/>
  <c r="F2353" i="7"/>
  <c r="F2351" i="7"/>
  <c r="F3502" i="7"/>
  <c r="F2332" i="7"/>
  <c r="F2330" i="7"/>
  <c r="F2331" i="7"/>
  <c r="F3495" i="7"/>
  <c r="F2356" i="7"/>
  <c r="F2354" i="7"/>
  <c r="F2355" i="7"/>
  <c r="F3503" i="7"/>
  <c r="F2364" i="7"/>
  <c r="F2365" i="7"/>
  <c r="F2363" i="7"/>
  <c r="F3506" i="7"/>
  <c r="F2357" i="7"/>
  <c r="F2358" i="7"/>
  <c r="F2359" i="7"/>
  <c r="F3504" i="7"/>
  <c r="F3274" i="7"/>
  <c r="F3272" i="7"/>
  <c r="F3273" i="7"/>
  <c r="F3809" i="7"/>
  <c r="F2839" i="7"/>
  <c r="G2839" i="7" s="1"/>
  <c r="F2837" i="7"/>
  <c r="G2837" i="7" s="1"/>
  <c r="F2838" i="7"/>
  <c r="G2838" i="7" s="1"/>
  <c r="F3664" i="7"/>
  <c r="G3664" i="7" s="1"/>
  <c r="F2807" i="7"/>
  <c r="F2808" i="7"/>
  <c r="G2808" i="7" s="1"/>
  <c r="F2809" i="7"/>
  <c r="F3654" i="7"/>
  <c r="F2816" i="7"/>
  <c r="G2816" i="7" s="1"/>
  <c r="F2817" i="7"/>
  <c r="G2817" i="7" s="1"/>
  <c r="F2818" i="7"/>
  <c r="G2818" i="7" s="1"/>
  <c r="F3657" i="7"/>
  <c r="G3657" i="7" s="1"/>
  <c r="F2831" i="7"/>
  <c r="F2832" i="7"/>
  <c r="G2832" i="7" s="1"/>
  <c r="F2833" i="7"/>
  <c r="F3662" i="7"/>
  <c r="F3424" i="7"/>
  <c r="F3422" i="7"/>
  <c r="F3859" i="7"/>
  <c r="F3423" i="7"/>
  <c r="F3043" i="7"/>
  <c r="F3041" i="7"/>
  <c r="F3042" i="7"/>
  <c r="F3732" i="7"/>
  <c r="F3383" i="7"/>
  <c r="F3384" i="7"/>
  <c r="F3385" i="7"/>
  <c r="F3846" i="7"/>
  <c r="F3406" i="7"/>
  <c r="F3404" i="7"/>
  <c r="F3405" i="7"/>
  <c r="F3853" i="7"/>
  <c r="F2712" i="7"/>
  <c r="F2713" i="7"/>
  <c r="F2711" i="7"/>
  <c r="F3622" i="7"/>
  <c r="F2693" i="7"/>
  <c r="F2694" i="7"/>
  <c r="F2695" i="7"/>
  <c r="F3616" i="7"/>
  <c r="F2688" i="7"/>
  <c r="F2689" i="7"/>
  <c r="F2687" i="7"/>
  <c r="F3614" i="7"/>
  <c r="F2737" i="7"/>
  <c r="F2735" i="7"/>
  <c r="F2736" i="7"/>
  <c r="F3630" i="7"/>
  <c r="F2733" i="7"/>
  <c r="F2734" i="7"/>
  <c r="G2734" i="7" s="1"/>
  <c r="F2732" i="7"/>
  <c r="F3629" i="7"/>
  <c r="F2700" i="7"/>
  <c r="F2701" i="7"/>
  <c r="F2699" i="7"/>
  <c r="F3618" i="7"/>
  <c r="F2759" i="7"/>
  <c r="F2760" i="7"/>
  <c r="F2761" i="7"/>
  <c r="F3638" i="7"/>
  <c r="F3370" i="7"/>
  <c r="F3368" i="7"/>
  <c r="F3369" i="7"/>
  <c r="F3841" i="7"/>
  <c r="F3366" i="7"/>
  <c r="F3367" i="7"/>
  <c r="F3365" i="7"/>
  <c r="F3840" i="7"/>
  <c r="F2465" i="7"/>
  <c r="F2466" i="7"/>
  <c r="F2467" i="7"/>
  <c r="F3540" i="7"/>
  <c r="F2457" i="7"/>
  <c r="F2458" i="7"/>
  <c r="F2456" i="7"/>
  <c r="F3537" i="7"/>
  <c r="F2474" i="7"/>
  <c r="F2475" i="7"/>
  <c r="F2476" i="7"/>
  <c r="F3543" i="7"/>
  <c r="F2500" i="7"/>
  <c r="F2498" i="7"/>
  <c r="F2499" i="7"/>
  <c r="F3551" i="7"/>
  <c r="F3102" i="7"/>
  <c r="F3103" i="7"/>
  <c r="F3101" i="7"/>
  <c r="F3752" i="7"/>
  <c r="F3118" i="7"/>
  <c r="F3116" i="7"/>
  <c r="F3117" i="7"/>
  <c r="F3757" i="7"/>
  <c r="F3146" i="7"/>
  <c r="F3147" i="7"/>
  <c r="F3148" i="7"/>
  <c r="F3767" i="7"/>
  <c r="F3131" i="7"/>
  <c r="F3132" i="7"/>
  <c r="F3133" i="7"/>
  <c r="F3762" i="7"/>
  <c r="F2855" i="7"/>
  <c r="F2856" i="7"/>
  <c r="F2857" i="7"/>
  <c r="F3670" i="7"/>
  <c r="F2852" i="7"/>
  <c r="F2853" i="7"/>
  <c r="F2854" i="7"/>
  <c r="F3669" i="7"/>
  <c r="F2879" i="7"/>
  <c r="G2879" i="7" s="1"/>
  <c r="F2880" i="7"/>
  <c r="G2880" i="7" s="1"/>
  <c r="F2881" i="7"/>
  <c r="G2881" i="7" s="1"/>
  <c r="F3678" i="7"/>
  <c r="G3678" i="7" s="1"/>
  <c r="F2888" i="7"/>
  <c r="F2889" i="7"/>
  <c r="F2890" i="7"/>
  <c r="F3681" i="7"/>
  <c r="F2843" i="7"/>
  <c r="F2844" i="7"/>
  <c r="F2845" i="7"/>
  <c r="F3666" i="7"/>
  <c r="F2568" i="7"/>
  <c r="F2569" i="7"/>
  <c r="F2567" i="7"/>
  <c r="F3574" i="7"/>
  <c r="F2600" i="7"/>
  <c r="F2601" i="7"/>
  <c r="F2602" i="7"/>
  <c r="F3585" i="7"/>
  <c r="F2612" i="7"/>
  <c r="F2613" i="7"/>
  <c r="F2614" i="7"/>
  <c r="F3589" i="7"/>
  <c r="F2536" i="7"/>
  <c r="F2534" i="7"/>
  <c r="F2535" i="7"/>
  <c r="F3563" i="7"/>
  <c r="F2556" i="7"/>
  <c r="F2557" i="7"/>
  <c r="F2555" i="7"/>
  <c r="F3570" i="7"/>
  <c r="F2548" i="7"/>
  <c r="F2546" i="7"/>
  <c r="F2547" i="7"/>
  <c r="F3567" i="7"/>
  <c r="F2588" i="7"/>
  <c r="F2589" i="7"/>
  <c r="F2590" i="7"/>
  <c r="F3581" i="7"/>
  <c r="F3310" i="7"/>
  <c r="F3308" i="7"/>
  <c r="F3309" i="7"/>
  <c r="F3821" i="7"/>
  <c r="F3306" i="7"/>
  <c r="F3307" i="7"/>
  <c r="F3305" i="7"/>
  <c r="F3820" i="7"/>
  <c r="F2995" i="7"/>
  <c r="F2993" i="7"/>
  <c r="F2994" i="7"/>
  <c r="F3716" i="7"/>
  <c r="F2292" i="7"/>
  <c r="G2292" i="7" s="1"/>
  <c r="F2293" i="7"/>
  <c r="G2293" i="7" s="1"/>
  <c r="F2291" i="7"/>
  <c r="G2291" i="7" s="1"/>
  <c r="F3482" i="7"/>
  <c r="G3482" i="7" s="1"/>
  <c r="F2248" i="7"/>
  <c r="F2246" i="7"/>
  <c r="F2247" i="7"/>
  <c r="F3467" i="7"/>
  <c r="F2232" i="7"/>
  <c r="F2233" i="7"/>
  <c r="F2231" i="7"/>
  <c r="F3462" i="7"/>
  <c r="F2176" i="7"/>
  <c r="F2174" i="7"/>
  <c r="F2175" i="7"/>
  <c r="F3443" i="7"/>
  <c r="F2164" i="7"/>
  <c r="F2162" i="7"/>
  <c r="F2163" i="7"/>
  <c r="F3439" i="7"/>
  <c r="F3198" i="7"/>
  <c r="F3199" i="7"/>
  <c r="F3197" i="7"/>
  <c r="F3784" i="7"/>
  <c r="F2955" i="7"/>
  <c r="F2956" i="7"/>
  <c r="F2954" i="7"/>
  <c r="F3703" i="7"/>
  <c r="F2935" i="7"/>
  <c r="F2933" i="7"/>
  <c r="F2934" i="7"/>
  <c r="F3696" i="7"/>
  <c r="F2963" i="7"/>
  <c r="F2964" i="7"/>
  <c r="F2965" i="7"/>
  <c r="F3706" i="7"/>
  <c r="F2924" i="7"/>
  <c r="F2925" i="7"/>
  <c r="F2926" i="7"/>
  <c r="F3693" i="7"/>
  <c r="F2645" i="7"/>
  <c r="F2646" i="7"/>
  <c r="F2647" i="7"/>
  <c r="F3600" i="7"/>
  <c r="F2632" i="7"/>
  <c r="F2630" i="7"/>
  <c r="F2631" i="7"/>
  <c r="F3595" i="7"/>
  <c r="F2620" i="7"/>
  <c r="F2618" i="7"/>
  <c r="F2619" i="7"/>
  <c r="F3591" i="7"/>
  <c r="F2441" i="7"/>
  <c r="F2442" i="7"/>
  <c r="F2443" i="7"/>
  <c r="F3532" i="7"/>
  <c r="F2436" i="7"/>
  <c r="F2437" i="7"/>
  <c r="F2435" i="7"/>
  <c r="F3530" i="7"/>
  <c r="F3047" i="7"/>
  <c r="F3048" i="7"/>
  <c r="F3049" i="7"/>
  <c r="F3734" i="7"/>
  <c r="F3338" i="7"/>
  <c r="F3339" i="7"/>
  <c r="F3340" i="7"/>
  <c r="F3831" i="7"/>
  <c r="F3346" i="7"/>
  <c r="F3344" i="7"/>
  <c r="F3345" i="7"/>
  <c r="F3833" i="7"/>
  <c r="F2212" i="7"/>
  <c r="F2210" i="7"/>
  <c r="F2211" i="7"/>
  <c r="F3455" i="7"/>
  <c r="F2189" i="7"/>
  <c r="F2190" i="7"/>
  <c r="F2191" i="7"/>
  <c r="F3448" i="7"/>
  <c r="F3174" i="7"/>
  <c r="F3175" i="7"/>
  <c r="F3173" i="7"/>
  <c r="F3776" i="7"/>
  <c r="F3155" i="7"/>
  <c r="F3156" i="7"/>
  <c r="F3157" i="7"/>
  <c r="F3770" i="7"/>
  <c r="F2336" i="7"/>
  <c r="F2337" i="7"/>
  <c r="G2337" i="7" s="1"/>
  <c r="F2338" i="7"/>
  <c r="F3497" i="7"/>
  <c r="F2333" i="7"/>
  <c r="F2334" i="7"/>
  <c r="F2335" i="7"/>
  <c r="F3496" i="7"/>
  <c r="F2328" i="7"/>
  <c r="F2329" i="7"/>
  <c r="F2327" i="7"/>
  <c r="F3494" i="7"/>
  <c r="F2348" i="7"/>
  <c r="F2349" i="7"/>
  <c r="G2349" i="7" s="1"/>
  <c r="F2350" i="7"/>
  <c r="F3501" i="7"/>
  <c r="F2405" i="7"/>
  <c r="F2406" i="7"/>
  <c r="F2407" i="7"/>
  <c r="F3520" i="7"/>
  <c r="F2380" i="7"/>
  <c r="F2378" i="7"/>
  <c r="G2378" i="7" s="1"/>
  <c r="F2379" i="7"/>
  <c r="F3511" i="7"/>
  <c r="F2372" i="7"/>
  <c r="F2373" i="7"/>
  <c r="F2374" i="7"/>
  <c r="F3509" i="7"/>
  <c r="F2384" i="7"/>
  <c r="F2385" i="7"/>
  <c r="G2385" i="7" s="1"/>
  <c r="F2386" i="7"/>
  <c r="F3513" i="7"/>
  <c r="F3270" i="7"/>
  <c r="F3271" i="7"/>
  <c r="G3271" i="7" s="1"/>
  <c r="F3269" i="7"/>
  <c r="F3808" i="7"/>
  <c r="F3275" i="7"/>
  <c r="F3276" i="7"/>
  <c r="F3277" i="7"/>
  <c r="F3810" i="7"/>
  <c r="F3290" i="7"/>
  <c r="F3291" i="7"/>
  <c r="F3292" i="7"/>
  <c r="F3815" i="7"/>
  <c r="F2823" i="7"/>
  <c r="G2823" i="7" s="1"/>
  <c r="F2824" i="7"/>
  <c r="G2824" i="7" s="1"/>
  <c r="F2822" i="7"/>
  <c r="G2822" i="7" s="1"/>
  <c r="F3659" i="7"/>
  <c r="G3659" i="7" s="1"/>
  <c r="F2771" i="7"/>
  <c r="F2772" i="7"/>
  <c r="F2773" i="7"/>
  <c r="F3642" i="7"/>
  <c r="F2840" i="7"/>
  <c r="G2840" i="7" s="1"/>
  <c r="F2841" i="7"/>
  <c r="G2841" i="7" s="1"/>
  <c r="F2842" i="7"/>
  <c r="G2842" i="7" s="1"/>
  <c r="F3665" i="7"/>
  <c r="G3665" i="7" s="1"/>
  <c r="F3418" i="7"/>
  <c r="G3418" i="7" s="1"/>
  <c r="F3416" i="7"/>
  <c r="G3416" i="7" s="1"/>
  <c r="F3417" i="7"/>
  <c r="G3417" i="7" s="1"/>
  <c r="F3857" i="7"/>
  <c r="G3857" i="7" s="1"/>
  <c r="F3023" i="7"/>
  <c r="F3024" i="7"/>
  <c r="F3025" i="7"/>
  <c r="F3726" i="7"/>
  <c r="F3031" i="7"/>
  <c r="F3029" i="7"/>
  <c r="G3029" i="7" s="1"/>
  <c r="F3030" i="7"/>
  <c r="F3728" i="7"/>
  <c r="F3095" i="7"/>
  <c r="F3096" i="7"/>
  <c r="F3097" i="7"/>
  <c r="F3750" i="7"/>
  <c r="F3246" i="7"/>
  <c r="F3247" i="7"/>
  <c r="F3245" i="7"/>
  <c r="F3800" i="7"/>
  <c r="F3234" i="7"/>
  <c r="F3235" i="7"/>
  <c r="F3233" i="7"/>
  <c r="F3796" i="7"/>
  <c r="F3407" i="7"/>
  <c r="G3407" i="7" s="1"/>
  <c r="F3408" i="7"/>
  <c r="G3408" i="7" s="1"/>
  <c r="F3854" i="7"/>
  <c r="G3854" i="7" s="1"/>
  <c r="F3409" i="7"/>
  <c r="G3409" i="7" s="1"/>
  <c r="F3398" i="7"/>
  <c r="F3399" i="7"/>
  <c r="F3400" i="7"/>
  <c r="F3851" i="7"/>
  <c r="F2767" i="7"/>
  <c r="F2765" i="7"/>
  <c r="F2766" i="7"/>
  <c r="F3640" i="7"/>
  <c r="F2750" i="7"/>
  <c r="G2750" i="7" s="1"/>
  <c r="F2751" i="7"/>
  <c r="G2751" i="7" s="1"/>
  <c r="F2752" i="7"/>
  <c r="G2752" i="7" s="1"/>
  <c r="F3635" i="7"/>
  <c r="G3635" i="7" s="1"/>
  <c r="F2729" i="7"/>
  <c r="F2730" i="7"/>
  <c r="F2731" i="7"/>
  <c r="F3628" i="7"/>
  <c r="F3382" i="7"/>
  <c r="F3380" i="7"/>
  <c r="F3381" i="7"/>
  <c r="F3845" i="7"/>
  <c r="F2469" i="7"/>
  <c r="F2470" i="7"/>
  <c r="F2468" i="7"/>
  <c r="F3541" i="7"/>
  <c r="F2504" i="7"/>
  <c r="F2505" i="7"/>
  <c r="F2506" i="7"/>
  <c r="F3553" i="7"/>
  <c r="F2524" i="7"/>
  <c r="F2522" i="7"/>
  <c r="F2523" i="7"/>
  <c r="F3559" i="7"/>
  <c r="F2477" i="7"/>
  <c r="F2478" i="7"/>
  <c r="F2479" i="7"/>
  <c r="F3544" i="7"/>
  <c r="F3122" i="7"/>
  <c r="G3122" i="7" s="1"/>
  <c r="F3123" i="7"/>
  <c r="G3123" i="7" s="1"/>
  <c r="F3124" i="7"/>
  <c r="G3124" i="7" s="1"/>
  <c r="F3759" i="7"/>
  <c r="G3759" i="7" s="1"/>
  <c r="F3142" i="7"/>
  <c r="F3140" i="7"/>
  <c r="F3141" i="7"/>
  <c r="F3765" i="7"/>
  <c r="F2847" i="7"/>
  <c r="F2848" i="7"/>
  <c r="F2846" i="7"/>
  <c r="F3667" i="7"/>
  <c r="F2859" i="7"/>
  <c r="F2860" i="7"/>
  <c r="F2858" i="7"/>
  <c r="F3671" i="7"/>
  <c r="F2871" i="7"/>
  <c r="F2872" i="7"/>
  <c r="F2870" i="7"/>
  <c r="F3675" i="7"/>
  <c r="F2584" i="7"/>
  <c r="F2582" i="7"/>
  <c r="F2583" i="7"/>
  <c r="F3579" i="7"/>
  <c r="F2616" i="7"/>
  <c r="F2617" i="7"/>
  <c r="F2615" i="7"/>
  <c r="F3590" i="7"/>
  <c r="F2532" i="7"/>
  <c r="F2533" i="7"/>
  <c r="F2531" i="7"/>
  <c r="F3562" i="7"/>
  <c r="F2596" i="7"/>
  <c r="F2594" i="7"/>
  <c r="F2595" i="7"/>
  <c r="F3583" i="7"/>
  <c r="F2537" i="7"/>
  <c r="F2538" i="7"/>
  <c r="F2539" i="7"/>
  <c r="F3564" i="7"/>
  <c r="F2561" i="7"/>
  <c r="F2562" i="7"/>
  <c r="F2563" i="7"/>
  <c r="F3572" i="7"/>
  <c r="F3314" i="7"/>
  <c r="F3315" i="7"/>
  <c r="G3315" i="7" s="1"/>
  <c r="F3316" i="7"/>
  <c r="F3823" i="7"/>
  <c r="F3298" i="7"/>
  <c r="F3296" i="7"/>
  <c r="F3297" i="7"/>
  <c r="F3817" i="7"/>
  <c r="F2160" i="7"/>
  <c r="F2161" i="7"/>
  <c r="F2159" i="7"/>
  <c r="F3438" i="7"/>
  <c r="F3203" i="7"/>
  <c r="F3204" i="7"/>
  <c r="F3205" i="7"/>
  <c r="F3786" i="7"/>
  <c r="F3182" i="7"/>
  <c r="F3183" i="7"/>
  <c r="F3184" i="7"/>
  <c r="F3779" i="7"/>
  <c r="F2951" i="7"/>
  <c r="F2952" i="7"/>
  <c r="F2953" i="7"/>
  <c r="F3702" i="7"/>
  <c r="F2972" i="7"/>
  <c r="F2973" i="7"/>
  <c r="F2974" i="7"/>
  <c r="F3709" i="7"/>
  <c r="F2911" i="7"/>
  <c r="F2909" i="7"/>
  <c r="F2910" i="7"/>
  <c r="F3688" i="7"/>
  <c r="F2657" i="7"/>
  <c r="F2658" i="7"/>
  <c r="F2659" i="7"/>
  <c r="F3604" i="7"/>
  <c r="F2672" i="7"/>
  <c r="F2673" i="7"/>
  <c r="F2674" i="7"/>
  <c r="F3609" i="7"/>
  <c r="F2669" i="7"/>
  <c r="F2670" i="7"/>
  <c r="F2671" i="7"/>
  <c r="F3608" i="7"/>
  <c r="F2644" i="7"/>
  <c r="F2642" i="7"/>
  <c r="F2643" i="7"/>
  <c r="F3599" i="7"/>
  <c r="F2429" i="7"/>
  <c r="F2430" i="7"/>
  <c r="F2431" i="7"/>
  <c r="F3528" i="7"/>
  <c r="F3051" i="7"/>
  <c r="F3052" i="7"/>
  <c r="F3050" i="7"/>
  <c r="F3735" i="7"/>
  <c r="F2316" i="7"/>
  <c r="F2317" i="7"/>
  <c r="G2317" i="7" s="1"/>
  <c r="F2315" i="7"/>
  <c r="F3490" i="7"/>
  <c r="F2324" i="7"/>
  <c r="F2325" i="7"/>
  <c r="G2325" i="7" s="1"/>
  <c r="F2326" i="7"/>
  <c r="F3493" i="7"/>
  <c r="F2297" i="7"/>
  <c r="F2298" i="7"/>
  <c r="G2298" i="7" s="1"/>
  <c r="F2299" i="7"/>
  <c r="F3484" i="7"/>
  <c r="F2309" i="7"/>
  <c r="F2310" i="7"/>
  <c r="F2311" i="7"/>
  <c r="F3488" i="7"/>
  <c r="F2345" i="7"/>
  <c r="F2346" i="7"/>
  <c r="G2346" i="7" s="1"/>
  <c r="F2347" i="7"/>
  <c r="F3500" i="7"/>
  <c r="F2404" i="7"/>
  <c r="F2402" i="7"/>
  <c r="F2403" i="7"/>
  <c r="F3519" i="7"/>
  <c r="F2369" i="7"/>
  <c r="F2370" i="7"/>
  <c r="G2370" i="7" s="1"/>
  <c r="F2371" i="7"/>
  <c r="F3508" i="7"/>
  <c r="F2388" i="7"/>
  <c r="F2389" i="7"/>
  <c r="G2389" i="7" s="1"/>
  <c r="F2387" i="7"/>
  <c r="F3514" i="7"/>
  <c r="F2393" i="7"/>
  <c r="F2394" i="7"/>
  <c r="F2395" i="7"/>
  <c r="F3516" i="7"/>
  <c r="F3287" i="7"/>
  <c r="F3288" i="7"/>
  <c r="F3289" i="7"/>
  <c r="F3814" i="7"/>
  <c r="F3294" i="7"/>
  <c r="F3295" i="7"/>
  <c r="G3295" i="7" s="1"/>
  <c r="F3293" i="7"/>
  <c r="F3816" i="7"/>
  <c r="F3286" i="7"/>
  <c r="F3284" i="7"/>
  <c r="F3285" i="7"/>
  <c r="F3813" i="7"/>
  <c r="F2815" i="7"/>
  <c r="F2813" i="7"/>
  <c r="F2814" i="7"/>
  <c r="F3656" i="7"/>
  <c r="F2795" i="7"/>
  <c r="F2796" i="7"/>
  <c r="F2797" i="7"/>
  <c r="F3650" i="7"/>
  <c r="F2827" i="7"/>
  <c r="G2827" i="7" s="1"/>
  <c r="F2825" i="7"/>
  <c r="G2825" i="7" s="1"/>
  <c r="F2826" i="7"/>
  <c r="G2826" i="7" s="1"/>
  <c r="F3660" i="7"/>
  <c r="G3660" i="7" s="1"/>
  <c r="F2828" i="7"/>
  <c r="F2829" i="7"/>
  <c r="F2830" i="7"/>
  <c r="F3661" i="7"/>
  <c r="F2775" i="7"/>
  <c r="F2776" i="7"/>
  <c r="F2774" i="7"/>
  <c r="F3643" i="7"/>
  <c r="F2804" i="7"/>
  <c r="F2805" i="7"/>
  <c r="F2806" i="7"/>
  <c r="F3653" i="7"/>
  <c r="F3427" i="7"/>
  <c r="F3860" i="7"/>
  <c r="F3425" i="7"/>
  <c r="F3426" i="7"/>
  <c r="F3027" i="7"/>
  <c r="F3028" i="7"/>
  <c r="F3026" i="7"/>
  <c r="F3727" i="7"/>
  <c r="F3039" i="7"/>
  <c r="F3040" i="7"/>
  <c r="F3038" i="7"/>
  <c r="F3731" i="7"/>
  <c r="F3019" i="7"/>
  <c r="F3017" i="7"/>
  <c r="F3018" i="7"/>
  <c r="F3724" i="7"/>
  <c r="F3094" i="7"/>
  <c r="F3092" i="7"/>
  <c r="F3093" i="7"/>
  <c r="F3749" i="7"/>
  <c r="F3090" i="7"/>
  <c r="F3091" i="7"/>
  <c r="F3089" i="7"/>
  <c r="F3748" i="7"/>
  <c r="F3227" i="7"/>
  <c r="F3228" i="7"/>
  <c r="G3228" i="7" s="1"/>
  <c r="F3229" i="7"/>
  <c r="F3794" i="7"/>
  <c r="F3226" i="7"/>
  <c r="F3224" i="7"/>
  <c r="F3225" i="7"/>
  <c r="F3793" i="7"/>
  <c r="F3222" i="7"/>
  <c r="F3223" i="7"/>
  <c r="F3221" i="7"/>
  <c r="F3792" i="7"/>
  <c r="F3251" i="7"/>
  <c r="F3252" i="7"/>
  <c r="F3253" i="7"/>
  <c r="F3802" i="7"/>
  <c r="F3395" i="7"/>
  <c r="F3396" i="7"/>
  <c r="G3396" i="7" s="1"/>
  <c r="F3397" i="7"/>
  <c r="F3850" i="7"/>
  <c r="F3394" i="7"/>
  <c r="F3392" i="7"/>
  <c r="F3393" i="7"/>
  <c r="F3849" i="7"/>
  <c r="F3414" i="7"/>
  <c r="G3414" i="7" s="1"/>
  <c r="F3415" i="7"/>
  <c r="G3415" i="7" s="1"/>
  <c r="F3413" i="7"/>
  <c r="G3413" i="7" s="1"/>
  <c r="F3856" i="7"/>
  <c r="G3856" i="7" s="1"/>
  <c r="F2747" i="7"/>
  <c r="F2748" i="7"/>
  <c r="F2749" i="7"/>
  <c r="F3634" i="7"/>
  <c r="F2724" i="7"/>
  <c r="F2725" i="7"/>
  <c r="F2723" i="7"/>
  <c r="F3626" i="7"/>
  <c r="F2717" i="7"/>
  <c r="F2718" i="7"/>
  <c r="G2718" i="7" s="1"/>
  <c r="F2719" i="7"/>
  <c r="F3624" i="7"/>
  <c r="F2696" i="7"/>
  <c r="F2697" i="7"/>
  <c r="F2698" i="7"/>
  <c r="F3617" i="7"/>
  <c r="F2720" i="7"/>
  <c r="F2721" i="7"/>
  <c r="F2722" i="7"/>
  <c r="F3625" i="7"/>
  <c r="F2708" i="7"/>
  <c r="F2709" i="7"/>
  <c r="F2710" i="7"/>
  <c r="F3621" i="7"/>
  <c r="F2716" i="7"/>
  <c r="F2714" i="7"/>
  <c r="G2714" i="7" s="1"/>
  <c r="F2715" i="7"/>
  <c r="F3623" i="7"/>
  <c r="F3378" i="7"/>
  <c r="F3379" i="7"/>
  <c r="G3379" i="7" s="1"/>
  <c r="F3377" i="7"/>
  <c r="F3844" i="7"/>
  <c r="F3371" i="7"/>
  <c r="F3372" i="7"/>
  <c r="F3373" i="7"/>
  <c r="F3842" i="7"/>
  <c r="F2516" i="7"/>
  <c r="F2517" i="7"/>
  <c r="F2518" i="7"/>
  <c r="F3557" i="7"/>
  <c r="F2525" i="7"/>
  <c r="F2526" i="7"/>
  <c r="F2527" i="7"/>
  <c r="F3560" i="7"/>
  <c r="F2481" i="7"/>
  <c r="F2482" i="7"/>
  <c r="F2480" i="7"/>
  <c r="F3545" i="7"/>
  <c r="F2473" i="7"/>
  <c r="F2472" i="7"/>
  <c r="F2471" i="7"/>
  <c r="F3542" i="7"/>
  <c r="F2462" i="7"/>
  <c r="F2464" i="7"/>
  <c r="F2463" i="7"/>
  <c r="F3539" i="7"/>
  <c r="F2486" i="7"/>
  <c r="F2488" i="7"/>
  <c r="G2488" i="7" s="1"/>
  <c r="F2487" i="7"/>
  <c r="F3547" i="7"/>
  <c r="F2513" i="7"/>
  <c r="G2513" i="7" s="1"/>
  <c r="F2514" i="7"/>
  <c r="G2514" i="7" s="1"/>
  <c r="F2515" i="7"/>
  <c r="G2515" i="7" s="1"/>
  <c r="F3556" i="7"/>
  <c r="G3556" i="7" s="1"/>
  <c r="F3119" i="7"/>
  <c r="F3120" i="7"/>
  <c r="F3121" i="7"/>
  <c r="F3758" i="7"/>
  <c r="F3114" i="7"/>
  <c r="F3115" i="7"/>
  <c r="G3115" i="7" s="1"/>
  <c r="F3113" i="7"/>
  <c r="F3756" i="7"/>
  <c r="F3138" i="7"/>
  <c r="F3139" i="7"/>
  <c r="F3137" i="7"/>
  <c r="F3764" i="7"/>
  <c r="F3134" i="7"/>
  <c r="F3135" i="7"/>
  <c r="G3135" i="7" s="1"/>
  <c r="F3136" i="7"/>
  <c r="F3763" i="7"/>
  <c r="F2864" i="7"/>
  <c r="F2865" i="7"/>
  <c r="F2866" i="7"/>
  <c r="G2866" i="7" s="1"/>
  <c r="F3673" i="7"/>
  <c r="F2876" i="7"/>
  <c r="F2877" i="7"/>
  <c r="F2878" i="7"/>
  <c r="F3677" i="7"/>
  <c r="F2891" i="7"/>
  <c r="F2892" i="7"/>
  <c r="F2893" i="7"/>
  <c r="F3682" i="7"/>
  <c r="F2899" i="7"/>
  <c r="F2897" i="7"/>
  <c r="F2898" i="7"/>
  <c r="F3684" i="7"/>
  <c r="F2585" i="7"/>
  <c r="F2586" i="7"/>
  <c r="F2587" i="7"/>
  <c r="G2587" i="7" s="1"/>
  <c r="F3580" i="7"/>
  <c r="F2609" i="7"/>
  <c r="F2610" i="7"/>
  <c r="F2611" i="7"/>
  <c r="F3588" i="7"/>
  <c r="F2540" i="7"/>
  <c r="F2541" i="7"/>
  <c r="F2542" i="7"/>
  <c r="F3565" i="7"/>
  <c r="F2549" i="7"/>
  <c r="F2550" i="7"/>
  <c r="F2551" i="7"/>
  <c r="F3568" i="7"/>
  <c r="F2544" i="7"/>
  <c r="F2545" i="7"/>
  <c r="F2543" i="7"/>
  <c r="G2543" i="7" s="1"/>
  <c r="F3566" i="7"/>
  <c r="F2560" i="7"/>
  <c r="F2558" i="7"/>
  <c r="F2559" i="7"/>
  <c r="F3571" i="7"/>
  <c r="F2552" i="7"/>
  <c r="F2553" i="7"/>
  <c r="F2554" i="7"/>
  <c r="F3569" i="7"/>
  <c r="F2573" i="7"/>
  <c r="F2574" i="7"/>
  <c r="F2575" i="7"/>
  <c r="F3576" i="7"/>
  <c r="F3302" i="7"/>
  <c r="F3303" i="7"/>
  <c r="F3304" i="7"/>
  <c r="F3819" i="7"/>
  <c r="F2996" i="7"/>
  <c r="F2997" i="7"/>
  <c r="F2998" i="7"/>
  <c r="F3717" i="7"/>
  <c r="F2987" i="7"/>
  <c r="F2988" i="7"/>
  <c r="F2989" i="7"/>
  <c r="F3714" i="7"/>
  <c r="F3007" i="7"/>
  <c r="F3005" i="7"/>
  <c r="F3006" i="7"/>
  <c r="F3720" i="7"/>
  <c r="F2288" i="7"/>
  <c r="F2289" i="7"/>
  <c r="G2289" i="7" s="1"/>
  <c r="F2290" i="7"/>
  <c r="F3481" i="7"/>
  <c r="F2285" i="7"/>
  <c r="G2285" i="7" s="1"/>
  <c r="F2286" i="7"/>
  <c r="G2286" i="7" s="1"/>
  <c r="F2287" i="7"/>
  <c r="G2287" i="7" s="1"/>
  <c r="F3480" i="7"/>
  <c r="G3480" i="7" s="1"/>
  <c r="F2276" i="7"/>
  <c r="F2277" i="7"/>
  <c r="F2278" i="7"/>
  <c r="F3477" i="7"/>
  <c r="F2260" i="7"/>
  <c r="F2258" i="7"/>
  <c r="F2259" i="7"/>
  <c r="G2259" i="7" s="1"/>
  <c r="F3471" i="7"/>
  <c r="F2249" i="7"/>
  <c r="F2250" i="7"/>
  <c r="F2251" i="7"/>
  <c r="F3468" i="7"/>
  <c r="F2236" i="7"/>
  <c r="F2234" i="7"/>
  <c r="F2235" i="7"/>
  <c r="G2235" i="7" s="1"/>
  <c r="F3463" i="7"/>
  <c r="F2168" i="7"/>
  <c r="F2169" i="7"/>
  <c r="F2170" i="7"/>
  <c r="F3441" i="7"/>
  <c r="F2165" i="7"/>
  <c r="F2166" i="7"/>
  <c r="G2166" i="7" s="1"/>
  <c r="F2167" i="7"/>
  <c r="F3440" i="7"/>
  <c r="F2180" i="7"/>
  <c r="F2181" i="7"/>
  <c r="F2182" i="7"/>
  <c r="F3445" i="7"/>
  <c r="F3186" i="7"/>
  <c r="F3187" i="7"/>
  <c r="G3187" i="7" s="1"/>
  <c r="F3185" i="7"/>
  <c r="F3780" i="7"/>
  <c r="F3179" i="7"/>
  <c r="F3180" i="7"/>
  <c r="F3181" i="7"/>
  <c r="F3778" i="7"/>
  <c r="F3202" i="7"/>
  <c r="F3200" i="7"/>
  <c r="G3200" i="7" s="1"/>
  <c r="F3201" i="7"/>
  <c r="F3785" i="7"/>
  <c r="F2939" i="7"/>
  <c r="F2940" i="7"/>
  <c r="F2941" i="7"/>
  <c r="F3698" i="7"/>
  <c r="F2943" i="7"/>
  <c r="F2944" i="7"/>
  <c r="F2942" i="7"/>
  <c r="F3699" i="7"/>
  <c r="F2979" i="7"/>
  <c r="F2980" i="7"/>
  <c r="F2978" i="7"/>
  <c r="F3711" i="7"/>
  <c r="F2983" i="7"/>
  <c r="F2981" i="7"/>
  <c r="F2982" i="7"/>
  <c r="F3712" i="7"/>
  <c r="F2919" i="7"/>
  <c r="F2920" i="7"/>
  <c r="F2918" i="7"/>
  <c r="F3691" i="7"/>
  <c r="F2900" i="7"/>
  <c r="F2901" i="7"/>
  <c r="F2902" i="7"/>
  <c r="F3685" i="7"/>
  <c r="F2903" i="7"/>
  <c r="F2904" i="7"/>
  <c r="F2905" i="7"/>
  <c r="F3686" i="7"/>
  <c r="F2676" i="7"/>
  <c r="F2677" i="7"/>
  <c r="F2675" i="7"/>
  <c r="F3610" i="7"/>
  <c r="F2628" i="7"/>
  <c r="F2629" i="7"/>
  <c r="F2627" i="7"/>
  <c r="G2627" i="7" s="1"/>
  <c r="F3594" i="7"/>
  <c r="F2624" i="7"/>
  <c r="F2625" i="7"/>
  <c r="G2625" i="7" s="1"/>
  <c r="F2626" i="7"/>
  <c r="G2626" i="7" s="1"/>
  <c r="F3593" i="7"/>
  <c r="F2621" i="7"/>
  <c r="F2622" i="7"/>
  <c r="F2623" i="7"/>
  <c r="G2623" i="7" s="1"/>
  <c r="F3592" i="7"/>
  <c r="F2648" i="7"/>
  <c r="F2649" i="7"/>
  <c r="G2649" i="7" s="1"/>
  <c r="F2650" i="7"/>
  <c r="G2650" i="7" s="1"/>
  <c r="F3601" i="7"/>
  <c r="F2684" i="7"/>
  <c r="F2685" i="7"/>
  <c r="F2686" i="7"/>
  <c r="F3613" i="7"/>
  <c r="F2412" i="7"/>
  <c r="F2413" i="7"/>
  <c r="F2411" i="7"/>
  <c r="G2411" i="7" s="1"/>
  <c r="F3522" i="7"/>
  <c r="F2416" i="7"/>
  <c r="F2414" i="7"/>
  <c r="F2415" i="7"/>
  <c r="F3523" i="7"/>
  <c r="F2408" i="7"/>
  <c r="F2409" i="7"/>
  <c r="F2410" i="7"/>
  <c r="G2410" i="7" s="1"/>
  <c r="F3521" i="7"/>
  <c r="F3063" i="7"/>
  <c r="F3064" i="7"/>
  <c r="F3062" i="7"/>
  <c r="G3062" i="7" s="1"/>
  <c r="F3739" i="7"/>
  <c r="F3067" i="7"/>
  <c r="F3065" i="7"/>
  <c r="F3066" i="7"/>
  <c r="F3740" i="7"/>
  <c r="F3322" i="7"/>
  <c r="F3320" i="7"/>
  <c r="F3321" i="7"/>
  <c r="F3825" i="7"/>
  <c r="F3330" i="7"/>
  <c r="F3331" i="7"/>
  <c r="G3331" i="7" s="1"/>
  <c r="F3329" i="7"/>
  <c r="G3329" i="7" s="1"/>
  <c r="F3828" i="7"/>
  <c r="F3354" i="7"/>
  <c r="F3355" i="7"/>
  <c r="F3353" i="7"/>
  <c r="F3836" i="7"/>
  <c r="F3358" i="7"/>
  <c r="F3356" i="7"/>
  <c r="G3356" i="7" s="1"/>
  <c r="F3357" i="7"/>
  <c r="G3357" i="7" s="1"/>
  <c r="F3837" i="7"/>
  <c r="F2225" i="7"/>
  <c r="F2226" i="7"/>
  <c r="F2227" i="7"/>
  <c r="F3460" i="7"/>
  <c r="F2220" i="7"/>
  <c r="F2221" i="7"/>
  <c r="F2219" i="7"/>
  <c r="G2219" i="7" s="1"/>
  <c r="F3458" i="7"/>
  <c r="F2200" i="7"/>
  <c r="F2198" i="7"/>
  <c r="F2199" i="7"/>
  <c r="F3451" i="7"/>
  <c r="F2228" i="7"/>
  <c r="F2229" i="7"/>
  <c r="F2230" i="7"/>
  <c r="G2230" i="7" s="1"/>
  <c r="F3461" i="7"/>
  <c r="F3158" i="7"/>
  <c r="F3159" i="7"/>
  <c r="F3160" i="7"/>
  <c r="F3771" i="7"/>
  <c r="F3167" i="7"/>
  <c r="F3168" i="7"/>
  <c r="F3169" i="7"/>
  <c r="F3774" i="7"/>
  <c r="F2312" i="7"/>
  <c r="F2313" i="7"/>
  <c r="F2314" i="7"/>
  <c r="F3489" i="7"/>
  <c r="F2360" i="7"/>
  <c r="F2361" i="7"/>
  <c r="F2362" i="7"/>
  <c r="F3505" i="7"/>
  <c r="F2376" i="7"/>
  <c r="F2377" i="7"/>
  <c r="F2375" i="7"/>
  <c r="F3510" i="7"/>
  <c r="F2400" i="7"/>
  <c r="F2401" i="7"/>
  <c r="F2399" i="7"/>
  <c r="F3518" i="7"/>
  <c r="F3282" i="7"/>
  <c r="F3283" i="7"/>
  <c r="F3281" i="7"/>
  <c r="F3812" i="7"/>
  <c r="F2780" i="7"/>
  <c r="F2781" i="7"/>
  <c r="F2782" i="7"/>
  <c r="F3645" i="7"/>
  <c r="F3044" i="7"/>
  <c r="G3044" i="7" s="1"/>
  <c r="F3045" i="7"/>
  <c r="G3045" i="7" s="1"/>
  <c r="F3046" i="7"/>
  <c r="G3046" i="7" s="1"/>
  <c r="F3733" i="7"/>
  <c r="G3733" i="7" s="1"/>
  <c r="F3081" i="7"/>
  <c r="F3082" i="7"/>
  <c r="G3082" i="7" s="1"/>
  <c r="F3080" i="7"/>
  <c r="G3080" i="7" s="1"/>
  <c r="F3745" i="7"/>
  <c r="F3077" i="7"/>
  <c r="F3078" i="7"/>
  <c r="F3079" i="7"/>
  <c r="G3079" i="7" s="1"/>
  <c r="F3744" i="7"/>
  <c r="F3072" i="7"/>
  <c r="F3073" i="7"/>
  <c r="F3071" i="7"/>
  <c r="F3742" i="7"/>
  <c r="F3250" i="7"/>
  <c r="F3248" i="7"/>
  <c r="F3249" i="7"/>
  <c r="F3801" i="7"/>
  <c r="F3218" i="7"/>
  <c r="F3219" i="7"/>
  <c r="F3220" i="7"/>
  <c r="G3220" i="7" s="1"/>
  <c r="F3791" i="7"/>
  <c r="F3230" i="7"/>
  <c r="F3231" i="7"/>
  <c r="G3231" i="7" s="1"/>
  <c r="F3232" i="7"/>
  <c r="G3232" i="7" s="1"/>
  <c r="F3795" i="7"/>
  <c r="F2508" i="7"/>
  <c r="F2509" i="7"/>
  <c r="F2507" i="7"/>
  <c r="F3554" i="7"/>
  <c r="F3008" i="7"/>
  <c r="F3009" i="7"/>
  <c r="F3010" i="7"/>
  <c r="G3010" i="7" s="1"/>
  <c r="F3721" i="7"/>
  <c r="F2268" i="7"/>
  <c r="F2269" i="7"/>
  <c r="F2267" i="7"/>
  <c r="F3474" i="7"/>
  <c r="F2272" i="7"/>
  <c r="F2270" i="7"/>
  <c r="F2271" i="7"/>
  <c r="F3475" i="7"/>
  <c r="F2177" i="7"/>
  <c r="F2178" i="7"/>
  <c r="F2179" i="7"/>
  <c r="F3444" i="7"/>
  <c r="F3194" i="7"/>
  <c r="F3195" i="7"/>
  <c r="F3196" i="7"/>
  <c r="F3783" i="7"/>
  <c r="F3191" i="7"/>
  <c r="F3192" i="7"/>
  <c r="F3193" i="7"/>
  <c r="F3782" i="7"/>
  <c r="F2936" i="7"/>
  <c r="F2937" i="7"/>
  <c r="F2938" i="7"/>
  <c r="F3697" i="7"/>
  <c r="F2971" i="7"/>
  <c r="F2969" i="7"/>
  <c r="F2970" i="7"/>
  <c r="F3708" i="7"/>
  <c r="F2912" i="7"/>
  <c r="F2913" i="7"/>
  <c r="F2914" i="7"/>
  <c r="F3689" i="7"/>
  <c r="F2652" i="7"/>
  <c r="F2653" i="7"/>
  <c r="F2651" i="7"/>
  <c r="F3602" i="7"/>
  <c r="F2660" i="7"/>
  <c r="F2661" i="7"/>
  <c r="F2662" i="7"/>
  <c r="F3605" i="7"/>
  <c r="F2680" i="7"/>
  <c r="F2678" i="7"/>
  <c r="F2679" i="7"/>
  <c r="F3611" i="7"/>
  <c r="F2432" i="7"/>
  <c r="F2433" i="7"/>
  <c r="F2434" i="7"/>
  <c r="F3529" i="7"/>
  <c r="F2428" i="7"/>
  <c r="F2426" i="7"/>
  <c r="F2427" i="7"/>
  <c r="F3527" i="7"/>
  <c r="F3059" i="7"/>
  <c r="F3060" i="7"/>
  <c r="F3061" i="7"/>
  <c r="F3738" i="7"/>
  <c r="F3334" i="7"/>
  <c r="F3332" i="7"/>
  <c r="F3333" i="7"/>
  <c r="F3829" i="7"/>
  <c r="F2213" i="7"/>
  <c r="F2214" i="7"/>
  <c r="F2215" i="7"/>
  <c r="F3456" i="7"/>
  <c r="F2224" i="7"/>
  <c r="F2222" i="7"/>
  <c r="F2223" i="7"/>
  <c r="F3459" i="7"/>
  <c r="F3166" i="7"/>
  <c r="F3164" i="7"/>
  <c r="F3165" i="7"/>
  <c r="F3773" i="7"/>
  <c r="F2304" i="7"/>
  <c r="F2305" i="7"/>
  <c r="G2305" i="7" s="1"/>
  <c r="F2303" i="7"/>
  <c r="G2303" i="7" s="1"/>
  <c r="F3486" i="7"/>
  <c r="F2835" i="7"/>
  <c r="F2836" i="7"/>
  <c r="F2834" i="7"/>
  <c r="G2834" i="7" s="1"/>
  <c r="F3663" i="7"/>
  <c r="F2811" i="7"/>
  <c r="F2812" i="7"/>
  <c r="F2810" i="7"/>
  <c r="G2810" i="7" s="1"/>
  <c r="F3655" i="7"/>
  <c r="F3032" i="7"/>
  <c r="F3033" i="7"/>
  <c r="F3034" i="7"/>
  <c r="G3034" i="7" s="1"/>
  <c r="F3729" i="7"/>
  <c r="F3074" i="7"/>
  <c r="F3075" i="7"/>
  <c r="F3076" i="7"/>
  <c r="F3743" i="7"/>
  <c r="F3239" i="7"/>
  <c r="F3240" i="7"/>
  <c r="F3241" i="7"/>
  <c r="F3798" i="7"/>
  <c r="F3242" i="7"/>
  <c r="F3243" i="7"/>
  <c r="F3244" i="7"/>
  <c r="F3799" i="7"/>
  <c r="F3402" i="7"/>
  <c r="F3403" i="7"/>
  <c r="F3401" i="7"/>
  <c r="F3852" i="7"/>
  <c r="F2728" i="7"/>
  <c r="F2726" i="7"/>
  <c r="F2727" i="7"/>
  <c r="F3627" i="7"/>
  <c r="F2705" i="7"/>
  <c r="F2706" i="7"/>
  <c r="F2707" i="7"/>
  <c r="F3620" i="7"/>
  <c r="F2755" i="7"/>
  <c r="F2753" i="7"/>
  <c r="F2754" i="7"/>
  <c r="F3636" i="7"/>
  <c r="F2768" i="7"/>
  <c r="G2768" i="7" s="1"/>
  <c r="F2769" i="7"/>
  <c r="G2769" i="7" s="1"/>
  <c r="F2770" i="7"/>
  <c r="G2770" i="7" s="1"/>
  <c r="F3641" i="7"/>
  <c r="G3641" i="7" s="1"/>
  <c r="F3362" i="7"/>
  <c r="F3363" i="7"/>
  <c r="F3364" i="7"/>
  <c r="F3839" i="7"/>
  <c r="F2501" i="7"/>
  <c r="F2502" i="7"/>
  <c r="F2503" i="7"/>
  <c r="F3552" i="7"/>
  <c r="F2461" i="7"/>
  <c r="F2459" i="7"/>
  <c r="F2460" i="7"/>
  <c r="F3538" i="7"/>
  <c r="F2452" i="7"/>
  <c r="F2450" i="7"/>
  <c r="F2451" i="7"/>
  <c r="F3535" i="7"/>
  <c r="F3106" i="7"/>
  <c r="F3104" i="7"/>
  <c r="F3105" i="7"/>
  <c r="F3753" i="7"/>
  <c r="F3143" i="7"/>
  <c r="F3144" i="7"/>
  <c r="F3145" i="7"/>
  <c r="F3766" i="7"/>
  <c r="F2887" i="7"/>
  <c r="F2885" i="7"/>
  <c r="F2886" i="7"/>
  <c r="F3680" i="7"/>
  <c r="F2883" i="7"/>
  <c r="F2884" i="7"/>
  <c r="F2882" i="7"/>
  <c r="F3679" i="7"/>
  <c r="F2608" i="7"/>
  <c r="F2606" i="7"/>
  <c r="F2607" i="7"/>
  <c r="F3587" i="7"/>
  <c r="F2984" i="7"/>
  <c r="F2985" i="7"/>
  <c r="F2986" i="7"/>
  <c r="F3713" i="7"/>
  <c r="F2273" i="7"/>
  <c r="F2274" i="7"/>
  <c r="F2275" i="7"/>
  <c r="F3476" i="7"/>
  <c r="F2284" i="7"/>
  <c r="F2282" i="7"/>
  <c r="F2283" i="7"/>
  <c r="F3479" i="7"/>
  <c r="F2240" i="7"/>
  <c r="F2241" i="7"/>
  <c r="F2242" i="7"/>
  <c r="F3465" i="7"/>
  <c r="F2252" i="7"/>
  <c r="F2253" i="7"/>
  <c r="F2254" i="7"/>
  <c r="F3469" i="7"/>
  <c r="F2280" i="7"/>
  <c r="F2281" i="7"/>
  <c r="F2279" i="7"/>
  <c r="G2279" i="7" s="1"/>
  <c r="F3478" i="7"/>
  <c r="G3478" i="7" s="1"/>
  <c r="F2148" i="7"/>
  <c r="F2296" i="7"/>
  <c r="F2149" i="7"/>
  <c r="F2453" i="7"/>
  <c r="F2294" i="7"/>
  <c r="F2454" i="7"/>
  <c r="F2492" i="7"/>
  <c r="F2512" i="7"/>
  <c r="F2528" i="7"/>
  <c r="F2493" i="7"/>
  <c r="G2493" i="7" s="1"/>
  <c r="F2529" i="7"/>
  <c r="F2494" i="7"/>
  <c r="G2494" i="7" s="1"/>
  <c r="F2510" i="7"/>
  <c r="F2530" i="7"/>
  <c r="F2295" i="7"/>
  <c r="F2455" i="7"/>
  <c r="F2511" i="7"/>
  <c r="F2799" i="7"/>
  <c r="F2819" i="7"/>
  <c r="G2819" i="7" s="1"/>
  <c r="F2999" i="7"/>
  <c r="F3015" i="7"/>
  <c r="F2800" i="7"/>
  <c r="F2820" i="7"/>
  <c r="G2820" i="7" s="1"/>
  <c r="F3000" i="7"/>
  <c r="F3016" i="7"/>
  <c r="F2821" i="7"/>
  <c r="F3001" i="7"/>
  <c r="F2798" i="7"/>
  <c r="G2798" i="7" s="1"/>
  <c r="F3014" i="7"/>
  <c r="F3170" i="7"/>
  <c r="F3171" i="7"/>
  <c r="F3263" i="7"/>
  <c r="F3172" i="7"/>
  <c r="F3264" i="7"/>
  <c r="F3265" i="7"/>
  <c r="F3431" i="7"/>
  <c r="G3431" i="7" s="1"/>
  <c r="F2147" i="7"/>
  <c r="F3432" i="7"/>
  <c r="F3433" i="7"/>
  <c r="G3433" i="7" s="1"/>
  <c r="F3434" i="7"/>
  <c r="F2153" i="7"/>
  <c r="F2154" i="7"/>
  <c r="F2155" i="7"/>
  <c r="F3436" i="7"/>
  <c r="F3215" i="7"/>
  <c r="F3216" i="7"/>
  <c r="F3217" i="7"/>
  <c r="F3790" i="7"/>
  <c r="F2947" i="7"/>
  <c r="F2945" i="7"/>
  <c r="F2946" i="7"/>
  <c r="F3700" i="7"/>
  <c r="G3700" i="7" s="1"/>
  <c r="F2959" i="7"/>
  <c r="F2957" i="7"/>
  <c r="F2958" i="7"/>
  <c r="F3704" i="7"/>
  <c r="F2967" i="7"/>
  <c r="F2968" i="7"/>
  <c r="F2966" i="7"/>
  <c r="F3707" i="7"/>
  <c r="G3707" i="7" s="1"/>
  <c r="F2923" i="7"/>
  <c r="F2921" i="7"/>
  <c r="F2922" i="7"/>
  <c r="F3692" i="7"/>
  <c r="F2656" i="7"/>
  <c r="F2654" i="7"/>
  <c r="F2655" i="7"/>
  <c r="F3603" i="7"/>
  <c r="G3603" i="7" s="1"/>
  <c r="F2633" i="7"/>
  <c r="F2634" i="7"/>
  <c r="F2635" i="7"/>
  <c r="F3596" i="7"/>
  <c r="F2440" i="7"/>
  <c r="F2438" i="7"/>
  <c r="F2439" i="7"/>
  <c r="F3531" i="7"/>
  <c r="F2424" i="7"/>
  <c r="F2425" i="7"/>
  <c r="F2423" i="7"/>
  <c r="F3526" i="7"/>
  <c r="F3055" i="7"/>
  <c r="F3053" i="7"/>
  <c r="G3053" i="7" s="1"/>
  <c r="F3054" i="7"/>
  <c r="F3736" i="7"/>
  <c r="G3736" i="7" s="1"/>
  <c r="F3350" i="7"/>
  <c r="F3351" i="7"/>
  <c r="F3352" i="7"/>
  <c r="F3835" i="7"/>
  <c r="F3347" i="7"/>
  <c r="F3348" i="7"/>
  <c r="F3349" i="7"/>
  <c r="F3834" i="7"/>
  <c r="F3342" i="7"/>
  <c r="F3343" i="7"/>
  <c r="F3341" i="7"/>
  <c r="F3832" i="7"/>
  <c r="F3335" i="7"/>
  <c r="F3336" i="7"/>
  <c r="F3337" i="7"/>
  <c r="F3830" i="7"/>
  <c r="F2208" i="7"/>
  <c r="F2209" i="7"/>
  <c r="F2207" i="7"/>
  <c r="F3454" i="7"/>
  <c r="F2192" i="7"/>
  <c r="G2192" i="7" s="1"/>
  <c r="F2193" i="7"/>
  <c r="G2193" i="7" s="1"/>
  <c r="F2194" i="7"/>
  <c r="G2194" i="7" s="1"/>
  <c r="F3449" i="7"/>
  <c r="G3449" i="7" s="1"/>
  <c r="F2196" i="7"/>
  <c r="F2197" i="7"/>
  <c r="F2195" i="7"/>
  <c r="F3450" i="7"/>
  <c r="F2216" i="7"/>
  <c r="F2217" i="7"/>
  <c r="F2218" i="7"/>
  <c r="F3457" i="7"/>
  <c r="F2300" i="7"/>
  <c r="F2301" i="7"/>
  <c r="F2302" i="7"/>
  <c r="F3485" i="7"/>
  <c r="F2308" i="7"/>
  <c r="F2306" i="7"/>
  <c r="F2307" i="7"/>
  <c r="G2307" i="7" s="1"/>
  <c r="F3487" i="7"/>
  <c r="G3487" i="7" s="1"/>
  <c r="F2321" i="7"/>
  <c r="F2322" i="7"/>
  <c r="F2323" i="7"/>
  <c r="F3492" i="7"/>
  <c r="F2344" i="7"/>
  <c r="F2342" i="7"/>
  <c r="F2343" i="7"/>
  <c r="G2343" i="7" s="1"/>
  <c r="F3499" i="7"/>
  <c r="G3499" i="7" s="1"/>
  <c r="F2340" i="7"/>
  <c r="F2341" i="7"/>
  <c r="F2339" i="7"/>
  <c r="F3498" i="7"/>
  <c r="F2392" i="7"/>
  <c r="F2390" i="7"/>
  <c r="G2390" i="7" s="1"/>
  <c r="F2391" i="7"/>
  <c r="G2391" i="7" s="1"/>
  <c r="F3515" i="7"/>
  <c r="G3515" i="7" s="1"/>
  <c r="F2381" i="7"/>
  <c r="F2382" i="7"/>
  <c r="F2383" i="7"/>
  <c r="F3512" i="7"/>
  <c r="F2396" i="7"/>
  <c r="F2397" i="7"/>
  <c r="F2398" i="7"/>
  <c r="G2398" i="7" s="1"/>
  <c r="F3517" i="7"/>
  <c r="G3517" i="7" s="1"/>
  <c r="F2368" i="7"/>
  <c r="F2366" i="7"/>
  <c r="F2367" i="7"/>
  <c r="F3507" i="7"/>
  <c r="F3266" i="7"/>
  <c r="F3267" i="7"/>
  <c r="G3267" i="7" s="1"/>
  <c r="F3268" i="7"/>
  <c r="G3268" i="7" s="1"/>
  <c r="F3807" i="7"/>
  <c r="G3807" i="7" s="1"/>
  <c r="F3278" i="7"/>
  <c r="F3279" i="7"/>
  <c r="F3280" i="7"/>
  <c r="F3811" i="7"/>
  <c r="F2792" i="7"/>
  <c r="F2793" i="7"/>
  <c r="F2794" i="7"/>
  <c r="F3649" i="7"/>
  <c r="F2787" i="7"/>
  <c r="F2788" i="7"/>
  <c r="F2786" i="7"/>
  <c r="F3647" i="7"/>
  <c r="F2791" i="7"/>
  <c r="F2789" i="7"/>
  <c r="F2790" i="7"/>
  <c r="F3648" i="7"/>
  <c r="F2779" i="7"/>
  <c r="F2777" i="7"/>
  <c r="F2778" i="7"/>
  <c r="F3644" i="7"/>
  <c r="F2803" i="7"/>
  <c r="F2801" i="7"/>
  <c r="F2802" i="7"/>
  <c r="F3652" i="7"/>
  <c r="F2783" i="7"/>
  <c r="F2784" i="7"/>
  <c r="F2785" i="7"/>
  <c r="F3646" i="7"/>
  <c r="F3420" i="7"/>
  <c r="F3419" i="7"/>
  <c r="F3858" i="7"/>
  <c r="F3421" i="7"/>
  <c r="F3428" i="7"/>
  <c r="F3429" i="7"/>
  <c r="F3861" i="7"/>
  <c r="F3430" i="7"/>
  <c r="F3020" i="7"/>
  <c r="F3021" i="7"/>
  <c r="F3022" i="7"/>
  <c r="F3725" i="7"/>
  <c r="F3035" i="7"/>
  <c r="F3036" i="7"/>
  <c r="F3037" i="7"/>
  <c r="F3730" i="7"/>
  <c r="F3086" i="7"/>
  <c r="F3087" i="7"/>
  <c r="F3088" i="7"/>
  <c r="F3747" i="7"/>
  <c r="F3098" i="7"/>
  <c r="G3098" i="7" s="1"/>
  <c r="F3099" i="7"/>
  <c r="G3099" i="7" s="1"/>
  <c r="F3100" i="7"/>
  <c r="G3100" i="7" s="1"/>
  <c r="F3751" i="7"/>
  <c r="G3751" i="7" s="1"/>
  <c r="F3083" i="7"/>
  <c r="F3084" i="7"/>
  <c r="G3084" i="7" s="1"/>
  <c r="F3085" i="7"/>
  <c r="G3085" i="7" s="1"/>
  <c r="F3746" i="7"/>
  <c r="G3746" i="7" s="1"/>
  <c r="F3262" i="7"/>
  <c r="F3260" i="7"/>
  <c r="F3261" i="7"/>
  <c r="F3805" i="7"/>
  <c r="F3254" i="7"/>
  <c r="F3255" i="7"/>
  <c r="F3256" i="7"/>
  <c r="F3803" i="7"/>
  <c r="G3803" i="7" s="1"/>
  <c r="F3258" i="7"/>
  <c r="F3259" i="7"/>
  <c r="F3257" i="7"/>
  <c r="F3804" i="7"/>
  <c r="F3238" i="7"/>
  <c r="F3236" i="7"/>
  <c r="G3236" i="7" s="1"/>
  <c r="F3237" i="7"/>
  <c r="G3237" i="7" s="1"/>
  <c r="F3797" i="7"/>
  <c r="G3797" i="7" s="1"/>
  <c r="F3410" i="7"/>
  <c r="F3411" i="7"/>
  <c r="F3412" i="7"/>
  <c r="G3412" i="7" s="1"/>
  <c r="F3855" i="7"/>
  <c r="G3855" i="7" s="1"/>
  <c r="F3390" i="7"/>
  <c r="F3391" i="7"/>
  <c r="F3389" i="7"/>
  <c r="F3848" i="7"/>
  <c r="G3848" i="7" s="1"/>
  <c r="F3386" i="7"/>
  <c r="F3387" i="7"/>
  <c r="G3387" i="7" s="1"/>
  <c r="F3388" i="7"/>
  <c r="G3388" i="7" s="1"/>
  <c r="F3847" i="7"/>
  <c r="G3847" i="7" s="1"/>
  <c r="F2746" i="7"/>
  <c r="F2745" i="7"/>
  <c r="F2744" i="7"/>
  <c r="G2744" i="7" s="1"/>
  <c r="F3633" i="7"/>
  <c r="G3633" i="7" s="1"/>
  <c r="F2738" i="7"/>
  <c r="F2739" i="7"/>
  <c r="F2740" i="7"/>
  <c r="G2740" i="7" s="1"/>
  <c r="F3631" i="7"/>
  <c r="G3631" i="7" s="1"/>
  <c r="F2692" i="7"/>
  <c r="G2692" i="7" s="1"/>
  <c r="F2690" i="7"/>
  <c r="G2690" i="7" s="1"/>
  <c r="F2691" i="7"/>
  <c r="G2691" i="7" s="1"/>
  <c r="F3615" i="7"/>
  <c r="G3615" i="7" s="1"/>
  <c r="F2704" i="7"/>
  <c r="F2702" i="7"/>
  <c r="F2703" i="7"/>
  <c r="F3619" i="7"/>
  <c r="G3619" i="7" s="1"/>
  <c r="F2756" i="7"/>
  <c r="F2757" i="7"/>
  <c r="F2758" i="7"/>
  <c r="G2758" i="7" s="1"/>
  <c r="F3637" i="7"/>
  <c r="F2763" i="7"/>
  <c r="F2764" i="7"/>
  <c r="G2764" i="7" s="1"/>
  <c r="F2762" i="7"/>
  <c r="F3639" i="7"/>
  <c r="G3639" i="7" s="1"/>
  <c r="F2741" i="7"/>
  <c r="F2742" i="7"/>
  <c r="G2742" i="7" s="1"/>
  <c r="F2743" i="7"/>
  <c r="G2743" i="7" s="1"/>
  <c r="F3632" i="7"/>
  <c r="G3632" i="7" s="1"/>
  <c r="F3359" i="7"/>
  <c r="F3360" i="7"/>
  <c r="F3361" i="7"/>
  <c r="F3838" i="7"/>
  <c r="G3838" i="7" s="1"/>
  <c r="F3374" i="7"/>
  <c r="G3374" i="7" s="1"/>
  <c r="F3375" i="7"/>
  <c r="G3375" i="7" s="1"/>
  <c r="F3376" i="7"/>
  <c r="G3376" i="7" s="1"/>
  <c r="F3843" i="7"/>
  <c r="G3843" i="7" s="1"/>
  <c r="F2520" i="7"/>
  <c r="F2521" i="7"/>
  <c r="G2521" i="7" s="1"/>
  <c r="F2519" i="7"/>
  <c r="F3558" i="7"/>
  <c r="G3558" i="7" s="1"/>
  <c r="F2489" i="7"/>
  <c r="F2490" i="7"/>
  <c r="G2490" i="7" s="1"/>
  <c r="F2491" i="7"/>
  <c r="G2491" i="7" s="1"/>
  <c r="F3548" i="7"/>
  <c r="G3548" i="7" s="1"/>
  <c r="F2485" i="7"/>
  <c r="F2483" i="7"/>
  <c r="F2484" i="7"/>
  <c r="F3546" i="7"/>
  <c r="G3546" i="7" s="1"/>
  <c r="F2496" i="7"/>
  <c r="F2497" i="7"/>
  <c r="F2495" i="7"/>
  <c r="G2495" i="7" s="1"/>
  <c r="F3550" i="7"/>
  <c r="G3550" i="7" s="1"/>
  <c r="F3107" i="7"/>
  <c r="F3108" i="7"/>
  <c r="F3109" i="7"/>
  <c r="F3754" i="7"/>
  <c r="G3754" i="7" s="1"/>
  <c r="F3110" i="7"/>
  <c r="F3111" i="7"/>
  <c r="G3111" i="7" s="1"/>
  <c r="F3112" i="7"/>
  <c r="G3112" i="7" s="1"/>
  <c r="F3755" i="7"/>
  <c r="G3755" i="7" s="1"/>
  <c r="F3130" i="7"/>
  <c r="F3128" i="7"/>
  <c r="F3129" i="7"/>
  <c r="F3761" i="7"/>
  <c r="G3761" i="7" s="1"/>
  <c r="F3126" i="7"/>
  <c r="F3127" i="7"/>
  <c r="G3127" i="7" s="1"/>
  <c r="F3125" i="7"/>
  <c r="G3125" i="7" s="1"/>
  <c r="F3760" i="7"/>
  <c r="G3760" i="7" s="1"/>
  <c r="F2895" i="7"/>
  <c r="F2896" i="7"/>
  <c r="F2894" i="7"/>
  <c r="G2894" i="7" s="1"/>
  <c r="F3683" i="7"/>
  <c r="G3683" i="7" s="1"/>
  <c r="F2867" i="7"/>
  <c r="F2868" i="7"/>
  <c r="G2868" i="7" s="1"/>
  <c r="F2869" i="7"/>
  <c r="G2869" i="7" s="1"/>
  <c r="F3674" i="7"/>
  <c r="G3674" i="7" s="1"/>
  <c r="F2875" i="7"/>
  <c r="F2873" i="7"/>
  <c r="F2874" i="7"/>
  <c r="G2874" i="7" s="1"/>
  <c r="F3676" i="7"/>
  <c r="G3676" i="7" s="1"/>
  <c r="F2851" i="7"/>
  <c r="F2849" i="7"/>
  <c r="F2850" i="7"/>
  <c r="F3668" i="7"/>
  <c r="G3668" i="7" s="1"/>
  <c r="F2863" i="7"/>
  <c r="F2861" i="7"/>
  <c r="F2862" i="7"/>
  <c r="G2862" i="7" s="1"/>
  <c r="F3672" i="7"/>
  <c r="G3672" i="7" s="1"/>
  <c r="F2592" i="7"/>
  <c r="F2593" i="7"/>
  <c r="F2591" i="7"/>
  <c r="F3582" i="7"/>
  <c r="G3582" i="7" s="1"/>
  <c r="F2564" i="7"/>
  <c r="F2565" i="7"/>
  <c r="F2566" i="7"/>
  <c r="F3573" i="7"/>
  <c r="G3573" i="7" s="1"/>
  <c r="F2604" i="7"/>
  <c r="F2605" i="7"/>
  <c r="F2603" i="7"/>
  <c r="F3586" i="7"/>
  <c r="G3586" i="7" s="1"/>
  <c r="F2576" i="7"/>
  <c r="F2577" i="7"/>
  <c r="F2578" i="7"/>
  <c r="F3577" i="7"/>
  <c r="G3577" i="7" s="1"/>
  <c r="F2572" i="7"/>
  <c r="F2570" i="7"/>
  <c r="F2571" i="7"/>
  <c r="F3575" i="7"/>
  <c r="G3575" i="7" s="1"/>
  <c r="F2597" i="7"/>
  <c r="F2598" i="7"/>
  <c r="F2599" i="7"/>
  <c r="G2599" i="7" s="1"/>
  <c r="F3584" i="7"/>
  <c r="G3584" i="7" s="1"/>
  <c r="F2580" i="7"/>
  <c r="F2581" i="7"/>
  <c r="F2579" i="7"/>
  <c r="F3578" i="7"/>
  <c r="G3578" i="7" s="1"/>
  <c r="F3299" i="7"/>
  <c r="F3300" i="7"/>
  <c r="F3301" i="7"/>
  <c r="F3818" i="7"/>
  <c r="G3818" i="7" s="1"/>
  <c r="F3311" i="7"/>
  <c r="F3312" i="7"/>
  <c r="G3312" i="7" s="1"/>
  <c r="F3313" i="7"/>
  <c r="G3313" i="7" s="1"/>
  <c r="F3822" i="7"/>
  <c r="G3822" i="7" s="1"/>
  <c r="F3011" i="7"/>
  <c r="F3012" i="7"/>
  <c r="F3013" i="7"/>
  <c r="F3722" i="7"/>
  <c r="G3722" i="7" s="1"/>
  <c r="F2991" i="7"/>
  <c r="F2992" i="7"/>
  <c r="F2990" i="7"/>
  <c r="F3715" i="7"/>
  <c r="G3715" i="7" s="1"/>
  <c r="F3003" i="7"/>
  <c r="F3004" i="7"/>
  <c r="F3002" i="7"/>
  <c r="G3002" i="7" s="1"/>
  <c r="F3719" i="7"/>
  <c r="G3719" i="7" s="1"/>
  <c r="F2244" i="7"/>
  <c r="F2245" i="7"/>
  <c r="F2243" i="7"/>
  <c r="G2243" i="7" s="1"/>
  <c r="F3466" i="7"/>
  <c r="G3466" i="7" s="1"/>
  <c r="F2261" i="7"/>
  <c r="F2262" i="7"/>
  <c r="F2263" i="7"/>
  <c r="F3472" i="7"/>
  <c r="F2237" i="7"/>
  <c r="F2238" i="7"/>
  <c r="G2238" i="7" s="1"/>
  <c r="F2239" i="7"/>
  <c r="G2239" i="7" s="1"/>
  <c r="F3464" i="7"/>
  <c r="G3464" i="7" s="1"/>
  <c r="F2256" i="7"/>
  <c r="F2257" i="7"/>
  <c r="F2255" i="7"/>
  <c r="F3470" i="7"/>
  <c r="G3470" i="7" s="1"/>
  <c r="F2264" i="7"/>
  <c r="F2265" i="7"/>
  <c r="F2266" i="7"/>
  <c r="G2266" i="7" s="1"/>
  <c r="F3473" i="7"/>
  <c r="G3473" i="7" s="1"/>
  <c r="F2152" i="7"/>
  <c r="F2150" i="7"/>
  <c r="F2151" i="7"/>
  <c r="F3435" i="7"/>
  <c r="G3435" i="7" s="1"/>
  <c r="F2172" i="7"/>
  <c r="F2173" i="7"/>
  <c r="G2173" i="7" s="1"/>
  <c r="F2171" i="7"/>
  <c r="G2171" i="7" s="1"/>
  <c r="F3442" i="7"/>
  <c r="G3442" i="7" s="1"/>
  <c r="F2156" i="7"/>
  <c r="F2157" i="7"/>
  <c r="F2158" i="7"/>
  <c r="F3437" i="7"/>
  <c r="F3206" i="7"/>
  <c r="F3207" i="7"/>
  <c r="G3207" i="7" s="1"/>
  <c r="F3208" i="7"/>
  <c r="G3208" i="7" s="1"/>
  <c r="F3787" i="7"/>
  <c r="G3787" i="7" s="1"/>
  <c r="F3214" i="7"/>
  <c r="F3212" i="7"/>
  <c r="F3213" i="7"/>
  <c r="F3789" i="7"/>
  <c r="F3210" i="7"/>
  <c r="G3210" i="7" s="1"/>
  <c r="F3211" i="7"/>
  <c r="G3211" i="7" s="1"/>
  <c r="F3209" i="7"/>
  <c r="G3209" i="7" s="1"/>
  <c r="F3788" i="7"/>
  <c r="G3788" i="7" s="1"/>
  <c r="F3190" i="7"/>
  <c r="F3188" i="7"/>
  <c r="F3189" i="7"/>
  <c r="F3781" i="7"/>
  <c r="F2931" i="7"/>
  <c r="F2932" i="7"/>
  <c r="F2930" i="7"/>
  <c r="F3695" i="7"/>
  <c r="G3695" i="7" s="1"/>
  <c r="F2948" i="7"/>
  <c r="F2949" i="7"/>
  <c r="F2950" i="7"/>
  <c r="G2950" i="7" s="1"/>
  <c r="F3701" i="7"/>
  <c r="G3701" i="7" s="1"/>
  <c r="F2960" i="7"/>
  <c r="F2961" i="7"/>
  <c r="F2962" i="7"/>
  <c r="G2962" i="7" s="1"/>
  <c r="F3705" i="7"/>
  <c r="G3705" i="7" s="1"/>
  <c r="F2975" i="7"/>
  <c r="F2976" i="7"/>
  <c r="F2977" i="7"/>
  <c r="F3710" i="7"/>
  <c r="G3710" i="7" s="1"/>
  <c r="F2907" i="7"/>
  <c r="F2908" i="7"/>
  <c r="G2908" i="7" s="1"/>
  <c r="F2906" i="7"/>
  <c r="F3687" i="7"/>
  <c r="G3687" i="7" s="1"/>
  <c r="F2915" i="7"/>
  <c r="G2915" i="7" s="1"/>
  <c r="F2916" i="7"/>
  <c r="F2917" i="7"/>
  <c r="F3690" i="7"/>
  <c r="G3690" i="7" s="1"/>
  <c r="F2927" i="7"/>
  <c r="F2928" i="7"/>
  <c r="G2928" i="7" s="1"/>
  <c r="F2929" i="7"/>
  <c r="G2929" i="7" s="1"/>
  <c r="F3694" i="7"/>
  <c r="G3694" i="7" s="1"/>
  <c r="F2664" i="7"/>
  <c r="F2665" i="7"/>
  <c r="G2665" i="7" s="1"/>
  <c r="F2663" i="7"/>
  <c r="G2663" i="7" s="1"/>
  <c r="F3606" i="7"/>
  <c r="G3606" i="7" s="1"/>
  <c r="F2668" i="7"/>
  <c r="F2666" i="7"/>
  <c r="G2666" i="7" s="1"/>
  <c r="F2667" i="7"/>
  <c r="F3607" i="7"/>
  <c r="G3607" i="7" s="1"/>
  <c r="F2681" i="7"/>
  <c r="G2681" i="7" s="1"/>
  <c r="F2682" i="7"/>
  <c r="F2683" i="7"/>
  <c r="G2683" i="7" s="1"/>
  <c r="F3612" i="7"/>
  <c r="G3612" i="7" s="1"/>
  <c r="F2640" i="7"/>
  <c r="G2640" i="7" s="1"/>
  <c r="F2641" i="7"/>
  <c r="F2639" i="7"/>
  <c r="F3598" i="7"/>
  <c r="G3598" i="7" s="1"/>
  <c r="F2636" i="7"/>
  <c r="F2637" i="7"/>
  <c r="F2638" i="7"/>
  <c r="G2638" i="7" s="1"/>
  <c r="F3597" i="7"/>
  <c r="G3597" i="7" s="1"/>
  <c r="F2448" i="7"/>
  <c r="F2449" i="7"/>
  <c r="G2449" i="7" s="1"/>
  <c r="F2447" i="7"/>
  <c r="G2447" i="7" s="1"/>
  <c r="F3534" i="7"/>
  <c r="G3534" i="7" s="1"/>
  <c r="F2444" i="7"/>
  <c r="F2445" i="7"/>
  <c r="G2445" i="7" s="1"/>
  <c r="F2446" i="7"/>
  <c r="F3533" i="7"/>
  <c r="G3533" i="7" s="1"/>
  <c r="F2420" i="7"/>
  <c r="F2421" i="7"/>
  <c r="F2422" i="7"/>
  <c r="G2422" i="7" s="1"/>
  <c r="F3525" i="7"/>
  <c r="G3525" i="7" s="1"/>
  <c r="F2417" i="7"/>
  <c r="F2418" i="7"/>
  <c r="F2419" i="7"/>
  <c r="G2419" i="7" s="1"/>
  <c r="F3524" i="7"/>
  <c r="G3524" i="7" s="1"/>
  <c r="F3056" i="7"/>
  <c r="F3057" i="7"/>
  <c r="F3058" i="7"/>
  <c r="F3737" i="7"/>
  <c r="G3737" i="7" s="1"/>
  <c r="F3068" i="7"/>
  <c r="G3068" i="7" s="1"/>
  <c r="F3069" i="7"/>
  <c r="G3069" i="7" s="1"/>
  <c r="F3070" i="7"/>
  <c r="G3070" i="7" s="1"/>
  <c r="F3741" i="7"/>
  <c r="G3741" i="7" s="1"/>
  <c r="F3326" i="7"/>
  <c r="G3326" i="7" s="1"/>
  <c r="F3327" i="7"/>
  <c r="G3327" i="7" s="1"/>
  <c r="F3328" i="7"/>
  <c r="G3328" i="7" s="1"/>
  <c r="F3827" i="7"/>
  <c r="G3827" i="7" s="1"/>
  <c r="F3318" i="7"/>
  <c r="F3319" i="7"/>
  <c r="F3317" i="7"/>
  <c r="F3824" i="7"/>
  <c r="G3824" i="7" s="1"/>
  <c r="F3323" i="7"/>
  <c r="F3324" i="7"/>
  <c r="G3324" i="7" s="1"/>
  <c r="F3325" i="7"/>
  <c r="G3325" i="7" s="1"/>
  <c r="F3826" i="7"/>
  <c r="G3826" i="7" s="1"/>
  <c r="F2204" i="7"/>
  <c r="G2204" i="7" s="1"/>
  <c r="F2205" i="7"/>
  <c r="G2205" i="7" s="1"/>
  <c r="F2206" i="7"/>
  <c r="G2206" i="7" s="1"/>
  <c r="F3453" i="7"/>
  <c r="G3453" i="7" s="1"/>
  <c r="F2188" i="7"/>
  <c r="G2188" i="7" s="1"/>
  <c r="F2186" i="7"/>
  <c r="G2186" i="7" s="1"/>
  <c r="F2187" i="7"/>
  <c r="G2187" i="7" s="1"/>
  <c r="F3447" i="7"/>
  <c r="G3447" i="7" s="1"/>
  <c r="F2201" i="7"/>
  <c r="F2202" i="7"/>
  <c r="G2202" i="7" s="1"/>
  <c r="F2203" i="7"/>
  <c r="F3452" i="7"/>
  <c r="G3452" i="7" s="1"/>
  <c r="F2184" i="7"/>
  <c r="G2184" i="7" s="1"/>
  <c r="F2185" i="7"/>
  <c r="G2185" i="7" s="1"/>
  <c r="F2183" i="7"/>
  <c r="G2183" i="7" s="1"/>
  <c r="F3446" i="7"/>
  <c r="G3446" i="7" s="1"/>
  <c r="F3154" i="7"/>
  <c r="F3152" i="7"/>
  <c r="G3152" i="7" s="1"/>
  <c r="F3153" i="7"/>
  <c r="G3153" i="7" s="1"/>
  <c r="F3769" i="7"/>
  <c r="G3769" i="7" s="1"/>
  <c r="F3150" i="7"/>
  <c r="G3150" i="7" s="1"/>
  <c r="F3151" i="7"/>
  <c r="G3151" i="7" s="1"/>
  <c r="F3149" i="7"/>
  <c r="G3149" i="7" s="1"/>
  <c r="F3768" i="7"/>
  <c r="G3768" i="7" s="1"/>
  <c r="F3162" i="7"/>
  <c r="F3163" i="7"/>
  <c r="F3161" i="7"/>
  <c r="F3772" i="7"/>
  <c r="G2316" i="7"/>
  <c r="G2315" i="7"/>
  <c r="G3490" i="7"/>
  <c r="G2304" i="7"/>
  <c r="G3486" i="7"/>
  <c r="G2333" i="7"/>
  <c r="G2334" i="7"/>
  <c r="G2335" i="7"/>
  <c r="G3496" i="7"/>
  <c r="G2350" i="7"/>
  <c r="G2348" i="7"/>
  <c r="G3501" i="7"/>
  <c r="G2380" i="7"/>
  <c r="G2379" i="7"/>
  <c r="G3511" i="7"/>
  <c r="G2387" i="7"/>
  <c r="G2388" i="7"/>
  <c r="G3514" i="7"/>
  <c r="G2384" i="7"/>
  <c r="G2386" i="7"/>
  <c r="G3513" i="7"/>
  <c r="G3275" i="7"/>
  <c r="G3276" i="7"/>
  <c r="G3277" i="7"/>
  <c r="G3810" i="7"/>
  <c r="G2821" i="7"/>
  <c r="G2807" i="7"/>
  <c r="G2809" i="7"/>
  <c r="G3654" i="7"/>
  <c r="G2831" i="7"/>
  <c r="G2833" i="7"/>
  <c r="G3662" i="7"/>
  <c r="G3422" i="7"/>
  <c r="G3424" i="7"/>
  <c r="G3859" i="7"/>
  <c r="G3423" i="7"/>
  <c r="G3042" i="7"/>
  <c r="G3043" i="7"/>
  <c r="G3041" i="7"/>
  <c r="G3732" i="7"/>
  <c r="G3078" i="7"/>
  <c r="G3077" i="7"/>
  <c r="G3744" i="7"/>
  <c r="G3230" i="7"/>
  <c r="G3795" i="7"/>
  <c r="G2746" i="7"/>
  <c r="G2745" i="7"/>
  <c r="G2696" i="7"/>
  <c r="G2698" i="7"/>
  <c r="G2697" i="7"/>
  <c r="G3617" i="7"/>
  <c r="G2710" i="7"/>
  <c r="G2708" i="7"/>
  <c r="G2709" i="7"/>
  <c r="G3621" i="7"/>
  <c r="G3378" i="7"/>
  <c r="G3377" i="7"/>
  <c r="G3844" i="7"/>
  <c r="G2489" i="7"/>
  <c r="G2523" i="7"/>
  <c r="G2524" i="7"/>
  <c r="G2522" i="7"/>
  <c r="G3559" i="7"/>
  <c r="G2462" i="7"/>
  <c r="G2463" i="7"/>
  <c r="G2464" i="7"/>
  <c r="G3539" i="7"/>
  <c r="G3114" i="7"/>
  <c r="G3113" i="7"/>
  <c r="G3756" i="7"/>
  <c r="G3126" i="7"/>
  <c r="G2867" i="7"/>
  <c r="G2850" i="7"/>
  <c r="G2851" i="7"/>
  <c r="G2849" i="7"/>
  <c r="G2611" i="7"/>
  <c r="G2609" i="7"/>
  <c r="G2610" i="7"/>
  <c r="G3588" i="7"/>
  <c r="G2603" i="7"/>
  <c r="G2604" i="7"/>
  <c r="G2605" i="7"/>
  <c r="G2571" i="7"/>
  <c r="G2572" i="7"/>
  <c r="G2570" i="7"/>
  <c r="G2559" i="7"/>
  <c r="G2560" i="7"/>
  <c r="G2558" i="7"/>
  <c r="G3571" i="7"/>
  <c r="G2575" i="7"/>
  <c r="G2573" i="7"/>
  <c r="G2574" i="7"/>
  <c r="G3576" i="7"/>
  <c r="G3311" i="7"/>
  <c r="G2990" i="7"/>
  <c r="G2991" i="7"/>
  <c r="G2992" i="7"/>
  <c r="G2245" i="7"/>
  <c r="G2244" i="7"/>
  <c r="G2237" i="7"/>
  <c r="G2258" i="7"/>
  <c r="G2260" i="7"/>
  <c r="G3471" i="7"/>
  <c r="G2234" i="7"/>
  <c r="G2236" i="7"/>
  <c r="G3463" i="7"/>
  <c r="G2172" i="7"/>
  <c r="G3186" i="7"/>
  <c r="G3185" i="7"/>
  <c r="G3780" i="7"/>
  <c r="G3202" i="7"/>
  <c r="G3201" i="7"/>
  <c r="G3785" i="7"/>
  <c r="G2946" i="7"/>
  <c r="G2947" i="7"/>
  <c r="G2945" i="7"/>
  <c r="G2942" i="7"/>
  <c r="G2943" i="7"/>
  <c r="G2944" i="7"/>
  <c r="G3699" i="7"/>
  <c r="G2982" i="7"/>
  <c r="G2983" i="7"/>
  <c r="G2981" i="7"/>
  <c r="G3712" i="7"/>
  <c r="G2906" i="7"/>
  <c r="G2907" i="7"/>
  <c r="G2927" i="7"/>
  <c r="G2655" i="7"/>
  <c r="G2656" i="7"/>
  <c r="G2654" i="7"/>
  <c r="G2306" i="7"/>
  <c r="G2308" i="7"/>
  <c r="G2342" i="7"/>
  <c r="G2344" i="7"/>
  <c r="G2392" i="7"/>
  <c r="G2397" i="7"/>
  <c r="G2396" i="7"/>
  <c r="G3266" i="7"/>
  <c r="G3083" i="7"/>
  <c r="G3227" i="7"/>
  <c r="G3229" i="7"/>
  <c r="G3794" i="7"/>
  <c r="G3238" i="7"/>
  <c r="G3395" i="7"/>
  <c r="G3397" i="7"/>
  <c r="G3850" i="7"/>
  <c r="G3386" i="7"/>
  <c r="G2297" i="7"/>
  <c r="G2299" i="7"/>
  <c r="G3484" i="7"/>
  <c r="G2354" i="7"/>
  <c r="G2356" i="7"/>
  <c r="G2355" i="7"/>
  <c r="G3503" i="7"/>
  <c r="G2345" i="7"/>
  <c r="G2347" i="7"/>
  <c r="G3500" i="7"/>
  <c r="G2369" i="7"/>
  <c r="G2371" i="7"/>
  <c r="G3508" i="7"/>
  <c r="G3270" i="7"/>
  <c r="G3269" i="7"/>
  <c r="G3808" i="7"/>
  <c r="G3294" i="7"/>
  <c r="G3293" i="7"/>
  <c r="G3816" i="7"/>
  <c r="G2782" i="7"/>
  <c r="G2780" i="7"/>
  <c r="G2781" i="7"/>
  <c r="G3645" i="7"/>
  <c r="G3432" i="7"/>
  <c r="G3030" i="7"/>
  <c r="G3031" i="7"/>
  <c r="G3728" i="7"/>
  <c r="G3218" i="7"/>
  <c r="G3219" i="7"/>
  <c r="G3791" i="7"/>
  <c r="G3398" i="7"/>
  <c r="G3399" i="7"/>
  <c r="G3400" i="7"/>
  <c r="G3851" i="7"/>
  <c r="G2738" i="7"/>
  <c r="G2739" i="7"/>
  <c r="G2702" i="7"/>
  <c r="G2703" i="7"/>
  <c r="G2704" i="7"/>
  <c r="G2762" i="7"/>
  <c r="G2763" i="7"/>
  <c r="G2519" i="7"/>
  <c r="G2520" i="7"/>
  <c r="G2511" i="7"/>
  <c r="G2512" i="7"/>
  <c r="G2510" i="7"/>
  <c r="G2485" i="7"/>
  <c r="G2483" i="7"/>
  <c r="G2484" i="7"/>
  <c r="G3107" i="7"/>
  <c r="G3108" i="7"/>
  <c r="G3109" i="7"/>
  <c r="G3130" i="7"/>
  <c r="G3128" i="7"/>
  <c r="G3129" i="7"/>
  <c r="G2895" i="7"/>
  <c r="G2896" i="7"/>
  <c r="G2891" i="7"/>
  <c r="G2892" i="7"/>
  <c r="G2893" i="7"/>
  <c r="G3682" i="7"/>
  <c r="G2863" i="7"/>
  <c r="G2861" i="7"/>
  <c r="G2564" i="7"/>
  <c r="G2565" i="7"/>
  <c r="G2566" i="7"/>
  <c r="G2576" i="7"/>
  <c r="G2577" i="7"/>
  <c r="G2578" i="7"/>
  <c r="G2597" i="7"/>
  <c r="G2598" i="7"/>
  <c r="G3299" i="7"/>
  <c r="G3300" i="7"/>
  <c r="G3301" i="7"/>
  <c r="G3011" i="7"/>
  <c r="G3012" i="7"/>
  <c r="G3013" i="7"/>
  <c r="G3003" i="7"/>
  <c r="G3004" i="7"/>
  <c r="G2277" i="7"/>
  <c r="G2278" i="7"/>
  <c r="G2276" i="7"/>
  <c r="G3477" i="7"/>
  <c r="G2257" i="7"/>
  <c r="G2255" i="7"/>
  <c r="G2256" i="7"/>
  <c r="G2152" i="7"/>
  <c r="G2150" i="7"/>
  <c r="G2151" i="7"/>
  <c r="G2180" i="7"/>
  <c r="G2181" i="7"/>
  <c r="G2182" i="7"/>
  <c r="G3445" i="7"/>
  <c r="G3179" i="7"/>
  <c r="G3180" i="7"/>
  <c r="G3181" i="7"/>
  <c r="G3778" i="7"/>
  <c r="G2939" i="7"/>
  <c r="G2940" i="7"/>
  <c r="G2941" i="7"/>
  <c r="G3698" i="7"/>
  <c r="G2948" i="7"/>
  <c r="G2949" i="7"/>
  <c r="G2978" i="7"/>
  <c r="G2979" i="7"/>
  <c r="G2980" i="7"/>
  <c r="G3711" i="7"/>
  <c r="G2975" i="7"/>
  <c r="G2976" i="7"/>
  <c r="G2977" i="7"/>
  <c r="G2918" i="7"/>
  <c r="G2919" i="7"/>
  <c r="G2920" i="7"/>
  <c r="G3691" i="7"/>
  <c r="G2916" i="7"/>
  <c r="G2917" i="7"/>
  <c r="G2903" i="7"/>
  <c r="G2904" i="7"/>
  <c r="G2905" i="7"/>
  <c r="G3686" i="7"/>
  <c r="G2664" i="7"/>
  <c r="G2628" i="7"/>
  <c r="G2629" i="7"/>
  <c r="G3594" i="7"/>
  <c r="G2682" i="7"/>
  <c r="G2621" i="7"/>
  <c r="G2622" i="7"/>
  <c r="G3592" i="7"/>
  <c r="G2636" i="7"/>
  <c r="G2637" i="7"/>
  <c r="G2684" i="7"/>
  <c r="G2685" i="7"/>
  <c r="G2686" i="7"/>
  <c r="G3613" i="7"/>
  <c r="G2446" i="7"/>
  <c r="G2444" i="7"/>
  <c r="G2414" i="7"/>
  <c r="G2415" i="7"/>
  <c r="G2416" i="7"/>
  <c r="G3523" i="7"/>
  <c r="G2417" i="7"/>
  <c r="G2418" i="7"/>
  <c r="G3063" i="7"/>
  <c r="G3064" i="7"/>
  <c r="G3739" i="7"/>
  <c r="G3322" i="7"/>
  <c r="G3320" i="7"/>
  <c r="G3321" i="7"/>
  <c r="G3825" i="7"/>
  <c r="G3318" i="7"/>
  <c r="G3319" i="7"/>
  <c r="G3317" i="7"/>
  <c r="G3354" i="7"/>
  <c r="G3355" i="7"/>
  <c r="G3353" i="7"/>
  <c r="G3836" i="7"/>
  <c r="G2225" i="7"/>
  <c r="G2226" i="7"/>
  <c r="G2227" i="7"/>
  <c r="G3460" i="7"/>
  <c r="G2201" i="7"/>
  <c r="G2203" i="7"/>
  <c r="G2200" i="7"/>
  <c r="G2198" i="7"/>
  <c r="G2199" i="7"/>
  <c r="G3451" i="7"/>
  <c r="G3154" i="7"/>
  <c r="G3158" i="7"/>
  <c r="G3159" i="7"/>
  <c r="G3160" i="7"/>
  <c r="G3771" i="7"/>
  <c r="G2318" i="7"/>
  <c r="G2319" i="7"/>
  <c r="G2320" i="7"/>
  <c r="G3491" i="7"/>
  <c r="G2313" i="7"/>
  <c r="G2314" i="7"/>
  <c r="G2312" i="7"/>
  <c r="G3489" i="7"/>
  <c r="G2329" i="7"/>
  <c r="G2327" i="7"/>
  <c r="G2328" i="7"/>
  <c r="G3494" i="7"/>
  <c r="G2405" i="7"/>
  <c r="G2406" i="7"/>
  <c r="G2407" i="7"/>
  <c r="G3520" i="7"/>
  <c r="G2373" i="7"/>
  <c r="G2374" i="7"/>
  <c r="G2372" i="7"/>
  <c r="G3509" i="7"/>
  <c r="G2393" i="7"/>
  <c r="G2394" i="7"/>
  <c r="G2395" i="7"/>
  <c r="G3516" i="7"/>
  <c r="G3274" i="7"/>
  <c r="G3272" i="7"/>
  <c r="G3273" i="7"/>
  <c r="G3809" i="7"/>
  <c r="G3290" i="7"/>
  <c r="G3291" i="7"/>
  <c r="G3292" i="7"/>
  <c r="G3815" i="7"/>
  <c r="G2799" i="7"/>
  <c r="G2800" i="7"/>
  <c r="G2835" i="7"/>
  <c r="G2836" i="7"/>
  <c r="G3663" i="7"/>
  <c r="G2811" i="7"/>
  <c r="G2812" i="7"/>
  <c r="G3655" i="7"/>
  <c r="G3023" i="7"/>
  <c r="G3024" i="7"/>
  <c r="G3025" i="7"/>
  <c r="G3726" i="7"/>
  <c r="G3081" i="7"/>
  <c r="G3745" i="7"/>
  <c r="G3258" i="7"/>
  <c r="G3259" i="7"/>
  <c r="G3257" i="7"/>
  <c r="G3804" i="7"/>
  <c r="G2747" i="7"/>
  <c r="G2748" i="7"/>
  <c r="G2749" i="7"/>
  <c r="G3634" i="7"/>
  <c r="G2719" i="7"/>
  <c r="G2717" i="7"/>
  <c r="G3624" i="7"/>
  <c r="G2722" i="7"/>
  <c r="G2720" i="7"/>
  <c r="G2721" i="7"/>
  <c r="G3625" i="7"/>
  <c r="G2715" i="7"/>
  <c r="G2716" i="7"/>
  <c r="G3623" i="7"/>
  <c r="G3359" i="7"/>
  <c r="G3360" i="7"/>
  <c r="G3361" i="7"/>
  <c r="G3371" i="7"/>
  <c r="G3372" i="7"/>
  <c r="G3373" i="7"/>
  <c r="G3842" i="7"/>
  <c r="G2527" i="7"/>
  <c r="G2525" i="7"/>
  <c r="G2526" i="7"/>
  <c r="G3560" i="7"/>
  <c r="G2473" i="7"/>
  <c r="G2472" i="7"/>
  <c r="G2471" i="7"/>
  <c r="G3542" i="7"/>
  <c r="G2486" i="7"/>
  <c r="G2487" i="7"/>
  <c r="G3547" i="7"/>
  <c r="G3119" i="7"/>
  <c r="G3120" i="7"/>
  <c r="G3121" i="7"/>
  <c r="G3758" i="7"/>
  <c r="G3138" i="7"/>
  <c r="G3139" i="7"/>
  <c r="G3137" i="7"/>
  <c r="G3764" i="7"/>
  <c r="G2864" i="7"/>
  <c r="G2865" i="7"/>
  <c r="G3673" i="7"/>
  <c r="G2875" i="7"/>
  <c r="G2873" i="7"/>
  <c r="G2585" i="7"/>
  <c r="G2586" i="7"/>
  <c r="G3580" i="7"/>
  <c r="G2540" i="7"/>
  <c r="G2541" i="7"/>
  <c r="G2542" i="7"/>
  <c r="G3565" i="7"/>
  <c r="G2544" i="7"/>
  <c r="G2545" i="7"/>
  <c r="G3566" i="7"/>
  <c r="G2552" i="7"/>
  <c r="G2553" i="7"/>
  <c r="G2554" i="7"/>
  <c r="G3569" i="7"/>
  <c r="G3302" i="7"/>
  <c r="G3303" i="7"/>
  <c r="G3304" i="7"/>
  <c r="G3819" i="7"/>
  <c r="G2987" i="7"/>
  <c r="G2988" i="7"/>
  <c r="G2989" i="7"/>
  <c r="G3714" i="7"/>
  <c r="G2290" i="7"/>
  <c r="G2288" i="7"/>
  <c r="G3481" i="7"/>
  <c r="G2261" i="7"/>
  <c r="G2262" i="7"/>
  <c r="G2263" i="7"/>
  <c r="G3472" i="7"/>
  <c r="G2249" i="7"/>
  <c r="G2250" i="7"/>
  <c r="G2251" i="7"/>
  <c r="G3468" i="7"/>
  <c r="G2168" i="7"/>
  <c r="G2169" i="7"/>
  <c r="G2170" i="7"/>
  <c r="G3441" i="7"/>
  <c r="G2156" i="7"/>
  <c r="G2157" i="7"/>
  <c r="G2158" i="7"/>
  <c r="G3437" i="7"/>
  <c r="G3214" i="7"/>
  <c r="G3212" i="7"/>
  <c r="G3213" i="7"/>
  <c r="G3789" i="7"/>
  <c r="G3190" i="7"/>
  <c r="G3188" i="7"/>
  <c r="G3189" i="7"/>
  <c r="G3781" i="7"/>
  <c r="G2321" i="7"/>
  <c r="G2322" i="7"/>
  <c r="G2323" i="7"/>
  <c r="G3492" i="7"/>
  <c r="G3090" i="7"/>
  <c r="G3091" i="7"/>
  <c r="G3089" i="7"/>
  <c r="G3748" i="7"/>
  <c r="G3262" i="7"/>
  <c r="G3260" i="7"/>
  <c r="G3261" i="7"/>
  <c r="G3805" i="7"/>
  <c r="G3242" i="7"/>
  <c r="G3243" i="7"/>
  <c r="G3244" i="7"/>
  <c r="G3799" i="7"/>
  <c r="G3251" i="7"/>
  <c r="G3252" i="7"/>
  <c r="G3253" i="7"/>
  <c r="G3802" i="7"/>
  <c r="G3410" i="7"/>
  <c r="G3411" i="7"/>
  <c r="G2711" i="7"/>
  <c r="G2712" i="7"/>
  <c r="G2713" i="7"/>
  <c r="G3622" i="7"/>
  <c r="G2732" i="7"/>
  <c r="G2733" i="7"/>
  <c r="G3629" i="7"/>
  <c r="G2855" i="7"/>
  <c r="G2856" i="7"/>
  <c r="G2857" i="7"/>
  <c r="G3670" i="7"/>
  <c r="G3008" i="7"/>
  <c r="G3009" i="7"/>
  <c r="G3721" i="7"/>
  <c r="G2963" i="7"/>
  <c r="G2964" i="7"/>
  <c r="G2965" i="7"/>
  <c r="G3706" i="7"/>
  <c r="G2647" i="7"/>
  <c r="G2645" i="7"/>
  <c r="G2646" i="7"/>
  <c r="G3600" i="7"/>
  <c r="G2619" i="7"/>
  <c r="G2620" i="7"/>
  <c r="G2618" i="7"/>
  <c r="G3591" i="7"/>
  <c r="G2338" i="7"/>
  <c r="G2336" i="7"/>
  <c r="G3497" i="7"/>
  <c r="G2326" i="7"/>
  <c r="G2324" i="7"/>
  <c r="G3493" i="7"/>
  <c r="G2309" i="7"/>
  <c r="G2310" i="7"/>
  <c r="G2311" i="7"/>
  <c r="G3488" i="7"/>
  <c r="G2403" i="7"/>
  <c r="G2404" i="7"/>
  <c r="G2402" i="7"/>
  <c r="G3519" i="7"/>
  <c r="G3287" i="7"/>
  <c r="G3288" i="7"/>
  <c r="G3289" i="7"/>
  <c r="G3814" i="7"/>
  <c r="G2771" i="7"/>
  <c r="G2772" i="7"/>
  <c r="G2773" i="7"/>
  <c r="G3642" i="7"/>
  <c r="G3032" i="7"/>
  <c r="G3033" i="7"/>
  <c r="G3729" i="7"/>
  <c r="G3254" i="7"/>
  <c r="G3255" i="7"/>
  <c r="G3256" i="7"/>
  <c r="G3390" i="7"/>
  <c r="G3391" i="7"/>
  <c r="G3389" i="7"/>
  <c r="G2723" i="7"/>
  <c r="G2724" i="7"/>
  <c r="G2725" i="7"/>
  <c r="G3626" i="7"/>
  <c r="G2756" i="7"/>
  <c r="G2757" i="7"/>
  <c r="G3637" i="7"/>
  <c r="G2741" i="7"/>
  <c r="G2516" i="7"/>
  <c r="G2517" i="7"/>
  <c r="G2518" i="7"/>
  <c r="G3557" i="7"/>
  <c r="G2481" i="7"/>
  <c r="G2480" i="7"/>
  <c r="G2482" i="7"/>
  <c r="G3545" i="7"/>
  <c r="G2492" i="7"/>
  <c r="G2497" i="7"/>
  <c r="G2496" i="7"/>
  <c r="G3110" i="7"/>
  <c r="G3134" i="7"/>
  <c r="G3136" i="7"/>
  <c r="G3763" i="7"/>
  <c r="G2878" i="7"/>
  <c r="G2876" i="7"/>
  <c r="G2877" i="7"/>
  <c r="G3677" i="7"/>
  <c r="G2898" i="7"/>
  <c r="G2899" i="7"/>
  <c r="G2897" i="7"/>
  <c r="G3684" i="7"/>
  <c r="G2591" i="7"/>
  <c r="G2592" i="7"/>
  <c r="G2593" i="7"/>
  <c r="G2551" i="7"/>
  <c r="G2549" i="7"/>
  <c r="G2550" i="7"/>
  <c r="G3568" i="7"/>
  <c r="G2579" i="7"/>
  <c r="G2580" i="7"/>
  <c r="G2581" i="7"/>
  <c r="G3314" i="7"/>
  <c r="G3316" i="7"/>
  <c r="G3823" i="7"/>
  <c r="G2998" i="7"/>
  <c r="G2996" i="7"/>
  <c r="G2997" i="7"/>
  <c r="G3717" i="7"/>
  <c r="G3006" i="7"/>
  <c r="G3007" i="7"/>
  <c r="G3005" i="7"/>
  <c r="G3720" i="7"/>
  <c r="G2281" i="7"/>
  <c r="G2280" i="7"/>
  <c r="G2265" i="7"/>
  <c r="G2264" i="7"/>
  <c r="G2165" i="7"/>
  <c r="G2167" i="7"/>
  <c r="G3440" i="7"/>
  <c r="G3206" i="7"/>
  <c r="G2930" i="7"/>
  <c r="G2931" i="7"/>
  <c r="G2932" i="7"/>
  <c r="G2960" i="7"/>
  <c r="G2961" i="7"/>
  <c r="G2966" i="7"/>
  <c r="G2967" i="7"/>
  <c r="G2968" i="7"/>
  <c r="G2902" i="7"/>
  <c r="G2900" i="7"/>
  <c r="G2901" i="7"/>
  <c r="G3685" i="7"/>
  <c r="G2675" i="7"/>
  <c r="G2676" i="7"/>
  <c r="G2677" i="7"/>
  <c r="G3610" i="7"/>
  <c r="G2667" i="7"/>
  <c r="G2668" i="7"/>
  <c r="G2624" i="7"/>
  <c r="G3593" i="7"/>
  <c r="G2639" i="7"/>
  <c r="G2641" i="7"/>
  <c r="G2648" i="7"/>
  <c r="G3601" i="7"/>
  <c r="G2448" i="7"/>
  <c r="G2413" i="7"/>
  <c r="G2412" i="7"/>
  <c r="G3522" i="7"/>
  <c r="G2421" i="7"/>
  <c r="G2420" i="7"/>
  <c r="G2409" i="7"/>
  <c r="G2408" i="7"/>
  <c r="G3521" i="7"/>
  <c r="G3054" i="7"/>
  <c r="G3055" i="7"/>
  <c r="G3058" i="7"/>
  <c r="G3056" i="7"/>
  <c r="G3057" i="7"/>
  <c r="G3066" i="7"/>
  <c r="G3067" i="7"/>
  <c r="G3065" i="7"/>
  <c r="G3740" i="7"/>
  <c r="G3330" i="7"/>
  <c r="G3828" i="7"/>
  <c r="G3323" i="7"/>
  <c r="G3358" i="7"/>
  <c r="G3837" i="7"/>
  <c r="G2221" i="7"/>
  <c r="G2220" i="7"/>
  <c r="G3458" i="7"/>
  <c r="G2229" i="7"/>
  <c r="G2228" i="7"/>
  <c r="G3461" i="7"/>
  <c r="D821" i="4"/>
  <c r="G3246" i="7" l="1"/>
  <c r="G3247" i="7"/>
  <c r="G3245" i="7"/>
  <c r="G3800" i="7"/>
  <c r="G3050" i="7"/>
  <c r="G3051" i="7"/>
  <c r="G3052" i="7"/>
  <c r="G3735" i="7"/>
  <c r="G3298" i="7"/>
  <c r="G3296" i="7"/>
  <c r="G3297" i="7"/>
  <c r="G3817" i="7"/>
  <c r="G3347" i="7"/>
  <c r="G3348" i="7"/>
  <c r="G3349" i="7"/>
  <c r="G3834" i="7"/>
  <c r="G2160" i="7"/>
  <c r="G2161" i="7"/>
  <c r="G2159" i="7"/>
  <c r="G3438" i="7"/>
  <c r="G2499" i="7"/>
  <c r="G2500" i="7"/>
  <c r="G2498" i="7"/>
  <c r="G3551" i="7"/>
  <c r="G2754" i="7"/>
  <c r="G2755" i="7"/>
  <c r="G2753" i="7"/>
  <c r="G3636" i="7"/>
  <c r="G3095" i="7"/>
  <c r="G3096" i="7"/>
  <c r="G3097" i="7"/>
  <c r="G3750" i="7"/>
  <c r="G3402" i="7"/>
  <c r="G3403" i="7"/>
  <c r="G3401" i="7"/>
  <c r="G3852" i="7"/>
  <c r="G3166" i="7"/>
  <c r="G3164" i="7"/>
  <c r="G3165" i="7"/>
  <c r="G3773" i="7"/>
  <c r="G2213" i="7"/>
  <c r="G2214" i="7"/>
  <c r="G2215" i="7"/>
  <c r="G3456" i="7"/>
  <c r="G3338" i="7"/>
  <c r="G3339" i="7"/>
  <c r="G3340" i="7"/>
  <c r="G3831" i="7"/>
  <c r="G2679" i="7"/>
  <c r="G2680" i="7"/>
  <c r="G2678" i="7"/>
  <c r="G3611" i="7"/>
  <c r="G2970" i="7"/>
  <c r="G2971" i="7"/>
  <c r="G2969" i="7"/>
  <c r="G3708" i="7"/>
  <c r="G2177" i="7"/>
  <c r="G2178" i="7"/>
  <c r="G2179" i="7"/>
  <c r="G3444" i="7"/>
  <c r="G2994" i="7"/>
  <c r="G2995" i="7"/>
  <c r="G2993" i="7"/>
  <c r="G3716" i="7"/>
  <c r="G2612" i="7"/>
  <c r="G2613" i="7"/>
  <c r="G2614" i="7"/>
  <c r="G3589" i="7"/>
  <c r="G3162" i="7"/>
  <c r="G3163" i="7"/>
  <c r="G3161" i="7"/>
  <c r="G3772" i="7"/>
  <c r="G2189" i="7"/>
  <c r="G2190" i="7"/>
  <c r="G2191" i="7"/>
  <c r="G3448" i="7"/>
  <c r="G3334" i="7"/>
  <c r="G3332" i="7"/>
  <c r="G3333" i="7"/>
  <c r="G3829" i="7"/>
  <c r="G2433" i="7"/>
  <c r="G2432" i="7"/>
  <c r="G2434" i="7"/>
  <c r="G3529" i="7"/>
  <c r="G2914" i="7"/>
  <c r="G2912" i="7"/>
  <c r="G2913" i="7"/>
  <c r="G3689" i="7"/>
  <c r="G3194" i="7"/>
  <c r="G3195" i="7"/>
  <c r="G3196" i="7"/>
  <c r="G3783" i="7"/>
  <c r="G2555" i="7"/>
  <c r="G2556" i="7"/>
  <c r="G2557" i="7"/>
  <c r="G3570" i="7"/>
  <c r="G2854" i="7"/>
  <c r="G2852" i="7"/>
  <c r="G2853" i="7"/>
  <c r="G3669" i="7"/>
  <c r="G2699" i="7"/>
  <c r="G2700" i="7"/>
  <c r="G2701" i="7"/>
  <c r="G3618" i="7"/>
  <c r="G2783" i="7"/>
  <c r="G2784" i="7"/>
  <c r="G2785" i="7"/>
  <c r="G3646" i="7"/>
  <c r="G2366" i="7"/>
  <c r="G2367" i="7"/>
  <c r="G2368" i="7"/>
  <c r="G3507" i="7"/>
  <c r="G2301" i="7"/>
  <c r="G2302" i="7"/>
  <c r="G2300" i="7"/>
  <c r="G3485" i="7"/>
  <c r="G2465" i="7"/>
  <c r="G2467" i="7"/>
  <c r="G2466" i="7"/>
  <c r="G3540" i="7"/>
  <c r="G3278" i="7"/>
  <c r="G3279" i="7"/>
  <c r="G3280" i="7"/>
  <c r="G3811" i="7"/>
  <c r="G2469" i="7"/>
  <c r="G2468" i="7"/>
  <c r="G2470" i="7"/>
  <c r="G3541" i="7"/>
  <c r="G2926" i="7"/>
  <c r="G2924" i="7"/>
  <c r="G2925" i="7"/>
  <c r="G3693" i="7"/>
  <c r="G2246" i="7"/>
  <c r="G2247" i="7"/>
  <c r="G2248" i="7"/>
  <c r="G3467" i="7"/>
  <c r="G2631" i="7"/>
  <c r="G2632" i="7"/>
  <c r="G2630" i="7"/>
  <c r="G3595" i="7"/>
  <c r="G2241" i="7"/>
  <c r="G2242" i="7"/>
  <c r="G2240" i="7"/>
  <c r="G3465" i="7"/>
  <c r="G2858" i="7"/>
  <c r="G2859" i="7"/>
  <c r="G2860" i="7"/>
  <c r="G3671" i="7"/>
  <c r="G2507" i="7"/>
  <c r="G2508" i="7"/>
  <c r="G2509" i="7"/>
  <c r="G3554" i="7"/>
  <c r="G3263" i="7"/>
  <c r="G3264" i="7"/>
  <c r="G3265" i="7"/>
  <c r="G2774" i="7"/>
  <c r="G2775" i="7"/>
  <c r="G2776" i="7"/>
  <c r="G3643" i="7"/>
  <c r="G2361" i="7"/>
  <c r="G2362" i="7"/>
  <c r="G2360" i="7"/>
  <c r="G3505" i="7"/>
  <c r="G2153" i="7"/>
  <c r="G2154" i="7"/>
  <c r="G2155" i="7"/>
  <c r="G3436" i="7"/>
  <c r="G2531" i="7"/>
  <c r="G2532" i="7"/>
  <c r="G2533" i="7"/>
  <c r="G3562" i="7"/>
  <c r="G2795" i="7"/>
  <c r="G2796" i="7"/>
  <c r="G2797" i="7"/>
  <c r="G3650" i="7"/>
  <c r="G2477" i="7"/>
  <c r="G2478" i="7"/>
  <c r="G2479" i="7"/>
  <c r="G3544" i="7"/>
  <c r="G2687" i="7"/>
  <c r="G2688" i="7"/>
  <c r="G2689" i="7"/>
  <c r="G3614" i="7"/>
  <c r="G3022" i="7"/>
  <c r="G3020" i="7"/>
  <c r="G3021" i="7"/>
  <c r="G3725" i="7"/>
  <c r="G2778" i="7"/>
  <c r="G2779" i="7"/>
  <c r="G2777" i="7"/>
  <c r="G3644" i="7"/>
  <c r="G2882" i="7"/>
  <c r="G2883" i="7"/>
  <c r="G2884" i="7"/>
  <c r="G3679" i="7"/>
  <c r="G3071" i="7"/>
  <c r="G3072" i="7"/>
  <c r="G3073" i="7"/>
  <c r="G3742" i="7"/>
  <c r="G3286" i="7"/>
  <c r="G3284" i="7"/>
  <c r="G3285" i="7"/>
  <c r="G3813" i="7"/>
  <c r="G2730" i="7"/>
  <c r="G2731" i="7"/>
  <c r="G2729" i="7"/>
  <c r="G3628" i="7"/>
  <c r="G2672" i="7"/>
  <c r="G2673" i="7"/>
  <c r="G2674" i="7"/>
  <c r="G3609" i="7"/>
  <c r="G3362" i="7"/>
  <c r="G3363" i="7"/>
  <c r="G3364" i="7"/>
  <c r="G3839" i="7"/>
  <c r="G3143" i="7"/>
  <c r="G3144" i="7"/>
  <c r="G3145" i="7"/>
  <c r="G3766" i="7"/>
  <c r="G3131" i="7"/>
  <c r="G3132" i="7"/>
  <c r="G3133" i="7"/>
  <c r="G3762" i="7"/>
  <c r="G3239" i="7"/>
  <c r="G3240" i="7"/>
  <c r="G3241" i="7"/>
  <c r="G3798" i="7"/>
  <c r="G2233" i="7"/>
  <c r="G2231" i="7"/>
  <c r="G2232" i="7"/>
  <c r="G3462" i="7"/>
  <c r="G2843" i="7"/>
  <c r="G2844" i="7"/>
  <c r="G2845" i="7"/>
  <c r="G3666" i="7"/>
  <c r="G2353" i="7"/>
  <c r="G2351" i="7"/>
  <c r="G2352" i="7"/>
  <c r="G3502" i="7"/>
  <c r="G2461" i="7"/>
  <c r="G2459" i="7"/>
  <c r="G2460" i="7"/>
  <c r="G3538" i="7"/>
  <c r="G2695" i="7"/>
  <c r="G2693" i="7"/>
  <c r="G2694" i="7"/>
  <c r="G3616" i="7"/>
  <c r="G3430" i="7"/>
  <c r="G3428" i="7"/>
  <c r="G3429" i="7"/>
  <c r="G3861" i="7"/>
  <c r="G2790" i="7"/>
  <c r="G2791" i="7"/>
  <c r="G2789" i="7"/>
  <c r="G3648" i="7"/>
  <c r="G3102" i="7"/>
  <c r="G3103" i="7"/>
  <c r="G3101" i="7"/>
  <c r="G3752" i="7"/>
  <c r="G3094" i="7"/>
  <c r="G3092" i="7"/>
  <c r="G3093" i="7"/>
  <c r="G3749" i="7"/>
  <c r="G2294" i="7"/>
  <c r="G2295" i="7"/>
  <c r="G2296" i="7"/>
  <c r="G3170" i="7"/>
  <c r="G3171" i="7"/>
  <c r="G3172" i="7"/>
  <c r="G2974" i="7"/>
  <c r="G2972" i="7"/>
  <c r="G2973" i="7"/>
  <c r="G3709" i="7"/>
  <c r="G2607" i="7"/>
  <c r="G2608" i="7"/>
  <c r="G2606" i="7"/>
  <c r="G3587" i="7"/>
  <c r="G3222" i="7"/>
  <c r="G3223" i="7"/>
  <c r="G3221" i="7"/>
  <c r="G3792" i="7"/>
  <c r="G3142" i="7"/>
  <c r="G3140" i="7"/>
  <c r="G3141" i="7"/>
  <c r="G3765" i="7"/>
  <c r="G3366" i="7"/>
  <c r="G3367" i="7"/>
  <c r="G3365" i="7"/>
  <c r="G3840" i="7"/>
  <c r="G2958" i="7"/>
  <c r="G2959" i="7"/>
  <c r="G2957" i="7"/>
  <c r="G3704" i="7"/>
  <c r="G3014" i="7"/>
  <c r="G3015" i="7"/>
  <c r="G3016" i="7"/>
  <c r="G2794" i="7"/>
  <c r="G2792" i="7"/>
  <c r="G2793" i="7"/>
  <c r="G3649" i="7"/>
  <c r="G2222" i="7"/>
  <c r="G2223" i="7"/>
  <c r="G2224" i="7"/>
  <c r="G3459" i="7"/>
  <c r="G2651" i="7"/>
  <c r="G2652" i="7"/>
  <c r="G2653" i="7"/>
  <c r="G3602" i="7"/>
  <c r="G2269" i="7"/>
  <c r="G2267" i="7"/>
  <c r="G2268" i="7"/>
  <c r="G3474" i="7"/>
  <c r="G2890" i="7"/>
  <c r="G2888" i="7"/>
  <c r="G2889" i="7"/>
  <c r="G3681" i="7"/>
  <c r="G2210" i="7"/>
  <c r="G2211" i="7"/>
  <c r="G2212" i="7"/>
  <c r="G3455" i="7"/>
  <c r="G2660" i="7"/>
  <c r="G2661" i="7"/>
  <c r="G2662" i="7"/>
  <c r="G3605" i="7"/>
  <c r="G2270" i="7"/>
  <c r="G2271" i="7"/>
  <c r="G2272" i="7"/>
  <c r="G3475" i="7"/>
  <c r="G2567" i="7"/>
  <c r="G2568" i="7"/>
  <c r="G2569" i="7"/>
  <c r="G3574" i="7"/>
  <c r="G3370" i="7"/>
  <c r="G3368" i="7"/>
  <c r="G3369" i="7"/>
  <c r="G3841" i="7"/>
  <c r="G3035" i="7"/>
  <c r="G3036" i="7"/>
  <c r="G3037" i="7"/>
  <c r="G3730" i="7"/>
  <c r="G2786" i="7"/>
  <c r="G2787" i="7"/>
  <c r="G2788" i="7"/>
  <c r="G3647" i="7"/>
  <c r="G2341" i="7"/>
  <c r="G2340" i="7"/>
  <c r="G2339" i="7"/>
  <c r="G3498" i="7"/>
  <c r="G3118" i="7"/>
  <c r="G3116" i="7"/>
  <c r="G3117" i="7"/>
  <c r="G3757" i="7"/>
  <c r="G3038" i="7"/>
  <c r="G3039" i="7"/>
  <c r="G3040" i="7"/>
  <c r="G3731" i="7"/>
  <c r="G2381" i="7"/>
  <c r="G2382" i="7"/>
  <c r="G2383" i="7"/>
  <c r="G3512" i="7"/>
  <c r="G2441" i="7"/>
  <c r="G2442" i="7"/>
  <c r="G2443" i="7"/>
  <c r="G3532" i="7"/>
  <c r="G3191" i="7"/>
  <c r="G3192" i="7"/>
  <c r="G3193" i="7"/>
  <c r="G3782" i="7"/>
  <c r="G2547" i="7"/>
  <c r="G2548" i="7"/>
  <c r="G2546" i="7"/>
  <c r="G3567" i="7"/>
  <c r="G3061" i="7"/>
  <c r="G3060" i="7"/>
  <c r="G3059" i="7"/>
  <c r="G3738" i="7"/>
  <c r="G3215" i="7"/>
  <c r="G3216" i="7"/>
  <c r="G3217" i="7"/>
  <c r="G3790" i="7"/>
  <c r="G2539" i="7"/>
  <c r="G2537" i="7"/>
  <c r="G2538" i="7"/>
  <c r="G3564" i="7"/>
  <c r="G3106" i="7"/>
  <c r="G3104" i="7"/>
  <c r="G3105" i="7"/>
  <c r="G3753" i="7"/>
  <c r="G3394" i="7"/>
  <c r="G3392" i="7"/>
  <c r="G3393" i="7"/>
  <c r="G3849" i="7"/>
  <c r="G3026" i="7"/>
  <c r="G3027" i="7"/>
  <c r="G3028" i="7"/>
  <c r="G3727" i="7"/>
  <c r="G2357" i="7"/>
  <c r="G2358" i="7"/>
  <c r="G2359" i="7"/>
  <c r="G3504" i="7"/>
  <c r="G2643" i="7"/>
  <c r="G2644" i="7"/>
  <c r="G2642" i="7"/>
  <c r="G3599" i="7"/>
  <c r="G2273" i="7"/>
  <c r="G2274" i="7"/>
  <c r="G2275" i="7"/>
  <c r="G3476" i="7"/>
  <c r="G2846" i="7"/>
  <c r="G2847" i="7"/>
  <c r="G2848" i="7"/>
  <c r="G3667" i="7"/>
  <c r="G2528" i="7"/>
  <c r="G2529" i="7"/>
  <c r="G2530" i="7"/>
  <c r="G3350" i="7"/>
  <c r="G3351" i="7"/>
  <c r="G3352" i="7"/>
  <c r="G3835" i="7"/>
  <c r="G2474" i="7"/>
  <c r="G2475" i="7"/>
  <c r="G2476" i="7"/>
  <c r="G3543" i="7"/>
  <c r="G3074" i="7"/>
  <c r="G3075" i="7"/>
  <c r="G3076" i="7"/>
  <c r="G3743" i="7"/>
  <c r="G3420" i="7"/>
  <c r="G3421" i="7"/>
  <c r="G3419" i="7"/>
  <c r="G3858" i="7"/>
  <c r="G2922" i="7"/>
  <c r="G2923" i="7"/>
  <c r="G2921" i="7"/>
  <c r="G3692" i="7"/>
  <c r="G3226" i="7"/>
  <c r="G3224" i="7"/>
  <c r="G3225" i="7"/>
  <c r="G3793" i="7"/>
  <c r="G3018" i="7"/>
  <c r="G3019" i="7"/>
  <c r="G3017" i="7"/>
  <c r="G3724" i="7"/>
  <c r="G2706" i="7"/>
  <c r="G2707" i="7"/>
  <c r="G2705" i="7"/>
  <c r="G3620" i="7"/>
  <c r="G2208" i="7"/>
  <c r="G2209" i="7"/>
  <c r="G2207" i="7"/>
  <c r="G3454" i="7"/>
  <c r="G2951" i="7"/>
  <c r="G2952" i="7"/>
  <c r="G2953" i="7"/>
  <c r="G3702" i="7"/>
  <c r="G2583" i="7"/>
  <c r="G2584" i="7"/>
  <c r="G2582" i="7"/>
  <c r="G3579" i="7"/>
  <c r="G2635" i="7"/>
  <c r="G2633" i="7"/>
  <c r="G2634" i="7"/>
  <c r="G3596" i="7"/>
  <c r="G2986" i="7"/>
  <c r="G2984" i="7"/>
  <c r="G2985" i="7"/>
  <c r="G3713" i="7"/>
  <c r="G2735" i="7"/>
  <c r="G2736" i="7"/>
  <c r="G2737" i="7"/>
  <c r="G3630" i="7"/>
  <c r="G2377" i="7"/>
  <c r="G2375" i="7"/>
  <c r="G2376" i="7"/>
  <c r="G3510" i="7"/>
  <c r="G2401" i="7"/>
  <c r="G2399" i="7"/>
  <c r="G2400" i="7"/>
  <c r="G3518" i="7"/>
  <c r="G2999" i="7"/>
  <c r="G3000" i="7"/>
  <c r="G3001" i="7"/>
  <c r="G2934" i="7"/>
  <c r="G2935" i="7"/>
  <c r="G2933" i="7"/>
  <c r="G3696" i="7"/>
  <c r="G2503" i="7"/>
  <c r="G2501" i="7"/>
  <c r="G2502" i="7"/>
  <c r="G3552" i="7"/>
  <c r="G2437" i="7"/>
  <c r="G2435" i="7"/>
  <c r="G2436" i="7"/>
  <c r="G3530" i="7"/>
  <c r="G2451" i="7"/>
  <c r="G2452" i="7"/>
  <c r="G2450" i="7"/>
  <c r="G3535" i="7"/>
  <c r="G2726" i="7"/>
  <c r="G2727" i="7"/>
  <c r="G2728" i="7"/>
  <c r="G3627" i="7"/>
  <c r="G3155" i="7"/>
  <c r="G3156" i="7"/>
  <c r="G3157" i="7"/>
  <c r="G3770" i="7"/>
  <c r="G3346" i="7"/>
  <c r="G3344" i="7"/>
  <c r="G3345" i="7"/>
  <c r="G3833" i="7"/>
  <c r="G2426" i="7"/>
  <c r="G2427" i="7"/>
  <c r="G2428" i="7"/>
  <c r="G3527" i="7"/>
  <c r="G3198" i="7"/>
  <c r="G3199" i="7"/>
  <c r="G3197" i="7"/>
  <c r="G3784" i="7"/>
  <c r="G2588" i="7"/>
  <c r="G2589" i="7"/>
  <c r="G2590" i="7"/>
  <c r="G3581" i="7"/>
  <c r="G3174" i="7"/>
  <c r="G3175" i="7"/>
  <c r="G3173" i="7"/>
  <c r="G3776" i="7"/>
  <c r="G3047" i="7"/>
  <c r="G3048" i="7"/>
  <c r="G3049" i="7"/>
  <c r="G3734" i="7"/>
  <c r="G2954" i="7"/>
  <c r="G2955" i="7"/>
  <c r="G2956" i="7"/>
  <c r="G3703" i="7"/>
  <c r="G3306" i="7"/>
  <c r="G3307" i="7"/>
  <c r="G3305" i="7"/>
  <c r="G3820" i="7"/>
  <c r="G3234" i="7"/>
  <c r="G3235" i="7"/>
  <c r="G3233" i="7"/>
  <c r="G3796" i="7"/>
  <c r="G2766" i="7"/>
  <c r="G2767" i="7"/>
  <c r="G2765" i="7"/>
  <c r="G3640" i="7"/>
  <c r="G3167" i="7"/>
  <c r="G3168" i="7"/>
  <c r="G3169" i="7"/>
  <c r="G3774" i="7"/>
  <c r="G2196" i="7"/>
  <c r="G2197" i="7"/>
  <c r="G2195" i="7"/>
  <c r="G3450" i="7"/>
  <c r="G3342" i="7"/>
  <c r="G3343" i="7"/>
  <c r="G3341" i="7"/>
  <c r="G3832" i="7"/>
  <c r="G2440" i="7"/>
  <c r="G2438" i="7"/>
  <c r="G2439" i="7"/>
  <c r="G3531" i="7"/>
  <c r="G2910" i="7"/>
  <c r="G2911" i="7"/>
  <c r="G2909" i="7"/>
  <c r="G3688" i="7"/>
  <c r="G3203" i="7"/>
  <c r="G3204" i="7"/>
  <c r="G3205" i="7"/>
  <c r="G3786" i="7"/>
  <c r="G2282" i="7"/>
  <c r="G2283" i="7"/>
  <c r="G2284" i="7"/>
  <c r="G3479" i="7"/>
  <c r="G2595" i="7"/>
  <c r="G2596" i="7"/>
  <c r="G2594" i="7"/>
  <c r="G3583" i="7"/>
  <c r="G2886" i="7"/>
  <c r="G2887" i="7"/>
  <c r="G2885" i="7"/>
  <c r="G3680" i="7"/>
  <c r="G2217" i="7"/>
  <c r="G2218" i="7"/>
  <c r="G2216" i="7"/>
  <c r="G3457" i="7"/>
  <c r="G3335" i="7"/>
  <c r="G3336" i="7"/>
  <c r="G3337" i="7"/>
  <c r="G3830" i="7"/>
  <c r="G2425" i="7"/>
  <c r="G2424" i="7"/>
  <c r="G2423" i="7"/>
  <c r="G3526" i="7"/>
  <c r="G2659" i="7"/>
  <c r="G2657" i="7"/>
  <c r="G2658" i="7"/>
  <c r="G3604" i="7"/>
  <c r="G3182" i="7"/>
  <c r="G3183" i="7"/>
  <c r="G3184" i="7"/>
  <c r="G3779" i="7"/>
  <c r="G2253" i="7"/>
  <c r="G2254" i="7"/>
  <c r="G2252" i="7"/>
  <c r="G3469" i="7"/>
  <c r="G2563" i="7"/>
  <c r="G2561" i="7"/>
  <c r="G2562" i="7"/>
  <c r="G3572" i="7"/>
  <c r="G2870" i="7"/>
  <c r="G2871" i="7"/>
  <c r="G2872" i="7"/>
  <c r="G3675" i="7"/>
  <c r="G3406" i="7"/>
  <c r="G3404" i="7"/>
  <c r="G3405" i="7"/>
  <c r="G3853" i="7"/>
  <c r="G3426" i="7"/>
  <c r="G3425" i="7"/>
  <c r="G3427" i="7"/>
  <c r="G3860" i="7"/>
  <c r="G3282" i="7"/>
  <c r="G3283" i="7"/>
  <c r="G3281" i="7"/>
  <c r="G3812" i="7"/>
  <c r="G2330" i="7"/>
  <c r="G2332" i="7"/>
  <c r="G2331" i="7"/>
  <c r="G3495" i="7"/>
  <c r="G2504" i="7"/>
  <c r="G2505" i="7"/>
  <c r="G2506" i="7"/>
  <c r="G3553" i="7"/>
  <c r="G2814" i="7"/>
  <c r="G2815" i="7"/>
  <c r="G2813" i="7"/>
  <c r="G3656" i="7"/>
  <c r="G2457" i="7"/>
  <c r="G2456" i="7"/>
  <c r="G2458" i="7"/>
  <c r="G3537" i="7"/>
  <c r="G2671" i="7"/>
  <c r="G2669" i="7"/>
  <c r="G2670" i="7"/>
  <c r="G3608" i="7"/>
  <c r="G2148" i="7"/>
  <c r="G2149" i="7"/>
  <c r="G3434" i="7"/>
  <c r="G2147" i="7"/>
  <c r="G2615" i="7"/>
  <c r="G2616" i="7"/>
  <c r="G2617" i="7"/>
  <c r="G3590" i="7"/>
  <c r="G2429" i="7"/>
  <c r="G2430" i="7"/>
  <c r="G2431" i="7"/>
  <c r="G3528" i="7"/>
  <c r="G2176" i="7"/>
  <c r="G2174" i="7"/>
  <c r="G2175" i="7"/>
  <c r="G3443" i="7"/>
  <c r="G2600" i="7"/>
  <c r="G2601" i="7"/>
  <c r="G2602" i="7"/>
  <c r="G3585" i="7"/>
  <c r="G2453" i="7"/>
  <c r="G2454" i="7"/>
  <c r="G2455" i="7"/>
  <c r="G3383" i="7"/>
  <c r="G3384" i="7"/>
  <c r="G3385" i="7"/>
  <c r="G3846" i="7"/>
  <c r="G2806" i="7"/>
  <c r="G2804" i="7"/>
  <c r="G2805" i="7"/>
  <c r="G3653" i="7"/>
  <c r="G2365" i="7"/>
  <c r="G2364" i="7"/>
  <c r="G2363" i="7"/>
  <c r="G3506" i="7"/>
  <c r="G2938" i="7"/>
  <c r="G2936" i="7"/>
  <c r="G2937" i="7"/>
  <c r="G3697" i="7"/>
  <c r="G3310" i="7"/>
  <c r="G3308" i="7"/>
  <c r="G3309" i="7"/>
  <c r="G3821" i="7"/>
  <c r="G3146" i="7"/>
  <c r="G3147" i="7"/>
  <c r="G3148" i="7"/>
  <c r="G3767" i="7"/>
  <c r="G2759" i="7"/>
  <c r="G2760" i="7"/>
  <c r="G2761" i="7"/>
  <c r="G3638" i="7"/>
  <c r="G2164" i="7"/>
  <c r="G2162" i="7"/>
  <c r="G2163" i="7"/>
  <c r="G3439" i="7"/>
  <c r="G3382" i="7"/>
  <c r="G3380" i="7"/>
  <c r="G3381" i="7"/>
  <c r="G3845" i="7"/>
  <c r="G3086" i="7"/>
  <c r="G3087" i="7"/>
  <c r="G3088" i="7"/>
  <c r="G3747" i="7"/>
  <c r="G2802" i="7"/>
  <c r="G2803" i="7"/>
  <c r="G2801" i="7"/>
  <c r="G3652" i="7"/>
  <c r="G2535" i="7"/>
  <c r="G2536" i="7"/>
  <c r="G2534" i="7"/>
  <c r="G3563" i="7"/>
  <c r="G3250" i="7"/>
  <c r="G3248" i="7"/>
  <c r="G3249" i="7"/>
  <c r="G3801" i="7"/>
  <c r="G2830" i="7"/>
  <c r="G2828" i="7"/>
  <c r="G2829" i="7"/>
  <c r="G3661" i="7"/>
</calcChain>
</file>

<file path=xl/sharedStrings.xml><?xml version="1.0" encoding="utf-8"?>
<sst xmlns="http://schemas.openxmlformats.org/spreadsheetml/2006/main" count="30890" uniqueCount="1126">
  <si>
    <t>west</t>
  </si>
  <si>
    <t>east</t>
  </si>
  <si>
    <t>north</t>
  </si>
  <si>
    <t>south</t>
  </si>
  <si>
    <t>National</t>
  </si>
  <si>
    <t>Provincial</t>
  </si>
  <si>
    <t>District</t>
  </si>
  <si>
    <t>w1</t>
  </si>
  <si>
    <t>w2</t>
  </si>
  <si>
    <t>w3</t>
  </si>
  <si>
    <t>w4</t>
  </si>
  <si>
    <t>e1</t>
  </si>
  <si>
    <t>e2</t>
  </si>
  <si>
    <t>n1</t>
  </si>
  <si>
    <t>s1</t>
  </si>
  <si>
    <t>s2</t>
  </si>
  <si>
    <t>s3</t>
  </si>
  <si>
    <t>Province</t>
  </si>
  <si>
    <t>Class</t>
  </si>
  <si>
    <t>AP</t>
  </si>
  <si>
    <t>AI</t>
  </si>
  <si>
    <t>percent</t>
  </si>
  <si>
    <t>CI</t>
  </si>
  <si>
    <t>CP</t>
  </si>
  <si>
    <t>S</t>
  </si>
  <si>
    <t>Population</t>
  </si>
  <si>
    <t>VaccineNeed</t>
  </si>
  <si>
    <t>مركزئ</t>
  </si>
  <si>
    <t>اراك</t>
  </si>
  <si>
    <t>آشتيان</t>
  </si>
  <si>
    <t>تفرش</t>
  </si>
  <si>
    <t>خمين</t>
  </si>
  <si>
    <t>دليجان</t>
  </si>
  <si>
    <t>ساوه</t>
  </si>
  <si>
    <t>شازند</t>
  </si>
  <si>
    <t>محلات</t>
  </si>
  <si>
    <t>زرنديه</t>
  </si>
  <si>
    <t>كميجان</t>
  </si>
  <si>
    <t>خنداب</t>
  </si>
  <si>
    <t>گيلان</t>
  </si>
  <si>
    <t>فراهان</t>
  </si>
  <si>
    <t>آستارا</t>
  </si>
  <si>
    <t>آستانه اشرفيه</t>
  </si>
  <si>
    <t>بندرانزلي</t>
  </si>
  <si>
    <t>تالش</t>
  </si>
  <si>
    <t>رشت</t>
  </si>
  <si>
    <t>رودبار</t>
  </si>
  <si>
    <t>رودسر</t>
  </si>
  <si>
    <t>صومعه سرا</t>
  </si>
  <si>
    <t>فومن</t>
  </si>
  <si>
    <t>لنگرود</t>
  </si>
  <si>
    <t>لاهيجان</t>
  </si>
  <si>
    <t>شفت</t>
  </si>
  <si>
    <t>املش</t>
  </si>
  <si>
    <t>رضوانشهر</t>
  </si>
  <si>
    <t>سياهكل</t>
  </si>
  <si>
    <t>مازندران</t>
  </si>
  <si>
    <t>ماسال</t>
  </si>
  <si>
    <t>آمل</t>
  </si>
  <si>
    <t>بابل</t>
  </si>
  <si>
    <t>بهشهر</t>
  </si>
  <si>
    <t>تنكابن</t>
  </si>
  <si>
    <t>رامسر</t>
  </si>
  <si>
    <t>سارئ</t>
  </si>
  <si>
    <t>سوادكوه</t>
  </si>
  <si>
    <t>قائم شهر</t>
  </si>
  <si>
    <t>نور</t>
  </si>
  <si>
    <t>نوشهر</t>
  </si>
  <si>
    <t>بابلسر</t>
  </si>
  <si>
    <t>محمودآباد</t>
  </si>
  <si>
    <t>نكا</t>
  </si>
  <si>
    <t>چالوس</t>
  </si>
  <si>
    <t>جويبار</t>
  </si>
  <si>
    <t>گلوگاه</t>
  </si>
  <si>
    <t>فريدونكنار</t>
  </si>
  <si>
    <t>عباس آباد</t>
  </si>
  <si>
    <t>مياندورد</t>
  </si>
  <si>
    <t>سيمرغ</t>
  </si>
  <si>
    <t>سوادکوه شمالی</t>
  </si>
  <si>
    <t>آذربايجان شرقي</t>
  </si>
  <si>
    <t>کلاردشت</t>
  </si>
  <si>
    <t>اهر</t>
  </si>
  <si>
    <t>تبريز</t>
  </si>
  <si>
    <t>سراب</t>
  </si>
  <si>
    <t>مراغه</t>
  </si>
  <si>
    <t>مرند</t>
  </si>
  <si>
    <t>ميانه</t>
  </si>
  <si>
    <t>هشترود</t>
  </si>
  <si>
    <t>بناب</t>
  </si>
  <si>
    <t>بستان آباد</t>
  </si>
  <si>
    <t>شبستر</t>
  </si>
  <si>
    <t>كليبر</t>
  </si>
  <si>
    <t>هريس</t>
  </si>
  <si>
    <t>جلفا</t>
  </si>
  <si>
    <t>ملكان</t>
  </si>
  <si>
    <t>آذرشهر</t>
  </si>
  <si>
    <t>اسكو</t>
  </si>
  <si>
    <t>چاراويماق</t>
  </si>
  <si>
    <t>ورزقان</t>
  </si>
  <si>
    <t>عجب شير</t>
  </si>
  <si>
    <t>آذربايجان غربي</t>
  </si>
  <si>
    <t>خداافرين</t>
  </si>
  <si>
    <t>اروميه</t>
  </si>
  <si>
    <t>پيرانشهر</t>
  </si>
  <si>
    <t>خوئ</t>
  </si>
  <si>
    <t>سردشت</t>
  </si>
  <si>
    <t>سلماس</t>
  </si>
  <si>
    <t>ماكو</t>
  </si>
  <si>
    <t>مهاباد</t>
  </si>
  <si>
    <t>مياندوآب</t>
  </si>
  <si>
    <t>نقده</t>
  </si>
  <si>
    <t>بوكان</t>
  </si>
  <si>
    <t>شاهين دژ</t>
  </si>
  <si>
    <t>تكاب</t>
  </si>
  <si>
    <t>اشنويه</t>
  </si>
  <si>
    <t>چالدران</t>
  </si>
  <si>
    <t>پلدشت</t>
  </si>
  <si>
    <t>چايپاره</t>
  </si>
  <si>
    <t>كرمانشاه</t>
  </si>
  <si>
    <t>شوط</t>
  </si>
  <si>
    <t>اسلام آبادغرب</t>
  </si>
  <si>
    <t>پاوه</t>
  </si>
  <si>
    <t>سرپل ذهاب</t>
  </si>
  <si>
    <t>سنقر</t>
  </si>
  <si>
    <t>قصرشيرين</t>
  </si>
  <si>
    <t>كنگاور</t>
  </si>
  <si>
    <t>گيلانغرب</t>
  </si>
  <si>
    <t>جوانرود</t>
  </si>
  <si>
    <t>صحنه</t>
  </si>
  <si>
    <t>هرسين</t>
  </si>
  <si>
    <t>ثلاث باباجاني</t>
  </si>
  <si>
    <t>دالاهو</t>
  </si>
  <si>
    <t>خوزستان</t>
  </si>
  <si>
    <t>روانسر</t>
  </si>
  <si>
    <t>آبادان</t>
  </si>
  <si>
    <t>انديمشک</t>
  </si>
  <si>
    <t>اهواز</t>
  </si>
  <si>
    <t>ايذه</t>
  </si>
  <si>
    <t>بندرماهشهر</t>
  </si>
  <si>
    <t>بهبهان</t>
  </si>
  <si>
    <t>خرمشهر</t>
  </si>
  <si>
    <t>دزفول</t>
  </si>
  <si>
    <t>دشت آزادگان</t>
  </si>
  <si>
    <t>رامهرمز</t>
  </si>
  <si>
    <t>شادگان</t>
  </si>
  <si>
    <t>شوشتر</t>
  </si>
  <si>
    <t>مسجدسليمان</t>
  </si>
  <si>
    <t>شوش</t>
  </si>
  <si>
    <t>باغ ملک</t>
  </si>
  <si>
    <t>اميديه</t>
  </si>
  <si>
    <t>لالي</t>
  </si>
  <si>
    <t>هنديجان</t>
  </si>
  <si>
    <t>رامشير</t>
  </si>
  <si>
    <t>گتوند</t>
  </si>
  <si>
    <t>انديکا</t>
  </si>
  <si>
    <t>هفتگل</t>
  </si>
  <si>
    <t>هويزه</t>
  </si>
  <si>
    <t>باوي</t>
  </si>
  <si>
    <t>حميديه</t>
  </si>
  <si>
    <t>آغاجاري</t>
  </si>
  <si>
    <t>فارس</t>
  </si>
  <si>
    <t>کارون</t>
  </si>
  <si>
    <t>آباده</t>
  </si>
  <si>
    <t>استهبان</t>
  </si>
  <si>
    <t>اقليد</t>
  </si>
  <si>
    <t>جهرم</t>
  </si>
  <si>
    <t>داراب</t>
  </si>
  <si>
    <t>سپيدان</t>
  </si>
  <si>
    <t>شيراز</t>
  </si>
  <si>
    <t>فسا</t>
  </si>
  <si>
    <t>فيروزآباد</t>
  </si>
  <si>
    <t>كازرون</t>
  </si>
  <si>
    <t>لارستان</t>
  </si>
  <si>
    <t>مرودشت</t>
  </si>
  <si>
    <t>ممسني</t>
  </si>
  <si>
    <t>ني ريز</t>
  </si>
  <si>
    <t>لامرد</t>
  </si>
  <si>
    <t>بوانات</t>
  </si>
  <si>
    <t>ارسنجان</t>
  </si>
  <si>
    <t>خرم بيد</t>
  </si>
  <si>
    <t>زرين دشت</t>
  </si>
  <si>
    <t>قيروكارزين</t>
  </si>
  <si>
    <t>مهر</t>
  </si>
  <si>
    <t>فراشبند</t>
  </si>
  <si>
    <t>پاسارگاد</t>
  </si>
  <si>
    <t>خنج</t>
  </si>
  <si>
    <t>سروستان</t>
  </si>
  <si>
    <t>رستم</t>
  </si>
  <si>
    <t>گراش</t>
  </si>
  <si>
    <t>كوار</t>
  </si>
  <si>
    <t>كرمان</t>
  </si>
  <si>
    <t>خرامه</t>
  </si>
  <si>
    <t>بافت</t>
  </si>
  <si>
    <t>بم</t>
  </si>
  <si>
    <t>جيرفت</t>
  </si>
  <si>
    <t>رفسنجان</t>
  </si>
  <si>
    <t>زرند</t>
  </si>
  <si>
    <t>سيرجان</t>
  </si>
  <si>
    <t>شهربابك</t>
  </si>
  <si>
    <t>كهنوج</t>
  </si>
  <si>
    <t>بردسير</t>
  </si>
  <si>
    <t>راور</t>
  </si>
  <si>
    <t>عنبرآباد</t>
  </si>
  <si>
    <t>منوجان</t>
  </si>
  <si>
    <t>كوهبنان</t>
  </si>
  <si>
    <t>رودبارجنوب</t>
  </si>
  <si>
    <t>قلعه گنج</t>
  </si>
  <si>
    <t>ريگان</t>
  </si>
  <si>
    <t>رابر</t>
  </si>
  <si>
    <t>فهرج</t>
  </si>
  <si>
    <t>انار</t>
  </si>
  <si>
    <t>نرماشير</t>
  </si>
  <si>
    <t>فارياب</t>
  </si>
  <si>
    <t>خراسان رضوئ</t>
  </si>
  <si>
    <t>ارزوئيه</t>
  </si>
  <si>
    <t>تايباد</t>
  </si>
  <si>
    <t>تربت حيدریه</t>
  </si>
  <si>
    <t>تربت جام</t>
  </si>
  <si>
    <t>درگز</t>
  </si>
  <si>
    <t>سبزوار</t>
  </si>
  <si>
    <t>قوچان</t>
  </si>
  <si>
    <t>كاشمر</t>
  </si>
  <si>
    <t>گناباد</t>
  </si>
  <si>
    <t>مشهد</t>
  </si>
  <si>
    <t>نيشابور</t>
  </si>
  <si>
    <t>چناران</t>
  </si>
  <si>
    <t>خواف</t>
  </si>
  <si>
    <t>سرخس</t>
  </si>
  <si>
    <t>فريمان</t>
  </si>
  <si>
    <t>بردسكن</t>
  </si>
  <si>
    <t>رشتخوار</t>
  </si>
  <si>
    <t>كلات</t>
  </si>
  <si>
    <t>خليل آباد</t>
  </si>
  <si>
    <t>مه ولات</t>
  </si>
  <si>
    <t>بجستان</t>
  </si>
  <si>
    <t>بينالود</t>
  </si>
  <si>
    <t>فيروزه (تخت جلگه)</t>
  </si>
  <si>
    <t>جغتاي</t>
  </si>
  <si>
    <t>زاوه</t>
  </si>
  <si>
    <t>جوين</t>
  </si>
  <si>
    <t>باخرز</t>
  </si>
  <si>
    <t>خوشاب</t>
  </si>
  <si>
    <t>اصفهان</t>
  </si>
  <si>
    <t>داور زن</t>
  </si>
  <si>
    <t>اردستان</t>
  </si>
  <si>
    <t>خميني شهر</t>
  </si>
  <si>
    <t>خوانسار</t>
  </si>
  <si>
    <t>سميرم</t>
  </si>
  <si>
    <t>فريدن</t>
  </si>
  <si>
    <t>فريدونشهر</t>
  </si>
  <si>
    <t>فلاورجان</t>
  </si>
  <si>
    <t>شهرضا</t>
  </si>
  <si>
    <t>کاشان</t>
  </si>
  <si>
    <t>گلپايگان</t>
  </si>
  <si>
    <t>لنجان</t>
  </si>
  <si>
    <t>نايين</t>
  </si>
  <si>
    <t>نجف آباد</t>
  </si>
  <si>
    <t>نطنز</t>
  </si>
  <si>
    <t>شاهين شهر و میمه</t>
  </si>
  <si>
    <t>مبارکه</t>
  </si>
  <si>
    <t>آران وبیدگل</t>
  </si>
  <si>
    <t>تيران و کرون</t>
  </si>
  <si>
    <t>چادگان</t>
  </si>
  <si>
    <t>دهاقان</t>
  </si>
  <si>
    <t>برخوار</t>
  </si>
  <si>
    <t>خور و بیابانک</t>
  </si>
  <si>
    <t>سيستان وبلوچستان</t>
  </si>
  <si>
    <t>بوئین و میاندشت</t>
  </si>
  <si>
    <t>ايرانشهر</t>
  </si>
  <si>
    <t>چابهار</t>
  </si>
  <si>
    <t>خاش</t>
  </si>
  <si>
    <t>زابل</t>
  </si>
  <si>
    <t>زاهدان</t>
  </si>
  <si>
    <t>سراوان</t>
  </si>
  <si>
    <t>نيك شهر</t>
  </si>
  <si>
    <t>سرباز</t>
  </si>
  <si>
    <t>كنارك</t>
  </si>
  <si>
    <t>زهك</t>
  </si>
  <si>
    <t>هيرمند</t>
  </si>
  <si>
    <t>دلگان</t>
  </si>
  <si>
    <t>مهرستان (زابلی)</t>
  </si>
  <si>
    <t>سيب و سوران</t>
  </si>
  <si>
    <t>نيمروز</t>
  </si>
  <si>
    <t>هامون</t>
  </si>
  <si>
    <t>ميرجاوه</t>
  </si>
  <si>
    <t>قصرقند</t>
  </si>
  <si>
    <t>كردستان</t>
  </si>
  <si>
    <t>فنوج</t>
  </si>
  <si>
    <t>بانه</t>
  </si>
  <si>
    <t>بيجار</t>
  </si>
  <si>
    <t>سقز</t>
  </si>
  <si>
    <t>سنندج</t>
  </si>
  <si>
    <t>قروه</t>
  </si>
  <si>
    <t>مريوان</t>
  </si>
  <si>
    <t>ديواندره</t>
  </si>
  <si>
    <t>كامياران</t>
  </si>
  <si>
    <t>سروآباد</t>
  </si>
  <si>
    <t>همدان</t>
  </si>
  <si>
    <t>دهگلان</t>
  </si>
  <si>
    <t>تويسركان</t>
  </si>
  <si>
    <t>ملاير</t>
  </si>
  <si>
    <t>نهاوند</t>
  </si>
  <si>
    <t>كبودرآهنگ</t>
  </si>
  <si>
    <t>اسداباد</t>
  </si>
  <si>
    <t>بهار</t>
  </si>
  <si>
    <t>رزن</t>
  </si>
  <si>
    <t>چهارمحال وبختيارئ</t>
  </si>
  <si>
    <t>فامنين</t>
  </si>
  <si>
    <t>بروجن</t>
  </si>
  <si>
    <t>شهركرد</t>
  </si>
  <si>
    <t>فارسان</t>
  </si>
  <si>
    <t>لردگان</t>
  </si>
  <si>
    <t>اردل</t>
  </si>
  <si>
    <t>كوهرنگ</t>
  </si>
  <si>
    <t>كيار</t>
  </si>
  <si>
    <t>سامان</t>
  </si>
  <si>
    <t>لرستان</t>
  </si>
  <si>
    <t>بن</t>
  </si>
  <si>
    <t>اليگودرز</t>
  </si>
  <si>
    <t>بروجرد</t>
  </si>
  <si>
    <t>خرم آباد</t>
  </si>
  <si>
    <t>دلفان</t>
  </si>
  <si>
    <t>دورود</t>
  </si>
  <si>
    <t>کوهدشت</t>
  </si>
  <si>
    <t>ازنا</t>
  </si>
  <si>
    <t>پلدختر</t>
  </si>
  <si>
    <t>سلسله</t>
  </si>
  <si>
    <t>دوره</t>
  </si>
  <si>
    <t>ايلام</t>
  </si>
  <si>
    <t>رومشکان</t>
  </si>
  <si>
    <t>دره شهر</t>
  </si>
  <si>
    <t>دهلران</t>
  </si>
  <si>
    <t>چرداول</t>
  </si>
  <si>
    <t>مهران</t>
  </si>
  <si>
    <t>آبدانان</t>
  </si>
  <si>
    <t>ايوان</t>
  </si>
  <si>
    <t>ملكشاهي</t>
  </si>
  <si>
    <t>سيروان</t>
  </si>
  <si>
    <t>كهگيلويه وبويراحمد</t>
  </si>
  <si>
    <t xml:space="preserve">بدره </t>
  </si>
  <si>
    <t>بويراحمد</t>
  </si>
  <si>
    <t>كهگيلويه</t>
  </si>
  <si>
    <t>گچساران</t>
  </si>
  <si>
    <t>دنا</t>
  </si>
  <si>
    <t>بهمئي</t>
  </si>
  <si>
    <t>چرام</t>
  </si>
  <si>
    <t>باشت</t>
  </si>
  <si>
    <t>بوشهر</t>
  </si>
  <si>
    <t xml:space="preserve">لنده </t>
  </si>
  <si>
    <t>تنگستان</t>
  </si>
  <si>
    <t>دشتستان</t>
  </si>
  <si>
    <t>دشتي</t>
  </si>
  <si>
    <t>دير</t>
  </si>
  <si>
    <t>كنگان</t>
  </si>
  <si>
    <t>گناوه</t>
  </si>
  <si>
    <t>ديلم</t>
  </si>
  <si>
    <t>جم</t>
  </si>
  <si>
    <t>زنجان</t>
  </si>
  <si>
    <t xml:space="preserve">عسلویه </t>
  </si>
  <si>
    <t>ابهر</t>
  </si>
  <si>
    <t>خدابنده</t>
  </si>
  <si>
    <t>ايجرود</t>
  </si>
  <si>
    <t>خرمدره</t>
  </si>
  <si>
    <t>طارم</t>
  </si>
  <si>
    <t>ماهنشان</t>
  </si>
  <si>
    <t>سمنان</t>
  </si>
  <si>
    <t>سلطانیه</t>
  </si>
  <si>
    <t>دامغان</t>
  </si>
  <si>
    <t>شاهرود</t>
  </si>
  <si>
    <t>گرمسار</t>
  </si>
  <si>
    <t>مهدئ شهر</t>
  </si>
  <si>
    <t>آرادان</t>
  </si>
  <si>
    <t>ميامي</t>
  </si>
  <si>
    <t>يزد</t>
  </si>
  <si>
    <t>سرخه</t>
  </si>
  <si>
    <t>اردكان</t>
  </si>
  <si>
    <t>بافق</t>
  </si>
  <si>
    <t>تفت</t>
  </si>
  <si>
    <t>مهريز</t>
  </si>
  <si>
    <t>ميبد</t>
  </si>
  <si>
    <t>ابركوه</t>
  </si>
  <si>
    <t>اشکذر</t>
  </si>
  <si>
    <t>خاتم</t>
  </si>
  <si>
    <t>هرمزگان</t>
  </si>
  <si>
    <t>بهاباد</t>
  </si>
  <si>
    <t>ابوموسي</t>
  </si>
  <si>
    <t>بندرعباس</t>
  </si>
  <si>
    <t>بندرلنگه</t>
  </si>
  <si>
    <t>قشم</t>
  </si>
  <si>
    <t>ميناب</t>
  </si>
  <si>
    <t>جاسك</t>
  </si>
  <si>
    <t>رودان</t>
  </si>
  <si>
    <t>حاجي اباد</t>
  </si>
  <si>
    <t>بستك</t>
  </si>
  <si>
    <t>خمير</t>
  </si>
  <si>
    <t>گاوبندئ</t>
  </si>
  <si>
    <t>سيريك</t>
  </si>
  <si>
    <t>تهران</t>
  </si>
  <si>
    <t>بشاگرد</t>
  </si>
  <si>
    <t>دماوند</t>
  </si>
  <si>
    <t>رئ</t>
  </si>
  <si>
    <t>شميرانات</t>
  </si>
  <si>
    <t>ورامين</t>
  </si>
  <si>
    <t>شهريار</t>
  </si>
  <si>
    <t>اسلامشهر</t>
  </si>
  <si>
    <t>رباطكريم</t>
  </si>
  <si>
    <t>پاكدشت</t>
  </si>
  <si>
    <t>فيروزكوه</t>
  </si>
  <si>
    <t>قدس</t>
  </si>
  <si>
    <t>ملارد</t>
  </si>
  <si>
    <t>پيشوا</t>
  </si>
  <si>
    <t>بهارستان</t>
  </si>
  <si>
    <t>پرديس</t>
  </si>
  <si>
    <t>اردبيل</t>
  </si>
  <si>
    <t>قرچک</t>
  </si>
  <si>
    <t>بيله سوار</t>
  </si>
  <si>
    <t>خلخال</t>
  </si>
  <si>
    <t>مشگين شهر</t>
  </si>
  <si>
    <t>گرمي</t>
  </si>
  <si>
    <t>پارس آباد</t>
  </si>
  <si>
    <t>كوثر</t>
  </si>
  <si>
    <t>نمين</t>
  </si>
  <si>
    <t>نير</t>
  </si>
  <si>
    <t>قم</t>
  </si>
  <si>
    <t>سرعين</t>
  </si>
  <si>
    <t>قزوين</t>
  </si>
  <si>
    <t>بوئين زهرا</t>
  </si>
  <si>
    <t>تاكستان</t>
  </si>
  <si>
    <t>آبيك</t>
  </si>
  <si>
    <t>البرز</t>
  </si>
  <si>
    <t>گلستان</t>
  </si>
  <si>
    <t>آوج</t>
  </si>
  <si>
    <t>بندرگز</t>
  </si>
  <si>
    <t>تركمن</t>
  </si>
  <si>
    <t>علي آباد</t>
  </si>
  <si>
    <t>كردكوئ</t>
  </si>
  <si>
    <t>گرگان</t>
  </si>
  <si>
    <t>گنبدكاووس</t>
  </si>
  <si>
    <t>مينودشت</t>
  </si>
  <si>
    <t>آق قلا</t>
  </si>
  <si>
    <t>كلاله</t>
  </si>
  <si>
    <t>آزادشهر</t>
  </si>
  <si>
    <t>راميان</t>
  </si>
  <si>
    <t>مراوه تپه</t>
  </si>
  <si>
    <t>گميشان</t>
  </si>
  <si>
    <t>خراسان شمالي</t>
  </si>
  <si>
    <t>گاليكش</t>
  </si>
  <si>
    <t>اسفراين</t>
  </si>
  <si>
    <t>بجنورد</t>
  </si>
  <si>
    <t>جاجرم</t>
  </si>
  <si>
    <t>شيروان</t>
  </si>
  <si>
    <t>فاروج</t>
  </si>
  <si>
    <t>مانه و سملقان</t>
  </si>
  <si>
    <t>گرمه</t>
  </si>
  <si>
    <t>خراسان جنوبي</t>
  </si>
  <si>
    <t>راز و جرگلان</t>
  </si>
  <si>
    <t>بيرجند</t>
  </si>
  <si>
    <t>درميان</t>
  </si>
  <si>
    <t>سربيشه</t>
  </si>
  <si>
    <t>قائنات</t>
  </si>
  <si>
    <t>نهبندان</t>
  </si>
  <si>
    <t>سرايان</t>
  </si>
  <si>
    <t>فردوس</t>
  </si>
  <si>
    <t>بشرويه</t>
  </si>
  <si>
    <t>زيرکوه</t>
  </si>
  <si>
    <t>خوسف</t>
  </si>
  <si>
    <t xml:space="preserve">طبس </t>
  </si>
  <si>
    <t>کرج</t>
  </si>
  <si>
    <t>ساوجبلاغ</t>
  </si>
  <si>
    <t>نظرآباد</t>
  </si>
  <si>
    <t>طالقان</t>
  </si>
  <si>
    <t>اشتهارد</t>
  </si>
  <si>
    <t>فردیس</t>
  </si>
  <si>
    <t>Row Labels</t>
  </si>
  <si>
    <t>Grand Total</t>
  </si>
  <si>
    <t>Column Labels</t>
  </si>
  <si>
    <t>Sum of VaccineNeed</t>
  </si>
  <si>
    <t>BP</t>
  </si>
  <si>
    <t>BI</t>
  </si>
  <si>
    <t>DI</t>
  </si>
  <si>
    <t>EI</t>
  </si>
  <si>
    <t>لیست و اولویت مشاغل پزشکی و خدمات عمومی برای دریافت واکسن</t>
  </si>
  <si>
    <t>ریسک بالا:</t>
  </si>
  <si>
    <r>
      <t>1)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>کلیه پرسنل بیمارستان­های ریفرال</t>
    </r>
  </si>
  <si>
    <r>
      <t>2)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 xml:space="preserve">سایر بیمارستان­ها: پرسنل بخش کوید، </t>
    </r>
    <r>
      <rPr>
        <sz val="11"/>
        <color theme="1"/>
        <rFont val="Calibri"/>
        <family val="2"/>
        <scheme val="minor"/>
      </rPr>
      <t>ICU</t>
    </r>
    <r>
      <rPr>
        <sz val="11"/>
        <color theme="1"/>
        <rFont val="B Nazanin"/>
        <charset val="178"/>
      </rPr>
      <t xml:space="preserve"> ، </t>
    </r>
    <r>
      <rPr>
        <sz val="11"/>
        <color theme="1"/>
        <rFont val="Calibri"/>
        <family val="2"/>
        <scheme val="minor"/>
      </rPr>
      <t>CCU</t>
    </r>
    <r>
      <rPr>
        <sz val="11"/>
        <color theme="1"/>
        <rFont val="B Nazanin"/>
        <charset val="178"/>
      </rPr>
      <t xml:space="preserve"> ، اورژانس، اتاق عمل، رادیولوژی و آزمایشگاه</t>
    </r>
  </si>
  <si>
    <r>
      <t>3)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 xml:space="preserve"> متخصصین بیهوشی، قلب، عفونی، ریه، </t>
    </r>
    <r>
      <rPr>
        <sz val="11"/>
        <color theme="1"/>
        <rFont val="Calibri"/>
        <family val="2"/>
        <scheme val="minor"/>
      </rPr>
      <t>ICU</t>
    </r>
    <r>
      <rPr>
        <sz val="11"/>
        <color theme="1"/>
        <rFont val="B Nazanin"/>
        <charset val="178"/>
      </rPr>
      <t xml:space="preserve"> و طب اورژانس در همه بیمارستان­ها</t>
    </r>
  </si>
  <si>
    <r>
      <t>4)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 xml:space="preserve">آزمایشگاه­های تشخیص طبی با توانایی انجام تست </t>
    </r>
    <r>
      <rPr>
        <sz val="11"/>
        <color theme="1"/>
        <rFont val="Calibri"/>
        <family val="2"/>
        <scheme val="minor"/>
      </rPr>
      <t>PCR</t>
    </r>
  </si>
  <si>
    <r>
      <t>5)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 xml:space="preserve">رادیولوژی­ها بخش های خصوصی و دولتی دارای </t>
    </r>
    <r>
      <rPr>
        <sz val="11"/>
        <color theme="1"/>
        <rFont val="Calibri"/>
        <family val="2"/>
        <scheme val="minor"/>
      </rPr>
      <t>CT</t>
    </r>
    <r>
      <rPr>
        <sz val="11"/>
        <color theme="1"/>
        <rFont val="B Nazanin"/>
        <charset val="178"/>
      </rPr>
      <t xml:space="preserve"> اسکن</t>
    </r>
  </si>
  <si>
    <r>
      <t>6)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>مشارکت­کنندگان در مطالعات کارآزمایی بالینی مرتبط با کوید</t>
    </r>
  </si>
  <si>
    <r>
      <t>7)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>پرسنل مراکز 16 ساعته</t>
    </r>
  </si>
  <si>
    <r>
      <t>8)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>پرسنل مراکز دولتی و خصوصی دندانپزشکی</t>
    </r>
  </si>
  <si>
    <r>
      <t>9)</t>
    </r>
    <r>
      <rPr>
        <sz val="7"/>
        <color theme="1"/>
        <rFont val="Times New Roman"/>
        <family val="1"/>
      </rPr>
      <t xml:space="preserve">             </t>
    </r>
    <r>
      <rPr>
        <sz val="11"/>
        <color theme="1"/>
        <rFont val="B Nazanin"/>
        <charset val="178"/>
      </rPr>
      <t xml:space="preserve">پرسنل اتاق عمل </t>
    </r>
    <r>
      <rPr>
        <sz val="11"/>
        <color theme="1"/>
        <rFont val="Calibri"/>
        <family val="2"/>
        <scheme val="minor"/>
      </rPr>
      <t>Day Clinic</t>
    </r>
    <r>
      <rPr>
        <sz val="11"/>
        <color theme="1"/>
        <rFont val="B Nazanin"/>
        <charset val="178"/>
      </rPr>
      <t xml:space="preserve"> و </t>
    </r>
    <r>
      <rPr>
        <sz val="11"/>
        <color theme="1"/>
        <rFont val="Calibri"/>
        <family val="2"/>
        <scheme val="minor"/>
      </rPr>
      <t>Poly Clinic</t>
    </r>
    <r>
      <rPr>
        <sz val="11"/>
        <color theme="1"/>
        <rFont val="B Nazanin"/>
        <charset val="178"/>
      </rPr>
      <t>­های دارای اتاق عمل</t>
    </r>
  </si>
  <si>
    <r>
      <t>10)</t>
    </r>
    <r>
      <rPr>
        <sz val="7"/>
        <color theme="1"/>
        <rFont val="Times New Roman"/>
        <family val="1"/>
      </rPr>
      <t xml:space="preserve">         </t>
    </r>
    <r>
      <rPr>
        <sz val="11"/>
        <color theme="1"/>
        <rFont val="B Nazanin"/>
        <charset val="178"/>
      </rPr>
      <t>پرسنل شاغل در خدمات پیش بیمارستانی</t>
    </r>
  </si>
  <si>
    <r>
      <t>11)</t>
    </r>
    <r>
      <rPr>
        <sz val="7"/>
        <color theme="1"/>
        <rFont val="Times New Roman"/>
        <family val="1"/>
      </rPr>
      <t xml:space="preserve">         </t>
    </r>
    <r>
      <rPr>
        <sz val="11"/>
        <color theme="1"/>
        <rFont val="B Nazanin"/>
        <charset val="178"/>
      </rPr>
      <t>پرسنل مراکز نگهداری از سالمندان و معلولین</t>
    </r>
  </si>
  <si>
    <t>ریسک متوسط:</t>
  </si>
  <si>
    <r>
      <t>1)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درگیر در زنجیره واکسیناسیون کوید</t>
    </r>
  </si>
  <si>
    <r>
      <t>2)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سایر بیمارستان های غیرریفرال که در بند دوم گروه ریسک بالا آورده نشده است</t>
    </r>
  </si>
  <si>
    <r>
      <t>3)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سایر مراکز بهداشتی و درمانی</t>
    </r>
  </si>
  <si>
    <r>
      <t>4)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داروخانه های خصوصی و دولتی (داروخانه­های بیمارستان­های ریفرال در بند 1 گروه اول قرار دارند)</t>
    </r>
  </si>
  <si>
    <r>
      <t>5)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سایر کلینیک­ها و مطب­های خصوصی و دولتی</t>
    </r>
  </si>
  <si>
    <r>
      <t>6)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 xml:space="preserve">پرسنل ارائه دهنده سایر خدمات </t>
    </r>
    <r>
      <rPr>
        <sz val="11"/>
        <color theme="1"/>
        <rFont val="Calibri"/>
        <family val="2"/>
        <scheme val="minor"/>
      </rPr>
      <t>home-care</t>
    </r>
    <r>
      <rPr>
        <sz val="11"/>
        <color theme="1"/>
        <rFont val="B Nazanin"/>
        <charset val="178"/>
      </rPr>
      <t>، توانبخشی، تشخیصی و درمانی</t>
    </r>
  </si>
  <si>
    <r>
      <t>7)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سایر ارائه­دهندگان خدمات سلامت دارای کارت نظام پزشکی یا پرستاری</t>
    </r>
  </si>
  <si>
    <r>
      <t>8)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مراکز تحقیقاتی فعال در زمینه مطالعات مرتبط با کوید</t>
    </r>
  </si>
  <si>
    <r>
      <t>9)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درگیر با بدن متوفیان شاغل در آرامگاه­ها</t>
    </r>
  </si>
  <si>
    <r>
      <t>10)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B Nazanin"/>
        <charset val="178"/>
      </rPr>
      <t>خلبان­ها و مهماندارهای پروازهای داخلی و خارجی</t>
    </r>
  </si>
  <si>
    <t>ریسک پایین:</t>
  </si>
  <si>
    <r>
      <t>1)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پلیس و پلیس+10</t>
    </r>
  </si>
  <si>
    <r>
      <t>2)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آتش­نشانی</t>
    </r>
  </si>
  <si>
    <r>
      <t>3)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حمل و نقل عمومی درون­شهری (اتوبوس­رانی و مترو)</t>
    </r>
  </si>
  <si>
    <r>
      <t>4)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B Nazanin"/>
        <charset val="178"/>
      </rPr>
      <t>پرسنل ادارات بیمه، مالیات، بانک­ها، شوراهای حل اختلاف (فقط پرسنلی که با مردم مستقیم در ارتباط هستند)</t>
    </r>
  </si>
  <si>
    <t>تعداد</t>
  </si>
  <si>
    <t>کل</t>
  </si>
  <si>
    <t>code</t>
  </si>
  <si>
    <t>district</t>
  </si>
  <si>
    <t>province</t>
  </si>
  <si>
    <t>takhasos_1</t>
  </si>
  <si>
    <t>omomi_1</t>
  </si>
  <si>
    <t>behvarz</t>
  </si>
  <si>
    <t>پزشک</t>
  </si>
  <si>
    <t>health worker</t>
  </si>
  <si>
    <t>0312</t>
  </si>
  <si>
    <t>آذربایجان شرقی</t>
  </si>
  <si>
    <t>0305</t>
  </si>
  <si>
    <t>0311</t>
  </si>
  <si>
    <t>0303</t>
  </si>
  <si>
    <t>0325</t>
  </si>
  <si>
    <t>0320</t>
  </si>
  <si>
    <t>0314</t>
  </si>
  <si>
    <t>0306</t>
  </si>
  <si>
    <t>0310</t>
  </si>
  <si>
    <t>0319</t>
  </si>
  <si>
    <t>0302</t>
  </si>
  <si>
    <t>0313</t>
  </si>
  <si>
    <t>0316</t>
  </si>
  <si>
    <t>0315</t>
  </si>
  <si>
    <t>0307</t>
  </si>
  <si>
    <t>0322</t>
  </si>
  <si>
    <t>0326</t>
  </si>
  <si>
    <t>خداآفرين</t>
  </si>
  <si>
    <t>0324</t>
  </si>
  <si>
    <t>0323</t>
  </si>
  <si>
    <t>0321</t>
  </si>
  <si>
    <t>0402</t>
  </si>
  <si>
    <t>آذربایجان غربی</t>
  </si>
  <si>
    <t>0417</t>
  </si>
  <si>
    <t>0416</t>
  </si>
  <si>
    <t>0412</t>
  </si>
  <si>
    <t>0403</t>
  </si>
  <si>
    <t>0408</t>
  </si>
  <si>
    <t>0405</t>
  </si>
  <si>
    <t>0409</t>
  </si>
  <si>
    <t>0407</t>
  </si>
  <si>
    <t>0406</t>
  </si>
  <si>
    <t>0411</t>
  </si>
  <si>
    <t>0414</t>
  </si>
  <si>
    <t>0401</t>
  </si>
  <si>
    <t>0410</t>
  </si>
  <si>
    <t>0413</t>
  </si>
  <si>
    <t>0404</t>
  </si>
  <si>
    <t>0415</t>
  </si>
  <si>
    <t>2402</t>
  </si>
  <si>
    <t>اردبیل</t>
  </si>
  <si>
    <t>2408</t>
  </si>
  <si>
    <t>2401</t>
  </si>
  <si>
    <t>2403</t>
  </si>
  <si>
    <t>2404</t>
  </si>
  <si>
    <t>2410</t>
  </si>
  <si>
    <t>2405</t>
  </si>
  <si>
    <t>2406</t>
  </si>
  <si>
    <t>2409</t>
  </si>
  <si>
    <t>2407</t>
  </si>
  <si>
    <t>1008</t>
  </si>
  <si>
    <t>1004</t>
  </si>
  <si>
    <t>1018</t>
  </si>
  <si>
    <t>آران وبيدگل</t>
  </si>
  <si>
    <t>1015</t>
  </si>
  <si>
    <t>1006</t>
  </si>
  <si>
    <t>1017</t>
  </si>
  <si>
    <t>مباركه</t>
  </si>
  <si>
    <t>1010</t>
  </si>
  <si>
    <t>كاشان</t>
  </si>
  <si>
    <t>1009</t>
  </si>
  <si>
    <t>1007</t>
  </si>
  <si>
    <t>1023</t>
  </si>
  <si>
    <t>خور و بيابانك</t>
  </si>
  <si>
    <t>1001</t>
  </si>
  <si>
    <t>1019</t>
  </si>
  <si>
    <t>تيران وكرون</t>
  </si>
  <si>
    <t>1003</t>
  </si>
  <si>
    <t>1013</t>
  </si>
  <si>
    <t>1022</t>
  </si>
  <si>
    <t>1020</t>
  </si>
  <si>
    <t>1011</t>
  </si>
  <si>
    <t>1016</t>
  </si>
  <si>
    <t>شاهين شهروميمه</t>
  </si>
  <si>
    <t>1024</t>
  </si>
  <si>
    <t>بو يين و مياندشت</t>
  </si>
  <si>
    <t>1002</t>
  </si>
  <si>
    <t>1005</t>
  </si>
  <si>
    <t>1021</t>
  </si>
  <si>
    <t>1014</t>
  </si>
  <si>
    <t>1012</t>
  </si>
  <si>
    <t>3002</t>
  </si>
  <si>
    <t>3006</t>
  </si>
  <si>
    <t>فرديس</t>
  </si>
  <si>
    <t>3001</t>
  </si>
  <si>
    <t>كرج</t>
  </si>
  <si>
    <t>3004</t>
  </si>
  <si>
    <t>3005</t>
  </si>
  <si>
    <t>3003</t>
  </si>
  <si>
    <t>1603</t>
  </si>
  <si>
    <t>ایلام</t>
  </si>
  <si>
    <t>1604</t>
  </si>
  <si>
    <t>1602</t>
  </si>
  <si>
    <t>1610</t>
  </si>
  <si>
    <t>بدره</t>
  </si>
  <si>
    <t>1606</t>
  </si>
  <si>
    <t>1608</t>
  </si>
  <si>
    <t>1607</t>
  </si>
  <si>
    <t>1609</t>
  </si>
  <si>
    <t>1605</t>
  </si>
  <si>
    <t>1601</t>
  </si>
  <si>
    <t>1806</t>
  </si>
  <si>
    <t xml:space="preserve">بوشهر </t>
  </si>
  <si>
    <t>1804</t>
  </si>
  <si>
    <t>1802</t>
  </si>
  <si>
    <t>1808</t>
  </si>
  <si>
    <t>1810</t>
  </si>
  <si>
    <t>عسلويه</t>
  </si>
  <si>
    <t>1803</t>
  </si>
  <si>
    <t>1809</t>
  </si>
  <si>
    <t>1807</t>
  </si>
  <si>
    <t>1805</t>
  </si>
  <si>
    <t>1801</t>
  </si>
  <si>
    <t>2312</t>
  </si>
  <si>
    <t>2304</t>
  </si>
  <si>
    <t>2320</t>
  </si>
  <si>
    <t>2316</t>
  </si>
  <si>
    <t>2314</t>
  </si>
  <si>
    <t>2303</t>
  </si>
  <si>
    <t>2318</t>
  </si>
  <si>
    <t>2301</t>
  </si>
  <si>
    <t>2313</t>
  </si>
  <si>
    <t>2302</t>
  </si>
  <si>
    <t>2319</t>
  </si>
  <si>
    <t>2306</t>
  </si>
  <si>
    <t>2309</t>
  </si>
  <si>
    <t>2317</t>
  </si>
  <si>
    <t>2310</t>
  </si>
  <si>
    <t>2321</t>
  </si>
  <si>
    <t>قرچك</t>
  </si>
  <si>
    <t>2909</t>
  </si>
  <si>
    <t>زيركوه</t>
  </si>
  <si>
    <t>خراسان جنوبی</t>
  </si>
  <si>
    <t>2905</t>
  </si>
  <si>
    <t>2910</t>
  </si>
  <si>
    <t>2901</t>
  </si>
  <si>
    <t>2907</t>
  </si>
  <si>
    <t>2904</t>
  </si>
  <si>
    <t>2903</t>
  </si>
  <si>
    <t>2908</t>
  </si>
  <si>
    <t>2906</t>
  </si>
  <si>
    <t>2911</t>
  </si>
  <si>
    <t>طبس</t>
  </si>
  <si>
    <t>2902</t>
  </si>
  <si>
    <t>0916</t>
  </si>
  <si>
    <t>خراسان رضوی</t>
  </si>
  <si>
    <t>0922</t>
  </si>
  <si>
    <t>0932</t>
  </si>
  <si>
    <t>0931</t>
  </si>
  <si>
    <t>0906</t>
  </si>
  <si>
    <t>0938</t>
  </si>
  <si>
    <t>0920</t>
  </si>
  <si>
    <t>0929</t>
  </si>
  <si>
    <t>0904</t>
  </si>
  <si>
    <t>0914</t>
  </si>
  <si>
    <t>0918</t>
  </si>
  <si>
    <t>0905</t>
  </si>
  <si>
    <t>تربت حيدريه</t>
  </si>
  <si>
    <t>0928</t>
  </si>
  <si>
    <t>0933</t>
  </si>
  <si>
    <t>فيروزه</t>
  </si>
  <si>
    <t>0907</t>
  </si>
  <si>
    <t>0913</t>
  </si>
  <si>
    <t>0927</t>
  </si>
  <si>
    <t>0934</t>
  </si>
  <si>
    <t>0919</t>
  </si>
  <si>
    <t>0935</t>
  </si>
  <si>
    <t>0908</t>
  </si>
  <si>
    <t>0923</t>
  </si>
  <si>
    <t>0915</t>
  </si>
  <si>
    <t>0937</t>
  </si>
  <si>
    <t>0936</t>
  </si>
  <si>
    <t>0939</t>
  </si>
  <si>
    <t>داورزن</t>
  </si>
  <si>
    <t>0917</t>
  </si>
  <si>
    <t>0930</t>
  </si>
  <si>
    <t>2804</t>
  </si>
  <si>
    <t>خراسان شمالی</t>
  </si>
  <si>
    <t>2808</t>
  </si>
  <si>
    <t>2807</t>
  </si>
  <si>
    <t>2801</t>
  </si>
  <si>
    <t>2803</t>
  </si>
  <si>
    <t>2802</t>
  </si>
  <si>
    <t>2805</t>
  </si>
  <si>
    <t>2806</t>
  </si>
  <si>
    <t>مانه وسملقان</t>
  </si>
  <si>
    <t>0606</t>
  </si>
  <si>
    <t>0607</t>
  </si>
  <si>
    <t>0623</t>
  </si>
  <si>
    <t>0624</t>
  </si>
  <si>
    <t>0603</t>
  </si>
  <si>
    <t>0619</t>
  </si>
  <si>
    <t>0626</t>
  </si>
  <si>
    <t>0614</t>
  </si>
  <si>
    <t>0609</t>
  </si>
  <si>
    <t>0618</t>
  </si>
  <si>
    <t>0611</t>
  </si>
  <si>
    <t>0621</t>
  </si>
  <si>
    <t>انديكا</t>
  </si>
  <si>
    <t>0627</t>
  </si>
  <si>
    <t>كارون</t>
  </si>
  <si>
    <t>0625</t>
  </si>
  <si>
    <t>0608</t>
  </si>
  <si>
    <t>0615</t>
  </si>
  <si>
    <t>باغ ملك</t>
  </si>
  <si>
    <t>0620</t>
  </si>
  <si>
    <t>0604</t>
  </si>
  <si>
    <t>0605</t>
  </si>
  <si>
    <t>0612</t>
  </si>
  <si>
    <t>0602</t>
  </si>
  <si>
    <t>انديمشك</t>
  </si>
  <si>
    <t>0610</t>
  </si>
  <si>
    <t>0613</t>
  </si>
  <si>
    <t>0616</t>
  </si>
  <si>
    <t>0617</t>
  </si>
  <si>
    <t>0601</t>
  </si>
  <si>
    <t>0622</t>
  </si>
  <si>
    <t>هفتكل</t>
  </si>
  <si>
    <t>1904</t>
  </si>
  <si>
    <t>1901</t>
  </si>
  <si>
    <t>1910</t>
  </si>
  <si>
    <t>سلطانيه</t>
  </si>
  <si>
    <t>1909</t>
  </si>
  <si>
    <t>1906</t>
  </si>
  <si>
    <t>1908</t>
  </si>
  <si>
    <t>1903</t>
  </si>
  <si>
    <t>1907</t>
  </si>
  <si>
    <t>2002</t>
  </si>
  <si>
    <t>2008</t>
  </si>
  <si>
    <t>2006</t>
  </si>
  <si>
    <t>2005</t>
  </si>
  <si>
    <t>2001</t>
  </si>
  <si>
    <t>2003</t>
  </si>
  <si>
    <t>2007</t>
  </si>
  <si>
    <t>2004</t>
  </si>
  <si>
    <t>1118</t>
  </si>
  <si>
    <t>سیستان و بلوچستان</t>
  </si>
  <si>
    <t>1105</t>
  </si>
  <si>
    <t>1102</t>
  </si>
  <si>
    <t>1108</t>
  </si>
  <si>
    <t>1109</t>
  </si>
  <si>
    <t>1104</t>
  </si>
  <si>
    <t>1115</t>
  </si>
  <si>
    <t>1112</t>
  </si>
  <si>
    <t>1111</t>
  </si>
  <si>
    <t>1113</t>
  </si>
  <si>
    <t>مهرستان</t>
  </si>
  <si>
    <t>1106</t>
  </si>
  <si>
    <t>1117</t>
  </si>
  <si>
    <t>1103</t>
  </si>
  <si>
    <t>1116</t>
  </si>
  <si>
    <t>1110</t>
  </si>
  <si>
    <t>1119</t>
  </si>
  <si>
    <t>1107</t>
  </si>
  <si>
    <t>1101</t>
  </si>
  <si>
    <t>1114</t>
  </si>
  <si>
    <t>0719</t>
  </si>
  <si>
    <t>0721</t>
  </si>
  <si>
    <t>0713</t>
  </si>
  <si>
    <t>0718</t>
  </si>
  <si>
    <t>0727</t>
  </si>
  <si>
    <t>0712</t>
  </si>
  <si>
    <t>0724</t>
  </si>
  <si>
    <t>0729</t>
  </si>
  <si>
    <t>0704</t>
  </si>
  <si>
    <t>0725</t>
  </si>
  <si>
    <t>0728</t>
  </si>
  <si>
    <t>0726</t>
  </si>
  <si>
    <t>0707</t>
  </si>
  <si>
    <t>0716</t>
  </si>
  <si>
    <t>0702</t>
  </si>
  <si>
    <t>0701</t>
  </si>
  <si>
    <t>0705</t>
  </si>
  <si>
    <t>0714</t>
  </si>
  <si>
    <t>0709</t>
  </si>
  <si>
    <t>0722</t>
  </si>
  <si>
    <t>0710</t>
  </si>
  <si>
    <t>0723</t>
  </si>
  <si>
    <t>0706</t>
  </si>
  <si>
    <t>0703</t>
  </si>
  <si>
    <t>0708</t>
  </si>
  <si>
    <t>0717</t>
  </si>
  <si>
    <t>0720</t>
  </si>
  <si>
    <t>0711</t>
  </si>
  <si>
    <t>0715</t>
  </si>
  <si>
    <t>2601</t>
  </si>
  <si>
    <t>قزوین</t>
  </si>
  <si>
    <t>2604</t>
  </si>
  <si>
    <t>2606</t>
  </si>
  <si>
    <t>2602</t>
  </si>
  <si>
    <t>2605</t>
  </si>
  <si>
    <t>2603</t>
  </si>
  <si>
    <t>2501</t>
  </si>
  <si>
    <t>1505</t>
  </si>
  <si>
    <t>1510</t>
  </si>
  <si>
    <t>1511</t>
  </si>
  <si>
    <t>رومشكان</t>
  </si>
  <si>
    <t>1506</t>
  </si>
  <si>
    <t>كوهدشت</t>
  </si>
  <si>
    <t>1502</t>
  </si>
  <si>
    <t>1503</t>
  </si>
  <si>
    <t>1504</t>
  </si>
  <si>
    <t>1501</t>
  </si>
  <si>
    <t>1508</t>
  </si>
  <si>
    <t>1507</t>
  </si>
  <si>
    <t>1509</t>
  </si>
  <si>
    <t>0221</t>
  </si>
  <si>
    <t>0226</t>
  </si>
  <si>
    <t>0206</t>
  </si>
  <si>
    <t>0227</t>
  </si>
  <si>
    <t>سوادكوه شمالي</t>
  </si>
  <si>
    <t>0224</t>
  </si>
  <si>
    <t>0225</t>
  </si>
  <si>
    <t>مياندورود</t>
  </si>
  <si>
    <t>0216</t>
  </si>
  <si>
    <t>0207</t>
  </si>
  <si>
    <t>0205</t>
  </si>
  <si>
    <t>0222</t>
  </si>
  <si>
    <t>0204</t>
  </si>
  <si>
    <t>0219</t>
  </si>
  <si>
    <t>0210</t>
  </si>
  <si>
    <t>0215</t>
  </si>
  <si>
    <t>0214</t>
  </si>
  <si>
    <t>0201</t>
  </si>
  <si>
    <t>0223</t>
  </si>
  <si>
    <t>0208</t>
  </si>
  <si>
    <t>0218</t>
  </si>
  <si>
    <t>0220</t>
  </si>
  <si>
    <t>0228</t>
  </si>
  <si>
    <t>كلاردشت</t>
  </si>
  <si>
    <t>0202</t>
  </si>
  <si>
    <t>0002</t>
  </si>
  <si>
    <t>مرکزی</t>
  </si>
  <si>
    <t>0011</t>
  </si>
  <si>
    <t>0001</t>
  </si>
  <si>
    <t>0009</t>
  </si>
  <si>
    <t>0010</t>
  </si>
  <si>
    <t>0012</t>
  </si>
  <si>
    <t>0005</t>
  </si>
  <si>
    <t>0007</t>
  </si>
  <si>
    <t>0004</t>
  </si>
  <si>
    <t>0006</t>
  </si>
  <si>
    <t>0003</t>
  </si>
  <si>
    <t>0013</t>
  </si>
  <si>
    <t>2210</t>
  </si>
  <si>
    <t>2206</t>
  </si>
  <si>
    <t>2209</t>
  </si>
  <si>
    <t>2203</t>
  </si>
  <si>
    <t>2212</t>
  </si>
  <si>
    <t>2205</t>
  </si>
  <si>
    <t>2213</t>
  </si>
  <si>
    <t>2201</t>
  </si>
  <si>
    <t>2211</t>
  </si>
  <si>
    <t>پارسيان</t>
  </si>
  <si>
    <t>2207</t>
  </si>
  <si>
    <t>2202</t>
  </si>
  <si>
    <t>2208</t>
  </si>
  <si>
    <t>2204</t>
  </si>
  <si>
    <t>1303</t>
  </si>
  <si>
    <t>1306</t>
  </si>
  <si>
    <t>اسدآباد</t>
  </si>
  <si>
    <t>1304</t>
  </si>
  <si>
    <t>1301</t>
  </si>
  <si>
    <t>1309</t>
  </si>
  <si>
    <t>1308</t>
  </si>
  <si>
    <t>1305</t>
  </si>
  <si>
    <t>1307</t>
  </si>
  <si>
    <t>1302</t>
  </si>
  <si>
    <t>1401</t>
  </si>
  <si>
    <t>چهارمحال وبختیاری</t>
  </si>
  <si>
    <t>1408</t>
  </si>
  <si>
    <t>1402</t>
  </si>
  <si>
    <t>1405</t>
  </si>
  <si>
    <t>1406</t>
  </si>
  <si>
    <t>1409</t>
  </si>
  <si>
    <t>1407</t>
  </si>
  <si>
    <t>1403</t>
  </si>
  <si>
    <t>1404</t>
  </si>
  <si>
    <t>1207</t>
  </si>
  <si>
    <t>کردستان</t>
  </si>
  <si>
    <t>1203</t>
  </si>
  <si>
    <t>1205</t>
  </si>
  <si>
    <t>1204</t>
  </si>
  <si>
    <t>1201</t>
  </si>
  <si>
    <t>1206</t>
  </si>
  <si>
    <t>1209</t>
  </si>
  <si>
    <t>1208</t>
  </si>
  <si>
    <t>1202</t>
  </si>
  <si>
    <t>1210</t>
  </si>
  <si>
    <t>0812</t>
  </si>
  <si>
    <t>کرمان</t>
  </si>
  <si>
    <t>0814</t>
  </si>
  <si>
    <t>0820</t>
  </si>
  <si>
    <t>0816</t>
  </si>
  <si>
    <t>0810</t>
  </si>
  <si>
    <t>0813</t>
  </si>
  <si>
    <t>0804</t>
  </si>
  <si>
    <t>0817</t>
  </si>
  <si>
    <t>0815</t>
  </si>
  <si>
    <t>0819</t>
  </si>
  <si>
    <t>0803</t>
  </si>
  <si>
    <t>0822</t>
  </si>
  <si>
    <t>0805</t>
  </si>
  <si>
    <t>0818</t>
  </si>
  <si>
    <t>0802</t>
  </si>
  <si>
    <t>0808</t>
  </si>
  <si>
    <t>0821</t>
  </si>
  <si>
    <t>0806</t>
  </si>
  <si>
    <t>0811</t>
  </si>
  <si>
    <t>0807</t>
  </si>
  <si>
    <t>0801</t>
  </si>
  <si>
    <t>0809</t>
  </si>
  <si>
    <t>0823</t>
  </si>
  <si>
    <t>0514</t>
  </si>
  <si>
    <t>کرمانشاه</t>
  </si>
  <si>
    <t>0509</t>
  </si>
  <si>
    <t>0511</t>
  </si>
  <si>
    <t>0502</t>
  </si>
  <si>
    <t>0513</t>
  </si>
  <si>
    <t>0512</t>
  </si>
  <si>
    <t>0508</t>
  </si>
  <si>
    <t>0503</t>
  </si>
  <si>
    <t>0505</t>
  </si>
  <si>
    <t>0507</t>
  </si>
  <si>
    <t>0506</t>
  </si>
  <si>
    <t>0501</t>
  </si>
  <si>
    <t>0504</t>
  </si>
  <si>
    <t>0510</t>
  </si>
  <si>
    <t>1703</t>
  </si>
  <si>
    <t>کهکیلویه و بویراحمد</t>
  </si>
  <si>
    <t>1706</t>
  </si>
  <si>
    <t>1704</t>
  </si>
  <si>
    <t>1701</t>
  </si>
  <si>
    <t>1702</t>
  </si>
  <si>
    <t>1707</t>
  </si>
  <si>
    <t>1708</t>
  </si>
  <si>
    <t>لنده</t>
  </si>
  <si>
    <t>1705</t>
  </si>
  <si>
    <t>2712</t>
  </si>
  <si>
    <t>2702</t>
  </si>
  <si>
    <t>2704</t>
  </si>
  <si>
    <t>2708</t>
  </si>
  <si>
    <t>2711</t>
  </si>
  <si>
    <t>2705</t>
  </si>
  <si>
    <t>2701</t>
  </si>
  <si>
    <t>2706</t>
  </si>
  <si>
    <t>2709</t>
  </si>
  <si>
    <t>2713</t>
  </si>
  <si>
    <t>2703</t>
  </si>
  <si>
    <t>2710</t>
  </si>
  <si>
    <t>2707</t>
  </si>
  <si>
    <t>2714</t>
  </si>
  <si>
    <t>0108</t>
  </si>
  <si>
    <t>گیلان</t>
  </si>
  <si>
    <t>0110</t>
  </si>
  <si>
    <t>0109</t>
  </si>
  <si>
    <t>0115</t>
  </si>
  <si>
    <t>0102</t>
  </si>
  <si>
    <t>0111</t>
  </si>
  <si>
    <t>0104</t>
  </si>
  <si>
    <t>طوالش</t>
  </si>
  <si>
    <t>0113</t>
  </si>
  <si>
    <t>0107</t>
  </si>
  <si>
    <t>0103</t>
  </si>
  <si>
    <t>0105</t>
  </si>
  <si>
    <t>0106</t>
  </si>
  <si>
    <t>0101</t>
  </si>
  <si>
    <t>0114</t>
  </si>
  <si>
    <t>0112</t>
  </si>
  <si>
    <t>0116</t>
  </si>
  <si>
    <t>2102</t>
  </si>
  <si>
    <t>یزد</t>
  </si>
  <si>
    <t>2109</t>
  </si>
  <si>
    <t>2111</t>
  </si>
  <si>
    <t>2104</t>
  </si>
  <si>
    <t>2101</t>
  </si>
  <si>
    <t>2106</t>
  </si>
  <si>
    <t>2108</t>
  </si>
  <si>
    <t>اشكذر</t>
  </si>
  <si>
    <t>2107</t>
  </si>
  <si>
    <t>2105</t>
  </si>
  <si>
    <t>2103</t>
  </si>
  <si>
    <t/>
  </si>
  <si>
    <t>class</t>
  </si>
  <si>
    <t>Percent</t>
  </si>
  <si>
    <t>population</t>
  </si>
  <si>
    <t>need</t>
  </si>
  <si>
    <t>آذربايجان_شرقي</t>
  </si>
  <si>
    <t>آذربايجان_غربي</t>
  </si>
  <si>
    <t>چهارمحال_وبختيارئ</t>
  </si>
  <si>
    <t>خراسان_جنوبي</t>
  </si>
  <si>
    <t>خراسان_رضوئ</t>
  </si>
  <si>
    <t>خراسان_شمالي</t>
  </si>
  <si>
    <t>سيستان_وبلوچستان</t>
  </si>
  <si>
    <t>كهگيلويه_وبويراحمد</t>
  </si>
  <si>
    <t>name</t>
  </si>
  <si>
    <t>id</t>
  </si>
  <si>
    <t>age</t>
  </si>
  <si>
    <t>sex</t>
  </si>
  <si>
    <t>occupation</t>
  </si>
  <si>
    <t>pregnancy</t>
  </si>
  <si>
    <t>abbas</t>
  </si>
  <si>
    <t>tdf</t>
  </si>
  <si>
    <t>f</t>
  </si>
  <si>
    <t>d</t>
  </si>
  <si>
    <t>Female</t>
  </si>
  <si>
    <t>hvfhggh</t>
  </si>
  <si>
    <t>persian</t>
  </si>
  <si>
    <t>MultiPage1</t>
  </si>
  <si>
    <t>startAlloc</t>
  </si>
  <si>
    <t>lbVaccine</t>
  </si>
  <si>
    <t>vacNo</t>
  </si>
  <si>
    <t>ComboBox2</t>
  </si>
  <si>
    <t>lbDistrict</t>
  </si>
  <si>
    <t>lbProvince</t>
  </si>
  <si>
    <t>ComboBox1</t>
  </si>
  <si>
    <t>lbLevel</t>
  </si>
  <si>
    <t>ComboBox3</t>
  </si>
  <si>
    <t>lbAllocated</t>
  </si>
  <si>
    <t>lbResult</t>
  </si>
  <si>
    <t>lbPregnancy</t>
  </si>
  <si>
    <t>userName</t>
  </si>
  <si>
    <t>userId</t>
  </si>
  <si>
    <t>userAge</t>
  </si>
  <si>
    <t>CommandButton1</t>
  </si>
  <si>
    <t>userSex</t>
  </si>
  <si>
    <t>userOcc</t>
  </si>
  <si>
    <t>userPreg</t>
  </si>
  <si>
    <t>riskResult</t>
  </si>
  <si>
    <t>لطفا تعداد دوزهای کامل واکسن را وارد نمایید:</t>
  </si>
  <si>
    <t>شهرستان</t>
  </si>
  <si>
    <t>استان</t>
  </si>
  <si>
    <t xml:space="preserve">سطح برنامه ریزی </t>
  </si>
  <si>
    <t>lbName</t>
  </si>
  <si>
    <t>lbID</t>
  </si>
  <si>
    <t>lbSex</t>
  </si>
  <si>
    <t>lbOcc</t>
  </si>
  <si>
    <t>lbAge</t>
  </si>
  <si>
    <t>نام و نام خانوادگی</t>
  </si>
  <si>
    <t>کدملی</t>
  </si>
  <si>
    <t>جنس</t>
  </si>
  <si>
    <t>شغل</t>
  </si>
  <si>
    <t>سن</t>
  </si>
  <si>
    <t>آیا باردار هستید؟</t>
  </si>
  <si>
    <t>ثبت و محاسبه ریسک من</t>
  </si>
  <si>
    <t>محاسبه تخصیص بهینه واکسن</t>
  </si>
  <si>
    <t>مرد</t>
  </si>
  <si>
    <t>زن</t>
  </si>
  <si>
    <t>کادر بهداشت و درمان فعال در کرونا</t>
  </si>
  <si>
    <t>کادر بهداشت و درمان غیرفعال در کرونا</t>
  </si>
  <si>
    <t>پلیس و آتش نشان</t>
  </si>
  <si>
    <t>سایر مشاغل</t>
  </si>
  <si>
    <t>بلی</t>
  </si>
  <si>
    <t>خیر</t>
  </si>
  <si>
    <t>lbPreg</t>
  </si>
  <si>
    <t>0</t>
  </si>
  <si>
    <t>lbTitleDemand</t>
  </si>
  <si>
    <t>ورود اطلاعات جهت ثبت در سامانه تخصیص واکسن و مشاهده گروه خطر خود</t>
  </si>
  <si>
    <t>lbDrillDown</t>
  </si>
  <si>
    <t>lbDrillDown2</t>
  </si>
  <si>
    <t>comorbidity</t>
  </si>
  <si>
    <t>malig</t>
  </si>
  <si>
    <t>idd</t>
  </si>
  <si>
    <t>liver</t>
  </si>
  <si>
    <t>dm</t>
  </si>
  <si>
    <t>cardio</t>
  </si>
  <si>
    <t>lbMalig</t>
  </si>
  <si>
    <t>lbIdd</t>
  </si>
  <si>
    <t>lbLiver</t>
  </si>
  <si>
    <t>lbDm</t>
  </si>
  <si>
    <t>lbCardio</t>
  </si>
  <si>
    <t>بیماریهای زمینه ای</t>
  </si>
  <si>
    <t>سرطان</t>
  </si>
  <si>
    <t>بیماریهای نقص ایمنی</t>
  </si>
  <si>
    <t>بیماریهای کبدی</t>
  </si>
  <si>
    <t>دیابت</t>
  </si>
  <si>
    <t>بیماریهای قلبی عروقی</t>
  </si>
  <si>
    <t>lbKidney</t>
  </si>
  <si>
    <t>kidney</t>
  </si>
  <si>
    <t>بیماریهای کلیوی</t>
  </si>
  <si>
    <t>خیلی پرخطر</t>
  </si>
  <si>
    <t>پرخطر</t>
  </si>
  <si>
    <t>میان خطر</t>
  </si>
  <si>
    <t>کم خطر</t>
  </si>
  <si>
    <t>خیلی کم خطر</t>
  </si>
  <si>
    <t xml:space="preserve">شما جزو گروه </t>
  </si>
  <si>
    <t xml:space="preserve"> هستید.</t>
  </si>
  <si>
    <t>شما در اولویت دریافت واکسن هستید. لطفا به مراکز مربوطه مراجعه نمایید</t>
  </si>
  <si>
    <t>شما در اولویت دریافت واکسن نیستید.</t>
  </si>
  <si>
    <t>خیلی پرخطر- عموم</t>
  </si>
  <si>
    <t xml:space="preserve"> میان خطر-کادر سیستم سلامت</t>
  </si>
  <si>
    <t>میان خطر- عموم</t>
  </si>
  <si>
    <t>کم خطر- عموم</t>
  </si>
  <si>
    <t>خانه های سالمندان- عموم</t>
  </si>
  <si>
    <t>خیلی کم خطر- عموم</t>
  </si>
  <si>
    <t>نیاز به واکسن در گروههای مختلف خطر به شرح زیر است:</t>
  </si>
  <si>
    <t>واکسن های تخصیص داده شده به گروههای خطر مختلف به شرح زیر است:</t>
  </si>
  <si>
    <t>پر خطر-کادر سیستم سلامت</t>
  </si>
  <si>
    <t>پر خطر- عموم</t>
  </si>
  <si>
    <t>کم خطر-کادر سیستم سلامت</t>
  </si>
  <si>
    <t>lbProv</t>
  </si>
  <si>
    <t>lbDist</t>
  </si>
  <si>
    <t>cbProv</t>
  </si>
  <si>
    <t>cbDist</t>
  </si>
  <si>
    <t>احتمالا شما در اولویت دریافت واکسن هستید. لطفا به مراکز مربوطه مراجعه نمایید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</si>
</sst>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2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B Nazanin"/>
      <charset val="178"/>
    </font>
    <font>
      <sz val="16"/>
      <color rgb="FF2E74B5"/>
      <name val="B Nazanin"/>
      <charset val="178"/>
    </font>
    <font>
      <sz val="7"/>
      <color theme="1"/>
      <name val="Times New Roman"/>
      <family val="1"/>
    </font>
    <font>
      <sz val="11"/>
      <color theme="1"/>
      <name val="B Nazanin"/>
      <charset val="178"/>
    </font>
    <font>
      <b/>
      <sz val="12"/>
      <color theme="1"/>
      <name val="B Nazanin"/>
      <charset val="178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0" fillId="0" borderId="0"/>
    <xf numFmtId="9" fontId="11" fillId="0" borderId="0" applyFon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0" applyAlignment="1">
      <alignment horizontal="right" vertical="center" readingOrder="2"/>
    </xf>
    <xf numFmtId="0" fontId="3" fillId="0" borderId="0" xfId="0" applyFont="1" applyAlignment="1">
      <alignment horizontal="right" vertical="center" readingOrder="2"/>
    </xf>
    <xf numFmtId="0" fontId="4" fillId="0" borderId="0" xfId="0" applyFont="1" applyAlignment="1">
      <alignment horizontal="right" vertical="center" readingOrder="2"/>
    </xf>
    <xf numFmtId="0" fontId="2" fillId="0" borderId="0" xfId="0" applyFont="1" applyAlignment="1">
      <alignment horizontal="right" vertical="center" readingOrder="2"/>
    </xf>
    <xf numFmtId="0" fontId="7" fillId="0" borderId="0" xfId="0" applyFont="1" applyAlignment="1">
      <alignment horizontal="right" vertical="center" readingOrder="2"/>
    </xf>
    <xf numFmtId="0" fontId="8" fillId="0" borderId="0" xfId="0" applyFont="1" applyAlignment="1">
      <alignment horizontal="right" vertical="center" readingOrder="2"/>
    </xf>
    <xf numFmtId="0" fontId="10" fillId="0" borderId="0" xfId="1"/>
    <xf numFmtId="10" fontId="0" fillId="0" borderId="0" xfId="0" applyNumberFormat="1"/>
    <xf numFmtId="164" fontId="0" fillId="0" borderId="0" xfId="2" applyNumberFormat="1" applyFont="1"/>
    <xf numFmtId="3" fontId="0" fillId="0" borderId="0" xfId="0" applyNumberFormat="1"/>
    <xf numFmtId="0" fontId="10" fillId="0" borderId="0" xfId="1"/>
  </cellXfs>
  <cellStyles count="3">
    <cellStyle name="Normal" xfId="0" builtinId="0"/>
    <cellStyle name="Normal 2" xfId="1" xr:uid="{00000000-0005-0000-0000-000001000000}"/>
    <cellStyle name="Percent" xfId="2" builtinId="5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ds_provinces_district"/>
    </sheetNames>
    <sheetDataSet>
      <sheetData sheetId="0">
        <row r="2">
          <cell r="B2" t="str">
            <v>اردبيل‌</v>
          </cell>
          <cell r="C2">
            <v>1367</v>
          </cell>
        </row>
        <row r="3">
          <cell r="B3" t="str">
            <v>بيله‌سوار</v>
          </cell>
          <cell r="C3">
            <v>53</v>
          </cell>
        </row>
        <row r="4">
          <cell r="B4" t="str">
            <v>پارس‌اباد</v>
          </cell>
          <cell r="C4">
            <v>190</v>
          </cell>
        </row>
        <row r="5">
          <cell r="B5" t="str">
            <v>خلخال‌</v>
          </cell>
          <cell r="C5">
            <v>124</v>
          </cell>
        </row>
        <row r="6">
          <cell r="B6" t="str">
            <v>كوثر</v>
          </cell>
          <cell r="C6">
            <v>18</v>
          </cell>
        </row>
        <row r="7">
          <cell r="B7" t="str">
            <v>گرمي‌</v>
          </cell>
          <cell r="C7">
            <v>89</v>
          </cell>
        </row>
        <row r="8">
          <cell r="B8" t="str">
            <v>مشكين‌شهر</v>
          </cell>
          <cell r="C8">
            <v>128</v>
          </cell>
        </row>
        <row r="9">
          <cell r="B9" t="str">
            <v>نمين‌</v>
          </cell>
          <cell r="C9">
            <v>28</v>
          </cell>
        </row>
        <row r="10">
          <cell r="B10" t="str">
            <v>اردستان‌</v>
          </cell>
          <cell r="C10">
            <v>69</v>
          </cell>
        </row>
        <row r="11">
          <cell r="B11" t="str">
            <v>اصفهان‌</v>
          </cell>
          <cell r="C11">
            <v>5046</v>
          </cell>
        </row>
        <row r="12">
          <cell r="B12" t="str">
            <v>آران و بيدگل</v>
          </cell>
          <cell r="C12">
            <v>115</v>
          </cell>
        </row>
        <row r="13">
          <cell r="B13" t="str">
            <v>بادرود</v>
          </cell>
          <cell r="C13">
            <v>27</v>
          </cell>
        </row>
        <row r="14">
          <cell r="B14" t="str">
            <v>تيران‌ وكرون‌</v>
          </cell>
          <cell r="C14">
            <v>10</v>
          </cell>
        </row>
        <row r="15">
          <cell r="B15" t="str">
            <v>چادگان</v>
          </cell>
          <cell r="C15">
            <v>19</v>
          </cell>
        </row>
        <row r="16">
          <cell r="B16" t="str">
            <v>خميني‌شهر</v>
          </cell>
          <cell r="C16">
            <v>170</v>
          </cell>
        </row>
        <row r="17">
          <cell r="B17" t="str">
            <v>خوانسار</v>
          </cell>
          <cell r="C17">
            <v>61</v>
          </cell>
        </row>
        <row r="18">
          <cell r="B18" t="str">
            <v>دهاقان</v>
          </cell>
          <cell r="C18">
            <v>14</v>
          </cell>
        </row>
        <row r="19">
          <cell r="B19" t="str">
            <v>سميرم‌</v>
          </cell>
          <cell r="C19">
            <v>75</v>
          </cell>
        </row>
        <row r="20">
          <cell r="B20" t="str">
            <v>شاهين‌شهر و ميمه</v>
          </cell>
          <cell r="C20">
            <v>141</v>
          </cell>
        </row>
        <row r="21">
          <cell r="B21" t="str">
            <v>شهرضا</v>
          </cell>
          <cell r="C21">
            <v>155</v>
          </cell>
        </row>
        <row r="22">
          <cell r="B22" t="str">
            <v>فريدن‌</v>
          </cell>
          <cell r="C22">
            <v>87</v>
          </cell>
        </row>
        <row r="23">
          <cell r="B23" t="str">
            <v>فريدونشهر</v>
          </cell>
          <cell r="C23">
            <v>41</v>
          </cell>
        </row>
        <row r="24">
          <cell r="B24" t="str">
            <v>فلاورجان‌</v>
          </cell>
          <cell r="C24">
            <v>205</v>
          </cell>
        </row>
        <row r="25">
          <cell r="B25" t="str">
            <v>كاشان</v>
          </cell>
          <cell r="C25">
            <v>1019</v>
          </cell>
        </row>
        <row r="26">
          <cell r="B26" t="str">
            <v>گلپايگان‌</v>
          </cell>
          <cell r="C26">
            <v>85</v>
          </cell>
        </row>
        <row r="27">
          <cell r="B27" t="str">
            <v>لنجان‌</v>
          </cell>
          <cell r="C27">
            <v>254</v>
          </cell>
        </row>
        <row r="28">
          <cell r="B28" t="str">
            <v>مباركه‌</v>
          </cell>
          <cell r="C28">
            <v>106</v>
          </cell>
        </row>
        <row r="29">
          <cell r="B29" t="str">
            <v>نائين‌</v>
          </cell>
          <cell r="C29">
            <v>40</v>
          </cell>
        </row>
        <row r="30">
          <cell r="B30" t="str">
            <v>نجف‌اباد</v>
          </cell>
          <cell r="C30">
            <v>666</v>
          </cell>
        </row>
        <row r="31">
          <cell r="B31" t="str">
            <v>نط‌نز</v>
          </cell>
          <cell r="C31">
            <v>35</v>
          </cell>
        </row>
        <row r="32">
          <cell r="B32" t="str">
            <v>اشتهارد</v>
          </cell>
          <cell r="C32">
            <v>27</v>
          </cell>
        </row>
        <row r="33">
          <cell r="B33" t="str">
            <v>ساوجبلاغ</v>
          </cell>
          <cell r="C33">
            <v>99</v>
          </cell>
        </row>
        <row r="34">
          <cell r="B34" t="str">
            <v>كرج‌</v>
          </cell>
          <cell r="C34">
            <v>2717</v>
          </cell>
        </row>
        <row r="35">
          <cell r="B35" t="str">
            <v>نظرآباد</v>
          </cell>
          <cell r="C35">
            <v>70</v>
          </cell>
        </row>
        <row r="36">
          <cell r="B36" t="str">
            <v>ابدانان‌</v>
          </cell>
          <cell r="C36">
            <v>55</v>
          </cell>
        </row>
        <row r="37">
          <cell r="B37" t="str">
            <v>ايلام‌</v>
          </cell>
          <cell r="C37">
            <v>585</v>
          </cell>
        </row>
        <row r="38">
          <cell r="B38" t="str">
            <v>ايوان‌</v>
          </cell>
          <cell r="C38">
            <v>53</v>
          </cell>
        </row>
        <row r="39">
          <cell r="B39" t="str">
            <v>چرداول</v>
          </cell>
          <cell r="C39">
            <v>53</v>
          </cell>
        </row>
        <row r="40">
          <cell r="B40" t="str">
            <v>دره‌شهر</v>
          </cell>
          <cell r="C40">
            <v>49</v>
          </cell>
        </row>
        <row r="41">
          <cell r="B41" t="str">
            <v>دهلران‌</v>
          </cell>
          <cell r="C41">
            <v>59</v>
          </cell>
        </row>
        <row r="42">
          <cell r="B42" t="str">
            <v>مهران‌</v>
          </cell>
          <cell r="C42">
            <v>55</v>
          </cell>
        </row>
        <row r="43">
          <cell r="B43" t="str">
            <v>اسكو</v>
          </cell>
          <cell r="C43">
            <v>67</v>
          </cell>
        </row>
        <row r="44">
          <cell r="B44" t="str">
            <v>اهر</v>
          </cell>
          <cell r="C44">
            <v>164</v>
          </cell>
        </row>
        <row r="45">
          <cell r="B45" t="str">
            <v>آذرشهر</v>
          </cell>
          <cell r="C45">
            <v>67</v>
          </cell>
        </row>
        <row r="46">
          <cell r="B46" t="str">
            <v>بستان آباد</v>
          </cell>
          <cell r="C46">
            <v>60</v>
          </cell>
        </row>
        <row r="47">
          <cell r="B47" t="str">
            <v>بناب</v>
          </cell>
          <cell r="C47">
            <v>168</v>
          </cell>
        </row>
        <row r="48">
          <cell r="B48" t="str">
            <v>تبريز</v>
          </cell>
          <cell r="C48">
            <v>4783</v>
          </cell>
        </row>
        <row r="49">
          <cell r="B49" t="str">
            <v>جلفا</v>
          </cell>
          <cell r="C49">
            <v>48</v>
          </cell>
        </row>
        <row r="50">
          <cell r="B50" t="str">
            <v>چاراويماق</v>
          </cell>
          <cell r="C50">
            <v>38</v>
          </cell>
        </row>
        <row r="51">
          <cell r="B51" t="str">
            <v>سراب</v>
          </cell>
          <cell r="C51">
            <v>183</v>
          </cell>
        </row>
        <row r="52">
          <cell r="B52" t="str">
            <v>شبستر</v>
          </cell>
          <cell r="C52">
            <v>94</v>
          </cell>
        </row>
        <row r="53">
          <cell r="B53" t="str">
            <v>عجب شير</v>
          </cell>
          <cell r="C53">
            <v>48</v>
          </cell>
        </row>
        <row r="54">
          <cell r="B54" t="str">
            <v>كليبر</v>
          </cell>
          <cell r="C54">
            <v>45</v>
          </cell>
        </row>
        <row r="55">
          <cell r="B55" t="str">
            <v>مراغه</v>
          </cell>
          <cell r="C55">
            <v>376</v>
          </cell>
        </row>
        <row r="56">
          <cell r="B56" t="str">
            <v>مرند</v>
          </cell>
          <cell r="C56">
            <v>147</v>
          </cell>
        </row>
        <row r="57">
          <cell r="B57" t="str">
            <v>ملكان</v>
          </cell>
          <cell r="C57">
            <v>74</v>
          </cell>
        </row>
        <row r="58">
          <cell r="B58" t="str">
            <v>ميانه</v>
          </cell>
          <cell r="C58">
            <v>160</v>
          </cell>
        </row>
        <row r="59">
          <cell r="B59" t="str">
            <v>ورزقان</v>
          </cell>
          <cell r="C59">
            <v>26</v>
          </cell>
        </row>
        <row r="60">
          <cell r="B60" t="str">
            <v>هريس</v>
          </cell>
          <cell r="C60">
            <v>35</v>
          </cell>
        </row>
        <row r="61">
          <cell r="B61" t="str">
            <v>هشترود</v>
          </cell>
          <cell r="C61">
            <v>88</v>
          </cell>
        </row>
        <row r="62">
          <cell r="B62" t="str">
            <v>اروميه‌</v>
          </cell>
          <cell r="C62">
            <v>2079</v>
          </cell>
        </row>
        <row r="63">
          <cell r="B63" t="str">
            <v>اشنويه‌</v>
          </cell>
          <cell r="C63">
            <v>65</v>
          </cell>
        </row>
        <row r="64">
          <cell r="B64" t="str">
            <v>بوكان‌</v>
          </cell>
          <cell r="C64">
            <v>263</v>
          </cell>
        </row>
        <row r="65">
          <cell r="B65" t="str">
            <v>پلدشت</v>
          </cell>
          <cell r="C65">
            <v>35</v>
          </cell>
        </row>
        <row r="66">
          <cell r="B66" t="str">
            <v>پيرانشهر</v>
          </cell>
          <cell r="C66">
            <v>101</v>
          </cell>
        </row>
        <row r="67">
          <cell r="B67" t="str">
            <v>تكاب‌</v>
          </cell>
          <cell r="C67">
            <v>96</v>
          </cell>
        </row>
        <row r="68">
          <cell r="B68" t="str">
            <v>چالدران‌</v>
          </cell>
          <cell r="C68">
            <v>43</v>
          </cell>
        </row>
        <row r="69">
          <cell r="B69" t="str">
            <v>چايپاره</v>
          </cell>
          <cell r="C69">
            <v>56</v>
          </cell>
        </row>
        <row r="70">
          <cell r="B70" t="str">
            <v>خوي‌</v>
          </cell>
          <cell r="C70">
            <v>558</v>
          </cell>
        </row>
        <row r="71">
          <cell r="B71" t="str">
            <v>سردشت‌</v>
          </cell>
          <cell r="C71">
            <v>126</v>
          </cell>
        </row>
        <row r="72">
          <cell r="B72" t="str">
            <v>سلماس‌</v>
          </cell>
          <cell r="C72">
            <v>182</v>
          </cell>
        </row>
        <row r="73">
          <cell r="B73" t="str">
            <v>شاهين‌دژ</v>
          </cell>
          <cell r="C73">
            <v>107</v>
          </cell>
        </row>
        <row r="74">
          <cell r="B74" t="str">
            <v>شوط</v>
          </cell>
          <cell r="C74">
            <v>31</v>
          </cell>
        </row>
        <row r="75">
          <cell r="B75" t="str">
            <v>ماكو</v>
          </cell>
          <cell r="C75">
            <v>147</v>
          </cell>
        </row>
        <row r="76">
          <cell r="B76" t="str">
            <v>مهاباد</v>
          </cell>
          <cell r="C76">
            <v>279</v>
          </cell>
        </row>
        <row r="77">
          <cell r="B77" t="str">
            <v>مياندواب‌</v>
          </cell>
          <cell r="C77">
            <v>294</v>
          </cell>
        </row>
        <row r="78">
          <cell r="B78" t="str">
            <v>نقده‌</v>
          </cell>
          <cell r="C78">
            <v>174</v>
          </cell>
        </row>
        <row r="79">
          <cell r="B79" t="str">
            <v>بوشهر</v>
          </cell>
          <cell r="C79">
            <v>717</v>
          </cell>
        </row>
        <row r="80">
          <cell r="B80" t="str">
            <v>تنگستان‌</v>
          </cell>
          <cell r="C80">
            <v>34</v>
          </cell>
        </row>
        <row r="81">
          <cell r="B81" t="str">
            <v>جم</v>
          </cell>
          <cell r="C81">
            <v>49</v>
          </cell>
        </row>
        <row r="82">
          <cell r="B82" t="str">
            <v>دشتستان‌</v>
          </cell>
          <cell r="C82">
            <v>277</v>
          </cell>
        </row>
        <row r="83">
          <cell r="B83" t="str">
            <v>دشتي‌</v>
          </cell>
          <cell r="C83">
            <v>71</v>
          </cell>
        </row>
        <row r="84">
          <cell r="B84" t="str">
            <v>دير</v>
          </cell>
          <cell r="C84">
            <v>19</v>
          </cell>
        </row>
        <row r="85">
          <cell r="B85" t="str">
            <v>ديلم‌</v>
          </cell>
          <cell r="C85">
            <v>44</v>
          </cell>
        </row>
        <row r="86">
          <cell r="B86" t="str">
            <v>عسلويه</v>
          </cell>
          <cell r="C86">
            <v>36</v>
          </cell>
        </row>
        <row r="87">
          <cell r="B87" t="str">
            <v>كنگان‌</v>
          </cell>
          <cell r="C87">
            <v>140</v>
          </cell>
        </row>
        <row r="88">
          <cell r="B88" t="str">
            <v>گناوه‌</v>
          </cell>
          <cell r="C88">
            <v>138</v>
          </cell>
        </row>
        <row r="89">
          <cell r="B89" t="str">
            <v>اسلامشهر</v>
          </cell>
          <cell r="C89">
            <v>244</v>
          </cell>
        </row>
        <row r="90">
          <cell r="B90" t="str">
            <v>بهارستان</v>
          </cell>
          <cell r="C90">
            <v>103</v>
          </cell>
        </row>
        <row r="91">
          <cell r="B91" t="str">
            <v>پاكدشت‌</v>
          </cell>
          <cell r="C91">
            <v>161</v>
          </cell>
        </row>
        <row r="92">
          <cell r="B92" t="str">
            <v>پرديس و بومهن</v>
          </cell>
          <cell r="C92">
            <v>56</v>
          </cell>
        </row>
        <row r="93">
          <cell r="B93" t="str">
            <v>تهران ب</v>
          </cell>
          <cell r="C93">
            <v>1127</v>
          </cell>
        </row>
        <row r="94">
          <cell r="B94" t="str">
            <v>تهران‌.الف</v>
          </cell>
          <cell r="C94">
            <v>10207</v>
          </cell>
        </row>
        <row r="95">
          <cell r="B95" t="str">
            <v>تهران.ت</v>
          </cell>
          <cell r="C95">
            <v>5432</v>
          </cell>
        </row>
        <row r="96">
          <cell r="B96" t="str">
            <v>تهران.ش</v>
          </cell>
          <cell r="C96">
            <v>9519</v>
          </cell>
        </row>
        <row r="97">
          <cell r="B97" t="str">
            <v>دماوند</v>
          </cell>
          <cell r="C97">
            <v>87</v>
          </cell>
        </row>
        <row r="98">
          <cell r="B98" t="str">
            <v>رباط‌ كريم‌</v>
          </cell>
          <cell r="C98">
            <v>132</v>
          </cell>
        </row>
        <row r="99">
          <cell r="B99" t="str">
            <v>ري‌</v>
          </cell>
          <cell r="C99">
            <v>142</v>
          </cell>
        </row>
        <row r="100">
          <cell r="B100" t="str">
            <v>شميرانات</v>
          </cell>
          <cell r="C100">
            <v>18</v>
          </cell>
        </row>
        <row r="101">
          <cell r="B101" t="str">
            <v>شهرقدس</v>
          </cell>
          <cell r="C101">
            <v>40</v>
          </cell>
        </row>
        <row r="102">
          <cell r="B102" t="str">
            <v>شهريار</v>
          </cell>
          <cell r="C102">
            <v>485</v>
          </cell>
        </row>
        <row r="103">
          <cell r="B103" t="str">
            <v>فيروزكوه‌</v>
          </cell>
          <cell r="C103">
            <v>32</v>
          </cell>
        </row>
        <row r="104">
          <cell r="B104" t="str">
            <v>قرچك</v>
          </cell>
          <cell r="C104">
            <v>56</v>
          </cell>
        </row>
        <row r="105">
          <cell r="B105" t="str">
            <v>ورامين‌</v>
          </cell>
          <cell r="C105">
            <v>308</v>
          </cell>
        </row>
        <row r="106">
          <cell r="B106" t="str">
            <v>اردل‌</v>
          </cell>
          <cell r="C106">
            <v>26</v>
          </cell>
        </row>
        <row r="107">
          <cell r="B107" t="str">
            <v>بروجن‌</v>
          </cell>
          <cell r="C107">
            <v>185</v>
          </cell>
        </row>
        <row r="108">
          <cell r="B108" t="str">
            <v>شهركرد</v>
          </cell>
          <cell r="C108">
            <v>885</v>
          </cell>
        </row>
        <row r="109">
          <cell r="B109" t="str">
            <v>فارسان‌</v>
          </cell>
          <cell r="C109">
            <v>251</v>
          </cell>
        </row>
        <row r="110">
          <cell r="B110" t="str">
            <v>كيار</v>
          </cell>
          <cell r="C110">
            <v>33</v>
          </cell>
        </row>
        <row r="111">
          <cell r="B111" t="str">
            <v>لردگان‌</v>
          </cell>
          <cell r="C111">
            <v>208</v>
          </cell>
        </row>
        <row r="112">
          <cell r="B112" t="str">
            <v>بشرويه</v>
          </cell>
          <cell r="C112">
            <v>33</v>
          </cell>
        </row>
        <row r="113">
          <cell r="B113" t="str">
            <v>بيرجند</v>
          </cell>
          <cell r="C113">
            <v>836</v>
          </cell>
        </row>
        <row r="114">
          <cell r="B114" t="str">
            <v>درميان</v>
          </cell>
          <cell r="C114">
            <v>31</v>
          </cell>
        </row>
        <row r="115">
          <cell r="B115" t="str">
            <v>زيركوه</v>
          </cell>
          <cell r="C115">
            <v>24</v>
          </cell>
        </row>
        <row r="116">
          <cell r="B116" t="str">
            <v>سرايان</v>
          </cell>
          <cell r="C116">
            <v>32</v>
          </cell>
        </row>
        <row r="117">
          <cell r="B117" t="str">
            <v>سربيشه</v>
          </cell>
          <cell r="C117">
            <v>23</v>
          </cell>
        </row>
        <row r="118">
          <cell r="B118" t="str">
            <v>طبس</v>
          </cell>
          <cell r="C118">
            <v>129</v>
          </cell>
        </row>
        <row r="119">
          <cell r="B119" t="str">
            <v>فردوس‌</v>
          </cell>
          <cell r="C119">
            <v>165</v>
          </cell>
        </row>
        <row r="120">
          <cell r="B120" t="str">
            <v>قائنات</v>
          </cell>
          <cell r="C120">
            <v>130</v>
          </cell>
        </row>
        <row r="121">
          <cell r="B121" t="str">
            <v>نهبندان‌</v>
          </cell>
          <cell r="C121">
            <v>43</v>
          </cell>
        </row>
        <row r="122">
          <cell r="B122" t="str">
            <v>باخرز</v>
          </cell>
          <cell r="C122">
            <v>10</v>
          </cell>
        </row>
        <row r="123">
          <cell r="B123" t="str">
            <v>بجستان</v>
          </cell>
          <cell r="C123">
            <v>28</v>
          </cell>
        </row>
        <row r="124">
          <cell r="B124" t="str">
            <v>بردسكن‌</v>
          </cell>
          <cell r="C124">
            <v>109</v>
          </cell>
        </row>
        <row r="125">
          <cell r="B125" t="str">
            <v>تايباد</v>
          </cell>
          <cell r="C125">
            <v>129</v>
          </cell>
        </row>
        <row r="126">
          <cell r="B126" t="str">
            <v>تربت‌جام‌</v>
          </cell>
          <cell r="C126">
            <v>205</v>
          </cell>
        </row>
        <row r="127">
          <cell r="B127" t="str">
            <v>تربت‌حيدريه‌</v>
          </cell>
          <cell r="C127">
            <v>310</v>
          </cell>
        </row>
        <row r="128">
          <cell r="B128" t="str">
            <v>جغتاي</v>
          </cell>
          <cell r="C128">
            <v>47</v>
          </cell>
        </row>
        <row r="129">
          <cell r="B129" t="str">
            <v>جوين</v>
          </cell>
          <cell r="C129">
            <v>59</v>
          </cell>
        </row>
        <row r="130">
          <cell r="B130" t="str">
            <v>چناران‌</v>
          </cell>
          <cell r="C130">
            <v>56</v>
          </cell>
        </row>
        <row r="131">
          <cell r="B131" t="str">
            <v>خليل آباد</v>
          </cell>
          <cell r="C131">
            <v>6</v>
          </cell>
        </row>
        <row r="132">
          <cell r="B132" t="str">
            <v>خواف‌</v>
          </cell>
          <cell r="C132">
            <v>124</v>
          </cell>
        </row>
        <row r="133">
          <cell r="B133" t="str">
            <v>درگز</v>
          </cell>
          <cell r="C133">
            <v>93</v>
          </cell>
        </row>
        <row r="134">
          <cell r="B134" t="str">
            <v>رشتخوار</v>
          </cell>
          <cell r="C134">
            <v>21</v>
          </cell>
        </row>
        <row r="135">
          <cell r="B135" t="str">
            <v>سبزوار</v>
          </cell>
          <cell r="C135">
            <v>595</v>
          </cell>
        </row>
        <row r="136">
          <cell r="B136" t="str">
            <v>سرخس‌</v>
          </cell>
          <cell r="C136">
            <v>64</v>
          </cell>
        </row>
        <row r="137">
          <cell r="B137" t="str">
            <v>فريمان‌</v>
          </cell>
          <cell r="C137">
            <v>89</v>
          </cell>
        </row>
        <row r="138">
          <cell r="B138" t="str">
            <v>قوچان‌</v>
          </cell>
          <cell r="C138">
            <v>201</v>
          </cell>
        </row>
        <row r="139">
          <cell r="B139" t="str">
            <v>كاشمر</v>
          </cell>
          <cell r="C139">
            <v>241</v>
          </cell>
        </row>
        <row r="140">
          <cell r="B140" t="str">
            <v>كلات</v>
          </cell>
          <cell r="C140">
            <v>15</v>
          </cell>
        </row>
        <row r="141">
          <cell r="B141" t="str">
            <v>گناباد</v>
          </cell>
          <cell r="C141">
            <v>218</v>
          </cell>
        </row>
        <row r="142">
          <cell r="B142" t="str">
            <v>مشهد</v>
          </cell>
          <cell r="C142">
            <v>6558</v>
          </cell>
        </row>
        <row r="143">
          <cell r="B143" t="str">
            <v>مه ولات</v>
          </cell>
          <cell r="C143">
            <v>23</v>
          </cell>
        </row>
        <row r="144">
          <cell r="B144" t="str">
            <v>نيشابور</v>
          </cell>
          <cell r="C144">
            <v>512</v>
          </cell>
        </row>
        <row r="145">
          <cell r="B145" t="str">
            <v>اسفراين</v>
          </cell>
          <cell r="C145">
            <v>137</v>
          </cell>
        </row>
        <row r="146">
          <cell r="B146" t="str">
            <v>بجنورد</v>
          </cell>
          <cell r="C146">
            <v>746</v>
          </cell>
        </row>
        <row r="147">
          <cell r="B147" t="str">
            <v>جاجرم</v>
          </cell>
          <cell r="C147">
            <v>40</v>
          </cell>
        </row>
        <row r="148">
          <cell r="B148" t="str">
            <v>شيروان‌</v>
          </cell>
          <cell r="C148">
            <v>231</v>
          </cell>
        </row>
        <row r="149">
          <cell r="B149" t="str">
            <v>فاروج</v>
          </cell>
          <cell r="C149">
            <v>32</v>
          </cell>
        </row>
        <row r="150">
          <cell r="B150" t="str">
            <v>مانه و سملقان</v>
          </cell>
          <cell r="C150">
            <v>38</v>
          </cell>
        </row>
        <row r="151">
          <cell r="B151" t="str">
            <v>ابادان‌</v>
          </cell>
          <cell r="C151">
            <v>520</v>
          </cell>
        </row>
        <row r="152">
          <cell r="B152" t="str">
            <v>اميديه‌</v>
          </cell>
          <cell r="C152">
            <v>129</v>
          </cell>
        </row>
        <row r="153">
          <cell r="B153" t="str">
            <v>انديمشك‌</v>
          </cell>
          <cell r="C153">
            <v>146</v>
          </cell>
        </row>
        <row r="154">
          <cell r="B154" t="str">
            <v>اهواز</v>
          </cell>
          <cell r="C154">
            <v>4052</v>
          </cell>
        </row>
        <row r="155">
          <cell r="B155" t="str">
            <v>ايذه‌</v>
          </cell>
          <cell r="C155">
            <v>130</v>
          </cell>
        </row>
        <row r="156">
          <cell r="B156" t="str">
            <v>آغاجاري</v>
          </cell>
          <cell r="C156">
            <v>26</v>
          </cell>
        </row>
        <row r="157">
          <cell r="B157" t="str">
            <v>باغ‌ملك‌</v>
          </cell>
          <cell r="C157">
            <v>100</v>
          </cell>
        </row>
        <row r="158">
          <cell r="B158" t="str">
            <v>بندرماهشهر</v>
          </cell>
          <cell r="C158">
            <v>286</v>
          </cell>
        </row>
        <row r="159">
          <cell r="B159" t="str">
            <v>بهبهان‌</v>
          </cell>
          <cell r="C159">
            <v>303</v>
          </cell>
        </row>
        <row r="160">
          <cell r="B160" t="str">
            <v>خرمشهر</v>
          </cell>
          <cell r="C160">
            <v>180</v>
          </cell>
        </row>
        <row r="161">
          <cell r="B161" t="str">
            <v>دزفول‌</v>
          </cell>
          <cell r="C161">
            <v>595</v>
          </cell>
        </row>
        <row r="162">
          <cell r="B162" t="str">
            <v>دشت‌ازادگان‌</v>
          </cell>
          <cell r="C162">
            <v>142</v>
          </cell>
        </row>
        <row r="163">
          <cell r="B163" t="str">
            <v>رامشير</v>
          </cell>
          <cell r="C163">
            <v>26</v>
          </cell>
        </row>
        <row r="164">
          <cell r="B164" t="str">
            <v>رامهرمز</v>
          </cell>
          <cell r="C164">
            <v>133</v>
          </cell>
        </row>
        <row r="165">
          <cell r="B165" t="str">
            <v>شادگان‌</v>
          </cell>
          <cell r="C165">
            <v>136</v>
          </cell>
        </row>
        <row r="166">
          <cell r="B166" t="str">
            <v>شوش‌</v>
          </cell>
          <cell r="C166">
            <v>134</v>
          </cell>
        </row>
        <row r="167">
          <cell r="B167" t="str">
            <v>شوشتر</v>
          </cell>
          <cell r="C167">
            <v>242</v>
          </cell>
        </row>
        <row r="168">
          <cell r="B168" t="str">
            <v>كارون</v>
          </cell>
          <cell r="C168">
            <v>275</v>
          </cell>
        </row>
        <row r="169">
          <cell r="B169" t="str">
            <v>گتون</v>
          </cell>
          <cell r="C169">
            <v>21</v>
          </cell>
        </row>
        <row r="170">
          <cell r="B170" t="str">
            <v>لالي</v>
          </cell>
          <cell r="C170">
            <v>20</v>
          </cell>
        </row>
        <row r="171">
          <cell r="B171" t="str">
            <v>مسجدسليمان‌</v>
          </cell>
          <cell r="C171">
            <v>240</v>
          </cell>
        </row>
        <row r="172">
          <cell r="B172" t="str">
            <v>هنديجان</v>
          </cell>
          <cell r="C172">
            <v>14</v>
          </cell>
        </row>
        <row r="173">
          <cell r="B173" t="str">
            <v>ابهر</v>
          </cell>
          <cell r="C173">
            <v>385</v>
          </cell>
        </row>
        <row r="174">
          <cell r="B174" t="str">
            <v>ايجرود</v>
          </cell>
          <cell r="C174">
            <v>5</v>
          </cell>
        </row>
        <row r="175">
          <cell r="B175" t="str">
            <v>خدابنده‌</v>
          </cell>
          <cell r="C175">
            <v>144</v>
          </cell>
        </row>
        <row r="176">
          <cell r="B176" t="str">
            <v>خرمدره‌</v>
          </cell>
          <cell r="C176">
            <v>111</v>
          </cell>
        </row>
        <row r="177">
          <cell r="B177" t="str">
            <v>زنجان‌</v>
          </cell>
          <cell r="C177">
            <v>1200</v>
          </cell>
        </row>
        <row r="178">
          <cell r="B178" t="str">
            <v>ط‌ارم‌</v>
          </cell>
          <cell r="C178">
            <v>23</v>
          </cell>
        </row>
        <row r="179">
          <cell r="B179" t="str">
            <v>ماه‌ نشان‌</v>
          </cell>
          <cell r="C179">
            <v>19</v>
          </cell>
        </row>
        <row r="180">
          <cell r="B180" t="str">
            <v>آرادان</v>
          </cell>
          <cell r="C180">
            <v>19</v>
          </cell>
        </row>
        <row r="181">
          <cell r="B181" t="str">
            <v>دامغان‌</v>
          </cell>
          <cell r="C181">
            <v>166</v>
          </cell>
        </row>
        <row r="182">
          <cell r="B182" t="str">
            <v>سمنان‌</v>
          </cell>
          <cell r="C182">
            <v>527</v>
          </cell>
        </row>
        <row r="183">
          <cell r="B183" t="str">
            <v>شاهرود</v>
          </cell>
          <cell r="C183">
            <v>676</v>
          </cell>
        </row>
        <row r="184">
          <cell r="B184" t="str">
            <v>گرمسار</v>
          </cell>
          <cell r="C184">
            <v>106</v>
          </cell>
        </row>
        <row r="185">
          <cell r="B185" t="str">
            <v>مهديشهر</v>
          </cell>
          <cell r="C185">
            <v>46</v>
          </cell>
        </row>
        <row r="186">
          <cell r="B186" t="str">
            <v>ايرانشهر</v>
          </cell>
          <cell r="C186">
            <v>385</v>
          </cell>
        </row>
        <row r="187">
          <cell r="B187" t="str">
            <v>چاه‌بهار</v>
          </cell>
          <cell r="C187">
            <v>189</v>
          </cell>
        </row>
        <row r="188">
          <cell r="B188" t="str">
            <v>خاش‌</v>
          </cell>
          <cell r="C188">
            <v>131</v>
          </cell>
        </row>
        <row r="189">
          <cell r="B189" t="str">
            <v>دلگان</v>
          </cell>
          <cell r="C189">
            <v>11</v>
          </cell>
        </row>
        <row r="190">
          <cell r="B190" t="str">
            <v>زابل‌</v>
          </cell>
          <cell r="C190">
            <v>438</v>
          </cell>
        </row>
        <row r="191">
          <cell r="B191" t="str">
            <v>زاهدان‌</v>
          </cell>
          <cell r="C191">
            <v>1172</v>
          </cell>
        </row>
        <row r="192">
          <cell r="B192" t="str">
            <v>زهك</v>
          </cell>
          <cell r="C192">
            <v>83</v>
          </cell>
        </row>
        <row r="193">
          <cell r="B193" t="str">
            <v>سراوان‌</v>
          </cell>
          <cell r="C193">
            <v>182</v>
          </cell>
        </row>
        <row r="194">
          <cell r="B194" t="str">
            <v>سرباز</v>
          </cell>
          <cell r="C194">
            <v>54</v>
          </cell>
        </row>
        <row r="195">
          <cell r="B195" t="str">
            <v>ميرجاوه</v>
          </cell>
          <cell r="C195">
            <v>8</v>
          </cell>
        </row>
        <row r="196">
          <cell r="B196" t="str">
            <v>نيك‌شهر</v>
          </cell>
          <cell r="C196">
            <v>89</v>
          </cell>
        </row>
        <row r="197">
          <cell r="B197" t="str">
            <v>هيرمند</v>
          </cell>
          <cell r="C197">
            <v>11</v>
          </cell>
        </row>
        <row r="198">
          <cell r="B198" t="str">
            <v>اباده‌</v>
          </cell>
          <cell r="C198">
            <v>171</v>
          </cell>
        </row>
        <row r="199">
          <cell r="B199" t="str">
            <v>ارسنجان‌</v>
          </cell>
          <cell r="C199">
            <v>23</v>
          </cell>
        </row>
        <row r="200">
          <cell r="B200" t="str">
            <v>استهبان‌</v>
          </cell>
          <cell r="C200">
            <v>98</v>
          </cell>
        </row>
        <row r="201">
          <cell r="B201" t="str">
            <v>اقليد</v>
          </cell>
          <cell r="C201">
            <v>105</v>
          </cell>
        </row>
        <row r="202">
          <cell r="B202" t="str">
            <v>بوانات‌</v>
          </cell>
          <cell r="C202">
            <v>25</v>
          </cell>
        </row>
        <row r="203">
          <cell r="B203" t="str">
            <v>پاسارگاد</v>
          </cell>
          <cell r="C203">
            <v>57</v>
          </cell>
        </row>
        <row r="204">
          <cell r="B204" t="str">
            <v>جهرم‌</v>
          </cell>
          <cell r="C204">
            <v>419</v>
          </cell>
        </row>
        <row r="205">
          <cell r="B205" t="str">
            <v>خرامه</v>
          </cell>
          <cell r="C205">
            <v>32</v>
          </cell>
        </row>
        <row r="206">
          <cell r="B206" t="str">
            <v>خرم بيد</v>
          </cell>
          <cell r="C206">
            <v>34</v>
          </cell>
        </row>
        <row r="207">
          <cell r="B207" t="str">
            <v>خنج</v>
          </cell>
          <cell r="C207">
            <v>43</v>
          </cell>
        </row>
        <row r="208">
          <cell r="B208" t="str">
            <v>داراب‌</v>
          </cell>
          <cell r="C208">
            <v>173</v>
          </cell>
        </row>
        <row r="209">
          <cell r="B209" t="str">
            <v>زرقان</v>
          </cell>
          <cell r="C209">
            <v>23</v>
          </cell>
        </row>
        <row r="210">
          <cell r="B210" t="str">
            <v>زرين دشت</v>
          </cell>
          <cell r="C210">
            <v>38</v>
          </cell>
        </row>
        <row r="211">
          <cell r="B211" t="str">
            <v>سپيدان‌</v>
          </cell>
          <cell r="C211">
            <v>95</v>
          </cell>
        </row>
        <row r="212">
          <cell r="B212" t="str">
            <v>سروستان</v>
          </cell>
          <cell r="C212">
            <v>27</v>
          </cell>
        </row>
        <row r="213">
          <cell r="B213" t="str">
            <v>شيراز</v>
          </cell>
          <cell r="C213">
            <v>5590</v>
          </cell>
        </row>
        <row r="214">
          <cell r="B214" t="str">
            <v>فراشبند</v>
          </cell>
          <cell r="C214">
            <v>14</v>
          </cell>
        </row>
        <row r="215">
          <cell r="B215" t="str">
            <v>فسا</v>
          </cell>
          <cell r="C215">
            <v>439</v>
          </cell>
        </row>
        <row r="216">
          <cell r="B216" t="str">
            <v>فيروزاباد</v>
          </cell>
          <cell r="C216">
            <v>130</v>
          </cell>
        </row>
        <row r="217">
          <cell r="B217" t="str">
            <v>قير و كارزين</v>
          </cell>
          <cell r="C217">
            <v>32</v>
          </cell>
        </row>
        <row r="218">
          <cell r="B218" t="str">
            <v>كازرون‌</v>
          </cell>
          <cell r="C218">
            <v>188</v>
          </cell>
        </row>
        <row r="219">
          <cell r="B219" t="str">
            <v>كوار</v>
          </cell>
          <cell r="C219">
            <v>6</v>
          </cell>
        </row>
        <row r="220">
          <cell r="B220" t="str">
            <v>گراش</v>
          </cell>
          <cell r="C220">
            <v>139</v>
          </cell>
        </row>
        <row r="221">
          <cell r="B221" t="str">
            <v>لار</v>
          </cell>
          <cell r="C221">
            <v>267</v>
          </cell>
        </row>
        <row r="222">
          <cell r="B222" t="str">
            <v>لامرد</v>
          </cell>
          <cell r="C222">
            <v>124</v>
          </cell>
        </row>
        <row r="223">
          <cell r="B223" t="str">
            <v>مرودشت‌</v>
          </cell>
          <cell r="C223">
            <v>204</v>
          </cell>
        </row>
        <row r="224">
          <cell r="B224" t="str">
            <v>ممسني‌</v>
          </cell>
          <cell r="C224">
            <v>133</v>
          </cell>
        </row>
        <row r="225">
          <cell r="B225" t="str">
            <v>مهر</v>
          </cell>
          <cell r="C225">
            <v>26</v>
          </cell>
        </row>
        <row r="226">
          <cell r="B226" t="str">
            <v>نيريز</v>
          </cell>
          <cell r="C226">
            <v>120</v>
          </cell>
        </row>
        <row r="227">
          <cell r="B227" t="str">
            <v>البرز</v>
          </cell>
          <cell r="C227">
            <v>64</v>
          </cell>
        </row>
        <row r="228">
          <cell r="B228" t="str">
            <v>آبيك</v>
          </cell>
          <cell r="C228">
            <v>49</v>
          </cell>
        </row>
        <row r="229">
          <cell r="B229" t="str">
            <v>بويين‌ زهرا</v>
          </cell>
          <cell r="C229">
            <v>57</v>
          </cell>
        </row>
        <row r="230">
          <cell r="B230" t="str">
            <v>تاكستان‌</v>
          </cell>
          <cell r="C230">
            <v>223</v>
          </cell>
        </row>
        <row r="231">
          <cell r="B231" t="str">
            <v>قزوين‌</v>
          </cell>
          <cell r="C231">
            <v>1597</v>
          </cell>
        </row>
        <row r="232">
          <cell r="B232" t="str">
            <v>قم‌</v>
          </cell>
          <cell r="C232">
            <v>1973</v>
          </cell>
        </row>
        <row r="233">
          <cell r="B233" t="str">
            <v>بانه‌</v>
          </cell>
          <cell r="C233">
            <v>167</v>
          </cell>
        </row>
        <row r="234">
          <cell r="B234" t="str">
            <v>بيجار</v>
          </cell>
          <cell r="C234">
            <v>115</v>
          </cell>
        </row>
        <row r="235">
          <cell r="B235" t="str">
            <v>دهگلان</v>
          </cell>
          <cell r="C235">
            <v>31</v>
          </cell>
        </row>
        <row r="236">
          <cell r="B236" t="str">
            <v>ديواندره‌</v>
          </cell>
          <cell r="C236">
            <v>82</v>
          </cell>
        </row>
        <row r="237">
          <cell r="B237" t="str">
            <v>سروآباد</v>
          </cell>
          <cell r="C237">
            <v>33</v>
          </cell>
        </row>
        <row r="238">
          <cell r="B238" t="str">
            <v>سقز</v>
          </cell>
          <cell r="C238">
            <v>269</v>
          </cell>
        </row>
        <row r="239">
          <cell r="B239" t="str">
            <v>سنندج‌</v>
          </cell>
          <cell r="C239">
            <v>1436</v>
          </cell>
        </row>
        <row r="240">
          <cell r="B240" t="str">
            <v>قروه‌</v>
          </cell>
          <cell r="C240">
            <v>153</v>
          </cell>
        </row>
        <row r="241">
          <cell r="B241" t="str">
            <v>كامياران‌</v>
          </cell>
          <cell r="C241">
            <v>77</v>
          </cell>
        </row>
        <row r="242">
          <cell r="B242" t="str">
            <v>مريوان‌</v>
          </cell>
          <cell r="C242">
            <v>224</v>
          </cell>
        </row>
        <row r="243">
          <cell r="B243" t="str">
            <v>ارزوئيه</v>
          </cell>
          <cell r="C243">
            <v>26</v>
          </cell>
        </row>
        <row r="244">
          <cell r="B244" t="str">
            <v>انار</v>
          </cell>
          <cell r="C244">
            <v>30</v>
          </cell>
        </row>
        <row r="245">
          <cell r="B245" t="str">
            <v>بافت</v>
          </cell>
          <cell r="C245">
            <v>123</v>
          </cell>
        </row>
        <row r="246">
          <cell r="B246" t="str">
            <v>بردسير</v>
          </cell>
          <cell r="C246">
            <v>66</v>
          </cell>
        </row>
        <row r="247">
          <cell r="B247" t="str">
            <v>بم‌</v>
          </cell>
          <cell r="C247">
            <v>335</v>
          </cell>
        </row>
        <row r="248">
          <cell r="B248" t="str">
            <v>جيرفت‌</v>
          </cell>
          <cell r="C248">
            <v>437</v>
          </cell>
        </row>
        <row r="249">
          <cell r="B249" t="str">
            <v>رابر</v>
          </cell>
          <cell r="C249">
            <v>12</v>
          </cell>
        </row>
        <row r="250">
          <cell r="B250" t="str">
            <v>راور</v>
          </cell>
          <cell r="C250">
            <v>40</v>
          </cell>
        </row>
        <row r="251">
          <cell r="B251" t="str">
            <v>رفسنجان‌</v>
          </cell>
          <cell r="C251">
            <v>427</v>
          </cell>
        </row>
        <row r="252">
          <cell r="B252" t="str">
            <v>رودبار جنوب</v>
          </cell>
          <cell r="C252">
            <v>27</v>
          </cell>
        </row>
        <row r="253">
          <cell r="B253" t="str">
            <v>زرند</v>
          </cell>
          <cell r="C253">
            <v>168</v>
          </cell>
        </row>
        <row r="254">
          <cell r="B254" t="str">
            <v>سيرجان‌</v>
          </cell>
          <cell r="C254">
            <v>359</v>
          </cell>
        </row>
        <row r="255">
          <cell r="B255" t="str">
            <v>شهربابك‌</v>
          </cell>
          <cell r="C255">
            <v>80</v>
          </cell>
        </row>
        <row r="256">
          <cell r="B256" t="str">
            <v>قلعه گنج</v>
          </cell>
          <cell r="C256">
            <v>33</v>
          </cell>
        </row>
        <row r="257">
          <cell r="B257" t="str">
            <v>كرمان‌</v>
          </cell>
          <cell r="C257">
            <v>2339</v>
          </cell>
        </row>
        <row r="258">
          <cell r="B258" t="str">
            <v>كوهبنان</v>
          </cell>
          <cell r="C258">
            <v>26</v>
          </cell>
        </row>
        <row r="259">
          <cell r="B259" t="str">
            <v>كهنوج‌</v>
          </cell>
          <cell r="C259">
            <v>127</v>
          </cell>
        </row>
        <row r="260">
          <cell r="B260" t="str">
            <v>منوجان</v>
          </cell>
          <cell r="C260">
            <v>37</v>
          </cell>
        </row>
        <row r="261">
          <cell r="B261" t="str">
            <v>نرماشير</v>
          </cell>
          <cell r="C261">
            <v>11</v>
          </cell>
        </row>
        <row r="262">
          <cell r="B262" t="str">
            <v>اسلام‌ابادغرب‌</v>
          </cell>
          <cell r="C262">
            <v>139</v>
          </cell>
        </row>
        <row r="263">
          <cell r="B263" t="str">
            <v>پاوه‌</v>
          </cell>
          <cell r="C263">
            <v>63</v>
          </cell>
        </row>
        <row r="264">
          <cell r="B264" t="str">
            <v>جوانرود</v>
          </cell>
          <cell r="C264">
            <v>100</v>
          </cell>
        </row>
        <row r="265">
          <cell r="B265" t="str">
            <v>سرپل‌ذهاب‌</v>
          </cell>
          <cell r="C265">
            <v>59</v>
          </cell>
        </row>
        <row r="266">
          <cell r="B266" t="str">
            <v>سنقر</v>
          </cell>
          <cell r="C266">
            <v>115</v>
          </cell>
        </row>
        <row r="267">
          <cell r="B267" t="str">
            <v>صحنه‌</v>
          </cell>
          <cell r="C267">
            <v>57</v>
          </cell>
        </row>
        <row r="268">
          <cell r="B268" t="str">
            <v>قصرشيرين‌</v>
          </cell>
          <cell r="C268">
            <v>24</v>
          </cell>
        </row>
        <row r="269">
          <cell r="B269" t="str">
            <v>كرمانشاه‌</v>
          </cell>
          <cell r="C269">
            <v>2344</v>
          </cell>
        </row>
        <row r="270">
          <cell r="B270" t="str">
            <v>كنگاور</v>
          </cell>
          <cell r="C270">
            <v>75</v>
          </cell>
        </row>
        <row r="271">
          <cell r="B271" t="str">
            <v>گيلانغرب‌</v>
          </cell>
          <cell r="C271">
            <v>35</v>
          </cell>
        </row>
        <row r="272">
          <cell r="B272" t="str">
            <v>هرسين‌</v>
          </cell>
          <cell r="C272">
            <v>72</v>
          </cell>
        </row>
        <row r="273">
          <cell r="B273" t="str">
            <v>كهگيلويه‌</v>
          </cell>
          <cell r="C273">
            <v>210</v>
          </cell>
        </row>
        <row r="274">
          <cell r="B274" t="str">
            <v>گچساران‌</v>
          </cell>
          <cell r="C274">
            <v>252</v>
          </cell>
        </row>
        <row r="275">
          <cell r="B275" t="str">
            <v>ياسوج (بوير احمد)</v>
          </cell>
          <cell r="C275">
            <v>567</v>
          </cell>
        </row>
        <row r="276">
          <cell r="B276" t="str">
            <v>آزادشهر</v>
          </cell>
          <cell r="C276">
            <v>56</v>
          </cell>
        </row>
        <row r="277">
          <cell r="B277" t="str">
            <v>آق قلا</v>
          </cell>
          <cell r="C277">
            <v>123</v>
          </cell>
        </row>
        <row r="278">
          <cell r="B278" t="str">
            <v>بندر تركمن‌</v>
          </cell>
          <cell r="C278">
            <v>143</v>
          </cell>
        </row>
        <row r="279">
          <cell r="B279" t="str">
            <v>بندرگز</v>
          </cell>
          <cell r="C279">
            <v>92</v>
          </cell>
        </row>
        <row r="280">
          <cell r="B280" t="str">
            <v>راميان</v>
          </cell>
          <cell r="C280">
            <v>36</v>
          </cell>
        </row>
        <row r="281">
          <cell r="B281" t="str">
            <v>علي‌ اباد كتول</v>
          </cell>
          <cell r="C281">
            <v>116</v>
          </cell>
        </row>
        <row r="282">
          <cell r="B282" t="str">
            <v>كردكوي‌</v>
          </cell>
          <cell r="C282">
            <v>140</v>
          </cell>
        </row>
        <row r="283">
          <cell r="B283" t="str">
            <v>كلاله</v>
          </cell>
          <cell r="C283">
            <v>163</v>
          </cell>
        </row>
        <row r="284">
          <cell r="B284" t="str">
            <v>گرگان‌</v>
          </cell>
          <cell r="C284">
            <v>1197</v>
          </cell>
        </row>
        <row r="285">
          <cell r="B285" t="str">
            <v>گنبد كاوس‌</v>
          </cell>
          <cell r="C285">
            <v>706</v>
          </cell>
        </row>
        <row r="286">
          <cell r="B286" t="str">
            <v>مينودشت‌</v>
          </cell>
          <cell r="C286">
            <v>132</v>
          </cell>
        </row>
        <row r="287">
          <cell r="B287" t="str">
            <v>استارا</v>
          </cell>
          <cell r="C287">
            <v>112</v>
          </cell>
        </row>
        <row r="288">
          <cell r="B288" t="str">
            <v>استانه‌اشرفيه‌</v>
          </cell>
          <cell r="C288">
            <v>74</v>
          </cell>
        </row>
        <row r="289">
          <cell r="B289" t="str">
            <v>املش‌</v>
          </cell>
          <cell r="C289">
            <v>13</v>
          </cell>
        </row>
        <row r="290">
          <cell r="B290" t="str">
            <v>بندرانزلي‌</v>
          </cell>
          <cell r="C290">
            <v>133</v>
          </cell>
        </row>
        <row r="291">
          <cell r="B291" t="str">
            <v>رشت‌</v>
          </cell>
          <cell r="C291">
            <v>2408</v>
          </cell>
        </row>
        <row r="292">
          <cell r="B292" t="str">
            <v>رضوانشهر</v>
          </cell>
          <cell r="C292">
            <v>8</v>
          </cell>
        </row>
        <row r="293">
          <cell r="B293" t="str">
            <v>رودبار</v>
          </cell>
          <cell r="C293">
            <v>111</v>
          </cell>
        </row>
        <row r="294">
          <cell r="B294" t="str">
            <v>رودسر</v>
          </cell>
          <cell r="C294">
            <v>118</v>
          </cell>
        </row>
        <row r="295">
          <cell r="B295" t="str">
            <v>سياهكل‌</v>
          </cell>
          <cell r="C295">
            <v>16</v>
          </cell>
        </row>
        <row r="296">
          <cell r="B296" t="str">
            <v>شفت‌</v>
          </cell>
          <cell r="C296">
            <v>21</v>
          </cell>
        </row>
        <row r="297">
          <cell r="B297" t="str">
            <v>صومعه‌سرا</v>
          </cell>
          <cell r="C297">
            <v>85</v>
          </cell>
        </row>
        <row r="298">
          <cell r="B298" t="str">
            <v>ط‌والش‌</v>
          </cell>
          <cell r="C298">
            <v>154</v>
          </cell>
        </row>
        <row r="299">
          <cell r="B299" t="str">
            <v>فومن‌</v>
          </cell>
          <cell r="C299">
            <v>62</v>
          </cell>
        </row>
        <row r="300">
          <cell r="B300" t="str">
            <v>لاهيجان‌</v>
          </cell>
          <cell r="C300">
            <v>363</v>
          </cell>
        </row>
        <row r="301">
          <cell r="B301" t="str">
            <v>لنگرود</v>
          </cell>
          <cell r="C301">
            <v>105</v>
          </cell>
        </row>
        <row r="302">
          <cell r="B302" t="str">
            <v>ماسال‌</v>
          </cell>
          <cell r="C302">
            <v>26</v>
          </cell>
        </row>
        <row r="303">
          <cell r="B303" t="str">
            <v>ازنا</v>
          </cell>
          <cell r="C303">
            <v>55</v>
          </cell>
        </row>
        <row r="304">
          <cell r="B304" t="str">
            <v>اليگودرز</v>
          </cell>
          <cell r="C304">
            <v>195</v>
          </cell>
        </row>
        <row r="305">
          <cell r="B305" t="str">
            <v>بروجرد</v>
          </cell>
          <cell r="C305">
            <v>398</v>
          </cell>
        </row>
        <row r="306">
          <cell r="B306" t="str">
            <v>پلدختر</v>
          </cell>
          <cell r="C306">
            <v>63</v>
          </cell>
        </row>
        <row r="307">
          <cell r="B307" t="str">
            <v>خرم‌اباد</v>
          </cell>
          <cell r="C307">
            <v>1414</v>
          </cell>
        </row>
        <row r="308">
          <cell r="B308" t="str">
            <v>دلفان‌</v>
          </cell>
          <cell r="C308">
            <v>106</v>
          </cell>
        </row>
        <row r="309">
          <cell r="B309" t="str">
            <v>دورود</v>
          </cell>
          <cell r="C309">
            <v>173</v>
          </cell>
        </row>
        <row r="310">
          <cell r="B310" t="str">
            <v>سلسله‌</v>
          </cell>
          <cell r="C310">
            <v>55</v>
          </cell>
        </row>
        <row r="311">
          <cell r="B311" t="str">
            <v>كوهدشت‌</v>
          </cell>
          <cell r="C311">
            <v>144</v>
          </cell>
        </row>
        <row r="312">
          <cell r="B312" t="str">
            <v>امل‌</v>
          </cell>
          <cell r="C312">
            <v>620</v>
          </cell>
        </row>
        <row r="313">
          <cell r="B313" t="str">
            <v>بابل</v>
          </cell>
          <cell r="C313">
            <v>1214</v>
          </cell>
        </row>
        <row r="314">
          <cell r="B314" t="str">
            <v>بابلسر</v>
          </cell>
          <cell r="C314">
            <v>63</v>
          </cell>
        </row>
        <row r="315">
          <cell r="B315" t="str">
            <v>بهشهر</v>
          </cell>
          <cell r="C315">
            <v>294</v>
          </cell>
        </row>
        <row r="316">
          <cell r="B316" t="str">
            <v>تنكابن‌</v>
          </cell>
          <cell r="C316">
            <v>228</v>
          </cell>
        </row>
        <row r="317">
          <cell r="B317" t="str">
            <v>جويبار</v>
          </cell>
          <cell r="C317">
            <v>64</v>
          </cell>
        </row>
        <row r="318">
          <cell r="B318" t="str">
            <v>چالوس‌</v>
          </cell>
          <cell r="C318">
            <v>270</v>
          </cell>
        </row>
        <row r="319">
          <cell r="B319" t="str">
            <v>رامسر</v>
          </cell>
          <cell r="C319">
            <v>187</v>
          </cell>
        </row>
        <row r="320">
          <cell r="B320" t="str">
            <v>ساري‌</v>
          </cell>
          <cell r="C320">
            <v>1424</v>
          </cell>
        </row>
        <row r="321">
          <cell r="B321" t="str">
            <v>سوادكوه‌</v>
          </cell>
          <cell r="C321">
            <v>58</v>
          </cell>
        </row>
        <row r="322">
          <cell r="B322" t="str">
            <v>عباس‌آباد</v>
          </cell>
          <cell r="C322">
            <v>0</v>
          </cell>
        </row>
        <row r="323">
          <cell r="B323" t="str">
            <v>فريدونكنار</v>
          </cell>
          <cell r="C323">
            <v>122</v>
          </cell>
        </row>
        <row r="324">
          <cell r="B324" t="str">
            <v>قائم‌شهر</v>
          </cell>
          <cell r="C324">
            <v>507</v>
          </cell>
        </row>
        <row r="325">
          <cell r="B325" t="str">
            <v>گلوگاه</v>
          </cell>
          <cell r="C325">
            <v>32</v>
          </cell>
        </row>
        <row r="326">
          <cell r="B326" t="str">
            <v>محموداباد</v>
          </cell>
          <cell r="C326">
            <v>49</v>
          </cell>
        </row>
        <row r="327">
          <cell r="B327" t="str">
            <v>نكا</v>
          </cell>
          <cell r="C327">
            <v>90</v>
          </cell>
        </row>
        <row r="328">
          <cell r="B328" t="str">
            <v>نور</v>
          </cell>
          <cell r="C328">
            <v>105</v>
          </cell>
        </row>
        <row r="329">
          <cell r="B329" t="str">
            <v>نوشهر</v>
          </cell>
          <cell r="C329">
            <v>82</v>
          </cell>
        </row>
        <row r="330">
          <cell r="B330" t="str">
            <v>اراك‌</v>
          </cell>
          <cell r="C330">
            <v>1356</v>
          </cell>
        </row>
        <row r="331">
          <cell r="B331" t="str">
            <v>آشتيان</v>
          </cell>
          <cell r="C331">
            <v>38</v>
          </cell>
        </row>
        <row r="332">
          <cell r="B332" t="str">
            <v>تفرش‌</v>
          </cell>
          <cell r="C332">
            <v>52</v>
          </cell>
        </row>
        <row r="333">
          <cell r="B333" t="str">
            <v>خمين‌</v>
          </cell>
          <cell r="C333">
            <v>108</v>
          </cell>
        </row>
        <row r="334">
          <cell r="B334" t="str">
            <v>خنداب</v>
          </cell>
          <cell r="C334">
            <v>21</v>
          </cell>
        </row>
        <row r="335">
          <cell r="B335" t="str">
            <v>دليجان‌</v>
          </cell>
          <cell r="C335">
            <v>68</v>
          </cell>
        </row>
        <row r="336">
          <cell r="B336" t="str">
            <v>زرنديه</v>
          </cell>
          <cell r="C336">
            <v>38</v>
          </cell>
        </row>
        <row r="337">
          <cell r="B337" t="str">
            <v>ساوه‌</v>
          </cell>
          <cell r="C337">
            <v>364</v>
          </cell>
        </row>
        <row r="338">
          <cell r="B338" t="str">
            <v>شازند</v>
          </cell>
          <cell r="C338">
            <v>57</v>
          </cell>
        </row>
        <row r="339">
          <cell r="B339" t="str">
            <v>فراهان</v>
          </cell>
          <cell r="C339">
            <v>23</v>
          </cell>
        </row>
        <row r="340">
          <cell r="B340" t="str">
            <v>كميجان</v>
          </cell>
          <cell r="C340">
            <v>23</v>
          </cell>
        </row>
        <row r="341">
          <cell r="B341" t="str">
            <v>محلات‌</v>
          </cell>
          <cell r="C341">
            <v>65</v>
          </cell>
        </row>
        <row r="342">
          <cell r="B342" t="str">
            <v>ابوموسي‌</v>
          </cell>
          <cell r="C342">
            <v>11</v>
          </cell>
        </row>
        <row r="343">
          <cell r="B343" t="str">
            <v>بستك</v>
          </cell>
          <cell r="C343">
            <v>78</v>
          </cell>
        </row>
        <row r="344">
          <cell r="B344" t="str">
            <v>بشاگرد</v>
          </cell>
          <cell r="C344">
            <v>18</v>
          </cell>
        </row>
        <row r="345">
          <cell r="B345" t="str">
            <v>بندرجاسك‌</v>
          </cell>
          <cell r="C345">
            <v>63</v>
          </cell>
        </row>
        <row r="346">
          <cell r="B346" t="str">
            <v>بندرعباس‌</v>
          </cell>
          <cell r="C346">
            <v>1271</v>
          </cell>
        </row>
        <row r="347">
          <cell r="B347" t="str">
            <v>بندرلنگه‌</v>
          </cell>
          <cell r="C347">
            <v>127</v>
          </cell>
        </row>
        <row r="348">
          <cell r="B348" t="str">
            <v>پارسيان</v>
          </cell>
          <cell r="C348">
            <v>89</v>
          </cell>
        </row>
        <row r="349">
          <cell r="B349" t="str">
            <v>حاجي‌اباد</v>
          </cell>
          <cell r="C349">
            <v>56</v>
          </cell>
        </row>
        <row r="350">
          <cell r="B350" t="str">
            <v>خمير</v>
          </cell>
          <cell r="C350">
            <v>44</v>
          </cell>
        </row>
        <row r="351">
          <cell r="B351" t="str">
            <v>رودان‌</v>
          </cell>
          <cell r="C351">
            <v>117</v>
          </cell>
        </row>
        <row r="352">
          <cell r="B352" t="str">
            <v>سيريك</v>
          </cell>
          <cell r="C352">
            <v>15</v>
          </cell>
        </row>
        <row r="353">
          <cell r="B353" t="str">
            <v>قشم‌</v>
          </cell>
          <cell r="C353">
            <v>114</v>
          </cell>
        </row>
        <row r="354">
          <cell r="B354" t="str">
            <v>كيش</v>
          </cell>
          <cell r="C354">
            <v>58</v>
          </cell>
        </row>
        <row r="355">
          <cell r="B355" t="str">
            <v>ميناب‌</v>
          </cell>
          <cell r="C355">
            <v>234</v>
          </cell>
        </row>
        <row r="356">
          <cell r="B356" t="str">
            <v>اسداباد</v>
          </cell>
          <cell r="C356">
            <v>96</v>
          </cell>
        </row>
        <row r="357">
          <cell r="B357" t="str">
            <v>بهار</v>
          </cell>
          <cell r="C357">
            <v>24</v>
          </cell>
        </row>
        <row r="358">
          <cell r="B358" t="str">
            <v>تويسركان‌</v>
          </cell>
          <cell r="C358">
            <v>113</v>
          </cell>
        </row>
        <row r="359">
          <cell r="B359" t="str">
            <v>رزن‌</v>
          </cell>
          <cell r="C359">
            <v>101</v>
          </cell>
        </row>
        <row r="360">
          <cell r="B360" t="str">
            <v>فامنين</v>
          </cell>
          <cell r="C360">
            <v>19</v>
          </cell>
        </row>
        <row r="361">
          <cell r="B361" t="str">
            <v>كبودراهنگ‌</v>
          </cell>
          <cell r="C361">
            <v>80</v>
          </cell>
        </row>
        <row r="362">
          <cell r="B362" t="str">
            <v>ملاير</v>
          </cell>
          <cell r="C362">
            <v>412</v>
          </cell>
        </row>
        <row r="363">
          <cell r="B363" t="str">
            <v>نهاوند</v>
          </cell>
          <cell r="C363">
            <v>207</v>
          </cell>
        </row>
        <row r="364">
          <cell r="B364" t="str">
            <v>همدان‌</v>
          </cell>
          <cell r="C364">
            <v>1740</v>
          </cell>
        </row>
        <row r="365">
          <cell r="B365" t="str">
            <v>ابركوه‌</v>
          </cell>
          <cell r="C365">
            <v>63</v>
          </cell>
        </row>
        <row r="366">
          <cell r="B366" t="str">
            <v>اردكان‌</v>
          </cell>
          <cell r="C366">
            <v>179</v>
          </cell>
        </row>
        <row r="367">
          <cell r="B367" t="str">
            <v>بافق‌</v>
          </cell>
          <cell r="C367">
            <v>55</v>
          </cell>
        </row>
        <row r="368">
          <cell r="B368" t="str">
            <v>بهاباد</v>
          </cell>
          <cell r="C368">
            <v>34</v>
          </cell>
        </row>
        <row r="369">
          <cell r="B369" t="str">
            <v>تفت‌</v>
          </cell>
          <cell r="C369">
            <v>225</v>
          </cell>
        </row>
        <row r="370">
          <cell r="B370" t="str">
            <v>خاتم</v>
          </cell>
          <cell r="C370">
            <v>73</v>
          </cell>
        </row>
        <row r="371">
          <cell r="B371" t="str">
            <v>مهريز</v>
          </cell>
          <cell r="C371">
            <v>146</v>
          </cell>
        </row>
        <row r="372">
          <cell r="B372" t="str">
            <v>ميبد</v>
          </cell>
          <cell r="C372">
            <v>177</v>
          </cell>
        </row>
        <row r="373">
          <cell r="B373" t="str">
            <v>يزد</v>
          </cell>
          <cell r="C373">
            <v>2062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ef Farzi" refreshedDate="44198.736515856479" createdVersion="6" refreshedVersion="6" minRefreshableVersion="3" recordCount="3852" xr:uid="{00000000-000A-0000-FFFF-FFFF28000000}">
  <cacheSource type="worksheet">
    <worksheetSource name="vacNeed"/>
  </cacheSource>
  <cacheFields count="6">
    <cacheField name="Province" numFmtId="0">
      <sharedItems count="41">
        <s v="مركزئ"/>
        <s v="گيلان"/>
        <s v="مازندران"/>
        <s v="آذربايجان_شرقي"/>
        <s v="آذربايجان_غربي"/>
        <s v="كرمانشاه"/>
        <s v="خوزستان"/>
        <s v="فارس"/>
        <s v="كرمان"/>
        <s v="خراسان_رضوئ"/>
        <s v="اصفهان"/>
        <s v="سيستان_وبلوچستان"/>
        <s v="كردستان"/>
        <s v="همدان"/>
        <s v="چهارمحال_وبختيارئ"/>
        <s v="لرستان"/>
        <s v="ايلام"/>
        <s v="كهگيلويه_وبويراحمد"/>
        <s v="بوشهر"/>
        <s v="زنجان"/>
        <s v="سمنان"/>
        <s v="يزد"/>
        <s v="هرمزگان"/>
        <s v="تهران"/>
        <s v="اردبيل"/>
        <s v="قم"/>
        <s v="قزوين"/>
        <s v="گلستان"/>
        <s v="خراسان_شمالي"/>
        <s v="خراسان_جنوبي"/>
        <s v="البرز"/>
        <s v="" u="1"/>
        <s v="آذربايجان شرقي" u="1"/>
        <s v="سيستان وبلوچستان" u="1"/>
        <s v="خراسان رضوئ" u="1"/>
        <s v="چهارمحال وبختيارئ" u="1"/>
        <s v="خراسان جنوبي" u="1"/>
        <e v="#N/A" u="1"/>
        <s v="خراسان شمالي" u="1"/>
        <s v="آذربايجان غربي" u="1"/>
        <s v="كهگيلويه وبويراحمد" u="1"/>
      </sharedItems>
    </cacheField>
    <cacheField name="District" numFmtId="0">
      <sharedItems containsBlank="1" count="494">
        <s v="اراك"/>
        <s v="آشتيان"/>
        <s v="تفرش"/>
        <s v="خمين"/>
        <s v="دليجان"/>
        <s v="ساوه"/>
        <s v="شازند"/>
        <s v="محلات"/>
        <s v="زرنديه"/>
        <s v="كميجان"/>
        <s v="خنداب"/>
        <s v="فراهان"/>
        <s v="آستارا"/>
        <s v="آستانه اشرفيه"/>
        <s v="بندرانزلي"/>
        <s v="تالش"/>
        <s v="رشت"/>
        <s v="رودبار"/>
        <s v="رودسر"/>
        <s v="صومعه سرا"/>
        <s v="فومن"/>
        <s v="لنگرود"/>
        <s v="لاهيجان"/>
        <s v="شفت"/>
        <s v="املش"/>
        <s v="رضوانشهر"/>
        <s v="سياهكل"/>
        <s v="ماسال"/>
        <s v="آمل"/>
        <s v="بابل"/>
        <s v="بهشهر"/>
        <s v="تنكابن"/>
        <s v="رامسر"/>
        <s v="سارئ"/>
        <s v="سوادكوه"/>
        <s v="قائم شهر"/>
        <s v="نور"/>
        <s v="نوشهر"/>
        <s v="بابلسر"/>
        <s v="محمودآباد"/>
        <s v="نكا"/>
        <s v="چالوس"/>
        <s v="جويبار"/>
        <s v="گلوگاه"/>
        <s v="فريدونكنار"/>
        <s v="عباس آباد"/>
        <s v="مياندورد"/>
        <s v="سيمرغ"/>
        <s v="سوادکوه شمالی"/>
        <s v="کلاردشت"/>
        <s v="اهر"/>
        <s v="تبريز"/>
        <s v="سراب"/>
        <s v="مراغه"/>
        <s v="مرند"/>
        <s v="ميانه"/>
        <s v="هشترود"/>
        <s v="بناب"/>
        <s v="بستان آباد"/>
        <s v="شبستر"/>
        <s v="كليبر"/>
        <s v="هريس"/>
        <s v="جلفا"/>
        <s v="ملكان"/>
        <s v="آذرشهر"/>
        <s v="اسكو"/>
        <s v="چاراويماق"/>
        <s v="ورزقان"/>
        <s v="عجب شير"/>
        <s v="خداافرين"/>
        <s v="اروميه"/>
        <s v="پيرانشهر"/>
        <s v="خوئ"/>
        <s v="سردشت"/>
        <s v="سلماس"/>
        <s v="ماكو"/>
        <s v="مهاباد"/>
        <s v="مياندوآب"/>
        <s v="نقده"/>
        <s v="بوكان"/>
        <s v="شاهين دژ"/>
        <s v="تكاب"/>
        <s v="اشنويه"/>
        <s v="چالدران"/>
        <s v="پلدشت"/>
        <s v="چايپاره"/>
        <s v="شوط"/>
        <s v="اسلام آبادغرب"/>
        <s v="كرمانشاه"/>
        <s v="پاوه"/>
        <s v="سرپل ذهاب"/>
        <s v="سنقر"/>
        <s v="قصرشيرين"/>
        <s v="كنگاور"/>
        <s v="گيلانغرب"/>
        <s v="جوانرود"/>
        <s v="صحنه"/>
        <s v="هرسين"/>
        <s v="ثلاث باباجاني"/>
        <s v="دالاهو"/>
        <s v="روانسر"/>
        <s v="آبادان"/>
        <s v="انديمشک"/>
        <s v="اهواز"/>
        <s v="ايذه"/>
        <s v="بندرماهشهر"/>
        <s v="بهبهان"/>
        <s v="خرمشهر"/>
        <s v="دزفول"/>
        <s v="دشت آزادگان"/>
        <s v="رامهرمز"/>
        <s v="شادگان"/>
        <s v="شوشتر"/>
        <s v="مسجدسليمان"/>
        <s v="شوش"/>
        <s v="باغ ملک"/>
        <s v="اميديه"/>
        <s v="لالي"/>
        <s v="هنديجان"/>
        <s v="رامشير"/>
        <s v="گتوند"/>
        <s v="انديکا"/>
        <s v="هفتگل"/>
        <s v="هويزه"/>
        <s v="باوي"/>
        <s v="حميديه"/>
        <s v="آغاجاري"/>
        <s v="کارون"/>
        <s v="آباده"/>
        <s v="استهبان"/>
        <s v="اقليد"/>
        <s v="جهرم"/>
        <s v="داراب"/>
        <s v="سپيدان"/>
        <s v="شيراز"/>
        <s v="فسا"/>
        <s v="فيروزآباد"/>
        <s v="كازرون"/>
        <s v="لارستان"/>
        <s v="مرودشت"/>
        <s v="ممسني"/>
        <s v="ني ريز"/>
        <s v="لامرد"/>
        <s v="بوانات"/>
        <s v="ارسنجان"/>
        <s v="خرم بيد"/>
        <s v="زرين دشت"/>
        <s v="قيروكارزين"/>
        <s v="مهر"/>
        <s v="فراشبند"/>
        <s v="پاسارگاد"/>
        <s v="خنج"/>
        <s v="سروستان"/>
        <s v="رستم"/>
        <s v="گراش"/>
        <s v="كوار"/>
        <s v="خرامه"/>
        <s v="بافت"/>
        <s v="بم"/>
        <s v="جيرفت"/>
        <s v="رفسنجان"/>
        <s v="زرند"/>
        <s v="سيرجان"/>
        <s v="شهربابك"/>
        <s v="كرمان"/>
        <s v="كهنوج"/>
        <s v="بردسير"/>
        <s v="راور"/>
        <s v="عنبرآباد"/>
        <s v="منوجان"/>
        <s v="كوهبنان"/>
        <s v="رودبارجنوب"/>
        <s v="قلعه گنج"/>
        <s v="ريگان"/>
        <s v="رابر"/>
        <s v="فهرج"/>
        <s v="انار"/>
        <s v="نرماشير"/>
        <s v="فارياب"/>
        <s v="ارزوئيه"/>
        <s v="تايباد"/>
        <s v="تربت حيدریه"/>
        <s v="تربت جام"/>
        <s v="درگز"/>
        <s v="سبزوار"/>
        <s v="قوچان"/>
        <s v="كاشمر"/>
        <s v="گناباد"/>
        <s v="مشهد"/>
        <s v="نيشابور"/>
        <s v="چناران"/>
        <s v="خواف"/>
        <s v="سرخس"/>
        <s v="فريمان"/>
        <s v="بردسكن"/>
        <s v="رشتخوار"/>
        <s v="كلات"/>
        <s v="خليل آباد"/>
        <s v="مه ولات"/>
        <s v="بجستان"/>
        <s v="بينالود"/>
        <s v="فيروزه (تخت جلگه)"/>
        <s v="جغتاي"/>
        <s v="زاوه"/>
        <s v="جوين"/>
        <s v="باخرز"/>
        <s v="خوشاب"/>
        <s v="داور زن"/>
        <s v="اردستان"/>
        <s v="اصفهان"/>
        <s v="خميني شهر"/>
        <s v="خوانسار"/>
        <s v="سميرم"/>
        <s v="فريدن"/>
        <s v="فريدونشهر"/>
        <s v="فلاورجان"/>
        <s v="شهرضا"/>
        <s v="کاشان"/>
        <s v="گلپايگان"/>
        <s v="لنجان"/>
        <s v="نايين"/>
        <s v="نجف آباد"/>
        <s v="نطنز"/>
        <s v="شاهين شهر و میمه"/>
        <s v="مبارکه"/>
        <s v="آران وبیدگل"/>
        <s v="تيران و کرون"/>
        <s v="چادگان"/>
        <s v="دهاقان"/>
        <s v="برخوار"/>
        <s v="خور و بیابانک"/>
        <s v="بوئین و میاندشت"/>
        <s v="ايرانشهر"/>
        <s v="چابهار"/>
        <s v="خاش"/>
        <s v="زابل"/>
        <s v="زاهدان"/>
        <s v="سراوان"/>
        <s v="نيك شهر"/>
        <s v="سرباز"/>
        <s v="كنارك"/>
        <s v="زهك"/>
        <s v="هيرمند"/>
        <s v="دلگان"/>
        <s v="مهرستان (زابلی)"/>
        <s v="سيب و سوران"/>
        <s v="نيمروز"/>
        <s v="هامون"/>
        <s v="ميرجاوه"/>
        <s v="قصرقند"/>
        <s v="فنوج"/>
        <s v="بانه"/>
        <s v="بيجار"/>
        <s v="سقز"/>
        <s v="سنندج"/>
        <s v="قروه"/>
        <s v="مريوان"/>
        <s v="ديواندره"/>
        <s v="كامياران"/>
        <s v="سروآباد"/>
        <s v="دهگلان"/>
        <s v="تويسركان"/>
        <s v="ملاير"/>
        <s v="نهاوند"/>
        <s v="همدان"/>
        <s v="كبودرآهنگ"/>
        <s v="اسداباد"/>
        <s v="بهار"/>
        <s v="رزن"/>
        <s v="فامنين"/>
        <s v="بروجن"/>
        <s v="شهركرد"/>
        <s v="فارسان"/>
        <s v="لردگان"/>
        <s v="اردل"/>
        <s v="كوهرنگ"/>
        <s v="كيار"/>
        <s v="سامان"/>
        <s v="بن"/>
        <s v="اليگودرز"/>
        <s v="بروجرد"/>
        <s v="خرم آباد"/>
        <s v="دلفان"/>
        <s v="دورود"/>
        <s v="کوهدشت"/>
        <s v="ازنا"/>
        <s v="پلدختر"/>
        <s v="سلسله"/>
        <s v="دوره"/>
        <s v="رومشکان"/>
        <s v="ايلام"/>
        <s v="دره شهر"/>
        <s v="دهلران"/>
        <s v="چرداول"/>
        <s v="مهران"/>
        <s v="آبدانان"/>
        <s v="ايوان"/>
        <s v="ملكشاهي"/>
        <s v="سيروان"/>
        <s v="بدره "/>
        <s v="بويراحمد"/>
        <s v="كهگيلويه"/>
        <s v="گچساران"/>
        <s v="دنا"/>
        <s v="بهمئي"/>
        <s v="چرام"/>
        <s v="باشت"/>
        <s v="لنده "/>
        <s v="بوشهر"/>
        <s v="تنگستان"/>
        <s v="دشتستان"/>
        <s v="دشتي"/>
        <s v="دير"/>
        <s v="كنگان"/>
        <s v="گناوه"/>
        <s v="ديلم"/>
        <s v="جم"/>
        <s v="عسلویه "/>
        <s v="ابهر"/>
        <s v="خدابنده"/>
        <s v="زنجان"/>
        <s v="ايجرود"/>
        <s v="خرمدره"/>
        <s v="طارم"/>
        <s v="ماهنشان"/>
        <s v="سلطانیه"/>
        <s v="دامغان"/>
        <s v="سمنان"/>
        <s v="شاهرود"/>
        <s v="گرمسار"/>
        <s v="مهدئ شهر"/>
        <s v="آرادان"/>
        <s v="ميامي"/>
        <s v="سرخه"/>
        <s v="اردكان"/>
        <s v="بافق"/>
        <s v="تفت"/>
        <s v="مهريز"/>
        <s v="يزد"/>
        <s v="ميبد"/>
        <s v="ابركوه"/>
        <s v="اشکذر"/>
        <s v="خاتم"/>
        <s v="ابوموسي"/>
        <s v="بندرعباس"/>
        <s v="بندرلنگه"/>
        <s v="قشم"/>
        <s v="ميناب"/>
        <s v="جاسك"/>
        <s v="رودان"/>
        <s v="حاجي اباد"/>
        <s v="بستك"/>
        <s v="خمير"/>
        <s v="گاوبندئ"/>
        <s v="سيريك"/>
        <s v="بشاگرد"/>
        <s v="تهران"/>
        <s v="دماوند"/>
        <s v="رئ"/>
        <s v="شميرانات"/>
        <s v="ورامين"/>
        <s v="شهريار"/>
        <s v="اسلامشهر"/>
        <s v="رباطكريم"/>
        <s v="پاكدشت"/>
        <s v="فيروزكوه"/>
        <s v="قدس"/>
        <s v="ملارد"/>
        <s v="پيشوا"/>
        <s v="بهارستان"/>
        <s v="پرديس"/>
        <s v="قرچک"/>
        <s v="اردبيل"/>
        <s v="بيله سوار"/>
        <s v="خلخال"/>
        <s v="مشگين شهر"/>
        <s v="گرمي"/>
        <s v="پارس آباد"/>
        <s v="كوثر"/>
        <s v="نمين"/>
        <s v="نير"/>
        <s v="سرعين"/>
        <s v="قم"/>
        <s v="بوئين زهرا"/>
        <s v="تاكستان"/>
        <s v="قزوين"/>
        <s v="آبيك"/>
        <s v="البرز"/>
        <s v="آوج"/>
        <s v="بندرگز"/>
        <s v="تركمن"/>
        <s v="علي آباد"/>
        <s v="كردكوئ"/>
        <s v="گرگان"/>
        <s v="گنبدكاووس"/>
        <s v="مينودشت"/>
        <s v="آق قلا"/>
        <s v="كلاله"/>
        <s v="آزادشهر"/>
        <s v="راميان"/>
        <s v="مراوه تپه"/>
        <s v="گميشان"/>
        <s v="گاليكش"/>
        <s v="اسفراين"/>
        <s v="بجنورد"/>
        <s v="جاجرم"/>
        <s v="شيروان"/>
        <s v="فاروج"/>
        <s v="مانه و سملقان"/>
        <s v="گرمه"/>
        <s v="راز و جرگلان"/>
        <s v="بيرجند"/>
        <s v="درميان"/>
        <s v="سربيشه"/>
        <s v="قائنات"/>
        <s v="نهبندان"/>
        <s v="سرايان"/>
        <s v="فردوس"/>
        <s v="بشرويه"/>
        <s v="زيرکوه"/>
        <s v="خوسف"/>
        <s v="طبس "/>
        <s v="کرج"/>
        <s v="ساوجبلاغ"/>
        <s v="نظرآباد"/>
        <s v="طالقان"/>
        <s v="اشتهارد"/>
        <s v="فردیس"/>
        <s v="كلاردشت"/>
        <s v="باغ ملك"/>
        <s v="انديكا"/>
        <s v="كارون"/>
        <s v="كاشان"/>
        <s v="مباركه"/>
        <s v="كوهدشت"/>
        <s v="رومشكان"/>
        <s v="اشكذر"/>
        <s v="قرچك"/>
        <s v="فرديس"/>
        <s v="" u="1"/>
        <m u="1"/>
        <s v="خليل_آباد" u="1"/>
        <s v="دره_شهر" u="1"/>
        <s v="علي_آباد" u="1"/>
        <s v="بيله_سوار" u="1"/>
        <s v="خميني_شهر" u="1"/>
        <s v="آق_قلا" u="1"/>
        <s v="آستانه_اشرفيه" u="1"/>
        <s v="خور_و_بیابانک" u="1"/>
        <s v="انديمشك" u="1"/>
        <s v="فيروزه_(تخت_جلگه)" u="1"/>
        <s v="لنده_" u="1"/>
        <s v="سرپل_ذهاب" u="1"/>
        <s v="حاجي_اباد" u="1"/>
        <s v="اسلام_آبادغرب" u="1"/>
        <s v="قائم_شهر" u="1"/>
        <s v="بوئين_زهرا" u="1"/>
        <s v="آران_وبیدگل" u="1"/>
        <s v="بهاباد" u="1"/>
        <s v="خرم_آباد" u="1"/>
        <s v="تربت_حيدریه" u="1"/>
        <s v="مراوه_تپه" u="1"/>
        <s v="بدره_" u="1"/>
        <s v="خرم_بيد" u="1"/>
        <s v="باغ_ملک" u="1"/>
        <s v="مهدئ_شهر" u="1"/>
        <s v="داور_زن" u="1"/>
        <s v="عسلویه_" u="1"/>
        <s v="صومعه_سرا" u="1"/>
        <s v="ثلاث_باباجاني" u="1"/>
        <s v="نيك_شهر" u="1"/>
        <s v="ني_ريز" u="1"/>
        <s v="پارس_آباد" u="1"/>
        <s v="مهرستان_(زابلی)" u="1"/>
        <s v="زرين_دشت" u="1"/>
        <s v="باغ_ملك" u="1"/>
        <s v="نجف_آباد" u="1"/>
        <s v="عباس_آباد" u="1"/>
        <s v="بوئین_و_میاندشت" u="1"/>
        <s v="سوادکوه_شمالی" u="1"/>
        <s v="مه_ولات" u="1"/>
        <s v="تيران_و_کرون" u="1"/>
        <s v="راز_و_جرگلان" u="1"/>
        <s v="قلعه_گنج" u="1"/>
        <s v="بستان_آباد" u="1"/>
        <s v="عجب_شير" u="1"/>
        <s v="شاهين_شهر_و_میمه" u="1"/>
        <s v="دشت_آزادگان" u="1"/>
        <s v="سيب_و_سوران" u="1"/>
        <s v="مانه_و_سملقان" u="1"/>
        <s v="طبس_" u="1"/>
        <s v="شاهين_دژ" u="1"/>
        <s v="تربت_جام" u="1"/>
        <s v="مشگين_شهر" u="1"/>
      </sharedItems>
    </cacheField>
    <cacheField name="Class" numFmtId="0">
      <sharedItems containsBlank="1" count="15">
        <s v="EI"/>
        <s v="DI"/>
        <s v="CI"/>
        <s v="BI"/>
        <s v="AI"/>
        <s v="AP"/>
        <s v="BP"/>
        <s v="CP"/>
        <s v="S"/>
        <m u="1"/>
        <s v="high" u="1"/>
        <s v="med" u="1"/>
        <s v="very low" u="1"/>
        <s v="low" u="1"/>
        <s v="very high" u="1"/>
      </sharedItems>
    </cacheField>
    <cacheField name="percent" numFmtId="0">
      <sharedItems containsSemiMixedTypes="0" containsString="0" containsNumber="1" minValue="5.7887111363252868E-6" maxValue="0.6463369333425053"/>
    </cacheField>
    <cacheField name="Population" numFmtId="0">
      <sharedItems containsSemiMixedTypes="0" containsString="0" containsNumber="1" containsInteger="1" minValue="112" maxValue="8824741"/>
    </cacheField>
    <cacheField name="VaccineNeed" numFmtId="0">
      <sharedItems containsSemiMixedTypes="0" containsString="0" containsNumber="1" containsInteger="1" minValue="0" maxValue="3823121"/>
    </cacheField>
  </cacheFields>
  <extLst>
    <ext xmlns:x14="http://schemas.microsoft.com/office/spreadsheetml/2009/9/main" uri="{725AE2AE-9491-48be-B2B4-4EB974FC3084}">
      <x14:pivotCacheDefinition pivotCacheId="180853137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52">
  <r>
    <x v="0"/>
    <x v="0"/>
    <x v="0"/>
    <n v="0.38442950690545963"/>
    <n v="599236"/>
    <n v="230364"/>
  </r>
  <r>
    <x v="0"/>
    <x v="0"/>
    <x v="1"/>
    <n v="0.42409668310982651"/>
    <n v="599236"/>
    <n v="254134"/>
  </r>
  <r>
    <x v="0"/>
    <x v="0"/>
    <x v="2"/>
    <n v="0.11318578990581341"/>
    <n v="599236"/>
    <n v="67825"/>
  </r>
  <r>
    <x v="0"/>
    <x v="0"/>
    <x v="3"/>
    <n v="4.110066818415449E-2"/>
    <n v="599236"/>
    <n v="24629"/>
  </r>
  <r>
    <x v="0"/>
    <x v="0"/>
    <x v="4"/>
    <n v="3.7190689477935239E-2"/>
    <n v="599236"/>
    <n v="22286"/>
  </r>
  <r>
    <x v="0"/>
    <x v="1"/>
    <x v="0"/>
    <n v="0.349563359929635"/>
    <n v="15917"/>
    <n v="5564"/>
  </r>
  <r>
    <x v="0"/>
    <x v="1"/>
    <x v="1"/>
    <n v="0.38468304328705161"/>
    <n v="15917"/>
    <n v="6123"/>
  </r>
  <r>
    <x v="0"/>
    <x v="1"/>
    <x v="2"/>
    <n v="0.13061506565307532"/>
    <n v="15917"/>
    <n v="2079"/>
  </r>
  <r>
    <x v="0"/>
    <x v="1"/>
    <x v="3"/>
    <n v="6.1506565307532825E-2"/>
    <n v="15917"/>
    <n v="979"/>
  </r>
  <r>
    <x v="0"/>
    <x v="1"/>
    <x v="4"/>
    <n v="7.3946095369730472E-2"/>
    <n v="15917"/>
    <n v="1177"/>
  </r>
  <r>
    <x v="0"/>
    <x v="2"/>
    <x v="0"/>
    <n v="0.34603250668903002"/>
    <n v="25041"/>
    <n v="8665"/>
  </r>
  <r>
    <x v="0"/>
    <x v="2"/>
    <x v="1"/>
    <n v="0.37127111537079188"/>
    <n v="25041"/>
    <n v="9297"/>
  </r>
  <r>
    <x v="0"/>
    <x v="2"/>
    <x v="2"/>
    <n v="0.13202348149035581"/>
    <n v="25041"/>
    <n v="3306"/>
  </r>
  <r>
    <x v="0"/>
    <x v="2"/>
    <x v="3"/>
    <n v="7.024479853041013E-2"/>
    <n v="25041"/>
    <n v="1759"/>
  </r>
  <r>
    <x v="0"/>
    <x v="2"/>
    <x v="4"/>
    <n v="8.0547901441635719E-2"/>
    <n v="25041"/>
    <n v="2017"/>
  </r>
  <r>
    <x v="0"/>
    <x v="3"/>
    <x v="0"/>
    <n v="0.36324876001526135"/>
    <n v="104840"/>
    <n v="38083"/>
  </r>
  <r>
    <x v="0"/>
    <x v="3"/>
    <x v="1"/>
    <n v="0.39456314383822966"/>
    <n v="104840"/>
    <n v="41366"/>
  </r>
  <r>
    <x v="0"/>
    <x v="3"/>
    <x v="2"/>
    <n v="0.13076115986264786"/>
    <n v="104840"/>
    <n v="13709"/>
  </r>
  <r>
    <x v="0"/>
    <x v="3"/>
    <x v="3"/>
    <n v="5.4626096909576496E-2"/>
    <n v="104840"/>
    <n v="5727"/>
  </r>
  <r>
    <x v="0"/>
    <x v="3"/>
    <x v="4"/>
    <n v="5.6810377718428083E-2"/>
    <n v="104840"/>
    <n v="5956"/>
  </r>
  <r>
    <x v="0"/>
    <x v="4"/>
    <x v="0"/>
    <n v="0.40430512732671003"/>
    <n v="52542"/>
    <n v="21243"/>
  </r>
  <r>
    <x v="0"/>
    <x v="4"/>
    <x v="1"/>
    <n v="0.40198317536447031"/>
    <n v="52542"/>
    <n v="21121"/>
  </r>
  <r>
    <x v="0"/>
    <x v="4"/>
    <x v="2"/>
    <n v="0.10770431274028397"/>
    <n v="52542"/>
    <n v="5659"/>
  </r>
  <r>
    <x v="0"/>
    <x v="4"/>
    <x v="3"/>
    <n v="4.0862548056792659E-2"/>
    <n v="52542"/>
    <n v="2147"/>
  </r>
  <r>
    <x v="0"/>
    <x v="4"/>
    <x v="4"/>
    <n v="4.5125804118609877E-2"/>
    <n v="52542"/>
    <n v="2371"/>
  </r>
  <r>
    <x v="0"/>
    <x v="5"/>
    <x v="0"/>
    <n v="0.43224085048505961"/>
    <n v="288212"/>
    <n v="124577"/>
  </r>
  <r>
    <x v="0"/>
    <x v="5"/>
    <x v="1"/>
    <n v="0.41040969841644342"/>
    <n v="288212"/>
    <n v="118285"/>
  </r>
  <r>
    <x v="0"/>
    <x v="5"/>
    <x v="2"/>
    <n v="9.505155926887153E-2"/>
    <n v="288212"/>
    <n v="27395"/>
  </r>
  <r>
    <x v="0"/>
    <x v="5"/>
    <x v="3"/>
    <n v="3.2954908192580463E-2"/>
    <n v="288212"/>
    <n v="9498"/>
  </r>
  <r>
    <x v="0"/>
    <x v="5"/>
    <x v="4"/>
    <n v="2.9315226291757455E-2"/>
    <n v="288212"/>
    <n v="8449"/>
  </r>
  <r>
    <x v="0"/>
    <x v="6"/>
    <x v="0"/>
    <n v="0.38502846735828022"/>
    <n v="117503"/>
    <n v="45242"/>
  </r>
  <r>
    <x v="0"/>
    <x v="6"/>
    <x v="1"/>
    <n v="0.40143655906657705"/>
    <n v="117503"/>
    <n v="47170"/>
  </r>
  <r>
    <x v="0"/>
    <x v="6"/>
    <x v="2"/>
    <n v="0.11319710986102482"/>
    <n v="117503"/>
    <n v="13301"/>
  </r>
  <r>
    <x v="0"/>
    <x v="6"/>
    <x v="3"/>
    <n v="4.8628545654153511E-2"/>
    <n v="117503"/>
    <n v="5714"/>
  </r>
  <r>
    <x v="0"/>
    <x v="6"/>
    <x v="4"/>
    <n v="5.1709318059964426E-2"/>
    <n v="117503"/>
    <n v="6076"/>
  </r>
  <r>
    <x v="0"/>
    <x v="7"/>
    <x v="0"/>
    <n v="0.37862470406038057"/>
    <n v="56177"/>
    <n v="21270"/>
  </r>
  <r>
    <x v="0"/>
    <x v="7"/>
    <x v="1"/>
    <n v="0.4075155312672446"/>
    <n v="56177"/>
    <n v="22893"/>
  </r>
  <r>
    <x v="0"/>
    <x v="7"/>
    <x v="2"/>
    <n v="0.11755700731616142"/>
    <n v="56177"/>
    <n v="6604"/>
  </r>
  <r>
    <x v="0"/>
    <x v="7"/>
    <x v="3"/>
    <n v="4.7403741744842194E-2"/>
    <n v="56177"/>
    <n v="2663"/>
  </r>
  <r>
    <x v="0"/>
    <x v="7"/>
    <x v="4"/>
    <n v="4.8827812093917441E-2"/>
    <n v="56177"/>
    <n v="2743"/>
  </r>
  <r>
    <x v="0"/>
    <x v="8"/>
    <x v="0"/>
    <n v="0.3994232717636973"/>
    <n v="64155"/>
    <n v="25625"/>
  </r>
  <r>
    <x v="0"/>
    <x v="8"/>
    <x v="1"/>
    <n v="0.40173018470890809"/>
    <n v="64155"/>
    <n v="25773"/>
  </r>
  <r>
    <x v="0"/>
    <x v="8"/>
    <x v="2"/>
    <n v="0.10851843192268724"/>
    <n v="64155"/>
    <n v="6962"/>
  </r>
  <r>
    <x v="0"/>
    <x v="8"/>
    <x v="3"/>
    <n v="4.4127503701971785E-2"/>
    <n v="64155"/>
    <n v="2831"/>
  </r>
  <r>
    <x v="0"/>
    <x v="8"/>
    <x v="4"/>
    <n v="4.6200607902735565E-2"/>
    <n v="64155"/>
    <n v="2964"/>
  </r>
  <r>
    <x v="0"/>
    <x v="9"/>
    <x v="0"/>
    <n v="0.40335629168033232"/>
    <n v="36588"/>
    <n v="14758"/>
  </r>
  <r>
    <x v="0"/>
    <x v="9"/>
    <x v="1"/>
    <n v="0.39215043183557452"/>
    <n v="36588"/>
    <n v="14348"/>
  </r>
  <r>
    <x v="0"/>
    <x v="9"/>
    <x v="2"/>
    <n v="0.10385918880507271"/>
    <n v="36588"/>
    <n v="3800"/>
  </r>
  <r>
    <x v="0"/>
    <x v="9"/>
    <x v="3"/>
    <n v="4.8731824641959111E-2"/>
    <n v="36588"/>
    <n v="1783"/>
  </r>
  <r>
    <x v="0"/>
    <x v="9"/>
    <x v="4"/>
    <n v="5.2120913960861485E-2"/>
    <n v="36588"/>
    <n v="1907"/>
  </r>
  <r>
    <x v="0"/>
    <x v="10"/>
    <x v="0"/>
    <n v="0.40390225773483229"/>
    <n v="53815"/>
    <n v="21736"/>
  </r>
  <r>
    <x v="0"/>
    <x v="10"/>
    <x v="1"/>
    <n v="0.39037443092074703"/>
    <n v="53815"/>
    <n v="21008"/>
  </r>
  <r>
    <x v="0"/>
    <x v="10"/>
    <x v="2"/>
    <n v="0.10989501068475332"/>
    <n v="53815"/>
    <n v="5914"/>
  </r>
  <r>
    <x v="0"/>
    <x v="10"/>
    <x v="3"/>
    <n v="4.7142989872712072E-2"/>
    <n v="53815"/>
    <n v="2537"/>
  </r>
  <r>
    <x v="0"/>
    <x v="10"/>
    <x v="4"/>
    <n v="4.8703892966644985E-2"/>
    <n v="53815"/>
    <n v="2621"/>
  </r>
  <r>
    <x v="0"/>
    <x v="11"/>
    <x v="0"/>
    <n v="0.37897183294019704"/>
    <n v="28828"/>
    <n v="10925"/>
  </r>
  <r>
    <x v="0"/>
    <x v="11"/>
    <x v="1"/>
    <n v="0.38018593034549741"/>
    <n v="28828"/>
    <n v="10960"/>
  </r>
  <r>
    <x v="0"/>
    <x v="11"/>
    <x v="2"/>
    <n v="0.11481892604412376"/>
    <n v="28828"/>
    <n v="3310"/>
  </r>
  <r>
    <x v="0"/>
    <x v="11"/>
    <x v="3"/>
    <n v="5.9005133897599558E-2"/>
    <n v="28828"/>
    <n v="1701"/>
  </r>
  <r>
    <x v="0"/>
    <x v="11"/>
    <x v="4"/>
    <n v="6.6810045788816427E-2"/>
    <n v="28828"/>
    <n v="1926"/>
  </r>
  <r>
    <x v="1"/>
    <x v="12"/>
    <x v="0"/>
    <n v="0.40222855047138267"/>
    <n v="92706"/>
    <n v="37289"/>
  </r>
  <r>
    <x v="1"/>
    <x v="12"/>
    <x v="1"/>
    <n v="0.41319871421482968"/>
    <n v="92706"/>
    <n v="38306"/>
  </r>
  <r>
    <x v="1"/>
    <x v="12"/>
    <x v="2"/>
    <n v="0.11220417232973054"/>
    <n v="92706"/>
    <n v="10402"/>
  </r>
  <r>
    <x v="1"/>
    <x v="12"/>
    <x v="3"/>
    <n v="3.8465687226285246E-2"/>
    <n v="92706"/>
    <n v="3566"/>
  </r>
  <r>
    <x v="1"/>
    <x v="12"/>
    <x v="4"/>
    <n v="3.392444933445516E-2"/>
    <n v="92706"/>
    <n v="3145"/>
  </r>
  <r>
    <x v="1"/>
    <x v="13"/>
    <x v="0"/>
    <n v="0.31734997084116301"/>
    <n v="108029"/>
    <n v="34283"/>
  </r>
  <r>
    <x v="1"/>
    <x v="13"/>
    <x v="1"/>
    <n v="0.41586055596182508"/>
    <n v="108029"/>
    <n v="44925"/>
  </r>
  <r>
    <x v="1"/>
    <x v="13"/>
    <x v="2"/>
    <n v="0.14365587018300641"/>
    <n v="108029"/>
    <n v="15519"/>
  </r>
  <r>
    <x v="1"/>
    <x v="13"/>
    <x v="3"/>
    <n v="6.0835516389117737E-2"/>
    <n v="108029"/>
    <n v="6572"/>
  </r>
  <r>
    <x v="1"/>
    <x v="13"/>
    <x v="4"/>
    <n v="6.2307343398531875E-2"/>
    <n v="108029"/>
    <n v="6731"/>
  </r>
  <r>
    <x v="1"/>
    <x v="14"/>
    <x v="0"/>
    <n v="0.31360748197329907"/>
    <n v="140070"/>
    <n v="43927"/>
  </r>
  <r>
    <x v="1"/>
    <x v="14"/>
    <x v="1"/>
    <n v="0.42320268437209968"/>
    <n v="140070"/>
    <n v="59278"/>
  </r>
  <r>
    <x v="1"/>
    <x v="14"/>
    <x v="2"/>
    <n v="0.14814021560648247"/>
    <n v="140070"/>
    <n v="20750"/>
  </r>
  <r>
    <x v="1"/>
    <x v="14"/>
    <x v="3"/>
    <n v="6.0855286642393092E-2"/>
    <n v="140070"/>
    <n v="8524"/>
  </r>
  <r>
    <x v="1"/>
    <x v="14"/>
    <x v="4"/>
    <n v="5.4222888555722139E-2"/>
    <n v="140070"/>
    <n v="7595"/>
  </r>
  <r>
    <x v="1"/>
    <x v="15"/>
    <x v="0"/>
    <n v="0.42190557398380396"/>
    <n v="202889"/>
    <n v="85600"/>
  </r>
  <r>
    <x v="1"/>
    <x v="15"/>
    <x v="1"/>
    <n v="0.40068707519875402"/>
    <n v="202889"/>
    <n v="81295"/>
  </r>
  <r>
    <x v="1"/>
    <x v="15"/>
    <x v="2"/>
    <n v="0.10618121238706879"/>
    <n v="202889"/>
    <n v="21543"/>
  </r>
  <r>
    <x v="1"/>
    <x v="15"/>
    <x v="3"/>
    <n v="3.80503625134926E-2"/>
    <n v="202889"/>
    <n v="7720"/>
  </r>
  <r>
    <x v="1"/>
    <x v="15"/>
    <x v="4"/>
    <n v="3.3146203096274321E-2"/>
    <n v="202889"/>
    <n v="6725"/>
  </r>
  <r>
    <x v="1"/>
    <x v="16"/>
    <x v="0"/>
    <n v="0.3381420855237024"/>
    <n v="969205"/>
    <n v="327729"/>
  </r>
  <r>
    <x v="1"/>
    <x v="16"/>
    <x v="1"/>
    <n v="0.43491315046868312"/>
    <n v="969205"/>
    <n v="421520"/>
  </r>
  <r>
    <x v="1"/>
    <x v="16"/>
    <x v="2"/>
    <n v="0.13498382695095465"/>
    <n v="969205"/>
    <n v="130827"/>
  </r>
  <r>
    <x v="1"/>
    <x v="16"/>
    <x v="3"/>
    <n v="4.9186704567145238E-2"/>
    <n v="969205"/>
    <n v="47672"/>
  </r>
  <r>
    <x v="1"/>
    <x v="16"/>
    <x v="4"/>
    <n v="4.2771137169123147E-2"/>
    <n v="969205"/>
    <n v="41454"/>
  </r>
  <r>
    <x v="1"/>
    <x v="17"/>
    <x v="0"/>
    <n v="0.36422223873783005"/>
    <n v="94187"/>
    <n v="34305"/>
  </r>
  <r>
    <x v="1"/>
    <x v="17"/>
    <x v="1"/>
    <n v="0.40000212343529362"/>
    <n v="94187"/>
    <n v="37675"/>
  </r>
  <r>
    <x v="1"/>
    <x v="17"/>
    <x v="2"/>
    <n v="0.1256011976175056"/>
    <n v="94187"/>
    <n v="11830"/>
  </r>
  <r>
    <x v="1"/>
    <x v="17"/>
    <x v="3"/>
    <n v="5.3744147281471963E-2"/>
    <n v="94187"/>
    <n v="5062"/>
  </r>
  <r>
    <x v="1"/>
    <x v="17"/>
    <x v="4"/>
    <n v="5.6483378810239203E-2"/>
    <n v="94187"/>
    <n v="5320"/>
  </r>
  <r>
    <x v="1"/>
    <x v="18"/>
    <x v="0"/>
    <n v="0.31012508050574555"/>
    <n v="147505"/>
    <n v="45745"/>
  </r>
  <r>
    <x v="1"/>
    <x v="18"/>
    <x v="1"/>
    <n v="0.41394528999016983"/>
    <n v="147505"/>
    <n v="61059"/>
  </r>
  <r>
    <x v="1"/>
    <x v="18"/>
    <x v="2"/>
    <n v="0.14967628215992679"/>
    <n v="147505"/>
    <n v="22078"/>
  </r>
  <r>
    <x v="1"/>
    <x v="18"/>
    <x v="3"/>
    <n v="6.317073997491611E-2"/>
    <n v="147505"/>
    <n v="9318"/>
  </r>
  <r>
    <x v="1"/>
    <x v="18"/>
    <x v="4"/>
    <n v="6.305548964441883E-2"/>
    <n v="147505"/>
    <n v="9301"/>
  </r>
  <r>
    <x v="1"/>
    <x v="19"/>
    <x v="0"/>
    <n v="0.34207847380866496"/>
    <n v="124755"/>
    <n v="42676"/>
  </r>
  <r>
    <x v="1"/>
    <x v="19"/>
    <x v="1"/>
    <n v="0.41058875395775718"/>
    <n v="124755"/>
    <n v="51223"/>
  </r>
  <r>
    <x v="1"/>
    <x v="19"/>
    <x v="2"/>
    <n v="0.13893631517774838"/>
    <n v="124755"/>
    <n v="17333"/>
  </r>
  <r>
    <x v="1"/>
    <x v="19"/>
    <x v="3"/>
    <n v="5.4747304717245801E-2"/>
    <n v="124755"/>
    <n v="6830"/>
  </r>
  <r>
    <x v="1"/>
    <x v="19"/>
    <x v="4"/>
    <n v="5.3673199470963086E-2"/>
    <n v="124755"/>
    <n v="6696"/>
  </r>
  <r>
    <x v="1"/>
    <x v="20"/>
    <x v="0"/>
    <n v="0.32462743391711085"/>
    <n v="91930"/>
    <n v="29843"/>
  </r>
  <r>
    <x v="1"/>
    <x v="20"/>
    <x v="1"/>
    <n v="0.40823452626998802"/>
    <n v="91930"/>
    <n v="37529"/>
  </r>
  <r>
    <x v="1"/>
    <x v="20"/>
    <x v="2"/>
    <n v="0.14808006091591427"/>
    <n v="91930"/>
    <n v="13613"/>
  </r>
  <r>
    <x v="1"/>
    <x v="20"/>
    <x v="3"/>
    <n v="5.9882519308169256E-2"/>
    <n v="91930"/>
    <n v="5505"/>
  </r>
  <r>
    <x v="1"/>
    <x v="20"/>
    <x v="4"/>
    <n v="5.9186337430653761E-2"/>
    <n v="91930"/>
    <n v="5441"/>
  </r>
  <r>
    <x v="1"/>
    <x v="21"/>
    <x v="0"/>
    <n v="0.31885296860428969"/>
    <n v="141548"/>
    <n v="45133"/>
  </r>
  <r>
    <x v="1"/>
    <x v="21"/>
    <x v="1"/>
    <n v="0.42152485375985532"/>
    <n v="141548"/>
    <n v="59666"/>
  </r>
  <r>
    <x v="1"/>
    <x v="21"/>
    <x v="2"/>
    <n v="0.14392290954305254"/>
    <n v="141548"/>
    <n v="20372"/>
  </r>
  <r>
    <x v="1"/>
    <x v="21"/>
    <x v="3"/>
    <n v="5.9096560883940427E-2"/>
    <n v="141548"/>
    <n v="8365"/>
  </r>
  <r>
    <x v="1"/>
    <x v="21"/>
    <x v="4"/>
    <n v="5.6645095656597054E-2"/>
    <n v="141548"/>
    <n v="8018"/>
  </r>
  <r>
    <x v="1"/>
    <x v="22"/>
    <x v="0"/>
    <n v="0.31071860117989908"/>
    <n v="168828"/>
    <n v="52458"/>
  </r>
  <r>
    <x v="1"/>
    <x v="22"/>
    <x v="1"/>
    <n v="0.41955718245788615"/>
    <n v="168828"/>
    <n v="70833"/>
  </r>
  <r>
    <x v="1"/>
    <x v="22"/>
    <x v="2"/>
    <n v="0.1452424953206814"/>
    <n v="168828"/>
    <n v="24521"/>
  </r>
  <r>
    <x v="1"/>
    <x v="22"/>
    <x v="3"/>
    <n v="6.235340109460516E-2"/>
    <n v="168828"/>
    <n v="10527"/>
  </r>
  <r>
    <x v="1"/>
    <x v="22"/>
    <x v="4"/>
    <n v="6.2128319946928232E-2"/>
    <n v="168828"/>
    <n v="10489"/>
  </r>
  <r>
    <x v="1"/>
    <x v="23"/>
    <x v="0"/>
    <n v="0.30722914095515913"/>
    <n v="53478"/>
    <n v="16430"/>
  </r>
  <r>
    <x v="1"/>
    <x v="23"/>
    <x v="1"/>
    <n v="0.42308986873106696"/>
    <n v="53478"/>
    <n v="22626"/>
  </r>
  <r>
    <x v="1"/>
    <x v="23"/>
    <x v="2"/>
    <n v="0.14901454803844572"/>
    <n v="53478"/>
    <n v="7969"/>
  </r>
  <r>
    <x v="1"/>
    <x v="23"/>
    <x v="3"/>
    <n v="6.0716556340925237E-2"/>
    <n v="53478"/>
    <n v="3247"/>
  </r>
  <r>
    <x v="1"/>
    <x v="23"/>
    <x v="4"/>
    <n v="5.9931186656195068E-2"/>
    <n v="53478"/>
    <n v="3205"/>
  </r>
  <r>
    <x v="1"/>
    <x v="24"/>
    <x v="0"/>
    <n v="0.30866522517495526"/>
    <n v="43011"/>
    <n v="13276"/>
  </r>
  <r>
    <x v="1"/>
    <x v="24"/>
    <x v="1"/>
    <n v="0.41424286810350841"/>
    <n v="43011"/>
    <n v="17817"/>
  </r>
  <r>
    <x v="1"/>
    <x v="24"/>
    <x v="2"/>
    <n v="0.1476599009555695"/>
    <n v="43011"/>
    <n v="6351"/>
  </r>
  <r>
    <x v="1"/>
    <x v="24"/>
    <x v="3"/>
    <n v="6.3076887307897983E-2"/>
    <n v="43011"/>
    <n v="2713"/>
  </r>
  <r>
    <x v="1"/>
    <x v="24"/>
    <x v="4"/>
    <n v="6.6424868057008674E-2"/>
    <n v="43011"/>
    <n v="2857"/>
  </r>
  <r>
    <x v="1"/>
    <x v="25"/>
    <x v="0"/>
    <n v="0.38510876814576206"/>
    <n v="70471"/>
    <n v="27139"/>
  </r>
  <r>
    <x v="1"/>
    <x v="25"/>
    <x v="1"/>
    <n v="0.40755771877793701"/>
    <n v="70471"/>
    <n v="28721"/>
  </r>
  <r>
    <x v="1"/>
    <x v="25"/>
    <x v="2"/>
    <n v="0.11935406053553944"/>
    <n v="70471"/>
    <n v="8411"/>
  </r>
  <r>
    <x v="1"/>
    <x v="25"/>
    <x v="3"/>
    <n v="4.4940471967192176E-2"/>
    <n v="70471"/>
    <n v="3167"/>
  </r>
  <r>
    <x v="1"/>
    <x v="25"/>
    <x v="4"/>
    <n v="4.3053170807850039E-2"/>
    <n v="70471"/>
    <n v="3034"/>
  </r>
  <r>
    <x v="1"/>
    <x v="26"/>
    <x v="0"/>
    <n v="0.32993067074986177"/>
    <n v="47022"/>
    <n v="15514"/>
  </r>
  <r>
    <x v="1"/>
    <x v="26"/>
    <x v="1"/>
    <n v="0.40155671813193822"/>
    <n v="47022"/>
    <n v="18882"/>
  </r>
  <r>
    <x v="1"/>
    <x v="26"/>
    <x v="2"/>
    <n v="0.14505975926162221"/>
    <n v="47022"/>
    <n v="6821"/>
  </r>
  <r>
    <x v="1"/>
    <x v="26"/>
    <x v="3"/>
    <n v="5.9695461698779297E-2"/>
    <n v="47022"/>
    <n v="2807"/>
  </r>
  <r>
    <x v="1"/>
    <x v="26"/>
    <x v="4"/>
    <n v="6.3821190081238571E-2"/>
    <n v="47022"/>
    <n v="3001"/>
  </r>
  <r>
    <x v="1"/>
    <x v="27"/>
    <x v="0"/>
    <n v="0.3814388623818879"/>
    <n v="53445"/>
    <n v="20386"/>
  </r>
  <r>
    <x v="1"/>
    <x v="27"/>
    <x v="1"/>
    <n v="0.40561324726354198"/>
    <n v="53445"/>
    <n v="21678"/>
  </r>
  <r>
    <x v="1"/>
    <x v="27"/>
    <x v="2"/>
    <n v="0.12150809243147161"/>
    <n v="53445"/>
    <n v="6494"/>
  </r>
  <r>
    <x v="1"/>
    <x v="27"/>
    <x v="3"/>
    <n v="4.7600336794835815E-2"/>
    <n v="53445"/>
    <n v="2544"/>
  </r>
  <r>
    <x v="1"/>
    <x v="27"/>
    <x v="4"/>
    <n v="4.3820750304050894E-2"/>
    <n v="53445"/>
    <n v="2342"/>
  </r>
  <r>
    <x v="2"/>
    <x v="28"/>
    <x v="0"/>
    <n v="0.36466764762959886"/>
    <n v="407083"/>
    <n v="148450"/>
  </r>
  <r>
    <x v="2"/>
    <x v="28"/>
    <x v="1"/>
    <n v="0.42948489620052915"/>
    <n v="407083"/>
    <n v="174836"/>
  </r>
  <r>
    <x v="2"/>
    <x v="28"/>
    <x v="2"/>
    <n v="0.12289877002969911"/>
    <n v="407083"/>
    <n v="50030"/>
  </r>
  <r>
    <x v="2"/>
    <x v="28"/>
    <x v="3"/>
    <n v="4.4305461048483971E-2"/>
    <n v="407083"/>
    <n v="18036"/>
  </r>
  <r>
    <x v="2"/>
    <x v="28"/>
    <x v="4"/>
    <n v="3.8640768590189223E-2"/>
    <n v="407083"/>
    <n v="15730"/>
  </r>
  <r>
    <x v="2"/>
    <x v="29"/>
    <x v="0"/>
    <n v="0.37108588698210665"/>
    <n v="538021"/>
    <n v="199652"/>
  </r>
  <r>
    <x v="2"/>
    <x v="29"/>
    <x v="1"/>
    <n v="0.41521613468619256"/>
    <n v="538021"/>
    <n v="223395"/>
  </r>
  <r>
    <x v="2"/>
    <x v="29"/>
    <x v="2"/>
    <n v="0.12271082355521439"/>
    <n v="538021"/>
    <n v="66021"/>
  </r>
  <r>
    <x v="2"/>
    <x v="29"/>
    <x v="3"/>
    <n v="4.7118978627228303E-2"/>
    <n v="538021"/>
    <n v="25351"/>
  </r>
  <r>
    <x v="2"/>
    <x v="29"/>
    <x v="4"/>
    <n v="4.386074149522045E-2"/>
    <n v="538021"/>
    <n v="23598"/>
  </r>
  <r>
    <x v="2"/>
    <x v="30"/>
    <x v="0"/>
    <n v="0.37171820819474916"/>
    <n v="169572"/>
    <n v="63033"/>
  </r>
  <r>
    <x v="2"/>
    <x v="30"/>
    <x v="1"/>
    <n v="0.4211544358738471"/>
    <n v="169572"/>
    <n v="71416"/>
  </r>
  <r>
    <x v="2"/>
    <x v="30"/>
    <x v="2"/>
    <n v="0.12205434859528695"/>
    <n v="169572"/>
    <n v="20697"/>
  </r>
  <r>
    <x v="2"/>
    <x v="30"/>
    <x v="3"/>
    <n v="4.4860000471775997E-2"/>
    <n v="169572"/>
    <n v="7607"/>
  </r>
  <r>
    <x v="2"/>
    <x v="30"/>
    <x v="4"/>
    <n v="4.01776236642842E-2"/>
    <n v="169572"/>
    <n v="6813"/>
  </r>
  <r>
    <x v="2"/>
    <x v="31"/>
    <x v="0"/>
    <n v="0.33222016816745187"/>
    <n v="167690"/>
    <n v="55710"/>
  </r>
  <r>
    <x v="2"/>
    <x v="31"/>
    <x v="1"/>
    <n v="0.42192736597292624"/>
    <n v="167690"/>
    <n v="70753"/>
  </r>
  <r>
    <x v="2"/>
    <x v="31"/>
    <x v="2"/>
    <n v="0.13894090285646132"/>
    <n v="167690"/>
    <n v="23299"/>
  </r>
  <r>
    <x v="2"/>
    <x v="31"/>
    <x v="3"/>
    <n v="5.5316357564553643E-2"/>
    <n v="167690"/>
    <n v="9276"/>
  </r>
  <r>
    <x v="2"/>
    <x v="31"/>
    <x v="4"/>
    <n v="5.1613095593058621E-2"/>
    <n v="167690"/>
    <n v="8655"/>
  </r>
  <r>
    <x v="2"/>
    <x v="32"/>
    <x v="0"/>
    <n v="0.32724468584456512"/>
    <n v="74565"/>
    <n v="24401"/>
  </r>
  <r>
    <x v="2"/>
    <x v="32"/>
    <x v="1"/>
    <n v="0.41892308723932142"/>
    <n v="74565"/>
    <n v="31237"/>
  </r>
  <r>
    <x v="2"/>
    <x v="32"/>
    <x v="2"/>
    <n v="0.14225172668141889"/>
    <n v="74565"/>
    <n v="10607"/>
  </r>
  <r>
    <x v="2"/>
    <x v="32"/>
    <x v="3"/>
    <n v="5.7788506672031115E-2"/>
    <n v="74565"/>
    <n v="4309"/>
  </r>
  <r>
    <x v="2"/>
    <x v="32"/>
    <x v="4"/>
    <n v="5.3805404680480118E-2"/>
    <n v="74565"/>
    <n v="4012"/>
  </r>
  <r>
    <x v="2"/>
    <x v="33"/>
    <x v="0"/>
    <n v="0.36705967393746397"/>
    <n v="511865"/>
    <n v="187885"/>
  </r>
  <r>
    <x v="2"/>
    <x v="33"/>
    <x v="1"/>
    <n v="0.42894708565735107"/>
    <n v="511865"/>
    <n v="219563"/>
  </r>
  <r>
    <x v="2"/>
    <x v="33"/>
    <x v="2"/>
    <n v="0.12106512459339865"/>
    <n v="511865"/>
    <n v="61969"/>
  </r>
  <r>
    <x v="2"/>
    <x v="33"/>
    <x v="3"/>
    <n v="4.3964717259433642E-2"/>
    <n v="511865"/>
    <n v="22504"/>
  </r>
  <r>
    <x v="2"/>
    <x v="33"/>
    <x v="4"/>
    <n v="3.8967305832592579E-2"/>
    <n v="511865"/>
    <n v="19946"/>
  </r>
  <r>
    <x v="2"/>
    <x v="34"/>
    <x v="0"/>
    <n v="0.3511832628329713"/>
    <n v="43735"/>
    <n v="15359"/>
  </r>
  <r>
    <x v="2"/>
    <x v="34"/>
    <x v="1"/>
    <n v="0.40990053732708359"/>
    <n v="43735"/>
    <n v="17927"/>
  </r>
  <r>
    <x v="2"/>
    <x v="34"/>
    <x v="2"/>
    <n v="0.13364582142448839"/>
    <n v="43735"/>
    <n v="5845"/>
  </r>
  <r>
    <x v="2"/>
    <x v="34"/>
    <x v="3"/>
    <n v="5.3961358179947412E-2"/>
    <n v="43735"/>
    <n v="2360"/>
  </r>
  <r>
    <x v="2"/>
    <x v="34"/>
    <x v="4"/>
    <n v="5.1263290270950043E-2"/>
    <n v="43735"/>
    <n v="2242"/>
  </r>
  <r>
    <x v="2"/>
    <x v="35"/>
    <x v="0"/>
    <n v="0.35650788085486157"/>
    <n v="313735"/>
    <n v="111849"/>
  </r>
  <r>
    <x v="2"/>
    <x v="35"/>
    <x v="1"/>
    <n v="0.42603152341944633"/>
    <n v="313735"/>
    <n v="133661"/>
  </r>
  <r>
    <x v="2"/>
    <x v="35"/>
    <x v="2"/>
    <n v="0.12703077437965163"/>
    <n v="313735"/>
    <n v="39854"/>
  </r>
  <r>
    <x v="2"/>
    <x v="35"/>
    <x v="3"/>
    <n v="4.7673992382105915E-2"/>
    <n v="313735"/>
    <n v="14957"/>
  </r>
  <r>
    <x v="2"/>
    <x v="35"/>
    <x v="4"/>
    <n v="4.2765391174080035E-2"/>
    <n v="313735"/>
    <n v="13417"/>
  </r>
  <r>
    <x v="2"/>
    <x v="36"/>
    <x v="0"/>
    <n v="0.36924104887469239"/>
    <n v="122722"/>
    <n v="45314"/>
  </r>
  <r>
    <x v="2"/>
    <x v="36"/>
    <x v="1"/>
    <n v="0.42009582633920567"/>
    <n v="122722"/>
    <n v="51555"/>
  </r>
  <r>
    <x v="2"/>
    <x v="36"/>
    <x v="2"/>
    <n v="0.12133928716937468"/>
    <n v="122722"/>
    <n v="14891"/>
  </r>
  <r>
    <x v="2"/>
    <x v="36"/>
    <x v="3"/>
    <n v="4.6242727465328141E-2"/>
    <n v="122722"/>
    <n v="5675"/>
  </r>
  <r>
    <x v="2"/>
    <x v="36"/>
    <x v="4"/>
    <n v="4.3089258649630875E-2"/>
    <n v="122722"/>
    <n v="5288"/>
  </r>
  <r>
    <x v="2"/>
    <x v="37"/>
    <x v="0"/>
    <n v="0.36112390277079154"/>
    <n v="141151"/>
    <n v="50973"/>
  </r>
  <r>
    <x v="2"/>
    <x v="37"/>
    <x v="1"/>
    <n v="0.43041140339069506"/>
    <n v="141151"/>
    <n v="60753"/>
  </r>
  <r>
    <x v="2"/>
    <x v="37"/>
    <x v="2"/>
    <n v="0.12135231064604572"/>
    <n v="141151"/>
    <n v="17129"/>
  </r>
  <r>
    <x v="2"/>
    <x v="37"/>
    <x v="3"/>
    <n v="4.5688659662347413E-2"/>
    <n v="141151"/>
    <n v="6449"/>
  </r>
  <r>
    <x v="2"/>
    <x v="37"/>
    <x v="4"/>
    <n v="4.1473315810727517E-2"/>
    <n v="141151"/>
    <n v="5854"/>
  </r>
  <r>
    <x v="2"/>
    <x v="38"/>
    <x v="0"/>
    <n v="0.3817073259992827"/>
    <n v="136623"/>
    <n v="52150"/>
  </r>
  <r>
    <x v="2"/>
    <x v="38"/>
    <x v="1"/>
    <n v="0.41637206034123098"/>
    <n v="136623"/>
    <n v="56886"/>
  </r>
  <r>
    <x v="2"/>
    <x v="38"/>
    <x v="2"/>
    <n v="0.1203530884258141"/>
    <n v="136623"/>
    <n v="16443"/>
  </r>
  <r>
    <x v="2"/>
    <x v="38"/>
    <x v="3"/>
    <n v="4.2716087335221739E-2"/>
    <n v="136623"/>
    <n v="5836"/>
  </r>
  <r>
    <x v="2"/>
    <x v="38"/>
    <x v="4"/>
    <n v="3.8858757310262546E-2"/>
    <n v="136623"/>
    <n v="5309"/>
  </r>
  <r>
    <x v="2"/>
    <x v="39"/>
    <x v="0"/>
    <n v="0.36922906891458773"/>
    <n v="99529"/>
    <n v="36749"/>
  </r>
  <r>
    <x v="2"/>
    <x v="39"/>
    <x v="1"/>
    <n v="0.42891016688603323"/>
    <n v="99529"/>
    <n v="42689"/>
  </r>
  <r>
    <x v="2"/>
    <x v="39"/>
    <x v="2"/>
    <n v="0.12115061941745622"/>
    <n v="99529"/>
    <n v="12058"/>
  </r>
  <r>
    <x v="2"/>
    <x v="39"/>
    <x v="3"/>
    <n v="4.3484813471450529E-2"/>
    <n v="99529"/>
    <n v="4328"/>
  </r>
  <r>
    <x v="2"/>
    <x v="39"/>
    <x v="4"/>
    <n v="3.7285615247817219E-2"/>
    <n v="99529"/>
    <n v="3711"/>
  </r>
  <r>
    <x v="2"/>
    <x v="40"/>
    <x v="0"/>
    <n v="0.40281131139407972"/>
    <n v="120940"/>
    <n v="48716"/>
  </r>
  <r>
    <x v="2"/>
    <x v="40"/>
    <x v="1"/>
    <n v="0.41374235157929551"/>
    <n v="120940"/>
    <n v="50038"/>
  </r>
  <r>
    <x v="2"/>
    <x v="40"/>
    <x v="2"/>
    <n v="0.10985612700512651"/>
    <n v="120940"/>
    <n v="13286"/>
  </r>
  <r>
    <x v="2"/>
    <x v="40"/>
    <x v="3"/>
    <n v="3.9341822391268398E-2"/>
    <n v="120940"/>
    <n v="4758"/>
  </r>
  <r>
    <x v="2"/>
    <x v="40"/>
    <x v="4"/>
    <n v="3.4314536133619976E-2"/>
    <n v="120940"/>
    <n v="4150"/>
  </r>
  <r>
    <x v="2"/>
    <x v="41"/>
    <x v="0"/>
    <n v="0.35474525729141004"/>
    <n v="117707"/>
    <n v="41756"/>
  </r>
  <r>
    <x v="2"/>
    <x v="41"/>
    <x v="1"/>
    <n v="0.4299149583287315"/>
    <n v="117707"/>
    <n v="50604"/>
  </r>
  <r>
    <x v="2"/>
    <x v="41"/>
    <x v="2"/>
    <n v="0.1259568249976637"/>
    <n v="117707"/>
    <n v="14826"/>
  </r>
  <r>
    <x v="2"/>
    <x v="41"/>
    <x v="3"/>
    <n v="4.6683714647387159E-2"/>
    <n v="117707"/>
    <n v="5495"/>
  </r>
  <r>
    <x v="2"/>
    <x v="41"/>
    <x v="4"/>
    <n v="4.2716236077718406E-2"/>
    <n v="117707"/>
    <n v="5028"/>
  </r>
  <r>
    <x v="2"/>
    <x v="42"/>
    <x v="0"/>
    <n v="0.38399714234684768"/>
    <n v="78386"/>
    <n v="30100"/>
  </r>
  <r>
    <x v="2"/>
    <x v="42"/>
    <x v="1"/>
    <n v="0.41133620799632586"/>
    <n v="78386"/>
    <n v="32243"/>
  </r>
  <r>
    <x v="2"/>
    <x v="42"/>
    <x v="2"/>
    <n v="0.11902635674737835"/>
    <n v="78386"/>
    <n v="9330"/>
  </r>
  <r>
    <x v="2"/>
    <x v="42"/>
    <x v="3"/>
    <n v="4.415329267981527E-2"/>
    <n v="78386"/>
    <n v="3461"/>
  </r>
  <r>
    <x v="2"/>
    <x v="42"/>
    <x v="4"/>
    <n v="4.1410455948766363E-2"/>
    <n v="78386"/>
    <n v="3246"/>
  </r>
  <r>
    <x v="2"/>
    <x v="43"/>
    <x v="0"/>
    <n v="0.36688999028666786"/>
    <n v="40151"/>
    <n v="14731"/>
  </r>
  <r>
    <x v="2"/>
    <x v="43"/>
    <x v="1"/>
    <n v="0.41142188239396277"/>
    <n v="40151"/>
    <n v="16519"/>
  </r>
  <r>
    <x v="2"/>
    <x v="43"/>
    <x v="2"/>
    <n v="0.12871410425643198"/>
    <n v="40151"/>
    <n v="5168"/>
  </r>
  <r>
    <x v="2"/>
    <x v="43"/>
    <x v="3"/>
    <n v="4.7744763517720605E-2"/>
    <n v="40151"/>
    <n v="1917"/>
  </r>
  <r>
    <x v="2"/>
    <x v="43"/>
    <x v="4"/>
    <n v="4.5104729645587906E-2"/>
    <n v="40151"/>
    <n v="1811"/>
  </r>
  <r>
    <x v="2"/>
    <x v="44"/>
    <x v="0"/>
    <n v="0.36924574048722558"/>
    <n v="60629"/>
    <n v="22387"/>
  </r>
  <r>
    <x v="2"/>
    <x v="44"/>
    <x v="1"/>
    <n v="0.42720480298207131"/>
    <n v="60629"/>
    <n v="25901"/>
  </r>
  <r>
    <x v="2"/>
    <x v="44"/>
    <x v="2"/>
    <n v="0.12365369707565686"/>
    <n v="60629"/>
    <n v="7497"/>
  </r>
  <r>
    <x v="2"/>
    <x v="44"/>
    <x v="3"/>
    <n v="4.2883768493625164E-2"/>
    <n v="60629"/>
    <n v="2600"/>
  </r>
  <r>
    <x v="2"/>
    <x v="44"/>
    <x v="4"/>
    <n v="3.6946015932969374E-2"/>
    <n v="60629"/>
    <n v="2240"/>
  </r>
  <r>
    <x v="2"/>
    <x v="45"/>
    <x v="0"/>
    <n v="0.36603349864321139"/>
    <n v="53435"/>
    <n v="19559"/>
  </r>
  <r>
    <x v="2"/>
    <x v="45"/>
    <x v="1"/>
    <n v="0.43608122017404322"/>
    <n v="53435"/>
    <n v="23302"/>
  </r>
  <r>
    <x v="2"/>
    <x v="45"/>
    <x v="2"/>
    <n v="0.11913539814728175"/>
    <n v="53435"/>
    <n v="6366"/>
  </r>
  <r>
    <x v="2"/>
    <x v="45"/>
    <x v="3"/>
    <n v="4.1920089828763919E-2"/>
    <n v="53435"/>
    <n v="2240"/>
  </r>
  <r>
    <x v="2"/>
    <x v="45"/>
    <x v="4"/>
    <n v="3.6829793206699726E-2"/>
    <n v="53435"/>
    <n v="1968"/>
  </r>
  <r>
    <x v="2"/>
    <x v="46"/>
    <x v="0"/>
    <n v="0.38236090795817756"/>
    <n v="55377"/>
    <n v="21174"/>
  </r>
  <r>
    <x v="2"/>
    <x v="46"/>
    <x v="1"/>
    <n v="0.41000776495657043"/>
    <n v="55377"/>
    <n v="22705"/>
  </r>
  <r>
    <x v="2"/>
    <x v="46"/>
    <x v="2"/>
    <n v="0.11920111237517381"/>
    <n v="55377"/>
    <n v="6601"/>
  </r>
  <r>
    <x v="2"/>
    <x v="46"/>
    <x v="3"/>
    <n v="4.510898026256388E-2"/>
    <n v="55377"/>
    <n v="2498"/>
  </r>
  <r>
    <x v="2"/>
    <x v="46"/>
    <x v="4"/>
    <n v="4.3375408563121873E-2"/>
    <n v="55377"/>
    <n v="2402"/>
  </r>
  <r>
    <x v="2"/>
    <x v="47"/>
    <x v="0"/>
    <n v="0.35953555281545418"/>
    <n v="19464"/>
    <n v="6998"/>
  </r>
  <r>
    <x v="2"/>
    <x v="47"/>
    <x v="1"/>
    <n v="0.40449034114262228"/>
    <n v="19464"/>
    <n v="7873"/>
  </r>
  <r>
    <x v="2"/>
    <x v="47"/>
    <x v="2"/>
    <n v="0.13455610357583231"/>
    <n v="19464"/>
    <n v="2619"/>
  </r>
  <r>
    <x v="2"/>
    <x v="47"/>
    <x v="3"/>
    <n v="4.849979449239622E-2"/>
    <n v="19464"/>
    <n v="944"/>
  </r>
  <r>
    <x v="2"/>
    <x v="47"/>
    <x v="4"/>
    <n v="5.2866831072749691E-2"/>
    <n v="19464"/>
    <n v="1029"/>
  </r>
  <r>
    <x v="2"/>
    <x v="48"/>
    <x v="0"/>
    <n v="0.34668597168597171"/>
    <n v="24864"/>
    <n v="8620"/>
  </r>
  <r>
    <x v="2"/>
    <x v="48"/>
    <x v="1"/>
    <n v="0.39667792792792794"/>
    <n v="24864"/>
    <n v="9863"/>
  </r>
  <r>
    <x v="2"/>
    <x v="48"/>
    <x v="2"/>
    <n v="0.133244851994852"/>
    <n v="24864"/>
    <n v="3313"/>
  </r>
  <r>
    <x v="2"/>
    <x v="48"/>
    <x v="3"/>
    <n v="6.0167310167310167E-2"/>
    <n v="24864"/>
    <n v="1496"/>
  </r>
  <r>
    <x v="2"/>
    <x v="48"/>
    <x v="4"/>
    <n v="6.326415701415701E-2"/>
    <n v="24864"/>
    <n v="1573"/>
  </r>
  <r>
    <x v="2"/>
    <x v="49"/>
    <x v="0"/>
    <n v="0.34696918099778651"/>
    <n v="23492"/>
    <n v="8151"/>
  </r>
  <r>
    <x v="2"/>
    <x v="49"/>
    <x v="1"/>
    <n v="0.41827004937851181"/>
    <n v="23492"/>
    <n v="9826"/>
  </r>
  <r>
    <x v="2"/>
    <x v="49"/>
    <x v="2"/>
    <n v="0.13217265452068788"/>
    <n v="23492"/>
    <n v="3105"/>
  </r>
  <r>
    <x v="2"/>
    <x v="49"/>
    <x v="3"/>
    <n v="4.9463647199046487E-2"/>
    <n v="23492"/>
    <n v="1162"/>
  </r>
  <r>
    <x v="2"/>
    <x v="49"/>
    <x v="4"/>
    <n v="5.3039332538736592E-2"/>
    <n v="23492"/>
    <n v="1246"/>
  </r>
  <r>
    <x v="3"/>
    <x v="50"/>
    <x v="0"/>
    <n v="0.43070612742410858"/>
    <n v="155057"/>
    <n v="66784"/>
  </r>
  <r>
    <x v="3"/>
    <x v="50"/>
    <x v="1"/>
    <n v="0.3821691378009377"/>
    <n v="155057"/>
    <n v="59258"/>
  </r>
  <r>
    <x v="3"/>
    <x v="50"/>
    <x v="2"/>
    <n v="0.10303952739960144"/>
    <n v="155057"/>
    <n v="15977"/>
  </r>
  <r>
    <x v="3"/>
    <x v="50"/>
    <x v="3"/>
    <n v="4.1339636391778505E-2"/>
    <n v="155057"/>
    <n v="6410"/>
  </r>
  <r>
    <x v="3"/>
    <x v="50"/>
    <x v="4"/>
    <n v="4.2732672501080246E-2"/>
    <n v="155057"/>
    <n v="6626"/>
  </r>
  <r>
    <x v="3"/>
    <x v="51"/>
    <x v="0"/>
    <n v="0.38192021866688053"/>
    <n v="1795608"/>
    <n v="685779"/>
  </r>
  <r>
    <x v="3"/>
    <x v="51"/>
    <x v="1"/>
    <n v="0.4169150505010002"/>
    <n v="1795608"/>
    <n v="748616"/>
  </r>
  <r>
    <x v="3"/>
    <x v="51"/>
    <x v="2"/>
    <n v="0.11748165523878262"/>
    <n v="1795608"/>
    <n v="210951"/>
  </r>
  <r>
    <x v="3"/>
    <x v="51"/>
    <x v="3"/>
    <n v="4.363647299410562E-2"/>
    <n v="1795608"/>
    <n v="78354"/>
  </r>
  <r>
    <x v="3"/>
    <x v="51"/>
    <x v="4"/>
    <n v="4.004493185595074E-2"/>
    <n v="1795608"/>
    <n v="71905"/>
  </r>
  <r>
    <x v="3"/>
    <x v="52"/>
    <x v="0"/>
    <n v="0.41838587621691237"/>
    <n v="125009"/>
    <n v="52302"/>
  </r>
  <r>
    <x v="3"/>
    <x v="52"/>
    <x v="1"/>
    <n v="0.38522826356502332"/>
    <n v="125009"/>
    <n v="48157"/>
  </r>
  <r>
    <x v="3"/>
    <x v="52"/>
    <x v="2"/>
    <n v="0.10603236566967178"/>
    <n v="125009"/>
    <n v="13255"/>
  </r>
  <r>
    <x v="3"/>
    <x v="52"/>
    <x v="3"/>
    <n v="4.439680343015303E-2"/>
    <n v="125009"/>
    <n v="5550"/>
  </r>
  <r>
    <x v="3"/>
    <x v="52"/>
    <x v="4"/>
    <n v="4.5996688238446833E-2"/>
    <n v="125009"/>
    <n v="5750"/>
  </r>
  <r>
    <x v="3"/>
    <x v="53"/>
    <x v="0"/>
    <n v="0.41391862712956579"/>
    <n v="265371"/>
    <n v="109842"/>
  </r>
  <r>
    <x v="3"/>
    <x v="53"/>
    <x v="1"/>
    <n v="0.40208236770408223"/>
    <n v="265371"/>
    <n v="106701"/>
  </r>
  <r>
    <x v="3"/>
    <x v="53"/>
    <x v="2"/>
    <n v="0.10651879821080676"/>
    <n v="265371"/>
    <n v="28267"/>
  </r>
  <r>
    <x v="3"/>
    <x v="53"/>
    <x v="3"/>
    <n v="3.9616235383670408E-2"/>
    <n v="265371"/>
    <n v="10513"/>
  </r>
  <r>
    <x v="3"/>
    <x v="53"/>
    <x v="4"/>
    <n v="3.7845130025511452E-2"/>
    <n v="265371"/>
    <n v="10043"/>
  </r>
  <r>
    <x v="3"/>
    <x v="54"/>
    <x v="0"/>
    <n v="0.39767405082539564"/>
    <n v="246609"/>
    <n v="98070"/>
  </r>
  <r>
    <x v="3"/>
    <x v="54"/>
    <x v="1"/>
    <n v="0.40467703936190486"/>
    <n v="246609"/>
    <n v="99797"/>
  </r>
  <r>
    <x v="3"/>
    <x v="54"/>
    <x v="2"/>
    <n v="0.11111922111520667"/>
    <n v="246609"/>
    <n v="27403"/>
  </r>
  <r>
    <x v="3"/>
    <x v="54"/>
    <x v="3"/>
    <n v="4.3583162009496815E-2"/>
    <n v="246609"/>
    <n v="10748"/>
  </r>
  <r>
    <x v="3"/>
    <x v="54"/>
    <x v="4"/>
    <n v="4.2934361681852648E-2"/>
    <n v="246609"/>
    <n v="10588"/>
  </r>
  <r>
    <x v="3"/>
    <x v="55"/>
    <x v="0"/>
    <n v="0.39416742997241128"/>
    <n v="182321"/>
    <n v="71865"/>
  </r>
  <r>
    <x v="3"/>
    <x v="55"/>
    <x v="1"/>
    <n v="0.39316919060338634"/>
    <n v="182321"/>
    <n v="71683"/>
  </r>
  <r>
    <x v="3"/>
    <x v="55"/>
    <x v="2"/>
    <n v="0.11410643864393021"/>
    <n v="182321"/>
    <n v="20804"/>
  </r>
  <r>
    <x v="3"/>
    <x v="55"/>
    <x v="3"/>
    <n v="4.7410885196987732E-2"/>
    <n v="182321"/>
    <n v="8644"/>
  </r>
  <r>
    <x v="3"/>
    <x v="55"/>
    <x v="4"/>
    <n v="5.1173479741774122E-2"/>
    <n v="182321"/>
    <n v="9330"/>
  </r>
  <r>
    <x v="3"/>
    <x v="56"/>
    <x v="0"/>
    <n v="0.42596334503172745"/>
    <n v="56418"/>
    <n v="24032"/>
  </r>
  <r>
    <x v="3"/>
    <x v="56"/>
    <x v="1"/>
    <n v="0.38946790031550216"/>
    <n v="56418"/>
    <n v="21973"/>
  </r>
  <r>
    <x v="3"/>
    <x v="56"/>
    <x v="2"/>
    <n v="0.10250274735013648"/>
    <n v="56418"/>
    <n v="5783"/>
  </r>
  <r>
    <x v="3"/>
    <x v="56"/>
    <x v="3"/>
    <n v="4.1121627849267962E-2"/>
    <n v="56418"/>
    <n v="2320"/>
  </r>
  <r>
    <x v="3"/>
    <x v="56"/>
    <x v="4"/>
    <n v="4.0926654613775745E-2"/>
    <n v="56418"/>
    <n v="2309"/>
  </r>
  <r>
    <x v="3"/>
    <x v="57"/>
    <x v="0"/>
    <n v="0.41063267664093372"/>
    <n v="135883"/>
    <n v="55798"/>
  </r>
  <r>
    <x v="3"/>
    <x v="57"/>
    <x v="1"/>
    <n v="0.40782143461654513"/>
    <n v="135883"/>
    <n v="55416"/>
  </r>
  <r>
    <x v="3"/>
    <x v="57"/>
    <x v="2"/>
    <n v="0.10826961430053797"/>
    <n v="135883"/>
    <n v="14712"/>
  </r>
  <r>
    <x v="3"/>
    <x v="57"/>
    <x v="3"/>
    <n v="3.8437479302046614E-2"/>
    <n v="135883"/>
    <n v="5223"/>
  </r>
  <r>
    <x v="3"/>
    <x v="57"/>
    <x v="4"/>
    <n v="3.4831435867621406E-2"/>
    <n v="135883"/>
    <n v="4733"/>
  </r>
  <r>
    <x v="3"/>
    <x v="58"/>
    <x v="0"/>
    <n v="0.45560115068956764"/>
    <n v="94552"/>
    <n v="43078"/>
  </r>
  <r>
    <x v="3"/>
    <x v="58"/>
    <x v="1"/>
    <n v="0.37578263812505286"/>
    <n v="94552"/>
    <n v="35531"/>
  </r>
  <r>
    <x v="3"/>
    <x v="58"/>
    <x v="2"/>
    <n v="9.4868432185464077E-2"/>
    <n v="94552"/>
    <n v="8970"/>
  </r>
  <r>
    <x v="3"/>
    <x v="58"/>
    <x v="3"/>
    <n v="3.6265758524409851E-2"/>
    <n v="94552"/>
    <n v="3429"/>
  </r>
  <r>
    <x v="3"/>
    <x v="58"/>
    <x v="4"/>
    <n v="3.7503172857263727E-2"/>
    <n v="94552"/>
    <n v="3546"/>
  </r>
  <r>
    <x v="3"/>
    <x v="59"/>
    <x v="0"/>
    <n v="0.3797195966539611"/>
    <n v="136161"/>
    <n v="51703"/>
  </r>
  <r>
    <x v="3"/>
    <x v="59"/>
    <x v="1"/>
    <n v="0.3889219379998678"/>
    <n v="136161"/>
    <n v="52956"/>
  </r>
  <r>
    <x v="3"/>
    <x v="59"/>
    <x v="2"/>
    <n v="0.12115804084870117"/>
    <n v="136161"/>
    <n v="16497"/>
  </r>
  <r>
    <x v="3"/>
    <x v="59"/>
    <x v="3"/>
    <n v="5.3304543885547256E-2"/>
    <n v="136161"/>
    <n v="7258"/>
  </r>
  <r>
    <x v="3"/>
    <x v="59"/>
    <x v="4"/>
    <n v="5.688119211815424E-2"/>
    <n v="136161"/>
    <n v="7745"/>
  </r>
  <r>
    <x v="3"/>
    <x v="60"/>
    <x v="0"/>
    <n v="0.42785087719298248"/>
    <n v="45600"/>
    <n v="19510"/>
  </r>
  <r>
    <x v="3"/>
    <x v="60"/>
    <x v="1"/>
    <n v="0.36778508771929824"/>
    <n v="45600"/>
    <n v="16771"/>
  </r>
  <r>
    <x v="3"/>
    <x v="60"/>
    <x v="2"/>
    <n v="0.10620614035087719"/>
    <n v="45600"/>
    <n v="4843"/>
  </r>
  <r>
    <x v="3"/>
    <x v="60"/>
    <x v="3"/>
    <n v="4.5789473684210526E-2"/>
    <n v="45600"/>
    <n v="2088"/>
  </r>
  <r>
    <x v="3"/>
    <x v="60"/>
    <x v="4"/>
    <n v="5.239035087719298E-2"/>
    <n v="45600"/>
    <n v="2389"/>
  </r>
  <r>
    <x v="3"/>
    <x v="61"/>
    <x v="0"/>
    <n v="0.44984249010144217"/>
    <n v="69202"/>
    <n v="31130"/>
  </r>
  <r>
    <x v="3"/>
    <x v="61"/>
    <x v="1"/>
    <n v="0.37981561226554145"/>
    <n v="69202"/>
    <n v="26284"/>
  </r>
  <r>
    <x v="3"/>
    <x v="61"/>
    <x v="2"/>
    <n v="9.3031993294991469E-2"/>
    <n v="69202"/>
    <n v="6438"/>
  </r>
  <r>
    <x v="3"/>
    <x v="61"/>
    <x v="3"/>
    <n v="3.781682610329181E-2"/>
    <n v="69202"/>
    <n v="2617"/>
  </r>
  <r>
    <x v="3"/>
    <x v="61"/>
    <x v="4"/>
    <n v="3.947862778532412E-2"/>
    <n v="69202"/>
    <n v="2732"/>
  </r>
  <r>
    <x v="3"/>
    <x v="62"/>
    <x v="0"/>
    <n v="0.39015530657712055"/>
    <n v="61942"/>
    <n v="24167"/>
  </r>
  <r>
    <x v="3"/>
    <x v="62"/>
    <x v="1"/>
    <n v="0.4067999095928449"/>
    <n v="61942"/>
    <n v="25198"/>
  </r>
  <r>
    <x v="3"/>
    <x v="62"/>
    <x v="2"/>
    <n v="0.11094249459171483"/>
    <n v="61942"/>
    <n v="6872"/>
  </r>
  <r>
    <x v="3"/>
    <x v="62"/>
    <x v="3"/>
    <n v="4.4799974169384263E-2"/>
    <n v="61942"/>
    <n v="2775"/>
  </r>
  <r>
    <x v="3"/>
    <x v="62"/>
    <x v="4"/>
    <n v="4.7302315068935459E-2"/>
    <n v="61942"/>
    <n v="2930"/>
  </r>
  <r>
    <x v="3"/>
    <x v="63"/>
    <x v="0"/>
    <n v="0.42773163052951746"/>
    <n v="112442"/>
    <n v="48095"/>
  </r>
  <r>
    <x v="3"/>
    <x v="63"/>
    <x v="1"/>
    <n v="0.40331904448515682"/>
    <n v="112442"/>
    <n v="45350"/>
  </r>
  <r>
    <x v="3"/>
    <x v="63"/>
    <x v="2"/>
    <n v="0.1002828124722079"/>
    <n v="112442"/>
    <n v="11276"/>
  </r>
  <r>
    <x v="3"/>
    <x v="63"/>
    <x v="3"/>
    <n v="3.5680617562832397E-2"/>
    <n v="112442"/>
    <n v="4012"/>
  </r>
  <r>
    <x v="3"/>
    <x v="63"/>
    <x v="4"/>
    <n v="3.3003681898223086E-2"/>
    <n v="112442"/>
    <n v="3711"/>
  </r>
  <r>
    <x v="3"/>
    <x v="64"/>
    <x v="0"/>
    <n v="0.39558922407996772"/>
    <n v="111545"/>
    <n v="44126"/>
  </r>
  <r>
    <x v="3"/>
    <x v="64"/>
    <x v="1"/>
    <n v="0.40122820386391145"/>
    <n v="111545"/>
    <n v="44755"/>
  </r>
  <r>
    <x v="3"/>
    <x v="64"/>
    <x v="2"/>
    <n v="0.11435743421937335"/>
    <n v="111545"/>
    <n v="12756"/>
  </r>
  <r>
    <x v="3"/>
    <x v="64"/>
    <x v="3"/>
    <n v="4.4690483661302613E-2"/>
    <n v="111545"/>
    <n v="4985"/>
  </r>
  <r>
    <x v="3"/>
    <x v="64"/>
    <x v="4"/>
    <n v="4.4071899233493209E-2"/>
    <n v="111545"/>
    <n v="4916"/>
  </r>
  <r>
    <x v="3"/>
    <x v="65"/>
    <x v="0"/>
    <n v="0.4197224429907685"/>
    <n v="163570"/>
    <n v="68654"/>
  </r>
  <r>
    <x v="3"/>
    <x v="65"/>
    <x v="1"/>
    <n v="0.41702023598459376"/>
    <n v="163570"/>
    <n v="68212"/>
  </r>
  <r>
    <x v="3"/>
    <x v="65"/>
    <x v="2"/>
    <n v="9.8080332579323831E-2"/>
    <n v="163570"/>
    <n v="16043"/>
  </r>
  <r>
    <x v="3"/>
    <x v="65"/>
    <x v="3"/>
    <n v="3.4089380693281164E-2"/>
    <n v="163570"/>
    <n v="5576"/>
  </r>
  <r>
    <x v="3"/>
    <x v="65"/>
    <x v="4"/>
    <n v="3.1093721342544477E-2"/>
    <n v="163570"/>
    <n v="5086"/>
  </r>
  <r>
    <x v="3"/>
    <x v="66"/>
    <x v="0"/>
    <n v="0.49472316934567301"/>
    <n v="30795"/>
    <n v="15235"/>
  </r>
  <r>
    <x v="3"/>
    <x v="66"/>
    <x v="1"/>
    <n v="0.35216755966877739"/>
    <n v="30795"/>
    <n v="10845"/>
  </r>
  <r>
    <x v="3"/>
    <x v="66"/>
    <x v="2"/>
    <n v="8.787140769605456E-2"/>
    <n v="30795"/>
    <n v="2706"/>
  </r>
  <r>
    <x v="3"/>
    <x v="66"/>
    <x v="3"/>
    <n v="3.2765059262867352E-2"/>
    <n v="30795"/>
    <n v="1009"/>
  </r>
  <r>
    <x v="3"/>
    <x v="66"/>
    <x v="4"/>
    <n v="3.2440331222601072E-2"/>
    <n v="30795"/>
    <n v="999"/>
  </r>
  <r>
    <x v="3"/>
    <x v="67"/>
    <x v="0"/>
    <n v="0.44255916794776901"/>
    <n v="52689"/>
    <n v="23318"/>
  </r>
  <r>
    <x v="3"/>
    <x v="67"/>
    <x v="1"/>
    <n v="0.37053274877109071"/>
    <n v="52689"/>
    <n v="19523"/>
  </r>
  <r>
    <x v="3"/>
    <x v="67"/>
    <x v="2"/>
    <n v="0.10034352521399154"/>
    <n v="52689"/>
    <n v="5287"/>
  </r>
  <r>
    <x v="3"/>
    <x v="67"/>
    <x v="3"/>
    <n v="4.1014253449486608E-2"/>
    <n v="52689"/>
    <n v="2161"/>
  </r>
  <r>
    <x v="3"/>
    <x v="67"/>
    <x v="4"/>
    <n v="4.5645201085615594E-2"/>
    <n v="52689"/>
    <n v="2405"/>
  </r>
  <r>
    <x v="3"/>
    <x v="68"/>
    <x v="0"/>
    <n v="0.43315100043184107"/>
    <n v="69470"/>
    <n v="30091"/>
  </r>
  <r>
    <x v="3"/>
    <x v="68"/>
    <x v="1"/>
    <n v="0.38157478048078308"/>
    <n v="69470"/>
    <n v="26508"/>
  </r>
  <r>
    <x v="3"/>
    <x v="68"/>
    <x v="2"/>
    <n v="0.10580106520800346"/>
    <n v="69470"/>
    <n v="7350"/>
  </r>
  <r>
    <x v="3"/>
    <x v="68"/>
    <x v="3"/>
    <n v="3.9945300129552323E-2"/>
    <n v="69470"/>
    <n v="2775"/>
  </r>
  <r>
    <x v="3"/>
    <x v="68"/>
    <x v="4"/>
    <n v="3.9412696127824963E-2"/>
    <n v="69470"/>
    <n v="2738"/>
  </r>
  <r>
    <x v="3"/>
    <x v="69"/>
    <x v="0"/>
    <n v="0.42027439024390245"/>
    <n v="32800"/>
    <n v="13785"/>
  </r>
  <r>
    <x v="3"/>
    <x v="69"/>
    <x v="1"/>
    <n v="0.37030487804878048"/>
    <n v="32800"/>
    <n v="12146"/>
  </r>
  <r>
    <x v="3"/>
    <x v="69"/>
    <x v="2"/>
    <n v="0.10969512195121951"/>
    <n v="32800"/>
    <n v="3598"/>
  </r>
  <r>
    <x v="3"/>
    <x v="69"/>
    <x v="3"/>
    <n v="4.6585365853658536E-2"/>
    <n v="32800"/>
    <n v="1528"/>
  </r>
  <r>
    <x v="3"/>
    <x v="69"/>
    <x v="4"/>
    <n v="5.3079268292682925E-2"/>
    <n v="32800"/>
    <n v="1741"/>
  </r>
  <r>
    <x v="4"/>
    <x v="70"/>
    <x v="0"/>
    <n v="0.43669060060233056"/>
    <n v="1058887"/>
    <n v="462406"/>
  </r>
  <r>
    <x v="4"/>
    <x v="70"/>
    <x v="1"/>
    <n v="0.39266418418584798"/>
    <n v="1058887"/>
    <n v="415787"/>
  </r>
  <r>
    <x v="4"/>
    <x v="70"/>
    <x v="2"/>
    <n v="0.10318570347921922"/>
    <n v="1058887"/>
    <n v="109262"/>
  </r>
  <r>
    <x v="4"/>
    <x v="70"/>
    <x v="3"/>
    <n v="3.586973869733031E-2"/>
    <n v="1058887"/>
    <n v="37982"/>
  </r>
  <r>
    <x v="4"/>
    <x v="70"/>
    <x v="4"/>
    <n v="3.1588828647438304E-2"/>
    <n v="1058887"/>
    <n v="33449"/>
  </r>
  <r>
    <x v="4"/>
    <x v="71"/>
    <x v="0"/>
    <n v="0.5122761389175513"/>
    <n v="141494"/>
    <n v="72484"/>
  </r>
  <r>
    <x v="4"/>
    <x v="71"/>
    <x v="1"/>
    <n v="0.36621340834240323"/>
    <n v="141494"/>
    <n v="51817"/>
  </r>
  <r>
    <x v="4"/>
    <x v="71"/>
    <x v="2"/>
    <n v="7.4610937566257224E-2"/>
    <n v="141494"/>
    <n v="10557"/>
  </r>
  <r>
    <x v="4"/>
    <x v="71"/>
    <x v="3"/>
    <n v="2.4213040835653808E-2"/>
    <n v="141494"/>
    <n v="3426"/>
  </r>
  <r>
    <x v="4"/>
    <x v="71"/>
    <x v="4"/>
    <n v="2.2735946400554086E-2"/>
    <n v="141494"/>
    <n v="3217"/>
  </r>
  <r>
    <x v="4"/>
    <x v="72"/>
    <x v="0"/>
    <n v="0.44569399817525485"/>
    <n v="352926"/>
    <n v="157297"/>
  </r>
  <r>
    <x v="4"/>
    <x v="72"/>
    <x v="1"/>
    <n v="0.38387934014495956"/>
    <n v="352926"/>
    <n v="135481"/>
  </r>
  <r>
    <x v="4"/>
    <x v="72"/>
    <x v="2"/>
    <n v="0.10139519332664639"/>
    <n v="352926"/>
    <n v="35785"/>
  </r>
  <r>
    <x v="4"/>
    <x v="72"/>
    <x v="3"/>
    <n v="3.74129420898432E-2"/>
    <n v="352926"/>
    <n v="13204"/>
  </r>
  <r>
    <x v="4"/>
    <x v="72"/>
    <x v="4"/>
    <n v="3.1604358987436458E-2"/>
    <n v="352926"/>
    <n v="11154"/>
  </r>
  <r>
    <x v="4"/>
    <x v="73"/>
    <x v="0"/>
    <n v="0.49413426387504156"/>
    <n v="120360"/>
    <n v="59474"/>
  </r>
  <r>
    <x v="4"/>
    <x v="73"/>
    <x v="1"/>
    <n v="0.36870222665337321"/>
    <n v="120360"/>
    <n v="44377"/>
  </r>
  <r>
    <x v="4"/>
    <x v="73"/>
    <x v="2"/>
    <n v="7.9793951478896646E-2"/>
    <n v="120360"/>
    <n v="9604"/>
  </r>
  <r>
    <x v="4"/>
    <x v="73"/>
    <x v="3"/>
    <n v="2.9112662013958127E-2"/>
    <n v="120360"/>
    <n v="3504"/>
  </r>
  <r>
    <x v="4"/>
    <x v="73"/>
    <x v="4"/>
    <n v="2.8215353938185445E-2"/>
    <n v="120360"/>
    <n v="3396"/>
  </r>
  <r>
    <x v="4"/>
    <x v="74"/>
    <x v="0"/>
    <n v="0.46418059391569061"/>
    <n v="198412"/>
    <n v="92099"/>
  </r>
  <r>
    <x v="4"/>
    <x v="74"/>
    <x v="1"/>
    <n v="0.37511340039916941"/>
    <n v="198412"/>
    <n v="74427"/>
  </r>
  <r>
    <x v="4"/>
    <x v="74"/>
    <x v="2"/>
    <n v="9.5649456686087542E-2"/>
    <n v="198412"/>
    <n v="18978"/>
  </r>
  <r>
    <x v="4"/>
    <x v="74"/>
    <x v="3"/>
    <n v="3.4791242465173476E-2"/>
    <n v="198412"/>
    <n v="6903"/>
  </r>
  <r>
    <x v="4"/>
    <x v="74"/>
    <x v="4"/>
    <n v="3.0255226498397274E-2"/>
    <n v="198412"/>
    <n v="6003"/>
  </r>
  <r>
    <x v="4"/>
    <x v="75"/>
    <x v="0"/>
    <n v="0.47370677037594616"/>
    <n v="95652"/>
    <n v="45311"/>
  </r>
  <r>
    <x v="4"/>
    <x v="75"/>
    <x v="1"/>
    <n v="0.38042069167398485"/>
    <n v="95652"/>
    <n v="36388"/>
  </r>
  <r>
    <x v="4"/>
    <x v="75"/>
    <x v="2"/>
    <n v="9.1142892987078158E-2"/>
    <n v="95652"/>
    <n v="8718"/>
  </r>
  <r>
    <x v="4"/>
    <x v="75"/>
    <x v="3"/>
    <n v="3.1562330113327479E-2"/>
    <n v="95652"/>
    <n v="3019"/>
  </r>
  <r>
    <x v="4"/>
    <x v="75"/>
    <x v="4"/>
    <n v="2.3115042027349139E-2"/>
    <n v="95652"/>
    <n v="2211"/>
  </r>
  <r>
    <x v="4"/>
    <x v="76"/>
    <x v="0"/>
    <n v="0.44289942922326903"/>
    <n v="240199"/>
    <n v="106384"/>
  </r>
  <r>
    <x v="4"/>
    <x v="76"/>
    <x v="1"/>
    <n v="0.39334052181732648"/>
    <n v="240199"/>
    <n v="94480"/>
  </r>
  <r>
    <x v="4"/>
    <x v="76"/>
    <x v="2"/>
    <n v="9.7627383960799174E-2"/>
    <n v="240199"/>
    <n v="23450"/>
  </r>
  <r>
    <x v="4"/>
    <x v="76"/>
    <x v="3"/>
    <n v="3.4875249272478238E-2"/>
    <n v="240199"/>
    <n v="8377"/>
  </r>
  <r>
    <x v="4"/>
    <x v="76"/>
    <x v="4"/>
    <n v="3.1261578940794926E-2"/>
    <n v="240199"/>
    <n v="7509"/>
  </r>
  <r>
    <x v="4"/>
    <x v="77"/>
    <x v="0"/>
    <n v="0.42978654242063064"/>
    <n v="276870"/>
    <n v="118995"/>
  </r>
  <r>
    <x v="4"/>
    <x v="77"/>
    <x v="1"/>
    <n v="0.40457976667750206"/>
    <n v="276870"/>
    <n v="112016"/>
  </r>
  <r>
    <x v="4"/>
    <x v="77"/>
    <x v="2"/>
    <n v="0.10010113049445588"/>
    <n v="276870"/>
    <n v="27715"/>
  </r>
  <r>
    <x v="4"/>
    <x v="77"/>
    <x v="3"/>
    <n v="3.4622747137645828E-2"/>
    <n v="276870"/>
    <n v="9586"/>
  </r>
  <r>
    <x v="4"/>
    <x v="77"/>
    <x v="4"/>
    <n v="3.0906201466392169E-2"/>
    <n v="276870"/>
    <n v="8557"/>
  </r>
  <r>
    <x v="4"/>
    <x v="78"/>
    <x v="0"/>
    <n v="0.43190458789777719"/>
    <n v="128621"/>
    <n v="55552"/>
  </r>
  <r>
    <x v="4"/>
    <x v="78"/>
    <x v="1"/>
    <n v="0.3946789404529587"/>
    <n v="128621"/>
    <n v="50764"/>
  </r>
  <r>
    <x v="4"/>
    <x v="78"/>
    <x v="2"/>
    <n v="0.10258044953778932"/>
    <n v="128621"/>
    <n v="13194"/>
  </r>
  <r>
    <x v="4"/>
    <x v="78"/>
    <x v="3"/>
    <n v="3.7311170026667499E-2"/>
    <n v="128621"/>
    <n v="4799"/>
  </r>
  <r>
    <x v="4"/>
    <x v="78"/>
    <x v="4"/>
    <n v="3.349375296413494E-2"/>
    <n v="128621"/>
    <n v="4308"/>
  </r>
  <r>
    <x v="4"/>
    <x v="79"/>
    <x v="0"/>
    <n v="0.44006779105048793"/>
    <n v="256081"/>
    <n v="112693"/>
  </r>
  <r>
    <x v="4"/>
    <x v="79"/>
    <x v="1"/>
    <n v="0.40190018002116518"/>
    <n v="256081"/>
    <n v="102919"/>
  </r>
  <r>
    <x v="4"/>
    <x v="79"/>
    <x v="2"/>
    <n v="9.5688473568909832E-2"/>
    <n v="256081"/>
    <n v="24504"/>
  </r>
  <r>
    <x v="4"/>
    <x v="79"/>
    <x v="3"/>
    <n v="3.2341329501212504E-2"/>
    <n v="256081"/>
    <n v="8282"/>
  </r>
  <r>
    <x v="4"/>
    <x v="79"/>
    <x v="4"/>
    <n v="2.9974890757221349E-2"/>
    <n v="256081"/>
    <n v="7676"/>
  </r>
  <r>
    <x v="4"/>
    <x v="80"/>
    <x v="0"/>
    <n v="0.42541323426479299"/>
    <n v="92865"/>
    <n v="39506"/>
  </r>
  <r>
    <x v="4"/>
    <x v="80"/>
    <x v="1"/>
    <n v="0.39251601787541052"/>
    <n v="92865"/>
    <n v="36451"/>
  </r>
  <r>
    <x v="4"/>
    <x v="80"/>
    <x v="2"/>
    <n v="0.1076078178000323"/>
    <n v="92865"/>
    <n v="9993"/>
  </r>
  <r>
    <x v="4"/>
    <x v="80"/>
    <x v="3"/>
    <n v="3.9681257739729713E-2"/>
    <n v="92865"/>
    <n v="3685"/>
  </r>
  <r>
    <x v="4"/>
    <x v="80"/>
    <x v="4"/>
    <n v="3.4781672320034457E-2"/>
    <n v="92865"/>
    <n v="3230"/>
  </r>
  <r>
    <x v="4"/>
    <x v="81"/>
    <x v="0"/>
    <n v="0.43411528734629806"/>
    <n v="80269"/>
    <n v="34846"/>
  </r>
  <r>
    <x v="4"/>
    <x v="81"/>
    <x v="1"/>
    <n v="0.3766709439509649"/>
    <n v="80269"/>
    <n v="30235"/>
  </r>
  <r>
    <x v="4"/>
    <x v="81"/>
    <x v="2"/>
    <n v="0.10756331834207478"/>
    <n v="80269"/>
    <n v="8634"/>
  </r>
  <r>
    <x v="4"/>
    <x v="81"/>
    <x v="3"/>
    <n v="4.2245449675466243E-2"/>
    <n v="80269"/>
    <n v="3391"/>
  </r>
  <r>
    <x v="4"/>
    <x v="81"/>
    <x v="4"/>
    <n v="3.9330252027557341E-2"/>
    <n v="80269"/>
    <n v="3157"/>
  </r>
  <r>
    <x v="4"/>
    <x v="82"/>
    <x v="0"/>
    <n v="0.4870189553888985"/>
    <n v="75071"/>
    <n v="36561"/>
  </r>
  <r>
    <x v="4"/>
    <x v="82"/>
    <x v="1"/>
    <n v="0.37431231767260326"/>
    <n v="75071"/>
    <n v="28100"/>
  </r>
  <r>
    <x v="4"/>
    <x v="82"/>
    <x v="2"/>
    <n v="8.3254519055294324E-2"/>
    <n v="75071"/>
    <n v="6250"/>
  </r>
  <r>
    <x v="4"/>
    <x v="82"/>
    <x v="3"/>
    <n v="2.8439743709288541E-2"/>
    <n v="75071"/>
    <n v="2135"/>
  </r>
  <r>
    <x v="4"/>
    <x v="82"/>
    <x v="4"/>
    <n v="2.7001105620013056E-2"/>
    <n v="75071"/>
    <n v="2027"/>
  </r>
  <r>
    <x v="4"/>
    <x v="83"/>
    <x v="0"/>
    <n v="0.50605739045850462"/>
    <n v="45234"/>
    <n v="22891"/>
  </r>
  <r>
    <x v="4"/>
    <x v="83"/>
    <x v="1"/>
    <n v="0.35183711367555381"/>
    <n v="45234"/>
    <n v="15915"/>
  </r>
  <r>
    <x v="4"/>
    <x v="83"/>
    <x v="2"/>
    <n v="8.504664632798338E-2"/>
    <n v="45234"/>
    <n v="3847"/>
  </r>
  <r>
    <x v="4"/>
    <x v="83"/>
    <x v="3"/>
    <n v="3.0132201441393641E-2"/>
    <n v="45234"/>
    <n v="1363"/>
  </r>
  <r>
    <x v="4"/>
    <x v="83"/>
    <x v="4"/>
    <n v="2.7037184418800018E-2"/>
    <n v="45234"/>
    <n v="1223"/>
  </r>
  <r>
    <x v="4"/>
    <x v="84"/>
    <x v="0"/>
    <n v="0.49066753987930956"/>
    <n v="42754"/>
    <n v="20978"/>
  </r>
  <r>
    <x v="4"/>
    <x v="84"/>
    <x v="1"/>
    <n v="0.36480797118398278"/>
    <n v="42754"/>
    <n v="15597"/>
  </r>
  <r>
    <x v="4"/>
    <x v="84"/>
    <x v="2"/>
    <n v="8.7968377227861716E-2"/>
    <n v="42754"/>
    <n v="3761"/>
  </r>
  <r>
    <x v="4"/>
    <x v="84"/>
    <x v="3"/>
    <n v="3.0219394676521495E-2"/>
    <n v="42754"/>
    <n v="1292"/>
  </r>
  <r>
    <x v="4"/>
    <x v="84"/>
    <x v="4"/>
    <n v="2.6289937783599195E-2"/>
    <n v="42754"/>
    <n v="1124"/>
  </r>
  <r>
    <x v="4"/>
    <x v="85"/>
    <x v="0"/>
    <n v="0.45766019050816165"/>
    <n v="47662"/>
    <n v="21813"/>
  </r>
  <r>
    <x v="4"/>
    <x v="85"/>
    <x v="1"/>
    <n v="0.38055473962485836"/>
    <n v="47662"/>
    <n v="18138"/>
  </r>
  <r>
    <x v="4"/>
    <x v="85"/>
    <x v="2"/>
    <n v="9.7184339725567531E-2"/>
    <n v="47662"/>
    <n v="4632"/>
  </r>
  <r>
    <x v="4"/>
    <x v="85"/>
    <x v="3"/>
    <n v="3.4933489992027195E-2"/>
    <n v="47662"/>
    <n v="1665"/>
  </r>
  <r>
    <x v="4"/>
    <x v="85"/>
    <x v="4"/>
    <n v="2.9688221224455542E-2"/>
    <n v="47662"/>
    <n v="1415"/>
  </r>
  <r>
    <x v="4"/>
    <x v="86"/>
    <x v="0"/>
    <n v="0.48200457195513102"/>
    <n v="56431"/>
    <n v="27200"/>
  </r>
  <r>
    <x v="4"/>
    <x v="86"/>
    <x v="1"/>
    <n v="0.36664244829969345"/>
    <n v="56431"/>
    <n v="20690"/>
  </r>
  <r>
    <x v="4"/>
    <x v="86"/>
    <x v="2"/>
    <n v="8.8621502365720972E-2"/>
    <n v="56431"/>
    <n v="5001"/>
  </r>
  <r>
    <x v="4"/>
    <x v="86"/>
    <x v="3"/>
    <n v="3.4732682390884444E-2"/>
    <n v="56431"/>
    <n v="1960"/>
  </r>
  <r>
    <x v="4"/>
    <x v="86"/>
    <x v="4"/>
    <n v="2.7998794988570112E-2"/>
    <n v="56431"/>
    <n v="1580"/>
  </r>
  <r>
    <x v="5"/>
    <x v="87"/>
    <x v="0"/>
    <n v="0.39338062810105345"/>
    <n v="140678"/>
    <n v="55340"/>
  </r>
  <r>
    <x v="5"/>
    <x v="87"/>
    <x v="1"/>
    <n v="0.41192652724661993"/>
    <n v="140678"/>
    <n v="57949"/>
  </r>
  <r>
    <x v="5"/>
    <x v="87"/>
    <x v="2"/>
    <n v="0.11428226161873214"/>
    <n v="140678"/>
    <n v="16077"/>
  </r>
  <r>
    <x v="5"/>
    <x v="87"/>
    <x v="3"/>
    <n v="4.2103242866688463E-2"/>
    <n v="140678"/>
    <n v="5923"/>
  </r>
  <r>
    <x v="5"/>
    <x v="87"/>
    <x v="4"/>
    <n v="3.832155703095011E-2"/>
    <n v="140678"/>
    <n v="5391"/>
  </r>
  <r>
    <x v="5"/>
    <x v="88"/>
    <x v="0"/>
    <n v="0.40177739697933662"/>
    <n v="1097110"/>
    <n v="440794"/>
  </r>
  <r>
    <x v="5"/>
    <x v="88"/>
    <x v="1"/>
    <n v="0.41441058781708306"/>
    <n v="1097110"/>
    <n v="454654"/>
  </r>
  <r>
    <x v="5"/>
    <x v="88"/>
    <x v="2"/>
    <n v="0.11147560408710157"/>
    <n v="1097110"/>
    <n v="122301"/>
  </r>
  <r>
    <x v="5"/>
    <x v="88"/>
    <x v="3"/>
    <n v="3.9106379487927376E-2"/>
    <n v="1097110"/>
    <n v="42904"/>
  </r>
  <r>
    <x v="5"/>
    <x v="88"/>
    <x v="4"/>
    <n v="3.3227297171660092E-2"/>
    <n v="1097110"/>
    <n v="36454"/>
  </r>
  <r>
    <x v="5"/>
    <x v="89"/>
    <x v="0"/>
    <n v="0.41273311687252201"/>
    <n v="61289"/>
    <n v="25296"/>
  </r>
  <r>
    <x v="5"/>
    <x v="89"/>
    <x v="1"/>
    <n v="0.40550506616195403"/>
    <n v="61289"/>
    <n v="24853"/>
  </r>
  <r>
    <x v="5"/>
    <x v="89"/>
    <x v="2"/>
    <n v="0.10594070714157516"/>
    <n v="61289"/>
    <n v="6493"/>
  </r>
  <r>
    <x v="5"/>
    <x v="89"/>
    <x v="3"/>
    <n v="3.8489777937313382E-2"/>
    <n v="61289"/>
    <n v="2359"/>
  </r>
  <r>
    <x v="5"/>
    <x v="89"/>
    <x v="4"/>
    <n v="3.7347648028194291E-2"/>
    <n v="61289"/>
    <n v="2289"/>
  </r>
  <r>
    <x v="5"/>
    <x v="90"/>
    <x v="0"/>
    <n v="0.43432623451750602"/>
    <n v="85742"/>
    <n v="37240"/>
  </r>
  <r>
    <x v="5"/>
    <x v="90"/>
    <x v="1"/>
    <n v="0.40084206106692172"/>
    <n v="85742"/>
    <n v="34369"/>
  </r>
  <r>
    <x v="5"/>
    <x v="90"/>
    <x v="2"/>
    <n v="9.9391196846353017E-2"/>
    <n v="85742"/>
    <n v="8522"/>
  </r>
  <r>
    <x v="5"/>
    <x v="90"/>
    <x v="3"/>
    <n v="3.3834060320496372E-2"/>
    <n v="85742"/>
    <n v="2901"/>
  </r>
  <r>
    <x v="5"/>
    <x v="90"/>
    <x v="4"/>
    <n v="3.1548132770404233E-2"/>
    <n v="85742"/>
    <n v="2705"/>
  </r>
  <r>
    <x v="5"/>
    <x v="91"/>
    <x v="0"/>
    <n v="0.37581322725751887"/>
    <n v="80697"/>
    <n v="30327"/>
  </r>
  <r>
    <x v="5"/>
    <x v="91"/>
    <x v="1"/>
    <n v="0.39353383644993001"/>
    <n v="80697"/>
    <n v="31757"/>
  </r>
  <r>
    <x v="5"/>
    <x v="91"/>
    <x v="2"/>
    <n v="0.13260716011747647"/>
    <n v="80697"/>
    <n v="10701"/>
  </r>
  <r>
    <x v="5"/>
    <x v="91"/>
    <x v="3"/>
    <n v="5.1526079036395403E-2"/>
    <n v="80697"/>
    <n v="4158"/>
  </r>
  <r>
    <x v="5"/>
    <x v="91"/>
    <x v="4"/>
    <n v="4.6544481207479831E-2"/>
    <n v="80697"/>
    <n v="3756"/>
  </r>
  <r>
    <x v="5"/>
    <x v="92"/>
    <x v="0"/>
    <n v="0.42800298433225564"/>
    <n v="24126"/>
    <n v="10326"/>
  </r>
  <r>
    <x v="5"/>
    <x v="92"/>
    <x v="1"/>
    <n v="0.41063582856669156"/>
    <n v="24126"/>
    <n v="9907"/>
  </r>
  <r>
    <x v="5"/>
    <x v="92"/>
    <x v="2"/>
    <n v="9.7571085136367405E-2"/>
    <n v="24126"/>
    <n v="2354"/>
  </r>
  <r>
    <x v="5"/>
    <x v="92"/>
    <x v="3"/>
    <n v="3.2496062339384894E-2"/>
    <n v="24126"/>
    <n v="784"/>
  </r>
  <r>
    <x v="5"/>
    <x v="92"/>
    <x v="4"/>
    <n v="3.1335488684406866E-2"/>
    <n v="24126"/>
    <n v="756"/>
  </r>
  <r>
    <x v="5"/>
    <x v="93"/>
    <x v="0"/>
    <n v="0.39305714023422644"/>
    <n v="76251"/>
    <n v="29971"/>
  </r>
  <r>
    <x v="5"/>
    <x v="93"/>
    <x v="1"/>
    <n v="0.40660450354749444"/>
    <n v="76251"/>
    <n v="31004"/>
  </r>
  <r>
    <x v="5"/>
    <x v="93"/>
    <x v="2"/>
    <n v="0.11763780147145611"/>
    <n v="76251"/>
    <n v="8970"/>
  </r>
  <r>
    <x v="5"/>
    <x v="93"/>
    <x v="3"/>
    <n v="4.3160089703741591E-2"/>
    <n v="76251"/>
    <n v="3291"/>
  </r>
  <r>
    <x v="5"/>
    <x v="93"/>
    <x v="4"/>
    <n v="3.9540465043081403E-2"/>
    <n v="76251"/>
    <n v="3015"/>
  </r>
  <r>
    <x v="5"/>
    <x v="94"/>
    <x v="0"/>
    <n v="0.37031768610715982"/>
    <n v="56943"/>
    <n v="21087"/>
  </r>
  <r>
    <x v="5"/>
    <x v="94"/>
    <x v="1"/>
    <n v="0.42317756352844071"/>
    <n v="56943"/>
    <n v="24097"/>
  </r>
  <r>
    <x v="5"/>
    <x v="94"/>
    <x v="2"/>
    <n v="0.12154259522680576"/>
    <n v="56943"/>
    <n v="6921"/>
  </r>
  <r>
    <x v="5"/>
    <x v="94"/>
    <x v="3"/>
    <n v="4.2779621726990145E-2"/>
    <n v="56943"/>
    <n v="2436"/>
  </r>
  <r>
    <x v="5"/>
    <x v="94"/>
    <x v="4"/>
    <n v="4.2270340515954553E-2"/>
    <n v="56943"/>
    <n v="2407"/>
  </r>
  <r>
    <x v="5"/>
    <x v="95"/>
    <x v="0"/>
    <n v="0.4673573511037068"/>
    <n v="76832"/>
    <n v="35908"/>
  </r>
  <r>
    <x v="5"/>
    <x v="95"/>
    <x v="1"/>
    <n v="0.39082673885880881"/>
    <n v="76832"/>
    <n v="30028"/>
  </r>
  <r>
    <x v="5"/>
    <x v="95"/>
    <x v="2"/>
    <n v="8.6916909620991259E-2"/>
    <n v="76832"/>
    <n v="6678"/>
  </r>
  <r>
    <x v="5"/>
    <x v="95"/>
    <x v="3"/>
    <n v="2.7983132028321533E-2"/>
    <n v="76832"/>
    <n v="2150"/>
  </r>
  <r>
    <x v="5"/>
    <x v="95"/>
    <x v="4"/>
    <n v="2.6993960849645979E-2"/>
    <n v="76832"/>
    <n v="2074"/>
  </r>
  <r>
    <x v="5"/>
    <x v="96"/>
    <x v="0"/>
    <n v="0.38774701879959828"/>
    <n v="70693"/>
    <n v="27411"/>
  </r>
  <r>
    <x v="5"/>
    <x v="96"/>
    <x v="1"/>
    <n v="0.39940305263604597"/>
    <n v="70693"/>
    <n v="28235"/>
  </r>
  <r>
    <x v="5"/>
    <x v="96"/>
    <x v="2"/>
    <n v="0.12135572121709363"/>
    <n v="70693"/>
    <n v="8579"/>
  </r>
  <r>
    <x v="5"/>
    <x v="96"/>
    <x v="3"/>
    <n v="4.7062651181870904E-2"/>
    <n v="70693"/>
    <n v="3327"/>
  </r>
  <r>
    <x v="5"/>
    <x v="96"/>
    <x v="4"/>
    <n v="4.4403264821127976E-2"/>
    <n v="70693"/>
    <n v="3139"/>
  </r>
  <r>
    <x v="5"/>
    <x v="97"/>
    <x v="0"/>
    <n v="0.42757748260594558"/>
    <n v="77469"/>
    <n v="33124"/>
  </r>
  <r>
    <x v="5"/>
    <x v="97"/>
    <x v="1"/>
    <n v="0.3888910402870826"/>
    <n v="77469"/>
    <n v="30127"/>
  </r>
  <r>
    <x v="5"/>
    <x v="97"/>
    <x v="2"/>
    <n v="0.10353818946933613"/>
    <n v="77469"/>
    <n v="8021"/>
  </r>
  <r>
    <x v="5"/>
    <x v="97"/>
    <x v="3"/>
    <n v="4.0867960087260707E-2"/>
    <n v="77469"/>
    <n v="3166"/>
  </r>
  <r>
    <x v="5"/>
    <x v="97"/>
    <x v="4"/>
    <n v="3.9086602382888642E-2"/>
    <n v="77469"/>
    <n v="3028"/>
  </r>
  <r>
    <x v="5"/>
    <x v="98"/>
    <x v="0"/>
    <n v="0.50631942870097479"/>
    <n v="35288"/>
    <n v="17867"/>
  </r>
  <r>
    <x v="5"/>
    <x v="98"/>
    <x v="1"/>
    <n v="0.36196440716390843"/>
    <n v="35288"/>
    <n v="12773"/>
  </r>
  <r>
    <x v="5"/>
    <x v="98"/>
    <x v="2"/>
    <n v="7.9063704375425078E-2"/>
    <n v="35288"/>
    <n v="2790"/>
  </r>
  <r>
    <x v="5"/>
    <x v="98"/>
    <x v="3"/>
    <n v="2.6326229879845842E-2"/>
    <n v="35288"/>
    <n v="929"/>
  </r>
  <r>
    <x v="5"/>
    <x v="98"/>
    <x v="4"/>
    <n v="2.6326229879845842E-2"/>
    <n v="35288"/>
    <n v="929"/>
  </r>
  <r>
    <x v="5"/>
    <x v="99"/>
    <x v="0"/>
    <n v="0.38638855311612741"/>
    <n v="35573"/>
    <n v="13745"/>
  </r>
  <r>
    <x v="5"/>
    <x v="99"/>
    <x v="1"/>
    <n v="0.39260113007055913"/>
    <n v="35573"/>
    <n v="13966"/>
  </r>
  <r>
    <x v="5"/>
    <x v="99"/>
    <x v="2"/>
    <n v="0.12118741742332668"/>
    <n v="35573"/>
    <n v="4311"/>
  </r>
  <r>
    <x v="5"/>
    <x v="99"/>
    <x v="3"/>
    <n v="4.8266944030584992E-2"/>
    <n v="35573"/>
    <n v="1717"/>
  </r>
  <r>
    <x v="5"/>
    <x v="99"/>
    <x v="4"/>
    <n v="5.1527844151463185E-2"/>
    <n v="35573"/>
    <n v="1833"/>
  </r>
  <r>
    <x v="5"/>
    <x v="100"/>
    <x v="0"/>
    <n v="0.42315841954381156"/>
    <n v="48138"/>
    <n v="20370"/>
  </r>
  <r>
    <x v="5"/>
    <x v="100"/>
    <x v="1"/>
    <n v="0.40548007810877063"/>
    <n v="48138"/>
    <n v="19519"/>
  </r>
  <r>
    <x v="5"/>
    <x v="100"/>
    <x v="2"/>
    <n v="0.10000415472184138"/>
    <n v="48138"/>
    <n v="4814"/>
  </r>
  <r>
    <x v="5"/>
    <x v="100"/>
    <x v="3"/>
    <n v="3.6291495284390712E-2"/>
    <n v="48138"/>
    <n v="1747"/>
  </r>
  <r>
    <x v="5"/>
    <x v="100"/>
    <x v="4"/>
    <n v="3.496198429515144E-2"/>
    <n v="48138"/>
    <n v="1683"/>
  </r>
  <r>
    <x v="6"/>
    <x v="101"/>
    <x v="0"/>
    <n v="0.4543966910620526"/>
    <n v="298827"/>
    <n v="135786"/>
  </r>
  <r>
    <x v="6"/>
    <x v="101"/>
    <x v="1"/>
    <n v="0.39294307408634427"/>
    <n v="298827"/>
    <n v="117422"/>
  </r>
  <r>
    <x v="6"/>
    <x v="101"/>
    <x v="2"/>
    <n v="9.5024880616544016E-2"/>
    <n v="298827"/>
    <n v="28396"/>
  </r>
  <r>
    <x v="6"/>
    <x v="101"/>
    <x v="3"/>
    <n v="3.218584666044233E-2"/>
    <n v="298827"/>
    <n v="9618"/>
  </r>
  <r>
    <x v="6"/>
    <x v="101"/>
    <x v="4"/>
    <n v="2.5442814738962677E-2"/>
    <n v="298827"/>
    <n v="7603"/>
  </r>
  <r>
    <x v="6"/>
    <x v="102"/>
    <x v="0"/>
    <n v="0.42846730107309172"/>
    <n v="172865"/>
    <n v="74067"/>
  </r>
  <r>
    <x v="6"/>
    <x v="102"/>
    <x v="1"/>
    <n v="0.41246637549532872"/>
    <n v="172865"/>
    <n v="71301"/>
  </r>
  <r>
    <x v="6"/>
    <x v="102"/>
    <x v="2"/>
    <n v="9.6861712897347643E-2"/>
    <n v="172865"/>
    <n v="16744"/>
  </r>
  <r>
    <x v="6"/>
    <x v="102"/>
    <x v="3"/>
    <n v="3.2453070314985684E-2"/>
    <n v="172865"/>
    <n v="5610"/>
  </r>
  <r>
    <x v="6"/>
    <x v="102"/>
    <x v="4"/>
    <n v="2.9797819107395946E-2"/>
    <n v="172865"/>
    <n v="5151"/>
  </r>
  <r>
    <x v="6"/>
    <x v="103"/>
    <x v="0"/>
    <n v="0.45253797000036883"/>
    <n v="1328483"/>
    <n v="601189"/>
  </r>
  <r>
    <x v="6"/>
    <x v="103"/>
    <x v="1"/>
    <n v="0.39647402337854531"/>
    <n v="1328483"/>
    <n v="526709"/>
  </r>
  <r>
    <x v="6"/>
    <x v="103"/>
    <x v="2"/>
    <n v="9.4908252495515558E-2"/>
    <n v="1328483"/>
    <n v="126084"/>
  </r>
  <r>
    <x v="6"/>
    <x v="103"/>
    <x v="3"/>
    <n v="3.1365098386656055E-2"/>
    <n v="1328483"/>
    <n v="41668"/>
  </r>
  <r>
    <x v="6"/>
    <x v="103"/>
    <x v="4"/>
    <n v="2.4714655738914234E-2"/>
    <n v="1328483"/>
    <n v="32833"/>
  </r>
  <r>
    <x v="6"/>
    <x v="104"/>
    <x v="0"/>
    <n v="0.49299620783647352"/>
    <n v="200677"/>
    <n v="98933"/>
  </r>
  <r>
    <x v="6"/>
    <x v="104"/>
    <x v="1"/>
    <n v="0.36049472535467442"/>
    <n v="200677"/>
    <n v="72343"/>
  </r>
  <r>
    <x v="6"/>
    <x v="104"/>
    <x v="2"/>
    <n v="8.5281322722584055E-2"/>
    <n v="200677"/>
    <n v="17114"/>
  </r>
  <r>
    <x v="6"/>
    <x v="104"/>
    <x v="3"/>
    <n v="2.9649635982200252E-2"/>
    <n v="200677"/>
    <n v="5950"/>
  </r>
  <r>
    <x v="6"/>
    <x v="104"/>
    <x v="4"/>
    <n v="3.1588074368263427E-2"/>
    <n v="200677"/>
    <n v="6339"/>
  </r>
  <r>
    <x v="6"/>
    <x v="105"/>
    <x v="0"/>
    <n v="0.47537675767702881"/>
    <n v="301321"/>
    <n v="143241"/>
  </r>
  <r>
    <x v="6"/>
    <x v="105"/>
    <x v="1"/>
    <n v="0.39705496795775935"/>
    <n v="301321"/>
    <n v="119641"/>
  </r>
  <r>
    <x v="6"/>
    <x v="105"/>
    <x v="2"/>
    <n v="8.2035437291128069E-2"/>
    <n v="301321"/>
    <n v="24719"/>
  </r>
  <r>
    <x v="6"/>
    <x v="105"/>
    <x v="3"/>
    <n v="2.607850100059405E-2"/>
    <n v="301321"/>
    <n v="7858"/>
  </r>
  <r>
    <x v="6"/>
    <x v="105"/>
    <x v="4"/>
    <n v="1.9457654793393092E-2"/>
    <n v="301321"/>
    <n v="5863"/>
  </r>
  <r>
    <x v="6"/>
    <x v="106"/>
    <x v="0"/>
    <n v="0.4135397706090046"/>
    <n v="182396"/>
    <n v="75428"/>
  </r>
  <r>
    <x v="6"/>
    <x v="106"/>
    <x v="1"/>
    <n v="0.40412618697778457"/>
    <n v="182396"/>
    <n v="73711"/>
  </r>
  <r>
    <x v="6"/>
    <x v="106"/>
    <x v="2"/>
    <n v="0.10684444834316542"/>
    <n v="182396"/>
    <n v="19488"/>
  </r>
  <r>
    <x v="6"/>
    <x v="106"/>
    <x v="3"/>
    <n v="3.9759643851838854E-2"/>
    <n v="182396"/>
    <n v="7252"/>
  </r>
  <r>
    <x v="6"/>
    <x v="106"/>
    <x v="4"/>
    <n v="3.5718985065461964E-2"/>
    <n v="182396"/>
    <n v="6515"/>
  </r>
  <r>
    <x v="6"/>
    <x v="107"/>
    <x v="0"/>
    <n v="0.4839104247462363"/>
    <n v="172503"/>
    <n v="83476"/>
  </r>
  <r>
    <x v="6"/>
    <x v="107"/>
    <x v="1"/>
    <n v="0.37805719320823405"/>
    <n v="172503"/>
    <n v="65216"/>
  </r>
  <r>
    <x v="6"/>
    <x v="107"/>
    <x v="2"/>
    <n v="8.6027489376996336E-2"/>
    <n v="172503"/>
    <n v="14840"/>
  </r>
  <r>
    <x v="6"/>
    <x v="107"/>
    <x v="3"/>
    <n v="2.8585010115766103E-2"/>
    <n v="172503"/>
    <n v="4931"/>
  </r>
  <r>
    <x v="6"/>
    <x v="107"/>
    <x v="4"/>
    <n v="2.3408288551503453E-2"/>
    <n v="172503"/>
    <n v="4038"/>
  </r>
  <r>
    <x v="6"/>
    <x v="108"/>
    <x v="0"/>
    <n v="0.4487318013211099"/>
    <n v="448865"/>
    <n v="201420"/>
  </r>
  <r>
    <x v="6"/>
    <x v="108"/>
    <x v="1"/>
    <n v="0.39595646798035045"/>
    <n v="448865"/>
    <n v="177731"/>
  </r>
  <r>
    <x v="6"/>
    <x v="108"/>
    <x v="2"/>
    <n v="9.4353536141156033E-2"/>
    <n v="448865"/>
    <n v="42352"/>
  </r>
  <r>
    <x v="6"/>
    <x v="108"/>
    <x v="3"/>
    <n v="3.2354939681195904E-2"/>
    <n v="448865"/>
    <n v="14523"/>
  </r>
  <r>
    <x v="6"/>
    <x v="108"/>
    <x v="4"/>
    <n v="2.8601027034854579E-2"/>
    <n v="448865"/>
    <n v="12838"/>
  </r>
  <r>
    <x v="6"/>
    <x v="109"/>
    <x v="0"/>
    <n v="0.53176727219401321"/>
    <n v="109106"/>
    <n v="58019"/>
  </r>
  <r>
    <x v="6"/>
    <x v="109"/>
    <x v="1"/>
    <n v="0.35079647315454693"/>
    <n v="109106"/>
    <n v="38274"/>
  </r>
  <r>
    <x v="6"/>
    <x v="109"/>
    <x v="2"/>
    <n v="7.1150990779608819E-2"/>
    <n v="109106"/>
    <n v="7763"/>
  </r>
  <r>
    <x v="6"/>
    <x v="109"/>
    <x v="3"/>
    <n v="2.5241508258024306E-2"/>
    <n v="109106"/>
    <n v="2754"/>
  </r>
  <r>
    <x v="6"/>
    <x v="109"/>
    <x v="4"/>
    <n v="2.1025424816233755E-2"/>
    <n v="109106"/>
    <n v="2294"/>
  </r>
  <r>
    <x v="6"/>
    <x v="110"/>
    <x v="0"/>
    <n v="0.4736271832878256"/>
    <n v="115365"/>
    <n v="54640"/>
  </r>
  <r>
    <x v="6"/>
    <x v="110"/>
    <x v="1"/>
    <n v="0.38064404282061282"/>
    <n v="115365"/>
    <n v="43913"/>
  </r>
  <r>
    <x v="6"/>
    <x v="110"/>
    <x v="2"/>
    <n v="8.750487582889091E-2"/>
    <n v="115365"/>
    <n v="10095"/>
  </r>
  <r>
    <x v="6"/>
    <x v="110"/>
    <x v="3"/>
    <n v="3.0624539505049193E-2"/>
    <n v="115365"/>
    <n v="3533"/>
  </r>
  <r>
    <x v="6"/>
    <x v="110"/>
    <x v="4"/>
    <n v="2.7590690417370951E-2"/>
    <n v="115365"/>
    <n v="3183"/>
  </r>
  <r>
    <x v="6"/>
    <x v="111"/>
    <x v="0"/>
    <n v="0.53257455431229117"/>
    <n v="140401"/>
    <n v="74774"/>
  </r>
  <r>
    <x v="6"/>
    <x v="111"/>
    <x v="1"/>
    <n v="0.35120120227063911"/>
    <n v="140401"/>
    <n v="49309"/>
  </r>
  <r>
    <x v="6"/>
    <x v="111"/>
    <x v="2"/>
    <n v="7.1865585002955826E-2"/>
    <n v="140401"/>
    <n v="10090"/>
  </r>
  <r>
    <x v="6"/>
    <x v="111"/>
    <x v="3"/>
    <n v="2.3119493450901345E-2"/>
    <n v="140401"/>
    <n v="3246"/>
  </r>
  <r>
    <x v="6"/>
    <x v="111"/>
    <x v="4"/>
    <n v="2.122492005042699E-2"/>
    <n v="140401"/>
    <n v="2980"/>
  </r>
  <r>
    <x v="6"/>
    <x v="112"/>
    <x v="0"/>
    <n v="0.46650436404133538"/>
    <n v="193055"/>
    <n v="90061"/>
  </r>
  <r>
    <x v="6"/>
    <x v="112"/>
    <x v="1"/>
    <n v="0.38578643391779543"/>
    <n v="193055"/>
    <n v="74478"/>
  </r>
  <r>
    <x v="6"/>
    <x v="112"/>
    <x v="2"/>
    <n v="9.0326590867887385E-2"/>
    <n v="193055"/>
    <n v="17438"/>
  </r>
  <r>
    <x v="6"/>
    <x v="112"/>
    <x v="3"/>
    <n v="3.0240087021833156E-2"/>
    <n v="193055"/>
    <n v="5838"/>
  </r>
  <r>
    <x v="6"/>
    <x v="112"/>
    <x v="4"/>
    <n v="2.7152883893191058E-2"/>
    <n v="193055"/>
    <n v="5242"/>
  </r>
  <r>
    <x v="6"/>
    <x v="113"/>
    <x v="0"/>
    <n v="0.44257201865897516"/>
    <n v="112332"/>
    <n v="49715"/>
  </r>
  <r>
    <x v="6"/>
    <x v="113"/>
    <x v="1"/>
    <n v="0.39189189189189189"/>
    <n v="112332"/>
    <n v="44022"/>
  </r>
  <r>
    <x v="6"/>
    <x v="113"/>
    <x v="2"/>
    <n v="9.6998183954705691E-2"/>
    <n v="112332"/>
    <n v="10896"/>
  </r>
  <r>
    <x v="6"/>
    <x v="113"/>
    <x v="3"/>
    <n v="3.4887654452871841E-2"/>
    <n v="112332"/>
    <n v="3919"/>
  </r>
  <r>
    <x v="6"/>
    <x v="113"/>
    <x v="4"/>
    <n v="3.365025104155539E-2"/>
    <n v="112332"/>
    <n v="3780"/>
  </r>
  <r>
    <x v="6"/>
    <x v="114"/>
    <x v="0"/>
    <n v="0.49161675206273603"/>
    <n v="207855"/>
    <n v="102185"/>
  </r>
  <r>
    <x v="6"/>
    <x v="114"/>
    <x v="1"/>
    <n v="0.37950494334993146"/>
    <n v="207855"/>
    <n v="78882"/>
  </r>
  <r>
    <x v="6"/>
    <x v="114"/>
    <x v="2"/>
    <n v="7.9290851795722983E-2"/>
    <n v="207855"/>
    <n v="16481"/>
  </r>
  <r>
    <x v="6"/>
    <x v="114"/>
    <x v="3"/>
    <n v="2.6157657982728344E-2"/>
    <n v="207855"/>
    <n v="5437"/>
  </r>
  <r>
    <x v="6"/>
    <x v="114"/>
    <x v="4"/>
    <n v="2.3405739578071252E-2"/>
    <n v="207855"/>
    <n v="4865"/>
  </r>
  <r>
    <x v="6"/>
    <x v="115"/>
    <x v="0"/>
    <n v="0.51839209436969003"/>
    <n v="106051"/>
    <n v="54976"/>
  </r>
  <r>
    <x v="6"/>
    <x v="115"/>
    <x v="1"/>
    <n v="0.34472093615336019"/>
    <n v="106051"/>
    <n v="36558"/>
  </r>
  <r>
    <x v="6"/>
    <x v="115"/>
    <x v="2"/>
    <n v="7.9405191841661088E-2"/>
    <n v="106051"/>
    <n v="8421"/>
  </r>
  <r>
    <x v="6"/>
    <x v="115"/>
    <x v="3"/>
    <n v="2.8307135246249445E-2"/>
    <n v="106051"/>
    <n v="3002"/>
  </r>
  <r>
    <x v="6"/>
    <x v="115"/>
    <x v="4"/>
    <n v="2.9221789516364768E-2"/>
    <n v="106051"/>
    <n v="3099"/>
  </r>
  <r>
    <x v="6"/>
    <x v="116"/>
    <x v="0"/>
    <n v="0.46156241610738252"/>
    <n v="93125"/>
    <n v="42983"/>
  </r>
  <r>
    <x v="6"/>
    <x v="116"/>
    <x v="1"/>
    <n v="0.39818523489932883"/>
    <n v="93125"/>
    <n v="37081"/>
  </r>
  <r>
    <x v="6"/>
    <x v="116"/>
    <x v="2"/>
    <n v="8.8955704697986582E-2"/>
    <n v="93125"/>
    <n v="8284"/>
  </r>
  <r>
    <x v="6"/>
    <x v="116"/>
    <x v="3"/>
    <n v="2.8467114093959731E-2"/>
    <n v="93125"/>
    <n v="2651"/>
  </r>
  <r>
    <x v="6"/>
    <x v="116"/>
    <x v="4"/>
    <n v="2.2883221476510066E-2"/>
    <n v="93125"/>
    <n v="2131"/>
  </r>
  <r>
    <x v="6"/>
    <x v="117"/>
    <x v="0"/>
    <n v="0.51255546854607148"/>
    <n v="38310"/>
    <n v="19636"/>
  </r>
  <r>
    <x v="6"/>
    <x v="117"/>
    <x v="1"/>
    <n v="0.34701122422344033"/>
    <n v="38310"/>
    <n v="13294"/>
  </r>
  <r>
    <x v="6"/>
    <x v="117"/>
    <x v="2"/>
    <n v="7.9770294962150878E-2"/>
    <n v="38310"/>
    <n v="3056"/>
  </r>
  <r>
    <x v="6"/>
    <x v="117"/>
    <x v="3"/>
    <n v="2.9548420777864789E-2"/>
    <n v="38310"/>
    <n v="1132"/>
  </r>
  <r>
    <x v="6"/>
    <x v="117"/>
    <x v="4"/>
    <n v="3.0931871574001565E-2"/>
    <n v="38310"/>
    <n v="1185"/>
  </r>
  <r>
    <x v="6"/>
    <x v="118"/>
    <x v="0"/>
    <n v="0.45993807098804923"/>
    <n v="39077"/>
    <n v="17973"/>
  </r>
  <r>
    <x v="6"/>
    <x v="118"/>
    <x v="1"/>
    <n v="0.38767049671162063"/>
    <n v="39077"/>
    <n v="15149"/>
  </r>
  <r>
    <x v="6"/>
    <x v="118"/>
    <x v="2"/>
    <n v="8.8594313790720886E-2"/>
    <n v="39077"/>
    <n v="3462"/>
  </r>
  <r>
    <x v="6"/>
    <x v="118"/>
    <x v="3"/>
    <n v="3.2602298026972384E-2"/>
    <n v="39077"/>
    <n v="1274"/>
  </r>
  <r>
    <x v="6"/>
    <x v="118"/>
    <x v="4"/>
    <n v="3.1041277477800239E-2"/>
    <n v="39077"/>
    <n v="1213"/>
  </r>
  <r>
    <x v="6"/>
    <x v="119"/>
    <x v="0"/>
    <n v="0.50430372248856969"/>
    <n v="54023"/>
    <n v="27244"/>
  </r>
  <r>
    <x v="6"/>
    <x v="119"/>
    <x v="1"/>
    <n v="0.36952779371749067"/>
    <n v="54023"/>
    <n v="19963"/>
  </r>
  <r>
    <x v="6"/>
    <x v="119"/>
    <x v="2"/>
    <n v="7.7115302741424946E-2"/>
    <n v="54023"/>
    <n v="4166"/>
  </r>
  <r>
    <x v="6"/>
    <x v="119"/>
    <x v="3"/>
    <n v="2.6988504896062786E-2"/>
    <n v="54023"/>
    <n v="1458"/>
  </r>
  <r>
    <x v="6"/>
    <x v="119"/>
    <x v="4"/>
    <n v="2.2027654887733002E-2"/>
    <n v="54023"/>
    <n v="1190"/>
  </r>
  <r>
    <x v="6"/>
    <x v="120"/>
    <x v="0"/>
    <n v="0.47271229594129099"/>
    <n v="66770"/>
    <n v="31563"/>
  </r>
  <r>
    <x v="6"/>
    <x v="120"/>
    <x v="1"/>
    <n v="0.38394488542758726"/>
    <n v="66770"/>
    <n v="25636"/>
  </r>
  <r>
    <x v="6"/>
    <x v="120"/>
    <x v="2"/>
    <n v="8.4199490789276618E-2"/>
    <n v="66770"/>
    <n v="5622"/>
  </r>
  <r>
    <x v="6"/>
    <x v="120"/>
    <x v="3"/>
    <n v="2.9728920173730716E-2"/>
    <n v="66770"/>
    <n v="1985"/>
  </r>
  <r>
    <x v="6"/>
    <x v="120"/>
    <x v="4"/>
    <n v="2.9384454096150966E-2"/>
    <n v="66770"/>
    <n v="1962"/>
  </r>
  <r>
    <x v="6"/>
    <x v="121"/>
    <x v="0"/>
    <n v="0.52240336521356967"/>
    <n v="47783"/>
    <n v="24962"/>
  </r>
  <r>
    <x v="6"/>
    <x v="121"/>
    <x v="1"/>
    <n v="0.33319381369943285"/>
    <n v="47783"/>
    <n v="15921"/>
  </r>
  <r>
    <x v="6"/>
    <x v="121"/>
    <x v="2"/>
    <n v="8.0363309126676857E-2"/>
    <n v="47783"/>
    <n v="3840"/>
  </r>
  <r>
    <x v="6"/>
    <x v="121"/>
    <x v="3"/>
    <n v="3.0868719000481343E-2"/>
    <n v="47783"/>
    <n v="1475"/>
  </r>
  <r>
    <x v="6"/>
    <x v="121"/>
    <x v="4"/>
    <n v="3.3254504740179561E-2"/>
    <n v="47783"/>
    <n v="1589"/>
  </r>
  <r>
    <x v="6"/>
    <x v="122"/>
    <x v="0"/>
    <n v="0.45181896434558055"/>
    <n v="22073"/>
    <n v="9973"/>
  </r>
  <r>
    <x v="6"/>
    <x v="122"/>
    <x v="1"/>
    <n v="0.38821184252253887"/>
    <n v="22073"/>
    <n v="8569"/>
  </r>
  <r>
    <x v="6"/>
    <x v="122"/>
    <x v="2"/>
    <n v="9.2692429665201831E-2"/>
    <n v="22073"/>
    <n v="2046"/>
  </r>
  <r>
    <x v="6"/>
    <x v="122"/>
    <x v="3"/>
    <n v="3.4159380238300188E-2"/>
    <n v="22073"/>
    <n v="754"/>
  </r>
  <r>
    <x v="6"/>
    <x v="122"/>
    <x v="4"/>
    <n v="3.30267747927332E-2"/>
    <n v="22073"/>
    <n v="729"/>
  </r>
  <r>
    <x v="6"/>
    <x v="123"/>
    <x v="0"/>
    <n v="0.55464674601164854"/>
    <n v="39490"/>
    <n v="21903"/>
  </r>
  <r>
    <x v="6"/>
    <x v="123"/>
    <x v="1"/>
    <n v="0.33833881995441883"/>
    <n v="39490"/>
    <n v="13361"/>
  </r>
  <r>
    <x v="6"/>
    <x v="123"/>
    <x v="2"/>
    <n v="6.5662192960243101E-2"/>
    <n v="39490"/>
    <n v="2593"/>
  </r>
  <r>
    <x v="6"/>
    <x v="123"/>
    <x v="3"/>
    <n v="2.071410483666751E-2"/>
    <n v="39490"/>
    <n v="818"/>
  </r>
  <r>
    <x v="6"/>
    <x v="123"/>
    <x v="4"/>
    <n v="2.056216763737655E-2"/>
    <n v="39490"/>
    <n v="812"/>
  </r>
  <r>
    <x v="6"/>
    <x v="124"/>
    <x v="0"/>
    <n v="0.52541871820748853"/>
    <n v="98097"/>
    <n v="51542"/>
  </r>
  <r>
    <x v="6"/>
    <x v="124"/>
    <x v="1"/>
    <n v="0.35732998970406843"/>
    <n v="98097"/>
    <n v="35053"/>
  </r>
  <r>
    <x v="6"/>
    <x v="124"/>
    <x v="2"/>
    <n v="7.3254024078208302E-2"/>
    <n v="98097"/>
    <n v="7186"/>
  </r>
  <r>
    <x v="6"/>
    <x v="124"/>
    <x v="3"/>
    <n v="2.3466568804346718E-2"/>
    <n v="98097"/>
    <n v="2302"/>
  </r>
  <r>
    <x v="6"/>
    <x v="124"/>
    <x v="4"/>
    <n v="2.0520505214226735E-2"/>
    <n v="98097"/>
    <n v="2013"/>
  </r>
  <r>
    <x v="6"/>
    <x v="125"/>
    <x v="0"/>
    <n v="0.55021208407955513"/>
    <n v="53045"/>
    <n v="29186"/>
  </r>
  <r>
    <x v="6"/>
    <x v="125"/>
    <x v="1"/>
    <n v="0.34506551041568478"/>
    <n v="53045"/>
    <n v="18304"/>
  </r>
  <r>
    <x v="6"/>
    <x v="125"/>
    <x v="2"/>
    <n v="6.4850598548402305E-2"/>
    <n v="53045"/>
    <n v="3440"/>
  </r>
  <r>
    <x v="6"/>
    <x v="125"/>
    <x v="3"/>
    <n v="2.0925629182769346E-2"/>
    <n v="53045"/>
    <n v="1110"/>
  </r>
  <r>
    <x v="6"/>
    <x v="125"/>
    <x v="4"/>
    <n v="1.8870770100857762E-2"/>
    <n v="53045"/>
    <n v="1001"/>
  </r>
  <r>
    <x v="6"/>
    <x v="126"/>
    <x v="0"/>
    <n v="0.45855300056085252"/>
    <n v="17830"/>
    <n v="8176"/>
  </r>
  <r>
    <x v="6"/>
    <x v="126"/>
    <x v="1"/>
    <n v="0.38642736960179475"/>
    <n v="17830"/>
    <n v="6890"/>
  </r>
  <r>
    <x v="6"/>
    <x v="126"/>
    <x v="2"/>
    <n v="9.2484576556365675E-2"/>
    <n v="17830"/>
    <n v="1649"/>
  </r>
  <r>
    <x v="6"/>
    <x v="126"/>
    <x v="3"/>
    <n v="3.2361189007291083E-2"/>
    <n v="17830"/>
    <n v="577"/>
  </r>
  <r>
    <x v="6"/>
    <x v="126"/>
    <x v="4"/>
    <n v="3.0061693774537296E-2"/>
    <n v="17830"/>
    <n v="536"/>
  </r>
  <r>
    <x v="6"/>
    <x v="127"/>
    <x v="0"/>
    <n v="0.52135851045804549"/>
    <n v="106234"/>
    <n v="55386"/>
  </r>
  <r>
    <x v="6"/>
    <x v="127"/>
    <x v="1"/>
    <n v="0.36366888190221586"/>
    <n v="106234"/>
    <n v="38634"/>
  </r>
  <r>
    <x v="6"/>
    <x v="127"/>
    <x v="2"/>
    <n v="7.2349718545851607E-2"/>
    <n v="106234"/>
    <n v="7686"/>
  </r>
  <r>
    <x v="6"/>
    <x v="127"/>
    <x v="3"/>
    <n v="2.3740045559801946E-2"/>
    <n v="106234"/>
    <n v="2522"/>
  </r>
  <r>
    <x v="6"/>
    <x v="127"/>
    <x v="4"/>
    <n v="1.8892256716305515E-2"/>
    <n v="106234"/>
    <n v="2007"/>
  </r>
  <r>
    <x v="7"/>
    <x v="128"/>
    <x v="0"/>
    <n v="0.39515986052833757"/>
    <n v="101526"/>
    <n v="40119"/>
  </r>
  <r>
    <x v="7"/>
    <x v="128"/>
    <x v="1"/>
    <n v="0.39743513976715322"/>
    <n v="101526"/>
    <n v="40350"/>
  </r>
  <r>
    <x v="7"/>
    <x v="128"/>
    <x v="2"/>
    <n v="0.11593089454917951"/>
    <n v="101526"/>
    <n v="11770"/>
  </r>
  <r>
    <x v="7"/>
    <x v="128"/>
    <x v="3"/>
    <n v="4.6608750467860449E-2"/>
    <n v="101526"/>
    <n v="4732"/>
  </r>
  <r>
    <x v="7"/>
    <x v="128"/>
    <x v="4"/>
    <n v="4.4835805606445636E-2"/>
    <n v="101526"/>
    <n v="4552"/>
  </r>
  <r>
    <x v="7"/>
    <x v="129"/>
    <x v="0"/>
    <n v="0.4245315853587795"/>
    <n v="68956"/>
    <n v="29274"/>
  </r>
  <r>
    <x v="7"/>
    <x v="129"/>
    <x v="1"/>
    <n v="0.39278670456523002"/>
    <n v="68956"/>
    <n v="27085"/>
  </r>
  <r>
    <x v="7"/>
    <x v="129"/>
    <x v="2"/>
    <n v="0.10493648123441035"/>
    <n v="68956"/>
    <n v="7236"/>
  </r>
  <r>
    <x v="7"/>
    <x v="129"/>
    <x v="3"/>
    <n v="3.9068391438018449E-2"/>
    <n v="68956"/>
    <n v="2694"/>
  </r>
  <r>
    <x v="7"/>
    <x v="129"/>
    <x v="4"/>
    <n v="3.8517315389523757E-2"/>
    <n v="68956"/>
    <n v="2656"/>
  </r>
  <r>
    <x v="7"/>
    <x v="130"/>
    <x v="0"/>
    <n v="0.41567296816933269"/>
    <n v="92835"/>
    <n v="38589"/>
  </r>
  <r>
    <x v="7"/>
    <x v="130"/>
    <x v="1"/>
    <n v="0.39827651209134485"/>
    <n v="92835"/>
    <n v="36974"/>
  </r>
  <r>
    <x v="7"/>
    <x v="130"/>
    <x v="2"/>
    <n v="0.10745947110464803"/>
    <n v="92835"/>
    <n v="9976"/>
  </r>
  <r>
    <x v="7"/>
    <x v="130"/>
    <x v="3"/>
    <n v="4.0264986265955725E-2"/>
    <n v="92835"/>
    <n v="3738"/>
  </r>
  <r>
    <x v="7"/>
    <x v="130"/>
    <x v="4"/>
    <n v="3.8326062368718695E-2"/>
    <n v="92835"/>
    <n v="3558"/>
  </r>
  <r>
    <x v="7"/>
    <x v="131"/>
    <x v="0"/>
    <n v="0.42101908342330857"/>
    <n v="230619"/>
    <n v="97095"/>
  </r>
  <r>
    <x v="7"/>
    <x v="131"/>
    <x v="1"/>
    <n v="0.39928193253808231"/>
    <n v="230619"/>
    <n v="92082"/>
  </r>
  <r>
    <x v="7"/>
    <x v="131"/>
    <x v="2"/>
    <n v="0.10314414683959257"/>
    <n v="230619"/>
    <n v="23787"/>
  </r>
  <r>
    <x v="7"/>
    <x v="131"/>
    <x v="3"/>
    <n v="3.9419995750566955E-2"/>
    <n v="230619"/>
    <n v="9091"/>
  </r>
  <r>
    <x v="7"/>
    <x v="131"/>
    <x v="4"/>
    <n v="3.7152186073133607E-2"/>
    <n v="230619"/>
    <n v="8568"/>
  </r>
  <r>
    <x v="7"/>
    <x v="132"/>
    <x v="0"/>
    <n v="0.45942821877954049"/>
    <n v="204169"/>
    <n v="93801"/>
  </r>
  <r>
    <x v="7"/>
    <x v="132"/>
    <x v="1"/>
    <n v="0.3871302695316135"/>
    <n v="204169"/>
    <n v="79040"/>
  </r>
  <r>
    <x v="7"/>
    <x v="132"/>
    <x v="2"/>
    <n v="9.2252006915839332E-2"/>
    <n v="204169"/>
    <n v="18835"/>
  </r>
  <r>
    <x v="7"/>
    <x v="132"/>
    <x v="3"/>
    <n v="3.2438812944178594E-2"/>
    <n v="204169"/>
    <n v="6623"/>
  </r>
  <r>
    <x v="7"/>
    <x v="132"/>
    <x v="4"/>
    <n v="2.8740896022412806E-2"/>
    <n v="204169"/>
    <n v="5868"/>
  </r>
  <r>
    <x v="7"/>
    <x v="133"/>
    <x v="0"/>
    <n v="0.43704101541092139"/>
    <n v="91234"/>
    <n v="39873"/>
  </r>
  <r>
    <x v="7"/>
    <x v="133"/>
    <x v="1"/>
    <n v="0.39056711313764603"/>
    <n v="91234"/>
    <n v="35633"/>
  </r>
  <r>
    <x v="7"/>
    <x v="133"/>
    <x v="2"/>
    <n v="9.5698971874520464E-2"/>
    <n v="91234"/>
    <n v="8731"/>
  </r>
  <r>
    <x v="7"/>
    <x v="133"/>
    <x v="3"/>
    <n v="3.8077909551263785E-2"/>
    <n v="91234"/>
    <n v="3474"/>
  </r>
  <r>
    <x v="7"/>
    <x v="133"/>
    <x v="4"/>
    <n v="3.8604029199640483E-2"/>
    <n v="91234"/>
    <n v="3522"/>
  </r>
  <r>
    <x v="7"/>
    <x v="134"/>
    <x v="0"/>
    <n v="0.3998611722693447"/>
    <n v="1903078"/>
    <n v="760967"/>
  </r>
  <r>
    <x v="7"/>
    <x v="134"/>
    <x v="1"/>
    <n v="0.41504131727653831"/>
    <n v="1903078"/>
    <n v="789856"/>
  </r>
  <r>
    <x v="7"/>
    <x v="134"/>
    <x v="2"/>
    <n v="0.11200329150985928"/>
    <n v="1903078"/>
    <n v="213151"/>
  </r>
  <r>
    <x v="7"/>
    <x v="134"/>
    <x v="3"/>
    <n v="3.986699441641383E-2"/>
    <n v="1903078"/>
    <n v="75870"/>
  </r>
  <r>
    <x v="7"/>
    <x v="134"/>
    <x v="4"/>
    <n v="3.322880092145461E-2"/>
    <n v="1903078"/>
    <n v="63237"/>
  </r>
  <r>
    <x v="7"/>
    <x v="135"/>
    <x v="0"/>
    <n v="0.42314445870196526"/>
    <n v="207298"/>
    <n v="87717"/>
  </r>
  <r>
    <x v="7"/>
    <x v="135"/>
    <x v="1"/>
    <n v="0.39846018774903763"/>
    <n v="207298"/>
    <n v="82600"/>
  </r>
  <r>
    <x v="7"/>
    <x v="135"/>
    <x v="2"/>
    <n v="0.10524462368184932"/>
    <n v="207298"/>
    <n v="21817"/>
  </r>
  <r>
    <x v="7"/>
    <x v="135"/>
    <x v="3"/>
    <n v="3.7998437032677593E-2"/>
    <n v="207298"/>
    <n v="7877"/>
  </r>
  <r>
    <x v="7"/>
    <x v="135"/>
    <x v="4"/>
    <n v="3.5171588727339387E-2"/>
    <n v="207298"/>
    <n v="7291"/>
  </r>
  <r>
    <x v="7"/>
    <x v="136"/>
    <x v="0"/>
    <n v="0.41949180274223635"/>
    <n v="122236"/>
    <n v="51277"/>
  </r>
  <r>
    <x v="7"/>
    <x v="136"/>
    <x v="1"/>
    <n v="0.39733793645080007"/>
    <n v="122236"/>
    <n v="48569"/>
  </r>
  <r>
    <x v="7"/>
    <x v="136"/>
    <x v="2"/>
    <n v="0.10324290716319251"/>
    <n v="122236"/>
    <n v="12620"/>
  </r>
  <r>
    <x v="7"/>
    <x v="136"/>
    <x v="3"/>
    <n v="4.092084165057757E-2"/>
    <n v="122236"/>
    <n v="5002"/>
  </r>
  <r>
    <x v="7"/>
    <x v="136"/>
    <x v="4"/>
    <n v="3.9006511993193493E-2"/>
    <n v="122236"/>
    <n v="4768"/>
  </r>
  <r>
    <x v="7"/>
    <x v="137"/>
    <x v="0"/>
    <n v="0.41474382130708332"/>
    <n v="265752"/>
    <n v="110219"/>
  </r>
  <r>
    <x v="7"/>
    <x v="137"/>
    <x v="1"/>
    <n v="0.40029425930943136"/>
    <n v="265752"/>
    <n v="106379"/>
  </r>
  <r>
    <x v="7"/>
    <x v="137"/>
    <x v="2"/>
    <n v="0.10594840302236672"/>
    <n v="265752"/>
    <n v="28156"/>
  </r>
  <r>
    <x v="7"/>
    <x v="137"/>
    <x v="3"/>
    <n v="4.0447484873114781E-2"/>
    <n v="265752"/>
    <n v="10749"/>
  </r>
  <r>
    <x v="7"/>
    <x v="137"/>
    <x v="4"/>
    <n v="3.8562268581233634E-2"/>
    <n v="265752"/>
    <n v="10248"/>
  </r>
  <r>
    <x v="7"/>
    <x v="138"/>
    <x v="0"/>
    <n v="0.46377861621463984"/>
    <n v="219456"/>
    <n v="101779"/>
  </r>
  <r>
    <x v="7"/>
    <x v="138"/>
    <x v="1"/>
    <n v="0.37467191601049871"/>
    <n v="219456"/>
    <n v="82224"/>
  </r>
  <r>
    <x v="7"/>
    <x v="138"/>
    <x v="2"/>
    <n v="9.5217264508603086E-2"/>
    <n v="219456"/>
    <n v="20896"/>
  </r>
  <r>
    <x v="7"/>
    <x v="138"/>
    <x v="3"/>
    <n v="3.4690325167687372E-2"/>
    <n v="219456"/>
    <n v="7613"/>
  </r>
  <r>
    <x v="7"/>
    <x v="138"/>
    <x v="4"/>
    <n v="3.1646434820647419E-2"/>
    <n v="219456"/>
    <n v="6945"/>
  </r>
  <r>
    <x v="7"/>
    <x v="139"/>
    <x v="0"/>
    <n v="0.43329687265418426"/>
    <n v="326379"/>
    <n v="141419"/>
  </r>
  <r>
    <x v="7"/>
    <x v="139"/>
    <x v="1"/>
    <n v="0.4067541110181721"/>
    <n v="326379"/>
    <n v="132756"/>
  </r>
  <r>
    <x v="7"/>
    <x v="139"/>
    <x v="2"/>
    <n v="9.7420483548267503E-2"/>
    <n v="326379"/>
    <n v="31796"/>
  </r>
  <r>
    <x v="7"/>
    <x v="139"/>
    <x v="3"/>
    <n v="3.347029067433873E-2"/>
    <n v="326379"/>
    <n v="10924"/>
  </r>
  <r>
    <x v="7"/>
    <x v="139"/>
    <x v="4"/>
    <n v="2.9061306027654967E-2"/>
    <n v="326379"/>
    <n v="9485"/>
  </r>
  <r>
    <x v="7"/>
    <x v="140"/>
    <x v="0"/>
    <n v="0.39797369205227534"/>
    <n v="117455"/>
    <n v="46744"/>
  </r>
  <r>
    <x v="7"/>
    <x v="140"/>
    <x v="1"/>
    <n v="0.40548295091737263"/>
    <n v="117455"/>
    <n v="47626"/>
  </r>
  <r>
    <x v="7"/>
    <x v="140"/>
    <x v="2"/>
    <n v="0.11149802051849644"/>
    <n v="117455"/>
    <n v="13096"/>
  </r>
  <r>
    <x v="7"/>
    <x v="140"/>
    <x v="3"/>
    <n v="4.3531565280320123E-2"/>
    <n v="117455"/>
    <n v="5113"/>
  </r>
  <r>
    <x v="7"/>
    <x v="140"/>
    <x v="4"/>
    <n v="4.1522285130475504E-2"/>
    <n v="117455"/>
    <n v="4877"/>
  </r>
  <r>
    <x v="7"/>
    <x v="141"/>
    <x v="0"/>
    <n v="0.4381141205139179"/>
    <n v="114493"/>
    <n v="50161"/>
  </r>
  <r>
    <x v="7"/>
    <x v="141"/>
    <x v="1"/>
    <n v="0.39323801455110791"/>
    <n v="114493"/>
    <n v="45023"/>
  </r>
  <r>
    <x v="7"/>
    <x v="141"/>
    <x v="2"/>
    <n v="9.9281178762020389E-2"/>
    <n v="114493"/>
    <n v="11367"/>
  </r>
  <r>
    <x v="7"/>
    <x v="141"/>
    <x v="3"/>
    <n v="3.6631060414173792E-2"/>
    <n v="114493"/>
    <n v="4194"/>
  </r>
  <r>
    <x v="7"/>
    <x v="141"/>
    <x v="4"/>
    <n v="3.2709423283519515E-2"/>
    <n v="114493"/>
    <n v="3745"/>
  </r>
  <r>
    <x v="7"/>
    <x v="142"/>
    <x v="0"/>
    <n v="0.47494607153972462"/>
    <n v="93179"/>
    <n v="44255"/>
  </r>
  <r>
    <x v="7"/>
    <x v="142"/>
    <x v="1"/>
    <n v="0.38241449253587184"/>
    <n v="93179"/>
    <n v="35633"/>
  </r>
  <r>
    <x v="7"/>
    <x v="142"/>
    <x v="2"/>
    <n v="8.4149862093390135E-2"/>
    <n v="93179"/>
    <n v="7841"/>
  </r>
  <r>
    <x v="7"/>
    <x v="142"/>
    <x v="3"/>
    <n v="3.1112160465340905E-2"/>
    <n v="93179"/>
    <n v="2899"/>
  </r>
  <r>
    <x v="7"/>
    <x v="142"/>
    <x v="4"/>
    <n v="2.7441805557046117E-2"/>
    <n v="93179"/>
    <n v="2557"/>
  </r>
  <r>
    <x v="7"/>
    <x v="143"/>
    <x v="0"/>
    <n v="0.42570990927300578"/>
    <n v="50922"/>
    <n v="21678"/>
  </r>
  <r>
    <x v="7"/>
    <x v="143"/>
    <x v="1"/>
    <n v="0.38977259337810771"/>
    <n v="50922"/>
    <n v="19848"/>
  </r>
  <r>
    <x v="7"/>
    <x v="143"/>
    <x v="2"/>
    <n v="0.10042810573033266"/>
    <n v="50922"/>
    <n v="5114"/>
  </r>
  <r>
    <x v="7"/>
    <x v="143"/>
    <x v="3"/>
    <n v="4.1514473115745652E-2"/>
    <n v="50922"/>
    <n v="2114"/>
  </r>
  <r>
    <x v="7"/>
    <x v="143"/>
    <x v="4"/>
    <n v="4.2555280625270024E-2"/>
    <n v="50922"/>
    <n v="2167"/>
  </r>
  <r>
    <x v="7"/>
    <x v="144"/>
    <x v="0"/>
    <n v="0.41729717145850309"/>
    <n v="42955"/>
    <n v="17925"/>
  </r>
  <r>
    <x v="7"/>
    <x v="144"/>
    <x v="1"/>
    <n v="0.4144337096961937"/>
    <n v="42955"/>
    <n v="17802"/>
  </r>
  <r>
    <x v="7"/>
    <x v="144"/>
    <x v="2"/>
    <n v="0.10115236875800256"/>
    <n v="42955"/>
    <n v="4345"/>
  </r>
  <r>
    <x v="7"/>
    <x v="144"/>
    <x v="3"/>
    <n v="3.433826097078338E-2"/>
    <n v="42955"/>
    <n v="1475"/>
  </r>
  <r>
    <x v="7"/>
    <x v="144"/>
    <x v="4"/>
    <n v="3.2825049470375976E-2"/>
    <n v="42955"/>
    <n v="1410"/>
  </r>
  <r>
    <x v="7"/>
    <x v="145"/>
    <x v="0"/>
    <n v="0.44448334889511359"/>
    <n v="51408"/>
    <n v="22850"/>
  </r>
  <r>
    <x v="7"/>
    <x v="145"/>
    <x v="1"/>
    <n v="0.39104808590102708"/>
    <n v="51408"/>
    <n v="20103"/>
  </r>
  <r>
    <x v="7"/>
    <x v="145"/>
    <x v="2"/>
    <n v="9.6191254279489574E-2"/>
    <n v="51408"/>
    <n v="4945"/>
  </r>
  <r>
    <x v="7"/>
    <x v="145"/>
    <x v="3"/>
    <n v="3.4916744475568008E-2"/>
    <n v="51408"/>
    <n v="1795"/>
  </r>
  <r>
    <x v="7"/>
    <x v="145"/>
    <x v="4"/>
    <n v="3.3224400871459697E-2"/>
    <n v="51408"/>
    <n v="1708"/>
  </r>
  <r>
    <x v="7"/>
    <x v="146"/>
    <x v="0"/>
    <n v="0.49763916834339372"/>
    <n v="74550"/>
    <n v="37099"/>
  </r>
  <r>
    <x v="7"/>
    <x v="146"/>
    <x v="1"/>
    <n v="0.36934942991281017"/>
    <n v="74550"/>
    <n v="27535"/>
  </r>
  <r>
    <x v="7"/>
    <x v="146"/>
    <x v="2"/>
    <n v="8.0751173708920182E-2"/>
    <n v="74550"/>
    <n v="6020"/>
  </r>
  <r>
    <x v="7"/>
    <x v="146"/>
    <x v="3"/>
    <n v="2.7860496311200536E-2"/>
    <n v="74550"/>
    <n v="2077"/>
  </r>
  <r>
    <x v="7"/>
    <x v="146"/>
    <x v="4"/>
    <n v="2.4359490274983232E-2"/>
    <n v="74550"/>
    <n v="1816"/>
  </r>
  <r>
    <x v="7"/>
    <x v="147"/>
    <x v="0"/>
    <n v="0.45515019663626477"/>
    <n v="71706"/>
    <n v="32637"/>
  </r>
  <r>
    <x v="7"/>
    <x v="147"/>
    <x v="1"/>
    <n v="0.39779097983432349"/>
    <n v="71706"/>
    <n v="28524"/>
  </r>
  <r>
    <x v="7"/>
    <x v="147"/>
    <x v="2"/>
    <n v="8.6729144004685801E-2"/>
    <n v="71706"/>
    <n v="6219"/>
  </r>
  <r>
    <x v="7"/>
    <x v="147"/>
    <x v="3"/>
    <n v="3.1406019022118092E-2"/>
    <n v="71706"/>
    <n v="2252"/>
  </r>
  <r>
    <x v="7"/>
    <x v="147"/>
    <x v="4"/>
    <n v="2.8895768833849329E-2"/>
    <n v="71706"/>
    <n v="2072"/>
  </r>
  <r>
    <x v="7"/>
    <x v="148"/>
    <x v="0"/>
    <n v="0.49230491220672828"/>
    <n v="66406"/>
    <n v="32692"/>
  </r>
  <r>
    <x v="7"/>
    <x v="148"/>
    <x v="1"/>
    <n v="0.37231575460048788"/>
    <n v="66406"/>
    <n v="24724"/>
  </r>
  <r>
    <x v="7"/>
    <x v="148"/>
    <x v="2"/>
    <n v="8.1438424238773607E-2"/>
    <n v="66406"/>
    <n v="5408"/>
  </r>
  <r>
    <x v="7"/>
    <x v="148"/>
    <x v="3"/>
    <n v="2.9650935156461767E-2"/>
    <n v="66406"/>
    <n v="1969"/>
  </r>
  <r>
    <x v="7"/>
    <x v="148"/>
    <x v="4"/>
    <n v="2.4395385959100083E-2"/>
    <n v="66406"/>
    <n v="1620"/>
  </r>
  <r>
    <x v="7"/>
    <x v="149"/>
    <x v="0"/>
    <n v="0.44666696039124115"/>
    <n v="45394"/>
    <n v="20276"/>
  </r>
  <r>
    <x v="7"/>
    <x v="149"/>
    <x v="1"/>
    <n v="0.39196810151121292"/>
    <n v="45394"/>
    <n v="17793"/>
  </r>
  <r>
    <x v="7"/>
    <x v="149"/>
    <x v="2"/>
    <n v="9.4968498039388463E-2"/>
    <n v="45394"/>
    <n v="4311"/>
  </r>
  <r>
    <x v="7"/>
    <x v="149"/>
    <x v="3"/>
    <n v="3.4762303388112967E-2"/>
    <n v="45394"/>
    <n v="1578"/>
  </r>
  <r>
    <x v="7"/>
    <x v="149"/>
    <x v="4"/>
    <n v="3.1568048640789534E-2"/>
    <n v="45394"/>
    <n v="1433"/>
  </r>
  <r>
    <x v="7"/>
    <x v="150"/>
    <x v="0"/>
    <n v="0.43244849445324879"/>
    <n v="30288"/>
    <n v="13098"/>
  </r>
  <r>
    <x v="7"/>
    <x v="150"/>
    <x v="1"/>
    <n v="0.40055467511885895"/>
    <n v="30288"/>
    <n v="12132"/>
  </r>
  <r>
    <x v="7"/>
    <x v="150"/>
    <x v="2"/>
    <n v="9.7596407818277872E-2"/>
    <n v="30288"/>
    <n v="2956"/>
  </r>
  <r>
    <x v="7"/>
    <x v="150"/>
    <x v="3"/>
    <n v="3.6020866349709454E-2"/>
    <n v="30288"/>
    <n v="1091"/>
  </r>
  <r>
    <x v="7"/>
    <x v="150"/>
    <x v="4"/>
    <n v="3.3346539883782354E-2"/>
    <n v="30288"/>
    <n v="1010"/>
  </r>
  <r>
    <x v="7"/>
    <x v="151"/>
    <x v="0"/>
    <n v="0.48478516703893171"/>
    <n v="41637"/>
    <n v="20185"/>
  </r>
  <r>
    <x v="7"/>
    <x v="151"/>
    <x v="1"/>
    <n v="0.37089607800754137"/>
    <n v="41637"/>
    <n v="15443"/>
  </r>
  <r>
    <x v="7"/>
    <x v="151"/>
    <x v="2"/>
    <n v="8.3219252107500544E-2"/>
    <n v="41637"/>
    <n v="3465"/>
  </r>
  <r>
    <x v="7"/>
    <x v="151"/>
    <x v="3"/>
    <n v="3.1846674832480729E-2"/>
    <n v="41637"/>
    <n v="1326"/>
  </r>
  <r>
    <x v="7"/>
    <x v="151"/>
    <x v="4"/>
    <n v="2.9252828013545645E-2"/>
    <n v="41637"/>
    <n v="1218"/>
  </r>
  <r>
    <x v="7"/>
    <x v="152"/>
    <x v="0"/>
    <n v="0.42460969597370585"/>
    <n v="38944"/>
    <n v="16536"/>
  </r>
  <r>
    <x v="7"/>
    <x v="152"/>
    <x v="1"/>
    <n v="0.39983052588331963"/>
    <n v="38944"/>
    <n v="15571"/>
  </r>
  <r>
    <x v="7"/>
    <x v="152"/>
    <x v="2"/>
    <n v="0.10091413311421528"/>
    <n v="38944"/>
    <n v="3930"/>
  </r>
  <r>
    <x v="7"/>
    <x v="152"/>
    <x v="3"/>
    <n v="3.710456039441249E-2"/>
    <n v="38944"/>
    <n v="1445"/>
  </r>
  <r>
    <x v="7"/>
    <x v="152"/>
    <x v="4"/>
    <n v="3.7464050944946592E-2"/>
    <n v="38944"/>
    <n v="1459"/>
  </r>
  <r>
    <x v="7"/>
    <x v="153"/>
    <x v="0"/>
    <n v="0.41762144053601341"/>
    <n v="44775"/>
    <n v="18699"/>
  </r>
  <r>
    <x v="7"/>
    <x v="153"/>
    <x v="1"/>
    <n v="0.40216638749302064"/>
    <n v="44775"/>
    <n v="18007"/>
  </r>
  <r>
    <x v="7"/>
    <x v="153"/>
    <x v="2"/>
    <n v="0.10063651591289782"/>
    <n v="44775"/>
    <n v="4506"/>
  </r>
  <r>
    <x v="7"/>
    <x v="153"/>
    <x v="3"/>
    <n v="3.9374651032942493E-2"/>
    <n v="44775"/>
    <n v="1763"/>
  </r>
  <r>
    <x v="7"/>
    <x v="153"/>
    <x v="4"/>
    <n v="4.0201005025125629E-2"/>
    <n v="44775"/>
    <n v="1800"/>
  </r>
  <r>
    <x v="7"/>
    <x v="154"/>
    <x v="0"/>
    <n v="0.47190037899296156"/>
    <n v="55410"/>
    <n v="26148"/>
  </r>
  <r>
    <x v="7"/>
    <x v="154"/>
    <x v="1"/>
    <n v="0.3749684172532034"/>
    <n v="55410"/>
    <n v="20777"/>
  </r>
  <r>
    <x v="7"/>
    <x v="154"/>
    <x v="2"/>
    <n v="9.2311857065511635E-2"/>
    <n v="55410"/>
    <n v="5115"/>
  </r>
  <r>
    <x v="7"/>
    <x v="154"/>
    <x v="3"/>
    <n v="3.2232449016423026E-2"/>
    <n v="55410"/>
    <n v="1786"/>
  </r>
  <r>
    <x v="7"/>
    <x v="154"/>
    <x v="4"/>
    <n v="2.8550803104132827E-2"/>
    <n v="55410"/>
    <n v="1582"/>
  </r>
  <r>
    <x v="7"/>
    <x v="155"/>
    <x v="0"/>
    <n v="0.48032566039946112"/>
    <n v="85365"/>
    <n v="41003"/>
  </r>
  <r>
    <x v="7"/>
    <x v="155"/>
    <x v="1"/>
    <n v="0.38010894394658234"/>
    <n v="85365"/>
    <n v="32448"/>
  </r>
  <r>
    <x v="7"/>
    <x v="155"/>
    <x v="2"/>
    <n v="8.5069993557078422E-2"/>
    <n v="85365"/>
    <n v="7262"/>
  </r>
  <r>
    <x v="7"/>
    <x v="155"/>
    <x v="3"/>
    <n v="2.8688572600011713E-2"/>
    <n v="85365"/>
    <n v="2449"/>
  </r>
  <r>
    <x v="7"/>
    <x v="155"/>
    <x v="4"/>
    <n v="2.5771686288291455E-2"/>
    <n v="85365"/>
    <n v="2200"/>
  </r>
  <r>
    <x v="7"/>
    <x v="156"/>
    <x v="0"/>
    <n v="0.43187809193659049"/>
    <n v="55386"/>
    <n v="23920"/>
  </r>
  <r>
    <x v="7"/>
    <x v="156"/>
    <x v="1"/>
    <n v="0.39910807785360919"/>
    <n v="55386"/>
    <n v="22105"/>
  </r>
  <r>
    <x v="7"/>
    <x v="156"/>
    <x v="2"/>
    <n v="9.8165601415520165E-2"/>
    <n v="55386"/>
    <n v="5437"/>
  </r>
  <r>
    <x v="7"/>
    <x v="156"/>
    <x v="3"/>
    <n v="3.7157404398223376E-2"/>
    <n v="55386"/>
    <n v="2058"/>
  </r>
  <r>
    <x v="7"/>
    <x v="156"/>
    <x v="4"/>
    <n v="3.3799155021124475E-2"/>
    <n v="55386"/>
    <n v="1872"/>
  </r>
  <r>
    <x v="8"/>
    <x v="157"/>
    <x v="0"/>
    <n v="0.41716083182850816"/>
    <n v="85835"/>
    <n v="35807"/>
  </r>
  <r>
    <x v="8"/>
    <x v="157"/>
    <x v="1"/>
    <n v="0.38796528222752957"/>
    <n v="85835"/>
    <n v="33301"/>
  </r>
  <r>
    <x v="8"/>
    <x v="157"/>
    <x v="2"/>
    <n v="0.10726393662258986"/>
    <n v="85835"/>
    <n v="9207"/>
  </r>
  <r>
    <x v="8"/>
    <x v="157"/>
    <x v="3"/>
    <n v="4.2791402108696919E-2"/>
    <n v="85835"/>
    <n v="3673"/>
  </r>
  <r>
    <x v="8"/>
    <x v="157"/>
    <x v="4"/>
    <n v="4.4806896953457215E-2"/>
    <n v="85835"/>
    <n v="3846"/>
  </r>
  <r>
    <x v="8"/>
    <x v="158"/>
    <x v="0"/>
    <n v="0.47986309660454535"/>
    <n v="239585"/>
    <n v="114968"/>
  </r>
  <r>
    <x v="8"/>
    <x v="158"/>
    <x v="1"/>
    <n v="0.38459002024333744"/>
    <n v="239585"/>
    <n v="92142"/>
  </r>
  <r>
    <x v="8"/>
    <x v="158"/>
    <x v="2"/>
    <n v="8.4450195129077366E-2"/>
    <n v="239585"/>
    <n v="20233"/>
  </r>
  <r>
    <x v="8"/>
    <x v="158"/>
    <x v="3"/>
    <n v="2.7601894943339523E-2"/>
    <n v="239585"/>
    <n v="6613"/>
  </r>
  <r>
    <x v="8"/>
    <x v="158"/>
    <x v="4"/>
    <n v="2.3494793079700316E-2"/>
    <n v="239585"/>
    <n v="5629"/>
  </r>
  <r>
    <x v="8"/>
    <x v="159"/>
    <x v="0"/>
    <n v="0.45603443141459071"/>
    <n v="319011"/>
    <n v="145480"/>
  </r>
  <r>
    <x v="8"/>
    <x v="159"/>
    <x v="1"/>
    <n v="0.39826526358025272"/>
    <n v="319011"/>
    <n v="127051"/>
  </r>
  <r>
    <x v="8"/>
    <x v="159"/>
    <x v="2"/>
    <n v="8.8213259103918043E-2"/>
    <n v="319011"/>
    <n v="28141"/>
  </r>
  <r>
    <x v="8"/>
    <x v="159"/>
    <x v="3"/>
    <n v="2.9682362050211436E-2"/>
    <n v="319011"/>
    <n v="9469"/>
  </r>
  <r>
    <x v="8"/>
    <x v="159"/>
    <x v="4"/>
    <n v="2.781408791546373E-2"/>
    <n v="319011"/>
    <n v="8873"/>
  </r>
  <r>
    <x v="8"/>
    <x v="160"/>
    <x v="0"/>
    <n v="0.44627788585432404"/>
    <n v="316648"/>
    <n v="141313"/>
  </r>
  <r>
    <x v="8"/>
    <x v="160"/>
    <x v="1"/>
    <n v="0.39206942725044847"/>
    <n v="316648"/>
    <n v="124148"/>
  </r>
  <r>
    <x v="8"/>
    <x v="160"/>
    <x v="2"/>
    <n v="9.5882494125969525E-2"/>
    <n v="316648"/>
    <n v="30361"/>
  </r>
  <r>
    <x v="8"/>
    <x v="160"/>
    <x v="3"/>
    <n v="3.5165230792551981E-2"/>
    <n v="316648"/>
    <n v="11135"/>
  </r>
  <r>
    <x v="8"/>
    <x v="160"/>
    <x v="4"/>
    <n v="3.0614436219398196E-2"/>
    <n v="316648"/>
    <n v="9694"/>
  </r>
  <r>
    <x v="8"/>
    <x v="161"/>
    <x v="0"/>
    <n v="0.46267224338957802"/>
    <n v="139628"/>
    <n v="64602"/>
  </r>
  <r>
    <x v="8"/>
    <x v="161"/>
    <x v="1"/>
    <n v="0.38193628785057437"/>
    <n v="139628"/>
    <n v="53329"/>
  </r>
  <r>
    <x v="8"/>
    <x v="161"/>
    <x v="2"/>
    <n v="9.1271091758100095E-2"/>
    <n v="139628"/>
    <n v="12744"/>
  </r>
  <r>
    <x v="8"/>
    <x v="161"/>
    <x v="3"/>
    <n v="3.3553442003036643E-2"/>
    <n v="139628"/>
    <n v="4685"/>
  </r>
  <r>
    <x v="8"/>
    <x v="161"/>
    <x v="4"/>
    <n v="3.0538287449508695E-2"/>
    <n v="139628"/>
    <n v="4264"/>
  </r>
  <r>
    <x v="8"/>
    <x v="162"/>
    <x v="0"/>
    <n v="0.46048611510638876"/>
    <n v="330251"/>
    <n v="152076"/>
  </r>
  <r>
    <x v="8"/>
    <x v="162"/>
    <x v="1"/>
    <n v="0.39043939306769698"/>
    <n v="330251"/>
    <n v="128943"/>
  </r>
  <r>
    <x v="8"/>
    <x v="162"/>
    <x v="2"/>
    <n v="9.1315393443168982E-2"/>
    <n v="330251"/>
    <n v="30157"/>
  </r>
  <r>
    <x v="8"/>
    <x v="162"/>
    <x v="3"/>
    <n v="3.0906795134609737E-2"/>
    <n v="330251"/>
    <n v="10207"/>
  </r>
  <r>
    <x v="8"/>
    <x v="162"/>
    <x v="4"/>
    <n v="2.6870471247626804E-2"/>
    <n v="330251"/>
    <n v="8874"/>
  </r>
  <r>
    <x v="8"/>
    <x v="163"/>
    <x v="0"/>
    <n v="0.4251443716809023"/>
    <n v="103379"/>
    <n v="43951"/>
  </r>
  <r>
    <x v="8"/>
    <x v="163"/>
    <x v="1"/>
    <n v="0.40137745576954703"/>
    <n v="103379"/>
    <n v="41494"/>
  </r>
  <r>
    <x v="8"/>
    <x v="163"/>
    <x v="2"/>
    <n v="0.10065874113698139"/>
    <n v="103379"/>
    <n v="10406"/>
  </r>
  <r>
    <x v="8"/>
    <x v="163"/>
    <x v="3"/>
    <n v="3.6283964828446785E-2"/>
    <n v="103379"/>
    <n v="3751"/>
  </r>
  <r>
    <x v="8"/>
    <x v="163"/>
    <x v="4"/>
    <n v="3.6554812873020634E-2"/>
    <n v="103379"/>
    <n v="3779"/>
  </r>
  <r>
    <x v="8"/>
    <x v="164"/>
    <x v="0"/>
    <n v="0.44322764334244041"/>
    <n v="747406"/>
    <n v="331271"/>
  </r>
  <r>
    <x v="8"/>
    <x v="164"/>
    <x v="1"/>
    <n v="0.39467705637899614"/>
    <n v="747406"/>
    <n v="294984"/>
  </r>
  <r>
    <x v="8"/>
    <x v="164"/>
    <x v="2"/>
    <n v="9.9223179904897735E-2"/>
    <n v="747406"/>
    <n v="74160"/>
  </r>
  <r>
    <x v="8"/>
    <x v="164"/>
    <x v="3"/>
    <n v="3.4630441821446444E-2"/>
    <n v="747406"/>
    <n v="25883"/>
  </r>
  <r>
    <x v="8"/>
    <x v="164"/>
    <x v="4"/>
    <n v="2.8240340591325196E-2"/>
    <n v="747406"/>
    <n v="21107"/>
  </r>
  <r>
    <x v="8"/>
    <x v="165"/>
    <x v="0"/>
    <n v="0.50863094017794908"/>
    <n v="97556"/>
    <n v="49620"/>
  </r>
  <r>
    <x v="8"/>
    <x v="165"/>
    <x v="1"/>
    <n v="0.37735249497724382"/>
    <n v="97556"/>
    <n v="36813"/>
  </r>
  <r>
    <x v="8"/>
    <x v="165"/>
    <x v="2"/>
    <n v="7.0728607158965104E-2"/>
    <n v="97556"/>
    <n v="6900"/>
  </r>
  <r>
    <x v="8"/>
    <x v="165"/>
    <x v="3"/>
    <n v="2.2735659518635449E-2"/>
    <n v="97556"/>
    <n v="2218"/>
  </r>
  <r>
    <x v="8"/>
    <x v="165"/>
    <x v="4"/>
    <n v="2.0531797121653206E-2"/>
    <n v="97556"/>
    <n v="2003"/>
  </r>
  <r>
    <x v="8"/>
    <x v="166"/>
    <x v="0"/>
    <n v="0.44277957931094464"/>
    <n v="80487"/>
    <n v="35638"/>
  </r>
  <r>
    <x v="8"/>
    <x v="166"/>
    <x v="1"/>
    <n v="0.38899449600556613"/>
    <n v="80487"/>
    <n v="31309"/>
  </r>
  <r>
    <x v="8"/>
    <x v="166"/>
    <x v="2"/>
    <n v="9.9469479543280281E-2"/>
    <n v="80487"/>
    <n v="8006"/>
  </r>
  <r>
    <x v="8"/>
    <x v="166"/>
    <x v="3"/>
    <n v="3.5397020636873035E-2"/>
    <n v="80487"/>
    <n v="2849"/>
  </r>
  <r>
    <x v="8"/>
    <x v="166"/>
    <x v="4"/>
    <n v="3.3322151403332216E-2"/>
    <n v="80487"/>
    <n v="2682"/>
  </r>
  <r>
    <x v="8"/>
    <x v="167"/>
    <x v="0"/>
    <n v="0.44327764884303406"/>
    <n v="43519"/>
    <n v="19291"/>
  </r>
  <r>
    <x v="8"/>
    <x v="167"/>
    <x v="1"/>
    <n v="0.38380937061972931"/>
    <n v="43519"/>
    <n v="16703"/>
  </r>
  <r>
    <x v="8"/>
    <x v="167"/>
    <x v="2"/>
    <n v="0.10128909212068292"/>
    <n v="43519"/>
    <n v="4408"/>
  </r>
  <r>
    <x v="8"/>
    <x v="167"/>
    <x v="3"/>
    <n v="3.8305108113697466E-2"/>
    <n v="43519"/>
    <n v="1667"/>
  </r>
  <r>
    <x v="8"/>
    <x v="167"/>
    <x v="4"/>
    <n v="3.3249844895333072E-2"/>
    <n v="43519"/>
    <n v="1447"/>
  </r>
  <r>
    <x v="8"/>
    <x v="168"/>
    <x v="0"/>
    <n v="0.51004275035227242"/>
    <n v="83742"/>
    <n v="42712"/>
  </r>
  <r>
    <x v="8"/>
    <x v="168"/>
    <x v="1"/>
    <n v="0.36654247569917126"/>
    <n v="83742"/>
    <n v="30695"/>
  </r>
  <r>
    <x v="8"/>
    <x v="168"/>
    <x v="2"/>
    <n v="7.2400945761983235E-2"/>
    <n v="83742"/>
    <n v="6063"/>
  </r>
  <r>
    <x v="8"/>
    <x v="168"/>
    <x v="3"/>
    <n v="2.5745742876931529E-2"/>
    <n v="83742"/>
    <n v="2156"/>
  </r>
  <r>
    <x v="8"/>
    <x v="168"/>
    <x v="4"/>
    <n v="2.5220319552912516E-2"/>
    <n v="83742"/>
    <n v="2112"/>
  </r>
  <r>
    <x v="8"/>
    <x v="169"/>
    <x v="0"/>
    <n v="0.50223044444775988"/>
    <n v="67027"/>
    <n v="33663"/>
  </r>
  <r>
    <x v="8"/>
    <x v="169"/>
    <x v="1"/>
    <n v="0.36655377683620033"/>
    <n v="67027"/>
    <n v="24569"/>
  </r>
  <r>
    <x v="8"/>
    <x v="169"/>
    <x v="2"/>
    <n v="7.3164545630865177E-2"/>
    <n v="67027"/>
    <n v="4904"/>
  </r>
  <r>
    <x v="8"/>
    <x v="169"/>
    <x v="3"/>
    <n v="2.7526220776701926E-2"/>
    <n v="67027"/>
    <n v="1845"/>
  </r>
  <r>
    <x v="8"/>
    <x v="169"/>
    <x v="4"/>
    <n v="3.0539931669327287E-2"/>
    <n v="67027"/>
    <n v="2047"/>
  </r>
  <r>
    <x v="8"/>
    <x v="170"/>
    <x v="0"/>
    <n v="0.44287735849056603"/>
    <n v="21200"/>
    <n v="9389"/>
  </r>
  <r>
    <x v="8"/>
    <x v="170"/>
    <x v="1"/>
    <n v="0.37608490566037733"/>
    <n v="21200"/>
    <n v="7973"/>
  </r>
  <r>
    <x v="8"/>
    <x v="170"/>
    <x v="2"/>
    <n v="0.10235849056603774"/>
    <n v="21200"/>
    <n v="2170"/>
  </r>
  <r>
    <x v="8"/>
    <x v="170"/>
    <x v="3"/>
    <n v="4.0377358490566034E-2"/>
    <n v="21200"/>
    <n v="856"/>
  </r>
  <r>
    <x v="8"/>
    <x v="170"/>
    <x v="4"/>
    <n v="3.858490566037736E-2"/>
    <n v="21200"/>
    <n v="818"/>
  </r>
  <r>
    <x v="8"/>
    <x v="171"/>
    <x v="0"/>
    <n v="0.57524688018631775"/>
    <n v="109061"/>
    <n v="62737"/>
  </r>
  <r>
    <x v="8"/>
    <x v="171"/>
    <x v="1"/>
    <n v="0.32799992664655558"/>
    <n v="109061"/>
    <n v="35772"/>
  </r>
  <r>
    <x v="8"/>
    <x v="171"/>
    <x v="2"/>
    <n v="5.6546336453911113E-2"/>
    <n v="109061"/>
    <n v="6167"/>
  </r>
  <r>
    <x v="8"/>
    <x v="171"/>
    <x v="3"/>
    <n v="2.0346411641191626E-2"/>
    <n v="109061"/>
    <n v="2219"/>
  </r>
  <r>
    <x v="8"/>
    <x v="171"/>
    <x v="4"/>
    <n v="1.9823768349822576E-2"/>
    <n v="109061"/>
    <n v="2162"/>
  </r>
  <r>
    <x v="8"/>
    <x v="172"/>
    <x v="0"/>
    <n v="0.54096356077280505"/>
    <n v="77691"/>
    <n v="42028"/>
  </r>
  <r>
    <x v="8"/>
    <x v="172"/>
    <x v="1"/>
    <n v="0.34238200048911716"/>
    <n v="77691"/>
    <n v="26600"/>
  </r>
  <r>
    <x v="8"/>
    <x v="172"/>
    <x v="2"/>
    <n v="6.5657540770488215E-2"/>
    <n v="77691"/>
    <n v="5101"/>
  </r>
  <r>
    <x v="8"/>
    <x v="172"/>
    <x v="3"/>
    <n v="2.4700415749572022E-2"/>
    <n v="77691"/>
    <n v="1919"/>
  </r>
  <r>
    <x v="8"/>
    <x v="172"/>
    <x v="4"/>
    <n v="2.6219253195350813E-2"/>
    <n v="77691"/>
    <n v="2037"/>
  </r>
  <r>
    <x v="8"/>
    <x v="173"/>
    <x v="0"/>
    <n v="0.58078335373317014"/>
    <n v="91504"/>
    <n v="53144"/>
  </r>
  <r>
    <x v="8"/>
    <x v="173"/>
    <x v="1"/>
    <n v="0.32612781954887216"/>
    <n v="91504"/>
    <n v="29842"/>
  </r>
  <r>
    <x v="8"/>
    <x v="173"/>
    <x v="2"/>
    <n v="5.7975607623710436E-2"/>
    <n v="91504"/>
    <n v="5305"/>
  </r>
  <r>
    <x v="8"/>
    <x v="173"/>
    <x v="3"/>
    <n v="1.8895348837209301E-2"/>
    <n v="91504"/>
    <n v="1729"/>
  </r>
  <r>
    <x v="8"/>
    <x v="173"/>
    <x v="4"/>
    <n v="1.6228798741038643E-2"/>
    <n v="91504"/>
    <n v="1485"/>
  </r>
  <r>
    <x v="8"/>
    <x v="174"/>
    <x v="0"/>
    <n v="0.43617709065354882"/>
    <n v="35575"/>
    <n v="15517"/>
  </r>
  <r>
    <x v="8"/>
    <x v="174"/>
    <x v="1"/>
    <n v="0.37669711876317641"/>
    <n v="35575"/>
    <n v="13401"/>
  </r>
  <r>
    <x v="8"/>
    <x v="174"/>
    <x v="2"/>
    <n v="0.10288123682361208"/>
    <n v="35575"/>
    <n v="3660"/>
  </r>
  <r>
    <x v="8"/>
    <x v="174"/>
    <x v="3"/>
    <n v="4.0421644413211527E-2"/>
    <n v="35575"/>
    <n v="1438"/>
  </r>
  <r>
    <x v="8"/>
    <x v="174"/>
    <x v="4"/>
    <n v="4.3879128601546032E-2"/>
    <n v="35575"/>
    <n v="1561"/>
  </r>
  <r>
    <x v="8"/>
    <x v="175"/>
    <x v="0"/>
    <n v="0.57129348944572689"/>
    <n v="71914"/>
    <n v="41084"/>
  </r>
  <r>
    <x v="8"/>
    <x v="175"/>
    <x v="1"/>
    <n v="0.32925438718469285"/>
    <n v="71914"/>
    <n v="23678"/>
  </r>
  <r>
    <x v="8"/>
    <x v="175"/>
    <x v="2"/>
    <n v="6.0169090858525461E-2"/>
    <n v="71914"/>
    <n v="4327"/>
  </r>
  <r>
    <x v="8"/>
    <x v="175"/>
    <x v="3"/>
    <n v="2.0566231888088551E-2"/>
    <n v="71914"/>
    <n v="1479"/>
  </r>
  <r>
    <x v="8"/>
    <x v="175"/>
    <x v="4"/>
    <n v="1.8675084128264317E-2"/>
    <n v="71914"/>
    <n v="1343"/>
  </r>
  <r>
    <x v="8"/>
    <x v="176"/>
    <x v="0"/>
    <n v="0.45897992549114203"/>
    <n v="37311"/>
    <n v="17125"/>
  </r>
  <r>
    <x v="8"/>
    <x v="176"/>
    <x v="1"/>
    <n v="0.38583795663477261"/>
    <n v="37311"/>
    <n v="14396"/>
  </r>
  <r>
    <x v="8"/>
    <x v="176"/>
    <x v="2"/>
    <n v="9.3002063734555496E-2"/>
    <n v="37311"/>
    <n v="3470"/>
  </r>
  <r>
    <x v="8"/>
    <x v="176"/>
    <x v="3"/>
    <n v="3.2108493473774487E-2"/>
    <n v="37311"/>
    <n v="1198"/>
  </r>
  <r>
    <x v="8"/>
    <x v="176"/>
    <x v="4"/>
    <n v="3.0151965908177213E-2"/>
    <n v="37311"/>
    <n v="1125"/>
  </r>
  <r>
    <x v="8"/>
    <x v="177"/>
    <x v="0"/>
    <n v="0.50749986462338226"/>
    <n v="55401"/>
    <n v="28116"/>
  </r>
  <r>
    <x v="8"/>
    <x v="177"/>
    <x v="1"/>
    <n v="0.36190682478655622"/>
    <n v="55401"/>
    <n v="20050"/>
  </r>
  <r>
    <x v="8"/>
    <x v="177"/>
    <x v="2"/>
    <n v="7.8337936138336853E-2"/>
    <n v="55401"/>
    <n v="4340"/>
  </r>
  <r>
    <x v="8"/>
    <x v="177"/>
    <x v="3"/>
    <n v="2.7689030883919063E-2"/>
    <n v="55401"/>
    <n v="1534"/>
  </r>
  <r>
    <x v="8"/>
    <x v="177"/>
    <x v="4"/>
    <n v="2.4458042273605169E-2"/>
    <n v="55401"/>
    <n v="1355"/>
  </r>
  <r>
    <x v="8"/>
    <x v="178"/>
    <x v="0"/>
    <n v="0.52014259216322745"/>
    <n v="34504"/>
    <n v="17947"/>
  </r>
  <r>
    <x v="8"/>
    <x v="178"/>
    <x v="1"/>
    <n v="0.35813239044748435"/>
    <n v="34504"/>
    <n v="12357"/>
  </r>
  <r>
    <x v="8"/>
    <x v="178"/>
    <x v="2"/>
    <n v="7.3063992580570364E-2"/>
    <n v="34504"/>
    <n v="2521"/>
  </r>
  <r>
    <x v="8"/>
    <x v="178"/>
    <x v="3"/>
    <n v="2.5562253651750522E-2"/>
    <n v="34504"/>
    <n v="882"/>
  </r>
  <r>
    <x v="8"/>
    <x v="178"/>
    <x v="4"/>
    <n v="2.3098771156967308E-2"/>
    <n v="34504"/>
    <n v="797"/>
  </r>
  <r>
    <x v="8"/>
    <x v="179"/>
    <x v="0"/>
    <n v="0.47085306217495926"/>
    <n v="38649"/>
    <n v="18198"/>
  </r>
  <r>
    <x v="8"/>
    <x v="179"/>
    <x v="1"/>
    <n v="0.37566301844808403"/>
    <n v="38649"/>
    <n v="14519"/>
  </r>
  <r>
    <x v="8"/>
    <x v="179"/>
    <x v="2"/>
    <n v="8.8178219358844984E-2"/>
    <n v="38649"/>
    <n v="3408"/>
  </r>
  <r>
    <x v="8"/>
    <x v="179"/>
    <x v="3"/>
    <n v="3.2937462806282181E-2"/>
    <n v="38649"/>
    <n v="1273"/>
  </r>
  <r>
    <x v="8"/>
    <x v="179"/>
    <x v="4"/>
    <n v="3.2212993867887917E-2"/>
    <n v="38649"/>
    <n v="1245"/>
  </r>
  <r>
    <x v="9"/>
    <x v="180"/>
    <x v="0"/>
    <n v="0.55082621844246549"/>
    <n v="119702"/>
    <n v="65935"/>
  </r>
  <r>
    <x v="9"/>
    <x v="180"/>
    <x v="1"/>
    <n v="0.33915891129638603"/>
    <n v="119702"/>
    <n v="40598"/>
  </r>
  <r>
    <x v="9"/>
    <x v="180"/>
    <x v="2"/>
    <n v="6.834472272810814E-2"/>
    <n v="119702"/>
    <n v="8181"/>
  </r>
  <r>
    <x v="9"/>
    <x v="180"/>
    <x v="3"/>
    <n v="2.1946166313010645E-2"/>
    <n v="119702"/>
    <n v="2627"/>
  </r>
  <r>
    <x v="9"/>
    <x v="180"/>
    <x v="4"/>
    <n v="1.9707273061435899E-2"/>
    <n v="119702"/>
    <n v="2359"/>
  </r>
  <r>
    <x v="9"/>
    <x v="181"/>
    <x v="0"/>
    <n v="0.44386886082857635"/>
    <n v="227209"/>
    <n v="100851"/>
  </r>
  <r>
    <x v="9"/>
    <x v="181"/>
    <x v="1"/>
    <n v="0.38292057092808823"/>
    <n v="227209"/>
    <n v="87003"/>
  </r>
  <r>
    <x v="9"/>
    <x v="181"/>
    <x v="2"/>
    <n v="9.7839434177343323E-2"/>
    <n v="227209"/>
    <n v="22230"/>
  </r>
  <r>
    <x v="9"/>
    <x v="181"/>
    <x v="3"/>
    <n v="3.7568934329185906E-2"/>
    <n v="227209"/>
    <n v="8536"/>
  </r>
  <r>
    <x v="9"/>
    <x v="181"/>
    <x v="4"/>
    <n v="3.7824205907336414E-2"/>
    <n v="227209"/>
    <n v="8594"/>
  </r>
  <r>
    <x v="9"/>
    <x v="182"/>
    <x v="0"/>
    <n v="0.52668957701975927"/>
    <n v="270911"/>
    <n v="142686"/>
  </r>
  <r>
    <x v="9"/>
    <x v="182"/>
    <x v="1"/>
    <n v="0.34912941888664545"/>
    <n v="270911"/>
    <n v="94583"/>
  </r>
  <r>
    <x v="9"/>
    <x v="182"/>
    <x v="2"/>
    <n v="7.6113557589023703E-2"/>
    <n v="270911"/>
    <n v="20620"/>
  </r>
  <r>
    <x v="9"/>
    <x v="182"/>
    <x v="3"/>
    <n v="2.5617269140049685E-2"/>
    <n v="270911"/>
    <n v="6940"/>
  </r>
  <r>
    <x v="9"/>
    <x v="182"/>
    <x v="4"/>
    <n v="2.2464942361144435E-2"/>
    <n v="270911"/>
    <n v="6086"/>
  </r>
  <r>
    <x v="9"/>
    <x v="183"/>
    <x v="0"/>
    <n v="0.42704177748226951"/>
    <n v="72192"/>
    <n v="30829"/>
  </r>
  <r>
    <x v="9"/>
    <x v="183"/>
    <x v="1"/>
    <n v="0.37545711436170215"/>
    <n v="72192"/>
    <n v="27105"/>
  </r>
  <r>
    <x v="9"/>
    <x v="183"/>
    <x v="2"/>
    <n v="0.11437555407801418"/>
    <n v="72192"/>
    <n v="8257"/>
  </r>
  <r>
    <x v="9"/>
    <x v="183"/>
    <x v="3"/>
    <n v="4.2303856382978726E-2"/>
    <n v="72192"/>
    <n v="3054"/>
  </r>
  <r>
    <x v="9"/>
    <x v="183"/>
    <x v="4"/>
    <n v="4.0821697695035464E-2"/>
    <n v="72192"/>
    <n v="2947"/>
  </r>
  <r>
    <x v="9"/>
    <x v="184"/>
    <x v="0"/>
    <n v="0.42730741419828011"/>
    <n v="309784"/>
    <n v="132373"/>
  </r>
  <r>
    <x v="9"/>
    <x v="184"/>
    <x v="1"/>
    <n v="0.38725369935180642"/>
    <n v="309784"/>
    <n v="119965"/>
  </r>
  <r>
    <x v="9"/>
    <x v="184"/>
    <x v="2"/>
    <n v="0.1055897012111665"/>
    <n v="309784"/>
    <n v="32710"/>
  </r>
  <r>
    <x v="9"/>
    <x v="184"/>
    <x v="3"/>
    <n v="4.0673501536554503E-2"/>
    <n v="309784"/>
    <n v="12600"/>
  </r>
  <r>
    <x v="9"/>
    <x v="184"/>
    <x v="4"/>
    <n v="3.9172455646514989E-2"/>
    <n v="309784"/>
    <n v="12135"/>
  </r>
  <r>
    <x v="9"/>
    <x v="185"/>
    <x v="0"/>
    <n v="0.44128195828511885"/>
    <n v="173703"/>
    <n v="76652"/>
  </r>
  <r>
    <x v="9"/>
    <x v="185"/>
    <x v="1"/>
    <n v="0.37714374535845668"/>
    <n v="173703"/>
    <n v="65511"/>
  </r>
  <r>
    <x v="9"/>
    <x v="185"/>
    <x v="2"/>
    <n v="0.103492743360794"/>
    <n v="173703"/>
    <n v="17977"/>
  </r>
  <r>
    <x v="9"/>
    <x v="185"/>
    <x v="3"/>
    <n v="4.0275642907721801E-2"/>
    <n v="173703"/>
    <n v="6996"/>
  </r>
  <r>
    <x v="9"/>
    <x v="185"/>
    <x v="4"/>
    <n v="3.7828937899748422E-2"/>
    <n v="173703"/>
    <n v="6571"/>
  </r>
  <r>
    <x v="9"/>
    <x v="186"/>
    <x v="0"/>
    <n v="0.43787686123302844"/>
    <n v="170653"/>
    <n v="74725"/>
  </r>
  <r>
    <x v="9"/>
    <x v="186"/>
    <x v="1"/>
    <n v="0.3852730394426116"/>
    <n v="170653"/>
    <n v="65748"/>
  </r>
  <r>
    <x v="9"/>
    <x v="186"/>
    <x v="2"/>
    <n v="0.10029123425899339"/>
    <n v="170653"/>
    <n v="17115"/>
  </r>
  <r>
    <x v="9"/>
    <x v="186"/>
    <x v="3"/>
    <n v="3.8393699495467414E-2"/>
    <n v="170653"/>
    <n v="6552"/>
  </r>
  <r>
    <x v="9"/>
    <x v="186"/>
    <x v="4"/>
    <n v="3.8182745102635175E-2"/>
    <n v="170653"/>
    <n v="6516"/>
  </r>
  <r>
    <x v="9"/>
    <x v="187"/>
    <x v="0"/>
    <n v="0.4299551489256993"/>
    <n v="89407"/>
    <n v="38441"/>
  </r>
  <r>
    <x v="9"/>
    <x v="187"/>
    <x v="1"/>
    <n v="0.36685047032111578"/>
    <n v="89407"/>
    <n v="32799"/>
  </r>
  <r>
    <x v="9"/>
    <x v="187"/>
    <x v="2"/>
    <n v="0.10622210788864407"/>
    <n v="89407"/>
    <n v="9497"/>
  </r>
  <r>
    <x v="9"/>
    <x v="187"/>
    <x v="3"/>
    <n v="4.5320836176138336E-2"/>
    <n v="89407"/>
    <n v="4052"/>
  </r>
  <r>
    <x v="9"/>
    <x v="187"/>
    <x v="4"/>
    <n v="5.1595512655608619E-2"/>
    <n v="89407"/>
    <n v="4613"/>
  </r>
  <r>
    <x v="9"/>
    <x v="188"/>
    <x v="0"/>
    <n v="0.44394512468373931"/>
    <n v="3427552"/>
    <n v="1521645"/>
  </r>
  <r>
    <x v="9"/>
    <x v="188"/>
    <x v="1"/>
    <n v="0.39527802933405531"/>
    <n v="3427552"/>
    <n v="1354836"/>
  </r>
  <r>
    <x v="9"/>
    <x v="188"/>
    <x v="2"/>
    <n v="9.7584515129165078E-2"/>
    <n v="3427552"/>
    <n v="334476"/>
  </r>
  <r>
    <x v="9"/>
    <x v="188"/>
    <x v="3"/>
    <n v="3.4011446069964806E-2"/>
    <n v="3427552"/>
    <n v="116576"/>
  </r>
  <r>
    <x v="9"/>
    <x v="188"/>
    <x v="4"/>
    <n v="2.9180009522831455E-2"/>
    <n v="3427552"/>
    <n v="100016"/>
  </r>
  <r>
    <x v="9"/>
    <x v="189"/>
    <x v="0"/>
    <n v="0.44185665475327035"/>
    <n v="457748"/>
    <n v="202259"/>
  </r>
  <r>
    <x v="9"/>
    <x v="189"/>
    <x v="1"/>
    <n v="0.38738126654840654"/>
    <n v="457748"/>
    <n v="177323"/>
  </r>
  <r>
    <x v="9"/>
    <x v="189"/>
    <x v="2"/>
    <n v="9.8923425116002689E-2"/>
    <n v="457748"/>
    <n v="45282"/>
  </r>
  <r>
    <x v="9"/>
    <x v="189"/>
    <x v="3"/>
    <n v="3.7118676651782201E-2"/>
    <n v="457748"/>
    <n v="16991"/>
  </r>
  <r>
    <x v="9"/>
    <x v="189"/>
    <x v="4"/>
    <n v="3.4704684673663236E-2"/>
    <n v="457748"/>
    <n v="15886"/>
  </r>
  <r>
    <x v="9"/>
    <x v="190"/>
    <x v="0"/>
    <n v="0.46019090257429229"/>
    <n v="159034"/>
    <n v="73186"/>
  </r>
  <r>
    <x v="9"/>
    <x v="190"/>
    <x v="1"/>
    <n v="0.39155778009733766"/>
    <n v="159034"/>
    <n v="62271"/>
  </r>
  <r>
    <x v="9"/>
    <x v="190"/>
    <x v="2"/>
    <n v="9.0056214394406225E-2"/>
    <n v="159034"/>
    <n v="14322"/>
  </r>
  <r>
    <x v="9"/>
    <x v="190"/>
    <x v="3"/>
    <n v="3.0961932668485983E-2"/>
    <n v="159034"/>
    <n v="4924"/>
  </r>
  <r>
    <x v="9"/>
    <x v="190"/>
    <x v="4"/>
    <n v="2.7252034156218168E-2"/>
    <n v="159034"/>
    <n v="4334"/>
  </r>
  <r>
    <x v="9"/>
    <x v="191"/>
    <x v="0"/>
    <n v="0.55657377836814292"/>
    <n v="141532"/>
    <n v="78773"/>
  </r>
  <r>
    <x v="9"/>
    <x v="191"/>
    <x v="1"/>
    <n v="0.32938134132210384"/>
    <n v="141532"/>
    <n v="46618"/>
  </r>
  <r>
    <x v="9"/>
    <x v="191"/>
    <x v="2"/>
    <n v="6.8182460503631692E-2"/>
    <n v="141532"/>
    <n v="9650"/>
  </r>
  <r>
    <x v="9"/>
    <x v="191"/>
    <x v="3"/>
    <n v="2.41288189243422E-2"/>
    <n v="141532"/>
    <n v="3415"/>
  </r>
  <r>
    <x v="9"/>
    <x v="191"/>
    <x v="4"/>
    <n v="2.1712404261933698E-2"/>
    <n v="141532"/>
    <n v="3073"/>
  </r>
  <r>
    <x v="9"/>
    <x v="192"/>
    <x v="0"/>
    <n v="0.51762649512718106"/>
    <n v="98403"/>
    <n v="50936"/>
  </r>
  <r>
    <x v="9"/>
    <x v="192"/>
    <x v="1"/>
    <n v="0.36008048535105636"/>
    <n v="98403"/>
    <n v="35433"/>
  </r>
  <r>
    <x v="9"/>
    <x v="192"/>
    <x v="2"/>
    <n v="7.7213093096755184E-2"/>
    <n v="98403"/>
    <n v="7598"/>
  </r>
  <r>
    <x v="9"/>
    <x v="192"/>
    <x v="3"/>
    <n v="2.464355761511336E-2"/>
    <n v="98403"/>
    <n v="2425"/>
  </r>
  <r>
    <x v="9"/>
    <x v="192"/>
    <x v="4"/>
    <n v="2.0426206518093959E-2"/>
    <n v="98403"/>
    <n v="2010"/>
  </r>
  <r>
    <x v="9"/>
    <x v="193"/>
    <x v="0"/>
    <n v="0.49040352120407615"/>
    <n v="100193"/>
    <n v="49135"/>
  </r>
  <r>
    <x v="9"/>
    <x v="193"/>
    <x v="1"/>
    <n v="0.36227081732256744"/>
    <n v="100193"/>
    <n v="36297"/>
  </r>
  <r>
    <x v="9"/>
    <x v="193"/>
    <x v="2"/>
    <n v="8.5584821294900845E-2"/>
    <n v="100193"/>
    <n v="8575"/>
  </r>
  <r>
    <x v="9"/>
    <x v="193"/>
    <x v="3"/>
    <n v="3.124968810196321E-2"/>
    <n v="100193"/>
    <n v="3131"/>
  </r>
  <r>
    <x v="9"/>
    <x v="193"/>
    <x v="4"/>
    <n v="3.0521094288024114E-2"/>
    <n v="100193"/>
    <n v="3058"/>
  </r>
  <r>
    <x v="9"/>
    <x v="194"/>
    <x v="0"/>
    <n v="0.43857995601633681"/>
    <n v="76392"/>
    <n v="33504"/>
  </r>
  <r>
    <x v="9"/>
    <x v="194"/>
    <x v="1"/>
    <n v="0.38273641218975807"/>
    <n v="76392"/>
    <n v="29238"/>
  </r>
  <r>
    <x v="9"/>
    <x v="194"/>
    <x v="2"/>
    <n v="9.7667295004712537E-2"/>
    <n v="76392"/>
    <n v="7461"/>
  </r>
  <r>
    <x v="9"/>
    <x v="194"/>
    <x v="3"/>
    <n v="3.915331448319196E-2"/>
    <n v="76392"/>
    <n v="2991"/>
  </r>
  <r>
    <x v="9"/>
    <x v="194"/>
    <x v="4"/>
    <n v="4.1771389674311446E-2"/>
    <n v="76392"/>
    <n v="3191"/>
  </r>
  <r>
    <x v="9"/>
    <x v="195"/>
    <x v="0"/>
    <n v="0.49074195023185946"/>
    <n v="61244"/>
    <n v="30055"/>
  </r>
  <r>
    <x v="9"/>
    <x v="195"/>
    <x v="1"/>
    <n v="0.35685128339102606"/>
    <n v="61244"/>
    <n v="21855"/>
  </r>
  <r>
    <x v="9"/>
    <x v="195"/>
    <x v="2"/>
    <n v="8.5036901574031737E-2"/>
    <n v="61244"/>
    <n v="5208"/>
  </r>
  <r>
    <x v="9"/>
    <x v="195"/>
    <x v="3"/>
    <n v="3.3113447847952455E-2"/>
    <n v="61244"/>
    <n v="2028"/>
  </r>
  <r>
    <x v="9"/>
    <x v="195"/>
    <x v="4"/>
    <n v="3.4207432564822678E-2"/>
    <n v="61244"/>
    <n v="2095"/>
  </r>
  <r>
    <x v="9"/>
    <x v="196"/>
    <x v="0"/>
    <n v="0.47039830767946111"/>
    <n v="35927"/>
    <n v="16900"/>
  </r>
  <r>
    <x v="9"/>
    <x v="196"/>
    <x v="1"/>
    <n v="0.35243688590753475"/>
    <n v="35927"/>
    <n v="12662"/>
  </r>
  <r>
    <x v="9"/>
    <x v="196"/>
    <x v="2"/>
    <n v="9.9924847607648845E-2"/>
    <n v="35927"/>
    <n v="3590"/>
  </r>
  <r>
    <x v="9"/>
    <x v="196"/>
    <x v="3"/>
    <n v="3.8633896512372312E-2"/>
    <n v="35927"/>
    <n v="1388"/>
  </r>
  <r>
    <x v="9"/>
    <x v="196"/>
    <x v="4"/>
    <n v="3.8773067609318895E-2"/>
    <n v="35927"/>
    <n v="1393"/>
  </r>
  <r>
    <x v="9"/>
    <x v="197"/>
    <x v="0"/>
    <n v="0.43939682056742985"/>
    <n v="52588"/>
    <n v="23107"/>
  </r>
  <r>
    <x v="9"/>
    <x v="197"/>
    <x v="1"/>
    <n v="0.38229253822164755"/>
    <n v="52588"/>
    <n v="20104"/>
  </r>
  <r>
    <x v="9"/>
    <x v="197"/>
    <x v="2"/>
    <n v="9.8862858446793947E-2"/>
    <n v="52588"/>
    <n v="5199"/>
  </r>
  <r>
    <x v="9"/>
    <x v="197"/>
    <x v="3"/>
    <n v="3.7023655586825889E-2"/>
    <n v="52588"/>
    <n v="1947"/>
  </r>
  <r>
    <x v="9"/>
    <x v="197"/>
    <x v="4"/>
    <n v="4.2595268882634825E-2"/>
    <n v="52588"/>
    <n v="2240"/>
  </r>
  <r>
    <x v="9"/>
    <x v="198"/>
    <x v="0"/>
    <n v="0.43888320759449706"/>
    <n v="51827"/>
    <n v="22746"/>
  </r>
  <r>
    <x v="9"/>
    <x v="198"/>
    <x v="1"/>
    <n v="0.37729368861790186"/>
    <n v="51827"/>
    <n v="19554"/>
  </r>
  <r>
    <x v="9"/>
    <x v="198"/>
    <x v="2"/>
    <n v="9.8925270611843252E-2"/>
    <n v="51827"/>
    <n v="5127"/>
  </r>
  <r>
    <x v="9"/>
    <x v="198"/>
    <x v="3"/>
    <n v="4.1175449090242539E-2"/>
    <n v="51827"/>
    <n v="2134"/>
  </r>
  <r>
    <x v="9"/>
    <x v="198"/>
    <x v="4"/>
    <n v="4.3645204237173676E-2"/>
    <n v="51827"/>
    <n v="2262"/>
  </r>
  <r>
    <x v="9"/>
    <x v="199"/>
    <x v="0"/>
    <n v="0.43432831066229172"/>
    <n v="31391"/>
    <n v="13634"/>
  </r>
  <r>
    <x v="9"/>
    <x v="199"/>
    <x v="1"/>
    <n v="0.37341913287247935"/>
    <n v="31391"/>
    <n v="11722"/>
  </r>
  <r>
    <x v="9"/>
    <x v="199"/>
    <x v="2"/>
    <n v="0.10362842853047052"/>
    <n v="31391"/>
    <n v="3253"/>
  </r>
  <r>
    <x v="9"/>
    <x v="199"/>
    <x v="3"/>
    <n v="4.2305119301710679E-2"/>
    <n v="31391"/>
    <n v="1328"/>
  </r>
  <r>
    <x v="9"/>
    <x v="199"/>
    <x v="4"/>
    <n v="4.638272116211653E-2"/>
    <n v="31391"/>
    <n v="1456"/>
  </r>
  <r>
    <x v="9"/>
    <x v="200"/>
    <x v="0"/>
    <n v="0.43498999846130176"/>
    <n v="71489"/>
    <n v="31097"/>
  </r>
  <r>
    <x v="9"/>
    <x v="200"/>
    <x v="1"/>
    <n v="0.38958441158779672"/>
    <n v="71489"/>
    <n v="27851"/>
  </r>
  <r>
    <x v="9"/>
    <x v="200"/>
    <x v="2"/>
    <n v="0.10070080711717887"/>
    <n v="71489"/>
    <n v="7199"/>
  </r>
  <r>
    <x v="9"/>
    <x v="200"/>
    <x v="3"/>
    <n v="3.8201681377554586E-2"/>
    <n v="71489"/>
    <n v="2731"/>
  </r>
  <r>
    <x v="9"/>
    <x v="200"/>
    <x v="4"/>
    <n v="3.6607030452237406E-2"/>
    <n v="71489"/>
    <n v="2617"/>
  </r>
  <r>
    <x v="9"/>
    <x v="201"/>
    <x v="0"/>
    <n v="0.41590813846282793"/>
    <n v="59655"/>
    <n v="24811"/>
  </r>
  <r>
    <x v="9"/>
    <x v="201"/>
    <x v="1"/>
    <n v="0.39522252954488307"/>
    <n v="59655"/>
    <n v="23577"/>
  </r>
  <r>
    <x v="9"/>
    <x v="201"/>
    <x v="2"/>
    <n v="0.10850725002095382"/>
    <n v="59655"/>
    <n v="6473"/>
  </r>
  <r>
    <x v="9"/>
    <x v="201"/>
    <x v="3"/>
    <n v="4.1907635571201071E-2"/>
    <n v="59655"/>
    <n v="2500"/>
  </r>
  <r>
    <x v="9"/>
    <x v="201"/>
    <x v="4"/>
    <n v="3.8437683345905624E-2"/>
    <n v="59655"/>
    <n v="2293"/>
  </r>
  <r>
    <x v="9"/>
    <x v="202"/>
    <x v="0"/>
    <n v="0.48412554243616912"/>
    <n v="49545"/>
    <n v="23986"/>
  </r>
  <r>
    <x v="9"/>
    <x v="202"/>
    <x v="1"/>
    <n v="0.37049147239882935"/>
    <n v="49545"/>
    <n v="18356"/>
  </r>
  <r>
    <x v="9"/>
    <x v="202"/>
    <x v="2"/>
    <n v="8.8020991018266229E-2"/>
    <n v="49545"/>
    <n v="4361"/>
  </r>
  <r>
    <x v="9"/>
    <x v="202"/>
    <x v="3"/>
    <n v="3.0154405086285196E-2"/>
    <n v="49545"/>
    <n v="1494"/>
  </r>
  <r>
    <x v="9"/>
    <x v="202"/>
    <x v="4"/>
    <n v="2.7207589060450097E-2"/>
    <n v="49545"/>
    <n v="1348"/>
  </r>
  <r>
    <x v="9"/>
    <x v="203"/>
    <x v="0"/>
    <n v="0.49917435080592132"/>
    <n v="68431"/>
    <n v="34159"/>
  </r>
  <r>
    <x v="9"/>
    <x v="203"/>
    <x v="1"/>
    <n v="0.35972000993701686"/>
    <n v="68431"/>
    <n v="24616"/>
  </r>
  <r>
    <x v="9"/>
    <x v="203"/>
    <x v="2"/>
    <n v="7.9598427613216227E-2"/>
    <n v="68431"/>
    <n v="5447"/>
  </r>
  <r>
    <x v="9"/>
    <x v="203"/>
    <x v="3"/>
    <n v="3.1754614136867795E-2"/>
    <n v="68431"/>
    <n v="2173"/>
  </r>
  <r>
    <x v="9"/>
    <x v="203"/>
    <x v="4"/>
    <n v="2.9825663807338778E-2"/>
    <n v="68431"/>
    <n v="2041"/>
  </r>
  <r>
    <x v="9"/>
    <x v="204"/>
    <x v="0"/>
    <n v="0.47125624864159965"/>
    <n v="55212"/>
    <n v="26019"/>
  </r>
  <r>
    <x v="9"/>
    <x v="204"/>
    <x v="1"/>
    <n v="0.37133231906107367"/>
    <n v="55212"/>
    <n v="20502"/>
  </r>
  <r>
    <x v="9"/>
    <x v="204"/>
    <x v="2"/>
    <n v="9.2389335651669929E-2"/>
    <n v="55212"/>
    <n v="5101"/>
  </r>
  <r>
    <x v="9"/>
    <x v="204"/>
    <x v="3"/>
    <n v="3.3851336665942186E-2"/>
    <n v="55212"/>
    <n v="1869"/>
  </r>
  <r>
    <x v="9"/>
    <x v="204"/>
    <x v="4"/>
    <n v="3.126132000289792E-2"/>
    <n v="55212"/>
    <n v="1726"/>
  </r>
  <r>
    <x v="9"/>
    <x v="205"/>
    <x v="0"/>
    <n v="0.52920522885231736"/>
    <n v="55538"/>
    <n v="29391"/>
  </r>
  <r>
    <x v="9"/>
    <x v="205"/>
    <x v="1"/>
    <n v="0.34084770787568874"/>
    <n v="55538"/>
    <n v="18930"/>
  </r>
  <r>
    <x v="9"/>
    <x v="205"/>
    <x v="2"/>
    <n v="7.5947999567863439E-2"/>
    <n v="55538"/>
    <n v="4218"/>
  </r>
  <r>
    <x v="9"/>
    <x v="205"/>
    <x v="3"/>
    <n v="2.8755086607367929E-2"/>
    <n v="55538"/>
    <n v="1597"/>
  </r>
  <r>
    <x v="9"/>
    <x v="205"/>
    <x v="4"/>
    <n v="2.518996002736865E-2"/>
    <n v="55538"/>
    <n v="1399"/>
  </r>
  <r>
    <x v="9"/>
    <x v="206"/>
    <x v="0"/>
    <n v="0.45024066256151013"/>
    <n v="37189"/>
    <n v="16744"/>
  </r>
  <r>
    <x v="9"/>
    <x v="206"/>
    <x v="1"/>
    <n v="0.35303449944876175"/>
    <n v="37189"/>
    <n v="13129"/>
  </r>
  <r>
    <x v="9"/>
    <x v="206"/>
    <x v="2"/>
    <n v="0.10887628062061362"/>
    <n v="37189"/>
    <n v="4049"/>
  </r>
  <r>
    <x v="9"/>
    <x v="206"/>
    <x v="3"/>
    <n v="4.560488316437656E-2"/>
    <n v="37189"/>
    <n v="1696"/>
  </r>
  <r>
    <x v="9"/>
    <x v="206"/>
    <x v="4"/>
    <n v="4.2351232891446398E-2"/>
    <n v="37189"/>
    <n v="1575"/>
  </r>
  <r>
    <x v="9"/>
    <x v="207"/>
    <x v="0"/>
    <n v="0.36409464553340298"/>
    <n v="22019"/>
    <n v="8017"/>
  </r>
  <r>
    <x v="9"/>
    <x v="207"/>
    <x v="1"/>
    <n v="0.35519324219991827"/>
    <n v="22019"/>
    <n v="7821"/>
  </r>
  <r>
    <x v="9"/>
    <x v="207"/>
    <x v="2"/>
    <n v="0.1336118806485308"/>
    <n v="22019"/>
    <n v="2942"/>
  </r>
  <r>
    <x v="9"/>
    <x v="207"/>
    <x v="3"/>
    <n v="6.444434352150416E-2"/>
    <n v="22019"/>
    <n v="1419"/>
  </r>
  <r>
    <x v="9"/>
    <x v="207"/>
    <x v="4"/>
    <n v="8.2383396157863664E-2"/>
    <n v="22019"/>
    <n v="1814"/>
  </r>
  <r>
    <x v="10"/>
    <x v="208"/>
    <x v="0"/>
    <n v="0.35647140431028296"/>
    <n v="41807"/>
    <n v="14903"/>
  </r>
  <r>
    <x v="10"/>
    <x v="208"/>
    <x v="1"/>
    <n v="0.38041476307795347"/>
    <n v="41807"/>
    <n v="15904"/>
  </r>
  <r>
    <x v="10"/>
    <x v="208"/>
    <x v="2"/>
    <n v="0.12883010022245078"/>
    <n v="41807"/>
    <n v="5386"/>
  </r>
  <r>
    <x v="10"/>
    <x v="208"/>
    <x v="3"/>
    <n v="5.9487645609586914E-2"/>
    <n v="41807"/>
    <n v="2487"/>
  </r>
  <r>
    <x v="10"/>
    <x v="208"/>
    <x v="4"/>
    <n v="7.472432846174086E-2"/>
    <n v="41807"/>
    <n v="3124"/>
  </r>
  <r>
    <x v="10"/>
    <x v="209"/>
    <x v="0"/>
    <n v="0.37020689957961517"/>
    <n v="2277675"/>
    <n v="843211"/>
  </r>
  <r>
    <x v="10"/>
    <x v="209"/>
    <x v="1"/>
    <n v="0.42240705983074844"/>
    <n v="2277675"/>
    <n v="962106"/>
  </r>
  <r>
    <x v="10"/>
    <x v="209"/>
    <x v="2"/>
    <n v="0.12194101441162589"/>
    <n v="2277675"/>
    <n v="277742"/>
  </r>
  <r>
    <x v="10"/>
    <x v="209"/>
    <x v="3"/>
    <n v="4.4987542120803012E-2"/>
    <n v="2277675"/>
    <n v="102467"/>
  </r>
  <r>
    <x v="10"/>
    <x v="209"/>
    <x v="4"/>
    <n v="4.0458362145609009E-2"/>
    <n v="2277675"/>
    <n v="92151"/>
  </r>
  <r>
    <x v="10"/>
    <x v="210"/>
    <x v="0"/>
    <n v="0.41040467772808392"/>
    <n v="324431"/>
    <n v="133148"/>
  </r>
  <r>
    <x v="10"/>
    <x v="210"/>
    <x v="1"/>
    <n v="0.41654465818617825"/>
    <n v="324431"/>
    <n v="135140"/>
  </r>
  <r>
    <x v="10"/>
    <x v="210"/>
    <x v="2"/>
    <n v="0.10372621605210353"/>
    <n v="324431"/>
    <n v="33652"/>
  </r>
  <r>
    <x v="10"/>
    <x v="210"/>
    <x v="3"/>
    <n v="3.6802894914481042E-2"/>
    <n v="324431"/>
    <n v="11940"/>
  </r>
  <r>
    <x v="10"/>
    <x v="210"/>
    <x v="4"/>
    <n v="3.2518470799646149E-2"/>
    <n v="324431"/>
    <n v="10550"/>
  </r>
  <r>
    <x v="10"/>
    <x v="211"/>
    <x v="0"/>
    <n v="0.35295713510580573"/>
    <n v="33174"/>
    <n v="11709"/>
  </r>
  <r>
    <x v="10"/>
    <x v="211"/>
    <x v="1"/>
    <n v="0.38267920660758425"/>
    <n v="33174"/>
    <n v="12695"/>
  </r>
  <r>
    <x v="10"/>
    <x v="211"/>
    <x v="2"/>
    <n v="0.13052390426237415"/>
    <n v="33174"/>
    <n v="4330"/>
  </r>
  <r>
    <x v="10"/>
    <x v="211"/>
    <x v="3"/>
    <n v="6.1373364683185626E-2"/>
    <n v="33174"/>
    <n v="2036"/>
  </r>
  <r>
    <x v="10"/>
    <x v="211"/>
    <x v="4"/>
    <n v="7.2496533429794424E-2"/>
    <n v="33174"/>
    <n v="2405"/>
  </r>
  <r>
    <x v="10"/>
    <x v="212"/>
    <x v="0"/>
    <n v="0.38941719875016984"/>
    <n v="73610"/>
    <n v="28665"/>
  </r>
  <r>
    <x v="10"/>
    <x v="212"/>
    <x v="1"/>
    <n v="0.41607118598016574"/>
    <n v="73610"/>
    <n v="30627"/>
  </r>
  <r>
    <x v="10"/>
    <x v="212"/>
    <x v="2"/>
    <n v="0.11139790789294933"/>
    <n v="73610"/>
    <n v="8200"/>
  </r>
  <r>
    <x v="10"/>
    <x v="212"/>
    <x v="3"/>
    <n v="4.2385545442195353E-2"/>
    <n v="73610"/>
    <n v="3120"/>
  </r>
  <r>
    <x v="10"/>
    <x v="212"/>
    <x v="4"/>
    <n v="4.0755332155957072E-2"/>
    <n v="73610"/>
    <n v="3000"/>
  </r>
  <r>
    <x v="10"/>
    <x v="213"/>
    <x v="0"/>
    <n v="0.38941548183254343"/>
    <n v="49374"/>
    <n v="19227"/>
  </r>
  <r>
    <x v="10"/>
    <x v="213"/>
    <x v="1"/>
    <n v="0.3984688297484506"/>
    <n v="49374"/>
    <n v="19674"/>
  </r>
  <r>
    <x v="10"/>
    <x v="213"/>
    <x v="2"/>
    <n v="0.11611374407582939"/>
    <n v="49374"/>
    <n v="5733"/>
  </r>
  <r>
    <x v="10"/>
    <x v="213"/>
    <x v="3"/>
    <n v="4.8304775792927454E-2"/>
    <n v="49374"/>
    <n v="2385"/>
  </r>
  <r>
    <x v="10"/>
    <x v="213"/>
    <x v="4"/>
    <n v="4.7636407825981289E-2"/>
    <n v="49374"/>
    <n v="2352"/>
  </r>
  <r>
    <x v="10"/>
    <x v="214"/>
    <x v="0"/>
    <n v="0.40737924236023093"/>
    <n v="35505"/>
    <n v="14464"/>
  </r>
  <r>
    <x v="10"/>
    <x v="214"/>
    <x v="1"/>
    <n v="0.38662160259118433"/>
    <n v="35505"/>
    <n v="13727"/>
  </r>
  <r>
    <x v="10"/>
    <x v="214"/>
    <x v="2"/>
    <n v="0.11249119842275736"/>
    <n v="35505"/>
    <n v="3994"/>
  </r>
  <r>
    <x v="10"/>
    <x v="214"/>
    <x v="3"/>
    <n v="4.4190959019856361E-2"/>
    <n v="35505"/>
    <n v="1569"/>
  </r>
  <r>
    <x v="10"/>
    <x v="214"/>
    <x v="4"/>
    <n v="4.9457822841853259E-2"/>
    <n v="35505"/>
    <n v="1756"/>
  </r>
  <r>
    <x v="10"/>
    <x v="215"/>
    <x v="0"/>
    <n v="0.40945970025144035"/>
    <n v="252545"/>
    <n v="103407"/>
  </r>
  <r>
    <x v="10"/>
    <x v="215"/>
    <x v="1"/>
    <n v="0.41474192718129443"/>
    <n v="252545"/>
    <n v="104741"/>
  </r>
  <r>
    <x v="10"/>
    <x v="215"/>
    <x v="2"/>
    <n v="0.10509018194777169"/>
    <n v="252545"/>
    <n v="26540"/>
  </r>
  <r>
    <x v="10"/>
    <x v="215"/>
    <x v="3"/>
    <n v="3.7371557544200046E-2"/>
    <n v="252545"/>
    <n v="9438"/>
  </r>
  <r>
    <x v="10"/>
    <x v="215"/>
    <x v="4"/>
    <n v="3.3356431527054586E-2"/>
    <n v="252545"/>
    <n v="8424"/>
  </r>
  <r>
    <x v="10"/>
    <x v="216"/>
    <x v="0"/>
    <n v="0.38542841910807496"/>
    <n v="161314"/>
    <n v="62175"/>
  </r>
  <r>
    <x v="10"/>
    <x v="216"/>
    <x v="1"/>
    <n v="0.41119183703832279"/>
    <n v="161314"/>
    <n v="66331"/>
  </r>
  <r>
    <x v="10"/>
    <x v="216"/>
    <x v="2"/>
    <n v="0.11574940798690753"/>
    <n v="161314"/>
    <n v="18672"/>
  </r>
  <r>
    <x v="10"/>
    <x v="216"/>
    <x v="3"/>
    <n v="4.4292497861313958E-2"/>
    <n v="161314"/>
    <n v="7145"/>
  </r>
  <r>
    <x v="10"/>
    <x v="216"/>
    <x v="4"/>
    <n v="4.3375032545222361E-2"/>
    <n v="161314"/>
    <n v="6997"/>
  </r>
  <r>
    <x v="10"/>
    <x v="217"/>
    <x v="0"/>
    <n v="0.40567578824382144"/>
    <n v="369746"/>
    <n v="149997"/>
  </r>
  <r>
    <x v="10"/>
    <x v="217"/>
    <x v="1"/>
    <n v="0.39835184153445879"/>
    <n v="369746"/>
    <n v="147289"/>
  </r>
  <r>
    <x v="10"/>
    <x v="217"/>
    <x v="2"/>
    <n v="0.10959144926517123"/>
    <n v="369746"/>
    <n v="40521"/>
  </r>
  <r>
    <x v="10"/>
    <x v="217"/>
    <x v="3"/>
    <n v="4.2523786599449352E-2"/>
    <n v="369746"/>
    <n v="15723"/>
  </r>
  <r>
    <x v="10"/>
    <x v="217"/>
    <x v="4"/>
    <n v="4.3857134357099196E-2"/>
    <n v="369746"/>
    <n v="16216"/>
  </r>
  <r>
    <x v="10"/>
    <x v="218"/>
    <x v="0"/>
    <n v="0.36243153472206946"/>
    <n v="90922"/>
    <n v="32953"/>
  </r>
  <r>
    <x v="10"/>
    <x v="218"/>
    <x v="1"/>
    <n v="0.39891335430368885"/>
    <n v="90922"/>
    <n v="36270"/>
  </r>
  <r>
    <x v="10"/>
    <x v="218"/>
    <x v="2"/>
    <n v="0.12615208640373066"/>
    <n v="90922"/>
    <n v="11470"/>
  </r>
  <r>
    <x v="10"/>
    <x v="218"/>
    <x v="3"/>
    <n v="5.3507401948923256E-2"/>
    <n v="90922"/>
    <n v="4865"/>
  </r>
  <r>
    <x v="10"/>
    <x v="218"/>
    <x v="4"/>
    <n v="5.8940630430478869E-2"/>
    <n v="90922"/>
    <n v="5359"/>
  </r>
  <r>
    <x v="10"/>
    <x v="219"/>
    <x v="0"/>
    <n v="0.39727710716988485"/>
    <n v="266922"/>
    <n v="106042"/>
  </r>
  <r>
    <x v="10"/>
    <x v="219"/>
    <x v="1"/>
    <n v="0.42180861824802751"/>
    <n v="266922"/>
    <n v="112590"/>
  </r>
  <r>
    <x v="10"/>
    <x v="219"/>
    <x v="2"/>
    <n v="0.10787421044350035"/>
    <n v="266922"/>
    <n v="28794"/>
  </r>
  <r>
    <x v="10"/>
    <x v="219"/>
    <x v="3"/>
    <n v="3.8760386929514987E-2"/>
    <n v="266922"/>
    <n v="10346"/>
  </r>
  <r>
    <x v="10"/>
    <x v="219"/>
    <x v="4"/>
    <n v="3.4287170034691783E-2"/>
    <n v="266922"/>
    <n v="9152"/>
  </r>
  <r>
    <x v="10"/>
    <x v="220"/>
    <x v="0"/>
    <n v="0.36023632030021807"/>
    <n v="39438"/>
    <n v="14207"/>
  </r>
  <r>
    <x v="10"/>
    <x v="220"/>
    <x v="1"/>
    <n v="0.39601399665297427"/>
    <n v="39438"/>
    <n v="15618"/>
  </r>
  <r>
    <x v="10"/>
    <x v="220"/>
    <x v="2"/>
    <n v="0.12564024544855215"/>
    <n v="39438"/>
    <n v="4955"/>
  </r>
  <r>
    <x v="10"/>
    <x v="220"/>
    <x v="3"/>
    <n v="5.7457274709670873E-2"/>
    <n v="39438"/>
    <n v="2266"/>
  </r>
  <r>
    <x v="10"/>
    <x v="220"/>
    <x v="4"/>
    <n v="6.0905725442466654E-2"/>
    <n v="39438"/>
    <n v="2402"/>
  </r>
  <r>
    <x v="10"/>
    <x v="221"/>
    <x v="0"/>
    <n v="0.41131869934298687"/>
    <n v="323129"/>
    <n v="132909"/>
  </r>
  <r>
    <x v="10"/>
    <x v="221"/>
    <x v="1"/>
    <n v="0.40862937093235208"/>
    <n v="323129"/>
    <n v="132040"/>
  </r>
  <r>
    <x v="10"/>
    <x v="221"/>
    <x v="2"/>
    <n v="0.10569153495972197"/>
    <n v="323129"/>
    <n v="34152"/>
  </r>
  <r>
    <x v="10"/>
    <x v="221"/>
    <x v="3"/>
    <n v="3.8631630092006597E-2"/>
    <n v="323129"/>
    <n v="12483"/>
  </r>
  <r>
    <x v="10"/>
    <x v="221"/>
    <x v="4"/>
    <n v="3.5738048890690717E-2"/>
    <n v="323129"/>
    <n v="11548"/>
  </r>
  <r>
    <x v="10"/>
    <x v="222"/>
    <x v="0"/>
    <n v="0.38144306394619859"/>
    <n v="43865"/>
    <n v="16732"/>
  </r>
  <r>
    <x v="10"/>
    <x v="222"/>
    <x v="1"/>
    <n v="0.39518978684600481"/>
    <n v="43865"/>
    <n v="17335"/>
  </r>
  <r>
    <x v="10"/>
    <x v="222"/>
    <x v="2"/>
    <n v="0.11615182947680383"/>
    <n v="43865"/>
    <n v="5095"/>
  </r>
  <r>
    <x v="10"/>
    <x v="222"/>
    <x v="3"/>
    <n v="5.1362133819674E-2"/>
    <n v="43865"/>
    <n v="2253"/>
  </r>
  <r>
    <x v="10"/>
    <x v="222"/>
    <x v="4"/>
    <n v="5.5761997036361567E-2"/>
    <n v="43865"/>
    <n v="2446"/>
  </r>
  <r>
    <x v="10"/>
    <x v="223"/>
    <x v="0"/>
    <n v="0.3803277317950004"/>
    <n v="239220"/>
    <n v="90982"/>
  </r>
  <r>
    <x v="10"/>
    <x v="223"/>
    <x v="1"/>
    <n v="0.41709723267285342"/>
    <n v="239220"/>
    <n v="99778"/>
  </r>
  <r>
    <x v="10"/>
    <x v="223"/>
    <x v="2"/>
    <n v="0.1200484909288521"/>
    <n v="239220"/>
    <n v="28718"/>
  </r>
  <r>
    <x v="10"/>
    <x v="223"/>
    <x v="3"/>
    <n v="4.3779784298971655E-2"/>
    <n v="239220"/>
    <n v="10473"/>
  </r>
  <r>
    <x v="10"/>
    <x v="223"/>
    <x v="4"/>
    <n v="3.8742580051835132E-2"/>
    <n v="239220"/>
    <n v="9268"/>
  </r>
  <r>
    <x v="10"/>
    <x v="224"/>
    <x v="0"/>
    <n v="0.39751507951614279"/>
    <n v="152359"/>
    <n v="60565"/>
  </r>
  <r>
    <x v="10"/>
    <x v="224"/>
    <x v="1"/>
    <n v="0.41990299227482458"/>
    <n v="152359"/>
    <n v="63976"/>
  </r>
  <r>
    <x v="10"/>
    <x v="224"/>
    <x v="2"/>
    <n v="0.10841499353500614"/>
    <n v="152359"/>
    <n v="16518"/>
  </r>
  <r>
    <x v="10"/>
    <x v="224"/>
    <x v="3"/>
    <n v="3.8625877040411136E-2"/>
    <n v="152359"/>
    <n v="5885"/>
  </r>
  <r>
    <x v="10"/>
    <x v="224"/>
    <x v="4"/>
    <n v="3.5560747970254464E-2"/>
    <n v="152359"/>
    <n v="5418"/>
  </r>
  <r>
    <x v="10"/>
    <x v="225"/>
    <x v="0"/>
    <n v="0.41721274001828712"/>
    <n v="104992"/>
    <n v="43804"/>
  </r>
  <r>
    <x v="10"/>
    <x v="225"/>
    <x v="1"/>
    <n v="0.39733503505028955"/>
    <n v="104992"/>
    <n v="41717"/>
  </r>
  <r>
    <x v="10"/>
    <x v="225"/>
    <x v="2"/>
    <n v="0.1054080310880829"/>
    <n v="104992"/>
    <n v="11067"/>
  </r>
  <r>
    <x v="10"/>
    <x v="225"/>
    <x v="3"/>
    <n v="3.9250609570252969E-2"/>
    <n v="104992"/>
    <n v="4121"/>
  </r>
  <r>
    <x v="10"/>
    <x v="225"/>
    <x v="4"/>
    <n v="4.079358427308747E-2"/>
    <n v="104992"/>
    <n v="4283"/>
  </r>
  <r>
    <x v="10"/>
    <x v="226"/>
    <x v="0"/>
    <n v="0.40235479023341097"/>
    <n v="72533"/>
    <n v="29184"/>
  </r>
  <r>
    <x v="10"/>
    <x v="226"/>
    <x v="1"/>
    <n v="0.40358181793114856"/>
    <n v="72533"/>
    <n v="29273"/>
  </r>
  <r>
    <x v="10"/>
    <x v="226"/>
    <x v="2"/>
    <n v="0.10891594170929095"/>
    <n v="72533"/>
    <n v="7900"/>
  </r>
  <r>
    <x v="10"/>
    <x v="226"/>
    <x v="3"/>
    <n v="4.2932182592750882E-2"/>
    <n v="72533"/>
    <n v="3114"/>
  </r>
  <r>
    <x v="10"/>
    <x v="226"/>
    <x v="4"/>
    <n v="4.2229054361463056E-2"/>
    <n v="72533"/>
    <n v="3063"/>
  </r>
  <r>
    <x v="10"/>
    <x v="227"/>
    <x v="0"/>
    <n v="0.41250269720415522"/>
    <n v="32441"/>
    <n v="13382"/>
  </r>
  <r>
    <x v="10"/>
    <x v="227"/>
    <x v="1"/>
    <n v="0.38479085108350541"/>
    <n v="32441"/>
    <n v="12483"/>
  </r>
  <r>
    <x v="10"/>
    <x v="227"/>
    <x v="2"/>
    <n v="0.11013840510465152"/>
    <n v="32441"/>
    <n v="3573"/>
  </r>
  <r>
    <x v="10"/>
    <x v="227"/>
    <x v="3"/>
    <n v="4.4758176381739158E-2"/>
    <n v="32441"/>
    <n v="1452"/>
  </r>
  <r>
    <x v="10"/>
    <x v="227"/>
    <x v="4"/>
    <n v="4.7840695416294196E-2"/>
    <n v="32441"/>
    <n v="1552"/>
  </r>
  <r>
    <x v="10"/>
    <x v="228"/>
    <x v="0"/>
    <n v="0.37481901893785835"/>
    <n v="34534"/>
    <n v="12944"/>
  </r>
  <r>
    <x v="10"/>
    <x v="228"/>
    <x v="1"/>
    <n v="0.40331267736144089"/>
    <n v="34534"/>
    <n v="13928"/>
  </r>
  <r>
    <x v="10"/>
    <x v="228"/>
    <x v="2"/>
    <n v="0.1169861585683674"/>
    <n v="34534"/>
    <n v="4040"/>
  </r>
  <r>
    <x v="10"/>
    <x v="228"/>
    <x v="3"/>
    <n v="4.9777031331441478E-2"/>
    <n v="34534"/>
    <n v="1719"/>
  </r>
  <r>
    <x v="10"/>
    <x v="228"/>
    <x v="4"/>
    <n v="5.5076156830949206E-2"/>
    <n v="34534"/>
    <n v="1902"/>
  </r>
  <r>
    <x v="10"/>
    <x v="229"/>
    <x v="0"/>
    <n v="0.42464940149545904"/>
    <n v="124644"/>
    <n v="52930"/>
  </r>
  <r>
    <x v="10"/>
    <x v="229"/>
    <x v="1"/>
    <n v="0.41037675299252269"/>
    <n v="124644"/>
    <n v="51151"/>
  </r>
  <r>
    <x v="10"/>
    <x v="229"/>
    <x v="2"/>
    <n v="9.7750393119604637E-2"/>
    <n v="124644"/>
    <n v="12184"/>
  </r>
  <r>
    <x v="10"/>
    <x v="229"/>
    <x v="3"/>
    <n v="3.4979621963351623E-2"/>
    <n v="124644"/>
    <n v="4360"/>
  </r>
  <r>
    <x v="10"/>
    <x v="229"/>
    <x v="4"/>
    <n v="3.2235807579987806E-2"/>
    <n v="124644"/>
    <n v="4018"/>
  </r>
  <r>
    <x v="10"/>
    <x v="230"/>
    <x v="0"/>
    <n v="0.40918213748118415"/>
    <n v="19930"/>
    <n v="8155"/>
  </r>
  <r>
    <x v="10"/>
    <x v="230"/>
    <x v="1"/>
    <n v="0.37531359759157051"/>
    <n v="19930"/>
    <n v="7480"/>
  </r>
  <r>
    <x v="10"/>
    <x v="230"/>
    <x v="2"/>
    <n v="0.1100351229302559"/>
    <n v="19930"/>
    <n v="2193"/>
  </r>
  <r>
    <x v="10"/>
    <x v="230"/>
    <x v="3"/>
    <n v="5.0627195183140995E-2"/>
    <n v="19930"/>
    <n v="1009"/>
  </r>
  <r>
    <x v="10"/>
    <x v="230"/>
    <x v="4"/>
    <n v="5.4942298043151032E-2"/>
    <n v="19930"/>
    <n v="1095"/>
  </r>
  <r>
    <x v="10"/>
    <x v="231"/>
    <x v="0"/>
    <n v="0.34634854771784235"/>
    <n v="24100"/>
    <n v="8347"/>
  </r>
  <r>
    <x v="10"/>
    <x v="231"/>
    <x v="1"/>
    <n v="0.39095435684647301"/>
    <n v="24100"/>
    <n v="9422"/>
  </r>
  <r>
    <x v="10"/>
    <x v="231"/>
    <x v="2"/>
    <n v="0.13253112033195022"/>
    <n v="24100"/>
    <n v="3194"/>
  </r>
  <r>
    <x v="10"/>
    <x v="231"/>
    <x v="3"/>
    <n v="6.1078838174273856E-2"/>
    <n v="24100"/>
    <n v="1472"/>
  </r>
  <r>
    <x v="10"/>
    <x v="231"/>
    <x v="4"/>
    <n v="6.8755186721991698E-2"/>
    <n v="24100"/>
    <n v="1657"/>
  </r>
  <r>
    <x v="11"/>
    <x v="232"/>
    <x v="0"/>
    <n v="0.58122824918816363"/>
    <n v="257749"/>
    <n v="149811"/>
  </r>
  <r>
    <x v="11"/>
    <x v="232"/>
    <x v="1"/>
    <n v="0.32366371935487626"/>
    <n v="257749"/>
    <n v="83424"/>
  </r>
  <r>
    <x v="11"/>
    <x v="232"/>
    <x v="2"/>
    <n v="5.8153474892240126E-2"/>
    <n v="257749"/>
    <n v="14989"/>
  </r>
  <r>
    <x v="11"/>
    <x v="232"/>
    <x v="3"/>
    <n v="1.9553907095662834E-2"/>
    <n v="257749"/>
    <n v="5040"/>
  </r>
  <r>
    <x v="11"/>
    <x v="232"/>
    <x v="4"/>
    <n v="1.7408408955999828E-2"/>
    <n v="257749"/>
    <n v="4487"/>
  </r>
  <r>
    <x v="11"/>
    <x v="233"/>
    <x v="0"/>
    <n v="0.60394056803088592"/>
    <n v="290618"/>
    <n v="175516"/>
  </r>
  <r>
    <x v="11"/>
    <x v="233"/>
    <x v="1"/>
    <n v="0.31649106387078568"/>
    <n v="290618"/>
    <n v="91978"/>
  </r>
  <r>
    <x v="11"/>
    <x v="233"/>
    <x v="2"/>
    <n v="4.9384415280540092E-2"/>
    <n v="290618"/>
    <n v="14352"/>
  </r>
  <r>
    <x v="11"/>
    <x v="233"/>
    <x v="3"/>
    <n v="1.5639086360789766E-2"/>
    <n v="290618"/>
    <n v="4545"/>
  </r>
  <r>
    <x v="11"/>
    <x v="233"/>
    <x v="4"/>
    <n v="1.456207117246695E-2"/>
    <n v="290618"/>
    <n v="4232"/>
  </r>
  <r>
    <x v="11"/>
    <x v="234"/>
    <x v="0"/>
    <n v="0.59390218570406439"/>
    <n v="173308"/>
    <n v="102928"/>
  </r>
  <r>
    <x v="11"/>
    <x v="234"/>
    <x v="1"/>
    <n v="0.31445172756018186"/>
    <n v="173308"/>
    <n v="54497"/>
  </r>
  <r>
    <x v="11"/>
    <x v="234"/>
    <x v="2"/>
    <n v="5.581969672490595E-2"/>
    <n v="173308"/>
    <n v="9674"/>
  </r>
  <r>
    <x v="11"/>
    <x v="234"/>
    <x v="3"/>
    <n v="1.8821981674244696E-2"/>
    <n v="173308"/>
    <n v="3262"/>
  </r>
  <r>
    <x v="11"/>
    <x v="234"/>
    <x v="4"/>
    <n v="1.7015948484778543E-2"/>
    <n v="173308"/>
    <n v="2949"/>
  </r>
  <r>
    <x v="11"/>
    <x v="235"/>
    <x v="0"/>
    <n v="0.52378379676319453"/>
    <n v="166584"/>
    <n v="87254"/>
  </r>
  <r>
    <x v="11"/>
    <x v="235"/>
    <x v="1"/>
    <n v="0.35439177832204771"/>
    <n v="166584"/>
    <n v="59036"/>
  </r>
  <r>
    <x v="11"/>
    <x v="235"/>
    <x v="2"/>
    <n v="7.709623973490852E-2"/>
    <n v="166584"/>
    <n v="12843"/>
  </r>
  <r>
    <x v="11"/>
    <x v="235"/>
    <x v="3"/>
    <n v="2.4738270182010278E-2"/>
    <n v="166584"/>
    <n v="4121"/>
  </r>
  <r>
    <x v="11"/>
    <x v="235"/>
    <x v="4"/>
    <n v="2.0019929885223071E-2"/>
    <n v="166584"/>
    <n v="3335"/>
  </r>
  <r>
    <x v="11"/>
    <x v="236"/>
    <x v="0"/>
    <n v="0.56871346982646631"/>
    <n v="673587"/>
    <n v="383078"/>
  </r>
  <r>
    <x v="11"/>
    <x v="236"/>
    <x v="1"/>
    <n v="0.33821911646157066"/>
    <n v="673587"/>
    <n v="227820"/>
  </r>
  <r>
    <x v="11"/>
    <x v="236"/>
    <x v="2"/>
    <n v="6.1724766065853406E-2"/>
    <n v="673587"/>
    <n v="41577"/>
  </r>
  <r>
    <x v="11"/>
    <x v="236"/>
    <x v="3"/>
    <n v="1.798134465184156E-2"/>
    <n v="673587"/>
    <n v="12112"/>
  </r>
  <r>
    <x v="11"/>
    <x v="236"/>
    <x v="4"/>
    <n v="1.3374664297262268E-2"/>
    <n v="673587"/>
    <n v="9009"/>
  </r>
  <r>
    <x v="11"/>
    <x v="237"/>
    <x v="0"/>
    <n v="0.61378518971848228"/>
    <n v="196080"/>
    <n v="120351"/>
  </r>
  <r>
    <x v="11"/>
    <x v="237"/>
    <x v="1"/>
    <n v="0.29127396980824155"/>
    <n v="196080"/>
    <n v="57113"/>
  </r>
  <r>
    <x v="11"/>
    <x v="237"/>
    <x v="2"/>
    <n v="5.6864545083639334E-2"/>
    <n v="196080"/>
    <n v="11150"/>
  </r>
  <r>
    <x v="11"/>
    <x v="237"/>
    <x v="3"/>
    <n v="2.0364137086903305E-2"/>
    <n v="196080"/>
    <n v="3993"/>
  </r>
  <r>
    <x v="11"/>
    <x v="237"/>
    <x v="4"/>
    <n v="1.7717258261933905E-2"/>
    <n v="196080"/>
    <n v="3474"/>
  </r>
  <r>
    <x v="11"/>
    <x v="238"/>
    <x v="0"/>
    <n v="0.58763544095460152"/>
    <n v="145820"/>
    <n v="85689"/>
  </r>
  <r>
    <x v="11"/>
    <x v="238"/>
    <x v="1"/>
    <n v="0.30187217116993553"/>
    <n v="145820"/>
    <n v="44019"/>
  </r>
  <r>
    <x v="11"/>
    <x v="238"/>
    <x v="2"/>
    <n v="6.3235495816760384E-2"/>
    <n v="145820"/>
    <n v="9221"/>
  </r>
  <r>
    <x v="11"/>
    <x v="238"/>
    <x v="3"/>
    <n v="2.3631874914277876E-2"/>
    <n v="145820"/>
    <n v="3446"/>
  </r>
  <r>
    <x v="11"/>
    <x v="238"/>
    <x v="4"/>
    <n v="2.3625017144424634E-2"/>
    <n v="145820"/>
    <n v="3445"/>
  </r>
  <r>
    <x v="11"/>
    <x v="239"/>
    <x v="0"/>
    <n v="0.61947429100882845"/>
    <n v="189953"/>
    <n v="117671"/>
  </r>
  <r>
    <x v="11"/>
    <x v="239"/>
    <x v="1"/>
    <n v="0.29097197727858998"/>
    <n v="189953"/>
    <n v="55271"/>
  </r>
  <r>
    <x v="11"/>
    <x v="239"/>
    <x v="2"/>
    <n v="5.0923123088342903E-2"/>
    <n v="189953"/>
    <n v="9673"/>
  </r>
  <r>
    <x v="11"/>
    <x v="239"/>
    <x v="3"/>
    <n v="1.9188957268376914E-2"/>
    <n v="189953"/>
    <n v="3645"/>
  </r>
  <r>
    <x v="11"/>
    <x v="239"/>
    <x v="4"/>
    <n v="1.9420593515237981E-2"/>
    <n v="189953"/>
    <n v="3689"/>
  </r>
  <r>
    <x v="11"/>
    <x v="240"/>
    <x v="0"/>
    <n v="0.6069320507979411"/>
    <n v="100634"/>
    <n v="61078"/>
  </r>
  <r>
    <x v="11"/>
    <x v="240"/>
    <x v="1"/>
    <n v="0.31355207981397937"/>
    <n v="100634"/>
    <n v="31554"/>
  </r>
  <r>
    <x v="11"/>
    <x v="240"/>
    <x v="2"/>
    <n v="4.9287517141324004E-2"/>
    <n v="100634"/>
    <n v="4960"/>
  </r>
  <r>
    <x v="11"/>
    <x v="240"/>
    <x v="3"/>
    <n v="1.5799829083609912E-2"/>
    <n v="100634"/>
    <n v="1590"/>
  </r>
  <r>
    <x v="11"/>
    <x v="240"/>
    <x v="4"/>
    <n v="1.448814515968758E-2"/>
    <n v="100634"/>
    <n v="1458"/>
  </r>
  <r>
    <x v="11"/>
    <x v="241"/>
    <x v="0"/>
    <n v="0.57687292082501662"/>
    <n v="75150"/>
    <n v="43352"/>
  </r>
  <r>
    <x v="11"/>
    <x v="241"/>
    <x v="1"/>
    <n v="0.31942781104457751"/>
    <n v="75150"/>
    <n v="24005"/>
  </r>
  <r>
    <x v="11"/>
    <x v="241"/>
    <x v="2"/>
    <n v="6.4298070525615439E-2"/>
    <n v="75150"/>
    <n v="4832"/>
  </r>
  <r>
    <x v="11"/>
    <x v="241"/>
    <x v="3"/>
    <n v="2.2727877578176979E-2"/>
    <n v="75150"/>
    <n v="1708"/>
  </r>
  <r>
    <x v="11"/>
    <x v="241"/>
    <x v="4"/>
    <n v="1.6580172987358616E-2"/>
    <n v="75150"/>
    <n v="1246"/>
  </r>
  <r>
    <x v="11"/>
    <x v="242"/>
    <x v="0"/>
    <n v="0.60000632001390408"/>
    <n v="63291"/>
    <n v="37975"/>
  </r>
  <r>
    <x v="11"/>
    <x v="242"/>
    <x v="1"/>
    <n v="0.30088006193613626"/>
    <n v="63291"/>
    <n v="19043"/>
  </r>
  <r>
    <x v="11"/>
    <x v="242"/>
    <x v="2"/>
    <n v="5.5505522112148646E-2"/>
    <n v="63291"/>
    <n v="3513"/>
  </r>
  <r>
    <x v="11"/>
    <x v="242"/>
    <x v="3"/>
    <n v="2.0413644910018802E-2"/>
    <n v="63291"/>
    <n v="1292"/>
  </r>
  <r>
    <x v="11"/>
    <x v="242"/>
    <x v="4"/>
    <n v="2.3226051097312413E-2"/>
    <n v="63291"/>
    <n v="1470"/>
  </r>
  <r>
    <x v="11"/>
    <x v="243"/>
    <x v="0"/>
    <n v="0.60843260684807188"/>
    <n v="69421"/>
    <n v="42238"/>
  </r>
  <r>
    <x v="11"/>
    <x v="243"/>
    <x v="1"/>
    <n v="0.29966436669019458"/>
    <n v="69421"/>
    <n v="20803"/>
  </r>
  <r>
    <x v="11"/>
    <x v="243"/>
    <x v="2"/>
    <n v="5.3931807378170868E-2"/>
    <n v="69421"/>
    <n v="3744"/>
  </r>
  <r>
    <x v="11"/>
    <x v="243"/>
    <x v="3"/>
    <n v="1.928811166649861E-2"/>
    <n v="69421"/>
    <n v="1339"/>
  </r>
  <r>
    <x v="11"/>
    <x v="243"/>
    <x v="4"/>
    <n v="1.8711917143227553E-2"/>
    <n v="69421"/>
    <n v="1299"/>
  </r>
  <r>
    <x v="11"/>
    <x v="244"/>
    <x v="0"/>
    <n v="0.6463369333425053"/>
    <n v="72685"/>
    <n v="46979"/>
  </r>
  <r>
    <x v="11"/>
    <x v="244"/>
    <x v="1"/>
    <n v="0.26486895508014036"/>
    <n v="72685"/>
    <n v="19252"/>
  </r>
  <r>
    <x v="11"/>
    <x v="244"/>
    <x v="2"/>
    <n v="5.1165990231822243E-2"/>
    <n v="72685"/>
    <n v="3719"/>
  </r>
  <r>
    <x v="11"/>
    <x v="244"/>
    <x v="3"/>
    <n v="1.9550113503473895E-2"/>
    <n v="72685"/>
    <n v="1421"/>
  </r>
  <r>
    <x v="11"/>
    <x v="244"/>
    <x v="4"/>
    <n v="1.8036733851551214E-2"/>
    <n v="72685"/>
    <n v="1311"/>
  </r>
  <r>
    <x v="11"/>
    <x v="245"/>
    <x v="0"/>
    <n v="0.63702645563110682"/>
    <n v="87505"/>
    <n v="55743"/>
  </r>
  <r>
    <x v="11"/>
    <x v="245"/>
    <x v="1"/>
    <n v="0.26848751499914292"/>
    <n v="87505"/>
    <n v="23494"/>
  </r>
  <r>
    <x v="11"/>
    <x v="245"/>
    <x v="2"/>
    <n v="5.5356836752185591E-2"/>
    <n v="87505"/>
    <n v="4844"/>
  </r>
  <r>
    <x v="11"/>
    <x v="245"/>
    <x v="3"/>
    <n v="2.0318838923490085E-2"/>
    <n v="87505"/>
    <n v="1778"/>
  </r>
  <r>
    <x v="11"/>
    <x v="245"/>
    <x v="4"/>
    <n v="1.8856065367693273E-2"/>
    <n v="87505"/>
    <n v="1650"/>
  </r>
  <r>
    <x v="11"/>
    <x v="246"/>
    <x v="0"/>
    <n v="0.55850526619535423"/>
    <n v="48517"/>
    <n v="27097"/>
  </r>
  <r>
    <x v="11"/>
    <x v="246"/>
    <x v="1"/>
    <n v="0.32396891811117751"/>
    <n v="48517"/>
    <n v="15718"/>
  </r>
  <r>
    <x v="11"/>
    <x v="246"/>
    <x v="2"/>
    <n v="6.7563946657872492E-2"/>
    <n v="48517"/>
    <n v="3278"/>
  </r>
  <r>
    <x v="11"/>
    <x v="246"/>
    <x v="3"/>
    <n v="2.471298720036276E-2"/>
    <n v="48517"/>
    <n v="1199"/>
  </r>
  <r>
    <x v="11"/>
    <x v="246"/>
    <x v="4"/>
    <n v="2.5269493167343407E-2"/>
    <n v="48517"/>
    <n v="1226"/>
  </r>
  <r>
    <x v="11"/>
    <x v="247"/>
    <x v="0"/>
    <n v="0.52244679817316098"/>
    <n v="41164"/>
    <n v="21506"/>
  </r>
  <r>
    <x v="11"/>
    <x v="247"/>
    <x v="1"/>
    <n v="0.32431250607326789"/>
    <n v="41164"/>
    <n v="13350"/>
  </r>
  <r>
    <x v="11"/>
    <x v="247"/>
    <x v="2"/>
    <n v="8.2086288990379938E-2"/>
    <n v="41164"/>
    <n v="3379"/>
  </r>
  <r>
    <x v="11"/>
    <x v="247"/>
    <x v="3"/>
    <n v="3.4326110193372852E-2"/>
    <n v="41164"/>
    <n v="1413"/>
  </r>
  <r>
    <x v="11"/>
    <x v="247"/>
    <x v="4"/>
    <n v="3.6804003498202315E-2"/>
    <n v="41164"/>
    <n v="1515"/>
  </r>
  <r>
    <x v="11"/>
    <x v="248"/>
    <x v="0"/>
    <n v="0.6154048427741865"/>
    <n v="45635"/>
    <n v="28084"/>
  </r>
  <r>
    <x v="11"/>
    <x v="248"/>
    <x v="1"/>
    <n v="0.30150104086775503"/>
    <n v="45635"/>
    <n v="13759"/>
  </r>
  <r>
    <x v="11"/>
    <x v="248"/>
    <x v="2"/>
    <n v="5.0487564369453272E-2"/>
    <n v="45635"/>
    <n v="2304"/>
  </r>
  <r>
    <x v="11"/>
    <x v="248"/>
    <x v="3"/>
    <n v="1.6916840144625835E-2"/>
    <n v="45635"/>
    <n v="772"/>
  </r>
  <r>
    <x v="11"/>
    <x v="248"/>
    <x v="4"/>
    <n v="1.5843102881560205E-2"/>
    <n v="45635"/>
    <n v="723"/>
  </r>
  <r>
    <x v="11"/>
    <x v="249"/>
    <x v="0"/>
    <n v="0.59118246038312228"/>
    <n v="62852"/>
    <n v="37157"/>
  </r>
  <r>
    <x v="11"/>
    <x v="249"/>
    <x v="1"/>
    <n v="0.30145420988990007"/>
    <n v="62852"/>
    <n v="18947"/>
  </r>
  <r>
    <x v="11"/>
    <x v="249"/>
    <x v="2"/>
    <n v="6.0952714312989244E-2"/>
    <n v="62852"/>
    <n v="3831"/>
  </r>
  <r>
    <x v="11"/>
    <x v="249"/>
    <x v="3"/>
    <n v="2.3420098008018839E-2"/>
    <n v="62852"/>
    <n v="1472"/>
  </r>
  <r>
    <x v="11"/>
    <x v="249"/>
    <x v="4"/>
    <n v="2.2958696620632598E-2"/>
    <n v="62852"/>
    <n v="1443"/>
  </r>
  <r>
    <x v="11"/>
    <x v="250"/>
    <x v="0"/>
    <n v="0.58168424378875849"/>
    <n v="50634"/>
    <n v="29453"/>
  </r>
  <r>
    <x v="11"/>
    <x v="250"/>
    <x v="1"/>
    <n v="0.30673065529091126"/>
    <n v="50634"/>
    <n v="15531"/>
  </r>
  <r>
    <x v="11"/>
    <x v="250"/>
    <x v="2"/>
    <n v="6.3060394201524664E-2"/>
    <n v="50634"/>
    <n v="3193"/>
  </r>
  <r>
    <x v="11"/>
    <x v="250"/>
    <x v="3"/>
    <n v="2.5022712011691747E-2"/>
    <n v="50634"/>
    <n v="1267"/>
  </r>
  <r>
    <x v="11"/>
    <x v="250"/>
    <x v="4"/>
    <n v="2.3462495556345539E-2"/>
    <n v="50634"/>
    <n v="1188"/>
  </r>
  <r>
    <x v="12"/>
    <x v="251"/>
    <x v="0"/>
    <n v="0.48752989619547799"/>
    <n v="162228"/>
    <n v="79091"/>
  </r>
  <r>
    <x v="12"/>
    <x v="251"/>
    <x v="1"/>
    <n v="0.37734546440811695"/>
    <n v="162228"/>
    <n v="61216"/>
  </r>
  <r>
    <x v="12"/>
    <x v="251"/>
    <x v="2"/>
    <n v="7.9215671770594479E-2"/>
    <n v="162228"/>
    <n v="12851"/>
  </r>
  <r>
    <x v="12"/>
    <x v="251"/>
    <x v="3"/>
    <n v="2.8879108415316716E-2"/>
    <n v="162228"/>
    <n v="4685"/>
  </r>
  <r>
    <x v="12"/>
    <x v="251"/>
    <x v="4"/>
    <n v="2.7011366718445645E-2"/>
    <n v="162228"/>
    <n v="4382"/>
  </r>
  <r>
    <x v="12"/>
    <x v="252"/>
    <x v="0"/>
    <n v="0.3841367706674797"/>
    <n v="88557"/>
    <n v="34018"/>
  </r>
  <r>
    <x v="12"/>
    <x v="252"/>
    <x v="1"/>
    <n v="0.39356572602956286"/>
    <n v="88557"/>
    <n v="34853"/>
  </r>
  <r>
    <x v="12"/>
    <x v="252"/>
    <x v="2"/>
    <n v="0.123129735650485"/>
    <n v="88557"/>
    <n v="10904"/>
  </r>
  <r>
    <x v="12"/>
    <x v="252"/>
    <x v="3"/>
    <n v="4.986618787899319E-2"/>
    <n v="88557"/>
    <n v="4416"/>
  </r>
  <r>
    <x v="12"/>
    <x v="252"/>
    <x v="4"/>
    <n v="4.9290287611368951E-2"/>
    <n v="88557"/>
    <n v="4365"/>
  </r>
  <r>
    <x v="12"/>
    <x v="253"/>
    <x v="0"/>
    <n v="0.42672544246331995"/>
    <n v="227985"/>
    <n v="97287"/>
  </r>
  <r>
    <x v="12"/>
    <x v="253"/>
    <x v="1"/>
    <n v="0.39985963988858914"/>
    <n v="227985"/>
    <n v="91162"/>
  </r>
  <r>
    <x v="12"/>
    <x v="253"/>
    <x v="2"/>
    <n v="0.10045836348882602"/>
    <n v="227985"/>
    <n v="22903"/>
  </r>
  <r>
    <x v="12"/>
    <x v="253"/>
    <x v="3"/>
    <n v="3.7502467267583391E-2"/>
    <n v="227985"/>
    <n v="8550"/>
  </r>
  <r>
    <x v="12"/>
    <x v="253"/>
    <x v="4"/>
    <n v="3.5454086891681467E-2"/>
    <n v="227985"/>
    <n v="8083"/>
  </r>
  <r>
    <x v="12"/>
    <x v="254"/>
    <x v="0"/>
    <n v="0.41232767840497658"/>
    <n v="509585"/>
    <n v="210116"/>
  </r>
  <r>
    <x v="12"/>
    <x v="254"/>
    <x v="1"/>
    <n v="0.41533404633181903"/>
    <n v="509585"/>
    <n v="211648"/>
  </r>
  <r>
    <x v="12"/>
    <x v="254"/>
    <x v="2"/>
    <n v="0.10347635821305572"/>
    <n v="509585"/>
    <n v="52730"/>
  </r>
  <r>
    <x v="12"/>
    <x v="254"/>
    <x v="3"/>
    <n v="3.6684753279629501E-2"/>
    <n v="509585"/>
    <n v="18694"/>
  </r>
  <r>
    <x v="12"/>
    <x v="254"/>
    <x v="4"/>
    <n v="3.2181088532825732E-2"/>
    <n v="509585"/>
    <n v="16399"/>
  </r>
  <r>
    <x v="12"/>
    <x v="255"/>
    <x v="0"/>
    <n v="0.41237787795617115"/>
    <n v="140638"/>
    <n v="57996"/>
  </r>
  <r>
    <x v="12"/>
    <x v="255"/>
    <x v="1"/>
    <n v="0.40375289750991911"/>
    <n v="140638"/>
    <n v="56783"/>
  </r>
  <r>
    <x v="12"/>
    <x v="255"/>
    <x v="2"/>
    <n v="0.11017648146304697"/>
    <n v="140638"/>
    <n v="15495"/>
  </r>
  <r>
    <x v="12"/>
    <x v="255"/>
    <x v="3"/>
    <n v="3.9192821285854461E-2"/>
    <n v="140638"/>
    <n v="5512"/>
  </r>
  <r>
    <x v="12"/>
    <x v="255"/>
    <x v="4"/>
    <n v="3.4514142692586638E-2"/>
    <n v="140638"/>
    <n v="4854"/>
  </r>
  <r>
    <x v="12"/>
    <x v="256"/>
    <x v="0"/>
    <n v="0.47446017876870544"/>
    <n v="199140"/>
    <n v="94484"/>
  </r>
  <r>
    <x v="12"/>
    <x v="256"/>
    <x v="1"/>
    <n v="0.39388872150246057"/>
    <n v="199140"/>
    <n v="78439"/>
  </r>
  <r>
    <x v="12"/>
    <x v="256"/>
    <x v="2"/>
    <n v="8.0004017274279401E-2"/>
    <n v="199140"/>
    <n v="15932"/>
  </r>
  <r>
    <x v="12"/>
    <x v="256"/>
    <x v="3"/>
    <n v="2.7673998192226573E-2"/>
    <n v="199140"/>
    <n v="5511"/>
  </r>
  <r>
    <x v="12"/>
    <x v="256"/>
    <x v="4"/>
    <n v="2.3973084262328012E-2"/>
    <n v="199140"/>
    <n v="4774"/>
  </r>
  <r>
    <x v="12"/>
    <x v="257"/>
    <x v="0"/>
    <n v="0.44622933949122123"/>
    <n v="79681"/>
    <n v="35556"/>
  </r>
  <r>
    <x v="12"/>
    <x v="257"/>
    <x v="1"/>
    <n v="0.39020594621051441"/>
    <n v="79681"/>
    <n v="31092"/>
  </r>
  <r>
    <x v="12"/>
    <x v="257"/>
    <x v="2"/>
    <n v="9.5217178499265823E-2"/>
    <n v="79681"/>
    <n v="7587"/>
  </r>
  <r>
    <x v="12"/>
    <x v="257"/>
    <x v="3"/>
    <n v="3.5403672142668895E-2"/>
    <n v="79681"/>
    <n v="2821"/>
  </r>
  <r>
    <x v="12"/>
    <x v="257"/>
    <x v="4"/>
    <n v="3.2956413699627263E-2"/>
    <n v="79681"/>
    <n v="2626"/>
  </r>
  <r>
    <x v="12"/>
    <x v="258"/>
    <x v="0"/>
    <n v="0.42371001634368433"/>
    <n v="102792"/>
    <n v="43554"/>
  </r>
  <r>
    <x v="12"/>
    <x v="258"/>
    <x v="1"/>
    <n v="0.40613082730173555"/>
    <n v="102792"/>
    <n v="41747"/>
  </r>
  <r>
    <x v="12"/>
    <x v="258"/>
    <x v="2"/>
    <n v="0.10024126391158845"/>
    <n v="102792"/>
    <n v="10304"/>
  </r>
  <r>
    <x v="12"/>
    <x v="258"/>
    <x v="3"/>
    <n v="3.6335512491244455E-2"/>
    <n v="102792"/>
    <n v="3735"/>
  </r>
  <r>
    <x v="12"/>
    <x v="258"/>
    <x v="4"/>
    <n v="3.3592108335279008E-2"/>
    <n v="102792"/>
    <n v="3453"/>
  </r>
  <r>
    <x v="12"/>
    <x v="259"/>
    <x v="0"/>
    <n v="0.41125570466766076"/>
    <n v="44262"/>
    <n v="18203"/>
  </r>
  <r>
    <x v="12"/>
    <x v="259"/>
    <x v="1"/>
    <n v="0.37393249288328589"/>
    <n v="44262"/>
    <n v="16551"/>
  </r>
  <r>
    <x v="12"/>
    <x v="259"/>
    <x v="2"/>
    <n v="0.11522299037549139"/>
    <n v="44262"/>
    <n v="5100"/>
  </r>
  <r>
    <x v="12"/>
    <x v="259"/>
    <x v="3"/>
    <n v="4.7964393836699655E-2"/>
    <n v="44262"/>
    <n v="2123"/>
  </r>
  <r>
    <x v="12"/>
    <x v="259"/>
    <x v="4"/>
    <n v="5.1601825493651436E-2"/>
    <n v="44262"/>
    <n v="2284"/>
  </r>
  <r>
    <x v="12"/>
    <x v="260"/>
    <x v="0"/>
    <n v="0.43327319106576245"/>
    <n v="64292"/>
    <n v="27856"/>
  </r>
  <r>
    <x v="12"/>
    <x v="260"/>
    <x v="1"/>
    <n v="0.40028308343184221"/>
    <n v="64292"/>
    <n v="25735"/>
  </r>
  <r>
    <x v="12"/>
    <x v="260"/>
    <x v="2"/>
    <n v="9.8052634853480994E-2"/>
    <n v="64292"/>
    <n v="6304"/>
  </r>
  <r>
    <x v="12"/>
    <x v="260"/>
    <x v="3"/>
    <n v="3.6583089653456108E-2"/>
    <n v="64292"/>
    <n v="2352"/>
  </r>
  <r>
    <x v="12"/>
    <x v="260"/>
    <x v="4"/>
    <n v="3.1963541342624274E-2"/>
    <n v="64292"/>
    <n v="2055"/>
  </r>
  <r>
    <x v="13"/>
    <x v="261"/>
    <x v="0"/>
    <n v="0.3764801555031041"/>
    <n v="100834"/>
    <n v="37962"/>
  </r>
  <r>
    <x v="13"/>
    <x v="261"/>
    <x v="1"/>
    <n v="0.39182220282841107"/>
    <n v="100834"/>
    <n v="39509"/>
  </r>
  <r>
    <x v="13"/>
    <x v="261"/>
    <x v="2"/>
    <n v="0.12397603982783585"/>
    <n v="100834"/>
    <n v="12501"/>
  </r>
  <r>
    <x v="13"/>
    <x v="261"/>
    <x v="3"/>
    <n v="5.4267409802249242E-2"/>
    <n v="100834"/>
    <n v="5472"/>
  </r>
  <r>
    <x v="13"/>
    <x v="261"/>
    <x v="4"/>
    <n v="5.3483943907808876E-2"/>
    <n v="100834"/>
    <n v="5393"/>
  </r>
  <r>
    <x v="13"/>
    <x v="262"/>
    <x v="0"/>
    <n v="0.40716008290112415"/>
    <n v="289019"/>
    <n v="117677"/>
  </r>
  <r>
    <x v="13"/>
    <x v="262"/>
    <x v="1"/>
    <n v="0.39780083662319776"/>
    <n v="289019"/>
    <n v="114972"/>
  </r>
  <r>
    <x v="13"/>
    <x v="262"/>
    <x v="2"/>
    <n v="0.11070552455028908"/>
    <n v="289019"/>
    <n v="31996"/>
  </r>
  <r>
    <x v="13"/>
    <x v="262"/>
    <x v="3"/>
    <n v="4.361650964123466E-2"/>
    <n v="289019"/>
    <n v="12606"/>
  </r>
  <r>
    <x v="13"/>
    <x v="262"/>
    <x v="4"/>
    <n v="4.0741266145132328E-2"/>
    <n v="289019"/>
    <n v="11775"/>
  </r>
  <r>
    <x v="13"/>
    <x v="263"/>
    <x v="0"/>
    <n v="0.40510158998249507"/>
    <n v="178807"/>
    <n v="72435"/>
  </r>
  <r>
    <x v="13"/>
    <x v="263"/>
    <x v="1"/>
    <n v="0.39936915221439878"/>
    <n v="178807"/>
    <n v="71410"/>
  </r>
  <r>
    <x v="13"/>
    <x v="263"/>
    <x v="2"/>
    <n v="0.11352463829715839"/>
    <n v="178807"/>
    <n v="20299"/>
  </r>
  <r>
    <x v="13"/>
    <x v="263"/>
    <x v="3"/>
    <n v="4.3113524638297158E-2"/>
    <n v="178807"/>
    <n v="7709"/>
  </r>
  <r>
    <x v="13"/>
    <x v="263"/>
    <x v="4"/>
    <n v="3.8891094867650598E-2"/>
    <n v="178807"/>
    <n v="6954"/>
  </r>
  <r>
    <x v="13"/>
    <x v="264"/>
    <x v="0"/>
    <n v="0.39358326768758545"/>
    <n v="686767"/>
    <n v="270300"/>
  </r>
  <r>
    <x v="13"/>
    <x v="264"/>
    <x v="1"/>
    <n v="0.41967799850604354"/>
    <n v="686767"/>
    <n v="288221"/>
  </r>
  <r>
    <x v="13"/>
    <x v="264"/>
    <x v="2"/>
    <n v="0.1117904616849674"/>
    <n v="686767"/>
    <n v="76774"/>
  </r>
  <r>
    <x v="13"/>
    <x v="264"/>
    <x v="3"/>
    <n v="4.0159180624578641E-2"/>
    <n v="686767"/>
    <n v="27580"/>
  </r>
  <r>
    <x v="13"/>
    <x v="264"/>
    <x v="4"/>
    <n v="3.4789091496824978E-2"/>
    <n v="686767"/>
    <n v="23892"/>
  </r>
  <r>
    <x v="13"/>
    <x v="265"/>
    <x v="0"/>
    <n v="0.44336538690973298"/>
    <n v="125727"/>
    <n v="55743"/>
  </r>
  <r>
    <x v="13"/>
    <x v="265"/>
    <x v="1"/>
    <n v="0.38531103104345127"/>
    <n v="125727"/>
    <n v="48444"/>
  </r>
  <r>
    <x v="13"/>
    <x v="265"/>
    <x v="2"/>
    <n v="9.995466367606004E-2"/>
    <n v="125727"/>
    <n v="12567"/>
  </r>
  <r>
    <x v="13"/>
    <x v="265"/>
    <x v="3"/>
    <n v="3.6308827857182625E-2"/>
    <n v="125727"/>
    <n v="4565"/>
  </r>
  <r>
    <x v="13"/>
    <x v="265"/>
    <x v="4"/>
    <n v="3.5075997995657256E-2"/>
    <n v="125727"/>
    <n v="4410"/>
  </r>
  <r>
    <x v="13"/>
    <x v="266"/>
    <x v="0"/>
    <n v="0.42016765139594037"/>
    <n v="101043"/>
    <n v="42455"/>
  </r>
  <r>
    <x v="13"/>
    <x v="266"/>
    <x v="1"/>
    <n v="0.39634611007194959"/>
    <n v="101043"/>
    <n v="40048"/>
  </r>
  <r>
    <x v="13"/>
    <x v="266"/>
    <x v="2"/>
    <n v="0.10884474926516434"/>
    <n v="101043"/>
    <n v="10998"/>
  </r>
  <r>
    <x v="13"/>
    <x v="266"/>
    <x v="3"/>
    <n v="3.9408964500262267E-2"/>
    <n v="101043"/>
    <n v="3982"/>
  </r>
  <r>
    <x v="13"/>
    <x v="266"/>
    <x v="4"/>
    <n v="3.5242421543303343E-2"/>
    <n v="101043"/>
    <n v="3561"/>
  </r>
  <r>
    <x v="13"/>
    <x v="267"/>
    <x v="0"/>
    <n v="0.40963623263685262"/>
    <n v="119362"/>
    <n v="48895"/>
  </r>
  <r>
    <x v="13"/>
    <x v="267"/>
    <x v="1"/>
    <n v="0.40117457817395819"/>
    <n v="119362"/>
    <n v="47885"/>
  </r>
  <r>
    <x v="13"/>
    <x v="267"/>
    <x v="2"/>
    <n v="0.10691007188217355"/>
    <n v="119362"/>
    <n v="12761"/>
  </r>
  <r>
    <x v="13"/>
    <x v="267"/>
    <x v="3"/>
    <n v="4.2777433353998758E-2"/>
    <n v="119362"/>
    <n v="5106"/>
  </r>
  <r>
    <x v="13"/>
    <x v="267"/>
    <x v="4"/>
    <n v="3.9526817580134384E-2"/>
    <n v="119362"/>
    <n v="4718"/>
  </r>
  <r>
    <x v="13"/>
    <x v="268"/>
    <x v="0"/>
    <n v="0.42388344478817408"/>
    <n v="107966"/>
    <n v="45765"/>
  </r>
  <r>
    <x v="13"/>
    <x v="268"/>
    <x v="1"/>
    <n v="0.38693662819776597"/>
    <n v="107966"/>
    <n v="41776"/>
  </r>
  <r>
    <x v="13"/>
    <x v="268"/>
    <x v="2"/>
    <n v="0.10475520071133505"/>
    <n v="107966"/>
    <n v="11310"/>
  </r>
  <r>
    <x v="13"/>
    <x v="268"/>
    <x v="3"/>
    <n v="4.1624215030657802E-2"/>
    <n v="107966"/>
    <n v="4494"/>
  </r>
  <r>
    <x v="13"/>
    <x v="268"/>
    <x v="4"/>
    <n v="4.2800511272067132E-2"/>
    <n v="107966"/>
    <n v="4621"/>
  </r>
  <r>
    <x v="13"/>
    <x v="269"/>
    <x v="0"/>
    <n v="0.42680632531652007"/>
    <n v="39334"/>
    <n v="16788"/>
  </r>
  <r>
    <x v="13"/>
    <x v="269"/>
    <x v="1"/>
    <n v="0.3871714038745106"/>
    <n v="39334"/>
    <n v="15229"/>
  </r>
  <r>
    <x v="13"/>
    <x v="269"/>
    <x v="2"/>
    <n v="0.10497279707123608"/>
    <n v="39334"/>
    <n v="4129"/>
  </r>
  <r>
    <x v="13"/>
    <x v="269"/>
    <x v="3"/>
    <n v="4.1312859104082979E-2"/>
    <n v="39334"/>
    <n v="1625"/>
  </r>
  <r>
    <x v="13"/>
    <x v="269"/>
    <x v="4"/>
    <n v="3.9812884527380889E-2"/>
    <n v="39334"/>
    <n v="1566"/>
  </r>
  <r>
    <x v="14"/>
    <x v="270"/>
    <x v="0"/>
    <n v="0.41499890572185882"/>
    <n v="123369"/>
    <n v="51198"/>
  </r>
  <r>
    <x v="14"/>
    <x v="270"/>
    <x v="1"/>
    <n v="0.40685261289302821"/>
    <n v="123369"/>
    <n v="50193"/>
  </r>
  <r>
    <x v="14"/>
    <x v="270"/>
    <x v="2"/>
    <n v="0.10569916267457789"/>
    <n v="123369"/>
    <n v="13040"/>
  </r>
  <r>
    <x v="14"/>
    <x v="270"/>
    <x v="3"/>
    <n v="3.8170042717376326E-2"/>
    <n v="123369"/>
    <n v="4709"/>
  </r>
  <r>
    <x v="14"/>
    <x v="270"/>
    <x v="4"/>
    <n v="3.4327910577211455E-2"/>
    <n v="123369"/>
    <n v="4235"/>
  </r>
  <r>
    <x v="14"/>
    <x v="271"/>
    <x v="0"/>
    <n v="0.41822907056384145"/>
    <n v="319753"/>
    <n v="133730"/>
  </r>
  <r>
    <x v="14"/>
    <x v="271"/>
    <x v="1"/>
    <n v="0.41506412762350942"/>
    <n v="319753"/>
    <n v="132718"/>
  </r>
  <r>
    <x v="14"/>
    <x v="271"/>
    <x v="2"/>
    <n v="0.10096856010733285"/>
    <n v="319753"/>
    <n v="32285"/>
  </r>
  <r>
    <x v="14"/>
    <x v="271"/>
    <x v="3"/>
    <n v="3.5680666014079619E-2"/>
    <n v="319753"/>
    <n v="11409"/>
  </r>
  <r>
    <x v="14"/>
    <x v="271"/>
    <x v="4"/>
    <n v="3.0041938621373374E-2"/>
    <n v="319753"/>
    <n v="9606"/>
  </r>
  <r>
    <x v="14"/>
    <x v="272"/>
    <x v="0"/>
    <n v="0.46643355915623408"/>
    <n v="96093"/>
    <n v="44821"/>
  </r>
  <r>
    <x v="14"/>
    <x v="272"/>
    <x v="1"/>
    <n v="0.38705212658570343"/>
    <n v="96093"/>
    <n v="37193"/>
  </r>
  <r>
    <x v="14"/>
    <x v="272"/>
    <x v="2"/>
    <n v="8.7789953482563771E-2"/>
    <n v="96093"/>
    <n v="8436"/>
  </r>
  <r>
    <x v="14"/>
    <x v="272"/>
    <x v="3"/>
    <n v="3.093877805875558E-2"/>
    <n v="96093"/>
    <n v="2973"/>
  </r>
  <r>
    <x v="14"/>
    <x v="272"/>
    <x v="4"/>
    <n v="2.7775176131455984E-2"/>
    <n v="96093"/>
    <n v="2669"/>
  </r>
  <r>
    <x v="14"/>
    <x v="273"/>
    <x v="0"/>
    <n v="0.52919371089814182"/>
    <n v="213385"/>
    <n v="112922"/>
  </r>
  <r>
    <x v="14"/>
    <x v="273"/>
    <x v="1"/>
    <n v="0.348890503081285"/>
    <n v="213385"/>
    <n v="74448"/>
  </r>
  <r>
    <x v="14"/>
    <x v="273"/>
    <x v="2"/>
    <n v="7.5103685826088992E-2"/>
    <n v="213385"/>
    <n v="16026"/>
  </r>
  <r>
    <x v="14"/>
    <x v="273"/>
    <x v="3"/>
    <n v="2.5568807554420415E-2"/>
    <n v="213385"/>
    <n v="5456"/>
  </r>
  <r>
    <x v="14"/>
    <x v="273"/>
    <x v="4"/>
    <n v="2.1215174449937906E-2"/>
    <n v="213385"/>
    <n v="4527"/>
  </r>
  <r>
    <x v="14"/>
    <x v="274"/>
    <x v="0"/>
    <n v="0.47933344224799868"/>
    <n v="48968"/>
    <n v="23472"/>
  </r>
  <r>
    <x v="14"/>
    <x v="274"/>
    <x v="1"/>
    <n v="0.36291047214507433"/>
    <n v="48968"/>
    <n v="17771"/>
  </r>
  <r>
    <x v="14"/>
    <x v="274"/>
    <x v="2"/>
    <n v="9.1958013396503835E-2"/>
    <n v="48968"/>
    <n v="4503"/>
  </r>
  <r>
    <x v="14"/>
    <x v="274"/>
    <x v="3"/>
    <n v="3.394053259271361E-2"/>
    <n v="48968"/>
    <n v="1662"/>
  </r>
  <r>
    <x v="14"/>
    <x v="274"/>
    <x v="4"/>
    <n v="3.1816696618199643E-2"/>
    <n v="48968"/>
    <n v="1558"/>
  </r>
  <r>
    <x v="14"/>
    <x v="275"/>
    <x v="0"/>
    <n v="0.52011254440973798"/>
    <n v="41939"/>
    <n v="21813"/>
  </r>
  <r>
    <x v="14"/>
    <x v="275"/>
    <x v="1"/>
    <n v="0.33870621617110563"/>
    <n v="41939"/>
    <n v="14205"/>
  </r>
  <r>
    <x v="14"/>
    <x v="275"/>
    <x v="2"/>
    <n v="8.0736307494217799E-2"/>
    <n v="41939"/>
    <n v="3386"/>
  </r>
  <r>
    <x v="14"/>
    <x v="275"/>
    <x v="3"/>
    <n v="2.9209089391735617E-2"/>
    <n v="41939"/>
    <n v="1225"/>
  </r>
  <r>
    <x v="14"/>
    <x v="275"/>
    <x v="4"/>
    <n v="3.1188154223991987E-2"/>
    <n v="41939"/>
    <n v="1308"/>
  </r>
  <r>
    <x v="14"/>
    <x v="276"/>
    <x v="0"/>
    <n v="0.41901811436915426"/>
    <n v="50678"/>
    <n v="21235"/>
  </r>
  <r>
    <x v="14"/>
    <x v="276"/>
    <x v="1"/>
    <n v="0.38987331781048978"/>
    <n v="50678"/>
    <n v="19758"/>
  </r>
  <r>
    <x v="14"/>
    <x v="276"/>
    <x v="2"/>
    <n v="0.10732467737479774"/>
    <n v="50678"/>
    <n v="5439"/>
  </r>
  <r>
    <x v="14"/>
    <x v="276"/>
    <x v="3"/>
    <n v="4.181301550968862E-2"/>
    <n v="50678"/>
    <n v="2119"/>
  </r>
  <r>
    <x v="14"/>
    <x v="276"/>
    <x v="4"/>
    <n v="4.1911677651051742E-2"/>
    <n v="50678"/>
    <n v="2124"/>
  </r>
  <r>
    <x v="14"/>
    <x v="277"/>
    <x v="0"/>
    <n v="0.40856531049250533"/>
    <n v="35025"/>
    <n v="14310"/>
  </r>
  <r>
    <x v="14"/>
    <x v="277"/>
    <x v="1"/>
    <n v="0.39931477516059954"/>
    <n v="35025"/>
    <n v="13986"/>
  </r>
  <r>
    <x v="14"/>
    <x v="277"/>
    <x v="2"/>
    <n v="0.1126338329764454"/>
    <n v="35025"/>
    <n v="3945"/>
  </r>
  <r>
    <x v="14"/>
    <x v="277"/>
    <x v="3"/>
    <n v="4.2084225553176299E-2"/>
    <n v="35025"/>
    <n v="1474"/>
  </r>
  <r>
    <x v="14"/>
    <x v="277"/>
    <x v="4"/>
    <n v="3.7658815132048537E-2"/>
    <n v="35025"/>
    <n v="1319"/>
  </r>
  <r>
    <x v="14"/>
    <x v="278"/>
    <x v="0"/>
    <n v="0.41050834465698061"/>
    <n v="28701"/>
    <n v="11782"/>
  </r>
  <r>
    <x v="14"/>
    <x v="278"/>
    <x v="1"/>
    <n v="0.39629281209713946"/>
    <n v="28701"/>
    <n v="11374"/>
  </r>
  <r>
    <x v="14"/>
    <x v="278"/>
    <x v="2"/>
    <n v="0.10922964356642625"/>
    <n v="28701"/>
    <n v="3135"/>
  </r>
  <r>
    <x v="14"/>
    <x v="278"/>
    <x v="3"/>
    <n v="4.1218076025225599E-2"/>
    <n v="28701"/>
    <n v="1183"/>
  </r>
  <r>
    <x v="14"/>
    <x v="278"/>
    <x v="4"/>
    <n v="4.285564962893279E-2"/>
    <n v="28701"/>
    <n v="1230"/>
  </r>
  <r>
    <x v="15"/>
    <x v="279"/>
    <x v="0"/>
    <n v="0.46171340827442348"/>
    <n v="138064"/>
    <n v="63746"/>
  </r>
  <r>
    <x v="15"/>
    <x v="279"/>
    <x v="1"/>
    <n v="0.37679626839726504"/>
    <n v="138064"/>
    <n v="52022"/>
  </r>
  <r>
    <x v="15"/>
    <x v="279"/>
    <x v="2"/>
    <n v="9.1682118437825935E-2"/>
    <n v="138064"/>
    <n v="12658"/>
  </r>
  <r>
    <x v="15"/>
    <x v="279"/>
    <x v="3"/>
    <n v="3.5642890253795342E-2"/>
    <n v="138064"/>
    <n v="4921"/>
  </r>
  <r>
    <x v="15"/>
    <x v="279"/>
    <x v="4"/>
    <n v="3.4158071618959326E-2"/>
    <n v="138064"/>
    <n v="4716"/>
  </r>
  <r>
    <x v="15"/>
    <x v="280"/>
    <x v="0"/>
    <n v="0.399795535244308"/>
    <n v="328663"/>
    <n v="131398"/>
  </r>
  <r>
    <x v="15"/>
    <x v="280"/>
    <x v="1"/>
    <n v="0.40182192701946978"/>
    <n v="328663"/>
    <n v="132064"/>
  </r>
  <r>
    <x v="15"/>
    <x v="280"/>
    <x v="2"/>
    <n v="0.11513617291876481"/>
    <n v="328663"/>
    <n v="37841"/>
  </r>
  <r>
    <x v="15"/>
    <x v="280"/>
    <x v="3"/>
    <n v="4.2362541569936379E-2"/>
    <n v="328663"/>
    <n v="13923"/>
  </r>
  <r>
    <x v="15"/>
    <x v="280"/>
    <x v="4"/>
    <n v="4.0886865877814052E-2"/>
    <n v="328663"/>
    <n v="13438"/>
  </r>
  <r>
    <x v="15"/>
    <x v="281"/>
    <x v="0"/>
    <n v="0.42101796712365286"/>
    <n v="510154"/>
    <n v="214784"/>
  </r>
  <r>
    <x v="15"/>
    <x v="281"/>
    <x v="1"/>
    <n v="0.41568428356927517"/>
    <n v="510154"/>
    <n v="212063"/>
  </r>
  <r>
    <x v="15"/>
    <x v="281"/>
    <x v="2"/>
    <n v="9.9930609188597946E-2"/>
    <n v="510154"/>
    <n v="50980"/>
  </r>
  <r>
    <x v="15"/>
    <x v="281"/>
    <x v="3"/>
    <n v="3.3223301199245721E-2"/>
    <n v="510154"/>
    <n v="16949"/>
  </r>
  <r>
    <x v="15"/>
    <x v="281"/>
    <x v="4"/>
    <n v="3.0132077764753389E-2"/>
    <n v="510154"/>
    <n v="15372"/>
  </r>
  <r>
    <x v="15"/>
    <x v="282"/>
    <x v="0"/>
    <n v="0.48633597665069661"/>
    <n v="145272"/>
    <n v="70651"/>
  </r>
  <r>
    <x v="15"/>
    <x v="282"/>
    <x v="1"/>
    <n v="0.37806321934027204"/>
    <n v="145272"/>
    <n v="54922"/>
  </r>
  <r>
    <x v="15"/>
    <x v="282"/>
    <x v="2"/>
    <n v="8.0986012445619246E-2"/>
    <n v="145272"/>
    <n v="11765"/>
  </r>
  <r>
    <x v="15"/>
    <x v="282"/>
    <x v="3"/>
    <n v="2.8945701855829065E-2"/>
    <n v="145272"/>
    <n v="4205"/>
  </r>
  <r>
    <x v="15"/>
    <x v="282"/>
    <x v="4"/>
    <n v="2.5710391541384436E-2"/>
    <n v="145272"/>
    <n v="3735"/>
  </r>
  <r>
    <x v="15"/>
    <x v="283"/>
    <x v="0"/>
    <n v="0.43895001536063355"/>
    <n v="175774"/>
    <n v="77156"/>
  </r>
  <r>
    <x v="15"/>
    <x v="283"/>
    <x v="1"/>
    <n v="0.39898392253689396"/>
    <n v="175774"/>
    <n v="70131"/>
  </r>
  <r>
    <x v="15"/>
    <x v="283"/>
    <x v="2"/>
    <n v="9.7727764060668812E-2"/>
    <n v="175774"/>
    <n v="17178"/>
  </r>
  <r>
    <x v="15"/>
    <x v="283"/>
    <x v="3"/>
    <n v="3.3508937613071332E-2"/>
    <n v="175774"/>
    <n v="5890"/>
  </r>
  <r>
    <x v="15"/>
    <x v="283"/>
    <x v="4"/>
    <n v="3.0852116922866862E-2"/>
    <n v="175774"/>
    <n v="5423"/>
  </r>
  <r>
    <x v="15"/>
    <x v="284"/>
    <x v="0"/>
    <n v="0.46026103628547271"/>
    <n v="167946"/>
    <n v="77299"/>
  </r>
  <r>
    <x v="15"/>
    <x v="284"/>
    <x v="1"/>
    <n v="0.39428744953735129"/>
    <n v="167946"/>
    <n v="66219"/>
  </r>
  <r>
    <x v="15"/>
    <x v="284"/>
    <x v="2"/>
    <n v="8.677193859931169E-2"/>
    <n v="167946"/>
    <n v="14573"/>
  </r>
  <r>
    <x v="15"/>
    <x v="284"/>
    <x v="3"/>
    <n v="2.9527348076167338E-2"/>
    <n v="167946"/>
    <n v="4959"/>
  </r>
  <r>
    <x v="15"/>
    <x v="284"/>
    <x v="4"/>
    <n v="2.9152227501696975E-2"/>
    <n v="167946"/>
    <n v="4896"/>
  </r>
  <r>
    <x v="15"/>
    <x v="285"/>
    <x v="0"/>
    <n v="0.43363420048652745"/>
    <n v="75227"/>
    <n v="32621"/>
  </r>
  <r>
    <x v="15"/>
    <x v="285"/>
    <x v="1"/>
    <n v="0.38716152445265661"/>
    <n v="75227"/>
    <n v="29125"/>
  </r>
  <r>
    <x v="15"/>
    <x v="285"/>
    <x v="2"/>
    <n v="0.10008374652717775"/>
    <n v="75227"/>
    <n v="7529"/>
  </r>
  <r>
    <x v="15"/>
    <x v="285"/>
    <x v="3"/>
    <n v="3.9427333271298867E-2"/>
    <n v="75227"/>
    <n v="2966"/>
  </r>
  <r>
    <x v="15"/>
    <x v="285"/>
    <x v="4"/>
    <n v="3.9706488361891341E-2"/>
    <n v="75227"/>
    <n v="2987"/>
  </r>
  <r>
    <x v="15"/>
    <x v="286"/>
    <x v="0"/>
    <n v="0.43064328119493617"/>
    <n v="73778"/>
    <n v="31772"/>
  </r>
  <r>
    <x v="15"/>
    <x v="286"/>
    <x v="1"/>
    <n v="0.41329393586163898"/>
    <n v="73778"/>
    <n v="30492"/>
  </r>
  <r>
    <x v="15"/>
    <x v="286"/>
    <x v="2"/>
    <n v="9.3727127327929732E-2"/>
    <n v="73778"/>
    <n v="6915"/>
  </r>
  <r>
    <x v="15"/>
    <x v="286"/>
    <x v="3"/>
    <n v="3.1581230177017541E-2"/>
    <n v="73778"/>
    <n v="2330"/>
  </r>
  <r>
    <x v="15"/>
    <x v="286"/>
    <x v="4"/>
    <n v="3.0740871262435958E-2"/>
    <n v="73778"/>
    <n v="2268"/>
  </r>
  <r>
    <x v="15"/>
    <x v="287"/>
    <x v="0"/>
    <n v="0.43463354168315005"/>
    <n v="75834"/>
    <n v="32960"/>
  </r>
  <r>
    <x v="15"/>
    <x v="287"/>
    <x v="1"/>
    <n v="0.4000184613761637"/>
    <n v="75834"/>
    <n v="30335"/>
  </r>
  <r>
    <x v="15"/>
    <x v="287"/>
    <x v="2"/>
    <n v="9.7766173484189145E-2"/>
    <n v="75834"/>
    <n v="7414"/>
  </r>
  <r>
    <x v="15"/>
    <x v="287"/>
    <x v="3"/>
    <n v="3.4232666086451986E-2"/>
    <n v="75834"/>
    <n v="2596"/>
  </r>
  <r>
    <x v="15"/>
    <x v="287"/>
    <x v="4"/>
    <n v="3.3322783975525488E-2"/>
    <n v="75834"/>
    <n v="2527"/>
  </r>
  <r>
    <x v="15"/>
    <x v="288"/>
    <x v="0"/>
    <n v="0.45110478579698959"/>
    <n v="41456"/>
    <n v="18701"/>
  </r>
  <r>
    <x v="15"/>
    <x v="288"/>
    <x v="1"/>
    <n v="0.38247780779621765"/>
    <n v="41456"/>
    <n v="15856"/>
  </r>
  <r>
    <x v="15"/>
    <x v="288"/>
    <x v="2"/>
    <n v="9.7235623311462752E-2"/>
    <n v="41456"/>
    <n v="4031"/>
  </r>
  <r>
    <x v="15"/>
    <x v="288"/>
    <x v="3"/>
    <n v="3.4639135468930916E-2"/>
    <n v="41456"/>
    <n v="1436"/>
  </r>
  <r>
    <x v="15"/>
    <x v="288"/>
    <x v="4"/>
    <n v="3.4494403705133153E-2"/>
    <n v="41456"/>
    <n v="1430"/>
  </r>
  <r>
    <x v="15"/>
    <x v="289"/>
    <x v="0"/>
    <n v="0.47207443390649495"/>
    <n v="38907"/>
    <n v="18367"/>
  </r>
  <r>
    <x v="15"/>
    <x v="289"/>
    <x v="1"/>
    <n v="0.39113784151952091"/>
    <n v="38907"/>
    <n v="15218"/>
  </r>
  <r>
    <x v="15"/>
    <x v="289"/>
    <x v="2"/>
    <n v="8.2401624386357217E-2"/>
    <n v="38907"/>
    <n v="3206"/>
  </r>
  <r>
    <x v="15"/>
    <x v="289"/>
    <x v="3"/>
    <n v="2.7424370935821316E-2"/>
    <n v="38907"/>
    <n v="1067"/>
  </r>
  <r>
    <x v="15"/>
    <x v="289"/>
    <x v="4"/>
    <n v="2.6884622304469634E-2"/>
    <n v="38907"/>
    <n v="1046"/>
  </r>
  <r>
    <x v="16"/>
    <x v="290"/>
    <x v="0"/>
    <n v="0.4268270709457902"/>
    <n v="238647"/>
    <n v="101861"/>
  </r>
  <r>
    <x v="16"/>
    <x v="290"/>
    <x v="1"/>
    <n v="0.41856801049248471"/>
    <n v="238647"/>
    <n v="99890"/>
  </r>
  <r>
    <x v="16"/>
    <x v="290"/>
    <x v="2"/>
    <n v="9.4382078970194475E-2"/>
    <n v="238647"/>
    <n v="22524"/>
  </r>
  <r>
    <x v="16"/>
    <x v="290"/>
    <x v="3"/>
    <n v="3.185038990643084E-2"/>
    <n v="238647"/>
    <n v="7601"/>
  </r>
  <r>
    <x v="16"/>
    <x v="290"/>
    <x v="4"/>
    <n v="2.836825939567646E-2"/>
    <n v="238647"/>
    <n v="6770"/>
  </r>
  <r>
    <x v="16"/>
    <x v="291"/>
    <x v="0"/>
    <n v="0.42686897924110173"/>
    <n v="44222"/>
    <n v="18877"/>
  </r>
  <r>
    <x v="16"/>
    <x v="291"/>
    <x v="1"/>
    <n v="0.41576590837139887"/>
    <n v="44222"/>
    <n v="18386"/>
  </r>
  <r>
    <x v="16"/>
    <x v="291"/>
    <x v="2"/>
    <n v="9.3776853150015826E-2"/>
    <n v="44222"/>
    <n v="4147"/>
  </r>
  <r>
    <x v="16"/>
    <x v="291"/>
    <x v="3"/>
    <n v="3.2404685450680655E-2"/>
    <n v="44222"/>
    <n v="1433"/>
  </r>
  <r>
    <x v="16"/>
    <x v="291"/>
    <x v="4"/>
    <n v="3.1206186965763646E-2"/>
    <n v="44222"/>
    <n v="1380"/>
  </r>
  <r>
    <x v="16"/>
    <x v="292"/>
    <x v="0"/>
    <n v="0.4470361619840183"/>
    <n v="66451"/>
    <n v="29706"/>
  </r>
  <r>
    <x v="16"/>
    <x v="292"/>
    <x v="1"/>
    <n v="0.40798483092805227"/>
    <n v="66451"/>
    <n v="27111"/>
  </r>
  <r>
    <x v="16"/>
    <x v="292"/>
    <x v="2"/>
    <n v="8.5988171735564556E-2"/>
    <n v="66451"/>
    <n v="5714"/>
  </r>
  <r>
    <x v="16"/>
    <x v="292"/>
    <x v="3"/>
    <n v="2.9931829468330048E-2"/>
    <n v="66451"/>
    <n v="1989"/>
  </r>
  <r>
    <x v="16"/>
    <x v="292"/>
    <x v="4"/>
    <n v="2.908910324901055E-2"/>
    <n v="66451"/>
    <n v="1933"/>
  </r>
  <r>
    <x v="16"/>
    <x v="293"/>
    <x v="0"/>
    <n v="0.421753433241084"/>
    <n v="57453"/>
    <n v="24231"/>
  </r>
  <r>
    <x v="16"/>
    <x v="293"/>
    <x v="1"/>
    <n v="0.40852522931787721"/>
    <n v="57453"/>
    <n v="23471"/>
  </r>
  <r>
    <x v="16"/>
    <x v="293"/>
    <x v="2"/>
    <n v="0.10098689363479714"/>
    <n v="57453"/>
    <n v="5802"/>
  </r>
  <r>
    <x v="16"/>
    <x v="293"/>
    <x v="3"/>
    <n v="3.4010408507823789E-2"/>
    <n v="57453"/>
    <n v="1954"/>
  </r>
  <r>
    <x v="16"/>
    <x v="293"/>
    <x v="4"/>
    <n v="3.4758846361373642E-2"/>
    <n v="57453"/>
    <n v="1997"/>
  </r>
  <r>
    <x v="16"/>
    <x v="294"/>
    <x v="0"/>
    <n v="0.4640444974175606"/>
    <n v="30204"/>
    <n v="14016"/>
  </r>
  <r>
    <x v="16"/>
    <x v="294"/>
    <x v="1"/>
    <n v="0.39772877764534498"/>
    <n v="30204"/>
    <n v="12013"/>
  </r>
  <r>
    <x v="16"/>
    <x v="294"/>
    <x v="2"/>
    <n v="8.0121838167130185E-2"/>
    <n v="30204"/>
    <n v="2420"/>
  </r>
  <r>
    <x v="16"/>
    <x v="294"/>
    <x v="3"/>
    <n v="2.9433187657263937E-2"/>
    <n v="30204"/>
    <n v="889"/>
  </r>
  <r>
    <x v="16"/>
    <x v="294"/>
    <x v="4"/>
    <n v="2.8473049927161966E-2"/>
    <n v="30204"/>
    <n v="860"/>
  </r>
  <r>
    <x v="16"/>
    <x v="295"/>
    <x v="0"/>
    <n v="0.42364090814413663"/>
    <n v="48010"/>
    <n v="20339"/>
  </r>
  <r>
    <x v="16"/>
    <x v="295"/>
    <x v="1"/>
    <n v="0.41174755259320972"/>
    <n v="48010"/>
    <n v="19768"/>
  </r>
  <r>
    <x v="16"/>
    <x v="295"/>
    <x v="2"/>
    <n v="9.4938554467819208E-2"/>
    <n v="48010"/>
    <n v="4558"/>
  </r>
  <r>
    <x v="16"/>
    <x v="295"/>
    <x v="3"/>
    <n v="3.4451156009164756E-2"/>
    <n v="48010"/>
    <n v="1654"/>
  </r>
  <r>
    <x v="16"/>
    <x v="295"/>
    <x v="4"/>
    <n v="3.5159341803790878E-2"/>
    <n v="48010"/>
    <n v="1688"/>
  </r>
  <r>
    <x v="16"/>
    <x v="296"/>
    <x v="0"/>
    <n v="0.39437891189215213"/>
    <n v="49848"/>
    <n v="19659"/>
  </r>
  <r>
    <x v="16"/>
    <x v="296"/>
    <x v="1"/>
    <n v="0.41957550954902906"/>
    <n v="49848"/>
    <n v="20915"/>
  </r>
  <r>
    <x v="16"/>
    <x v="296"/>
    <x v="2"/>
    <n v="0.11031535869041888"/>
    <n v="49848"/>
    <n v="5499"/>
  </r>
  <r>
    <x v="16"/>
    <x v="296"/>
    <x v="3"/>
    <n v="3.7774835499919758E-2"/>
    <n v="49848"/>
    <n v="1883"/>
  </r>
  <r>
    <x v="16"/>
    <x v="296"/>
    <x v="4"/>
    <n v="3.7995506339271387E-2"/>
    <n v="49848"/>
    <n v="1894"/>
  </r>
  <r>
    <x v="16"/>
    <x v="297"/>
    <x v="0"/>
    <n v="0.42916354556803993"/>
    <n v="20025"/>
    <n v="8594"/>
  </r>
  <r>
    <x v="16"/>
    <x v="297"/>
    <x v="1"/>
    <n v="0.40409488139825217"/>
    <n v="20025"/>
    <n v="8092"/>
  </r>
  <r>
    <x v="16"/>
    <x v="297"/>
    <x v="2"/>
    <n v="9.7228464419475649E-2"/>
    <n v="20025"/>
    <n v="1947"/>
  </r>
  <r>
    <x v="16"/>
    <x v="297"/>
    <x v="3"/>
    <n v="3.6853932584269666E-2"/>
    <n v="20025"/>
    <n v="738"/>
  </r>
  <r>
    <x v="16"/>
    <x v="297"/>
    <x v="4"/>
    <n v="3.270911360799001E-2"/>
    <n v="20025"/>
    <n v="655"/>
  </r>
  <r>
    <x v="16"/>
    <x v="298"/>
    <x v="0"/>
    <n v="0.38711703538279013"/>
    <n v="14329"/>
    <n v="5547"/>
  </r>
  <r>
    <x v="16"/>
    <x v="298"/>
    <x v="1"/>
    <n v="0.40058622374206154"/>
    <n v="14329"/>
    <n v="5740"/>
  </r>
  <r>
    <x v="16"/>
    <x v="298"/>
    <x v="2"/>
    <n v="0.11584897759787843"/>
    <n v="14329"/>
    <n v="1660"/>
  </r>
  <r>
    <x v="16"/>
    <x v="298"/>
    <x v="3"/>
    <n v="4.5502128550492009E-2"/>
    <n v="14329"/>
    <n v="652"/>
  </r>
  <r>
    <x v="16"/>
    <x v="298"/>
    <x v="4"/>
    <n v="5.0875846186056249E-2"/>
    <n v="14329"/>
    <n v="729"/>
  </r>
  <r>
    <x v="16"/>
    <x v="299"/>
    <x v="0"/>
    <n v="0.39130157921548653"/>
    <n v="15704"/>
    <n v="6145"/>
  </r>
  <r>
    <x v="16"/>
    <x v="299"/>
    <x v="1"/>
    <n v="0.41142384105960267"/>
    <n v="15704"/>
    <n v="6461"/>
  </r>
  <r>
    <x v="16"/>
    <x v="299"/>
    <x v="2"/>
    <n v="0.10895313295975548"/>
    <n v="15704"/>
    <n v="1711"/>
  </r>
  <r>
    <x v="16"/>
    <x v="299"/>
    <x v="3"/>
    <n v="4.584819154355578E-2"/>
    <n v="15704"/>
    <n v="720"/>
  </r>
  <r>
    <x v="16"/>
    <x v="299"/>
    <x v="4"/>
    <n v="4.2536933265410089E-2"/>
    <n v="15704"/>
    <n v="668"/>
  </r>
  <r>
    <x v="17"/>
    <x v="300"/>
    <x v="0"/>
    <n v="0.49183591805662641"/>
    <n v="307383"/>
    <n v="151182"/>
  </r>
  <r>
    <x v="17"/>
    <x v="300"/>
    <x v="1"/>
    <n v="0.38598100740769659"/>
    <n v="307383"/>
    <n v="118644"/>
  </r>
  <r>
    <x v="17"/>
    <x v="300"/>
    <x v="2"/>
    <n v="7.743759414151076E-2"/>
    <n v="307383"/>
    <n v="23803"/>
  </r>
  <r>
    <x v="17"/>
    <x v="300"/>
    <x v="3"/>
    <n v="2.3787912799341539E-2"/>
    <n v="307383"/>
    <n v="7312"/>
  </r>
  <r>
    <x v="17"/>
    <x v="300"/>
    <x v="4"/>
    <n v="2.095106105412466E-2"/>
    <n v="307383"/>
    <n v="6440"/>
  </r>
  <r>
    <x v="17"/>
    <x v="301"/>
    <x v="0"/>
    <n v="0.48306785019455251"/>
    <n v="131584"/>
    <n v="63564"/>
  </r>
  <r>
    <x v="17"/>
    <x v="301"/>
    <x v="1"/>
    <n v="0.37340406128404668"/>
    <n v="131584"/>
    <n v="49134"/>
  </r>
  <r>
    <x v="17"/>
    <x v="301"/>
    <x v="2"/>
    <n v="8.4546753404669259E-2"/>
    <n v="131584"/>
    <n v="11125"/>
  </r>
  <r>
    <x v="17"/>
    <x v="301"/>
    <x v="3"/>
    <n v="2.8802893968871594E-2"/>
    <n v="131584"/>
    <n v="3790"/>
  </r>
  <r>
    <x v="17"/>
    <x v="301"/>
    <x v="4"/>
    <n v="3.0186040856031129E-2"/>
    <n v="131584"/>
    <n v="3972"/>
  </r>
  <r>
    <x v="17"/>
    <x v="302"/>
    <x v="0"/>
    <n v="0.43092139344719582"/>
    <n v="125473"/>
    <n v="54069"/>
  </r>
  <r>
    <x v="17"/>
    <x v="302"/>
    <x v="1"/>
    <n v="0.4125349676822902"/>
    <n v="125473"/>
    <n v="51762"/>
  </r>
  <r>
    <x v="17"/>
    <x v="302"/>
    <x v="2"/>
    <n v="9.6283662620643487E-2"/>
    <n v="125473"/>
    <n v="12081"/>
  </r>
  <r>
    <x v="17"/>
    <x v="302"/>
    <x v="3"/>
    <n v="3.2421317733695693E-2"/>
    <n v="125473"/>
    <n v="4068"/>
  </r>
  <r>
    <x v="17"/>
    <x v="302"/>
    <x v="4"/>
    <n v="2.7814748989822512E-2"/>
    <n v="125473"/>
    <n v="3490"/>
  </r>
  <r>
    <x v="17"/>
    <x v="303"/>
    <x v="0"/>
    <n v="0.45584387527305026"/>
    <n v="41659"/>
    <n v="18990"/>
  </r>
  <r>
    <x v="17"/>
    <x v="303"/>
    <x v="1"/>
    <n v="0.38363858950046809"/>
    <n v="41659"/>
    <n v="15982"/>
  </r>
  <r>
    <x v="17"/>
    <x v="303"/>
    <x v="2"/>
    <n v="9.1744881058114694E-2"/>
    <n v="41659"/>
    <n v="3822"/>
  </r>
  <r>
    <x v="17"/>
    <x v="303"/>
    <x v="3"/>
    <n v="3.4542355793465998E-2"/>
    <n v="41659"/>
    <n v="1439"/>
  </r>
  <r>
    <x v="17"/>
    <x v="303"/>
    <x v="4"/>
    <n v="3.4230298374900985E-2"/>
    <n v="41659"/>
    <n v="1426"/>
  </r>
  <r>
    <x v="17"/>
    <x v="304"/>
    <x v="0"/>
    <n v="0.52072599228439009"/>
    <n v="38623"/>
    <n v="20112"/>
  </r>
  <r>
    <x v="17"/>
    <x v="304"/>
    <x v="1"/>
    <n v="0.35851694586127436"/>
    <n v="38623"/>
    <n v="13847"/>
  </r>
  <r>
    <x v="17"/>
    <x v="304"/>
    <x v="2"/>
    <n v="7.2288532739559333E-2"/>
    <n v="38623"/>
    <n v="2792"/>
  </r>
  <r>
    <x v="17"/>
    <x v="304"/>
    <x v="3"/>
    <n v="2.4881547264583279E-2"/>
    <n v="38623"/>
    <n v="961"/>
  </r>
  <r>
    <x v="17"/>
    <x v="304"/>
    <x v="4"/>
    <n v="2.3690547083344123E-2"/>
    <n v="38623"/>
    <n v="915"/>
  </r>
  <r>
    <x v="17"/>
    <x v="305"/>
    <x v="0"/>
    <n v="0.43824353221094481"/>
    <n v="33203"/>
    <n v="14551"/>
  </r>
  <r>
    <x v="17"/>
    <x v="305"/>
    <x v="1"/>
    <n v="0.39562690118362798"/>
    <n v="33203"/>
    <n v="13136"/>
  </r>
  <r>
    <x v="17"/>
    <x v="305"/>
    <x v="2"/>
    <n v="9.601542029334699E-2"/>
    <n v="33203"/>
    <n v="3188"/>
  </r>
  <r>
    <x v="17"/>
    <x v="305"/>
    <x v="3"/>
    <n v="3.4514953468060112E-2"/>
    <n v="33203"/>
    <n v="1146"/>
  </r>
  <r>
    <x v="17"/>
    <x v="305"/>
    <x v="4"/>
    <n v="3.5629310604463449E-2"/>
    <n v="33203"/>
    <n v="1183"/>
  </r>
  <r>
    <x v="17"/>
    <x v="306"/>
    <x v="0"/>
    <n v="0.43642595766362502"/>
    <n v="21589"/>
    <n v="9422"/>
  </r>
  <r>
    <x v="17"/>
    <x v="306"/>
    <x v="1"/>
    <n v="0.40001852795405068"/>
    <n v="21589"/>
    <n v="8636"/>
  </r>
  <r>
    <x v="17"/>
    <x v="306"/>
    <x v="2"/>
    <n v="9.2408170827736349E-2"/>
    <n v="21589"/>
    <n v="1995"/>
  </r>
  <r>
    <x v="17"/>
    <x v="306"/>
    <x v="3"/>
    <n v="3.4091435453240074E-2"/>
    <n v="21589"/>
    <n v="736"/>
  </r>
  <r>
    <x v="17"/>
    <x v="306"/>
    <x v="4"/>
    <n v="3.6963268331094541E-2"/>
    <n v="21589"/>
    <n v="798"/>
  </r>
  <r>
    <x v="17"/>
    <x v="307"/>
    <x v="0"/>
    <n v="0.46683451590753033"/>
    <n v="21845"/>
    <n v="10198"/>
  </r>
  <r>
    <x v="17"/>
    <x v="307"/>
    <x v="1"/>
    <n v="0.37308308537422752"/>
    <n v="21845"/>
    <n v="8150"/>
  </r>
  <r>
    <x v="17"/>
    <x v="307"/>
    <x v="2"/>
    <n v="9.0409704737926297E-2"/>
    <n v="21845"/>
    <n v="1975"/>
  </r>
  <r>
    <x v="17"/>
    <x v="307"/>
    <x v="3"/>
    <n v="3.3279926756694896E-2"/>
    <n v="21845"/>
    <n v="727"/>
  </r>
  <r>
    <x v="17"/>
    <x v="307"/>
    <x v="4"/>
    <n v="3.6484321355001147E-2"/>
    <n v="21845"/>
    <n v="797"/>
  </r>
  <r>
    <x v="18"/>
    <x v="308"/>
    <x v="0"/>
    <n v="0.45435434355455151"/>
    <n v="305867"/>
    <n v="138972"/>
  </r>
  <r>
    <x v="18"/>
    <x v="308"/>
    <x v="1"/>
    <n v="0.41158411989524857"/>
    <n v="305867"/>
    <n v="125890"/>
  </r>
  <r>
    <x v="18"/>
    <x v="308"/>
    <x v="2"/>
    <n v="8.738111662912311E-2"/>
    <n v="305867"/>
    <n v="26727"/>
  </r>
  <r>
    <x v="18"/>
    <x v="308"/>
    <x v="3"/>
    <n v="2.6714225464008867E-2"/>
    <n v="305867"/>
    <n v="8171"/>
  </r>
  <r>
    <x v="18"/>
    <x v="308"/>
    <x v="4"/>
    <n v="1.9976002641671053E-2"/>
    <n v="305867"/>
    <n v="6110"/>
  </r>
  <r>
    <x v="18"/>
    <x v="309"/>
    <x v="0"/>
    <n v="0.46363962027583738"/>
    <n v="78162"/>
    <n v="36239"/>
  </r>
  <r>
    <x v="18"/>
    <x v="309"/>
    <x v="1"/>
    <n v="0.38211662956423836"/>
    <n v="78162"/>
    <n v="29867"/>
  </r>
  <r>
    <x v="18"/>
    <x v="309"/>
    <x v="2"/>
    <n v="9.3587676876231415E-2"/>
    <n v="78162"/>
    <n v="7315"/>
  </r>
  <r>
    <x v="18"/>
    <x v="309"/>
    <x v="3"/>
    <n v="3.2291906553056471E-2"/>
    <n v="78162"/>
    <n v="2524"/>
  </r>
  <r>
    <x v="18"/>
    <x v="309"/>
    <x v="4"/>
    <n v="2.8389754612215656E-2"/>
    <n v="78162"/>
    <n v="2219"/>
  </r>
  <r>
    <x v="18"/>
    <x v="310"/>
    <x v="0"/>
    <n v="0.44892218965680247"/>
    <n v="253848"/>
    <n v="113958"/>
  </r>
  <r>
    <x v="18"/>
    <x v="310"/>
    <x v="1"/>
    <n v="0.38750354542876053"/>
    <n v="253848"/>
    <n v="98367"/>
  </r>
  <r>
    <x v="18"/>
    <x v="310"/>
    <x v="2"/>
    <n v="9.6597176262960507E-2"/>
    <n v="253848"/>
    <n v="24521"/>
  </r>
  <r>
    <x v="18"/>
    <x v="310"/>
    <x v="3"/>
    <n v="3.4776716775393152E-2"/>
    <n v="253848"/>
    <n v="8828"/>
  </r>
  <r>
    <x v="18"/>
    <x v="310"/>
    <x v="4"/>
    <n v="3.2172796319057076E-2"/>
    <n v="253848"/>
    <n v="8167"/>
  </r>
  <r>
    <x v="18"/>
    <x v="311"/>
    <x v="0"/>
    <n v="0.46428735052916115"/>
    <n v="87308"/>
    <n v="40536"/>
  </r>
  <r>
    <x v="18"/>
    <x v="311"/>
    <x v="1"/>
    <n v="0.3762427268978788"/>
    <n v="87308"/>
    <n v="32849"/>
  </r>
  <r>
    <x v="18"/>
    <x v="311"/>
    <x v="2"/>
    <n v="9.2889540477390384E-2"/>
    <n v="87308"/>
    <n v="8110"/>
  </r>
  <r>
    <x v="18"/>
    <x v="311"/>
    <x v="3"/>
    <n v="3.3719704952581663E-2"/>
    <n v="87308"/>
    <n v="2944"/>
  </r>
  <r>
    <x v="18"/>
    <x v="311"/>
    <x v="4"/>
    <n v="3.288358455124387E-2"/>
    <n v="87308"/>
    <n v="2871"/>
  </r>
  <r>
    <x v="18"/>
    <x v="312"/>
    <x v="0"/>
    <n v="0.48160627217209595"/>
    <n v="61733"/>
    <n v="29731"/>
  </r>
  <r>
    <x v="18"/>
    <x v="312"/>
    <x v="1"/>
    <n v="0.38719971490126837"/>
    <n v="61733"/>
    <n v="23903"/>
  </r>
  <r>
    <x v="18"/>
    <x v="312"/>
    <x v="2"/>
    <n v="8.2921614047592046E-2"/>
    <n v="61733"/>
    <n v="5119"/>
  </r>
  <r>
    <x v="18"/>
    <x v="312"/>
    <x v="3"/>
    <n v="2.5918066512238186E-2"/>
    <n v="61733"/>
    <n v="1600"/>
  </r>
  <r>
    <x v="18"/>
    <x v="312"/>
    <x v="4"/>
    <n v="2.2370531158375586E-2"/>
    <n v="61733"/>
    <n v="1381"/>
  </r>
  <r>
    <x v="18"/>
    <x v="313"/>
    <x v="0"/>
    <n v="0.42316020977837931"/>
    <n v="118220"/>
    <n v="50026"/>
  </r>
  <r>
    <x v="18"/>
    <x v="313"/>
    <x v="1"/>
    <n v="0.48064625274911182"/>
    <n v="118220"/>
    <n v="56822"/>
  </r>
  <r>
    <x v="18"/>
    <x v="313"/>
    <x v="2"/>
    <n v="6.7196751818643208E-2"/>
    <n v="118220"/>
    <n v="7944"/>
  </r>
  <r>
    <x v="18"/>
    <x v="313"/>
    <x v="3"/>
    <n v="1.7061410928776857E-2"/>
    <n v="118220"/>
    <n v="2017"/>
  </r>
  <r>
    <x v="18"/>
    <x v="313"/>
    <x v="4"/>
    <n v="1.1994586364405346E-2"/>
    <n v="118220"/>
    <n v="1418"/>
  </r>
  <r>
    <x v="18"/>
    <x v="314"/>
    <x v="0"/>
    <n v="0.45618091802272032"/>
    <n v="104224"/>
    <n v="47545"/>
  </r>
  <r>
    <x v="18"/>
    <x v="314"/>
    <x v="1"/>
    <n v="0.39518728891618055"/>
    <n v="104224"/>
    <n v="41188"/>
  </r>
  <r>
    <x v="18"/>
    <x v="314"/>
    <x v="2"/>
    <n v="8.9182913724286147E-2"/>
    <n v="104224"/>
    <n v="9295"/>
  </r>
  <r>
    <x v="18"/>
    <x v="314"/>
    <x v="3"/>
    <n v="3.1461083819465767E-2"/>
    <n v="104224"/>
    <n v="3279"/>
  </r>
  <r>
    <x v="18"/>
    <x v="314"/>
    <x v="4"/>
    <n v="2.8035769112680381E-2"/>
    <n v="104224"/>
    <n v="2922"/>
  </r>
  <r>
    <x v="18"/>
    <x v="315"/>
    <x v="0"/>
    <n v="0.45048203330411918"/>
    <n v="35371"/>
    <n v="15934"/>
  </r>
  <r>
    <x v="18"/>
    <x v="315"/>
    <x v="1"/>
    <n v="0.39761386446523989"/>
    <n v="35371"/>
    <n v="14064"/>
  </r>
  <r>
    <x v="18"/>
    <x v="315"/>
    <x v="2"/>
    <n v="8.9169093325040291E-2"/>
    <n v="35371"/>
    <n v="3154"/>
  </r>
  <r>
    <x v="18"/>
    <x v="315"/>
    <x v="3"/>
    <n v="3.3473749681942833E-2"/>
    <n v="35371"/>
    <n v="1184"/>
  </r>
  <r>
    <x v="18"/>
    <x v="315"/>
    <x v="4"/>
    <n v="2.9430889711910886E-2"/>
    <n v="35371"/>
    <n v="1041"/>
  </r>
  <r>
    <x v="18"/>
    <x v="316"/>
    <x v="0"/>
    <n v="0.49209818196719074"/>
    <n v="73211"/>
    <n v="36027"/>
  </r>
  <r>
    <x v="18"/>
    <x v="316"/>
    <x v="1"/>
    <n v="0.40735681796451351"/>
    <n v="73211"/>
    <n v="29823"/>
  </r>
  <r>
    <x v="18"/>
    <x v="316"/>
    <x v="2"/>
    <n v="6.5195120951769547E-2"/>
    <n v="73211"/>
    <n v="4773"/>
  </r>
  <r>
    <x v="18"/>
    <x v="316"/>
    <x v="3"/>
    <n v="1.9300378358443403E-2"/>
    <n v="73211"/>
    <n v="1413"/>
  </r>
  <r>
    <x v="18"/>
    <x v="316"/>
    <x v="4"/>
    <n v="1.6035841608501456E-2"/>
    <n v="73211"/>
    <n v="1174"/>
  </r>
  <r>
    <x v="18"/>
    <x v="317"/>
    <x v="0"/>
    <n v="0.40101656296555954"/>
    <n v="79877"/>
    <n v="32032"/>
  </r>
  <r>
    <x v="18"/>
    <x v="317"/>
    <x v="1"/>
    <n v="0.49981847089900722"/>
    <n v="79877"/>
    <n v="39924"/>
  </r>
  <r>
    <x v="18"/>
    <x v="317"/>
    <x v="2"/>
    <n v="7.0445810433541575E-2"/>
    <n v="79877"/>
    <n v="5627"/>
  </r>
  <r>
    <x v="18"/>
    <x v="317"/>
    <x v="3"/>
    <n v="1.6976100754910677E-2"/>
    <n v="79877"/>
    <n v="1356"/>
  </r>
  <r>
    <x v="18"/>
    <x v="317"/>
    <x v="4"/>
    <n v="1.1743054946980983E-2"/>
    <n v="79877"/>
    <n v="938"/>
  </r>
  <r>
    <x v="19"/>
    <x v="318"/>
    <x v="0"/>
    <n v="0.40973170509669282"/>
    <n v="153786"/>
    <n v="63011"/>
  </r>
  <r>
    <x v="19"/>
    <x v="318"/>
    <x v="1"/>
    <n v="0.41421195687513818"/>
    <n v="153786"/>
    <n v="63700"/>
  </r>
  <r>
    <x v="19"/>
    <x v="318"/>
    <x v="2"/>
    <n v="0.10378057820607858"/>
    <n v="153786"/>
    <n v="15960"/>
  </r>
  <r>
    <x v="19"/>
    <x v="318"/>
    <x v="3"/>
    <n v="3.7870807485726916E-2"/>
    <n v="153786"/>
    <n v="5824"/>
  </r>
  <r>
    <x v="19"/>
    <x v="318"/>
    <x v="4"/>
    <n v="3.438544470888117E-2"/>
    <n v="153786"/>
    <n v="5288"/>
  </r>
  <r>
    <x v="19"/>
    <x v="319"/>
    <x v="0"/>
    <n v="0.46337852861562256"/>
    <n v="165504"/>
    <n v="76691"/>
  </r>
  <r>
    <x v="19"/>
    <x v="319"/>
    <x v="1"/>
    <n v="0.37830505607115233"/>
    <n v="165504"/>
    <n v="62611"/>
  </r>
  <r>
    <x v="19"/>
    <x v="319"/>
    <x v="2"/>
    <n v="9.3478103248259864E-2"/>
    <n v="165504"/>
    <n v="15471"/>
  </r>
  <r>
    <x v="19"/>
    <x v="319"/>
    <x v="3"/>
    <n v="3.3074729311678271E-2"/>
    <n v="165504"/>
    <n v="5474"/>
  </r>
  <r>
    <x v="19"/>
    <x v="319"/>
    <x v="4"/>
    <n v="3.1793793503480279E-2"/>
    <n v="165504"/>
    <n v="5262"/>
  </r>
  <r>
    <x v="19"/>
    <x v="320"/>
    <x v="0"/>
    <n v="0.41338932881130103"/>
    <n v="528376"/>
    <n v="218425"/>
  </r>
  <r>
    <x v="19"/>
    <x v="320"/>
    <x v="1"/>
    <n v="0.41286129574393993"/>
    <n v="528376"/>
    <n v="218146"/>
  </r>
  <r>
    <x v="19"/>
    <x v="320"/>
    <x v="2"/>
    <n v="0.10186685239299287"/>
    <n v="528376"/>
    <n v="53824"/>
  </r>
  <r>
    <x v="19"/>
    <x v="320"/>
    <x v="3"/>
    <n v="3.8097869698850817E-2"/>
    <n v="528376"/>
    <n v="20130"/>
  </r>
  <r>
    <x v="19"/>
    <x v="320"/>
    <x v="4"/>
    <n v="3.379790149439036E-2"/>
    <n v="528376"/>
    <n v="17858"/>
  </r>
  <r>
    <x v="19"/>
    <x v="321"/>
    <x v="0"/>
    <n v="0.43526640675763484"/>
    <n v="36936"/>
    <n v="16077"/>
  </r>
  <r>
    <x v="19"/>
    <x v="321"/>
    <x v="1"/>
    <n v="0.37394411955815465"/>
    <n v="36936"/>
    <n v="13812"/>
  </r>
  <r>
    <x v="19"/>
    <x v="321"/>
    <x v="2"/>
    <n v="0.10120207927225471"/>
    <n v="36936"/>
    <n v="3738"/>
  </r>
  <r>
    <x v="19"/>
    <x v="321"/>
    <x v="3"/>
    <n v="4.3886722980290234E-2"/>
    <n v="36936"/>
    <n v="1621"/>
  </r>
  <r>
    <x v="19"/>
    <x v="321"/>
    <x v="4"/>
    <n v="4.5781893004115226E-2"/>
    <n v="36936"/>
    <n v="1691"/>
  </r>
  <r>
    <x v="19"/>
    <x v="322"/>
    <x v="0"/>
    <n v="0.41270163630033657"/>
    <n v="68936"/>
    <n v="28450"/>
  </r>
  <r>
    <x v="19"/>
    <x v="322"/>
    <x v="1"/>
    <n v="0.41384762678426368"/>
    <n v="68936"/>
    <n v="28529"/>
  </r>
  <r>
    <x v="19"/>
    <x v="322"/>
    <x v="2"/>
    <n v="0.10564871765115469"/>
    <n v="68936"/>
    <n v="7283"/>
  </r>
  <r>
    <x v="19"/>
    <x v="322"/>
    <x v="3"/>
    <n v="3.5917372635487992E-2"/>
    <n v="68936"/>
    <n v="2476"/>
  </r>
  <r>
    <x v="19"/>
    <x v="322"/>
    <x v="4"/>
    <n v="3.1739584542184056E-2"/>
    <n v="68936"/>
    <n v="2188"/>
  </r>
  <r>
    <x v="19"/>
    <x v="323"/>
    <x v="0"/>
    <n v="0.422301731803362"/>
    <n v="47234"/>
    <n v="19947"/>
  </r>
  <r>
    <x v="19"/>
    <x v="323"/>
    <x v="1"/>
    <n v="0.38883008002709912"/>
    <n v="47234"/>
    <n v="18366"/>
  </r>
  <r>
    <x v="19"/>
    <x v="323"/>
    <x v="2"/>
    <n v="0.10640640216792988"/>
    <n v="47234"/>
    <n v="5026"/>
  </r>
  <r>
    <x v="19"/>
    <x v="323"/>
    <x v="3"/>
    <n v="4.1559046449591394E-2"/>
    <n v="47234"/>
    <n v="1963"/>
  </r>
  <r>
    <x v="19"/>
    <x v="323"/>
    <x v="4"/>
    <n v="4.0839225981284664E-2"/>
    <n v="47234"/>
    <n v="1929"/>
  </r>
  <r>
    <x v="19"/>
    <x v="324"/>
    <x v="0"/>
    <n v="0.46171314842693478"/>
    <n v="39191"/>
    <n v="18095"/>
  </r>
  <r>
    <x v="19"/>
    <x v="324"/>
    <x v="1"/>
    <n v="0.36903880993085147"/>
    <n v="39191"/>
    <n v="14463"/>
  </r>
  <r>
    <x v="19"/>
    <x v="324"/>
    <x v="2"/>
    <n v="9.4307366487203698E-2"/>
    <n v="39191"/>
    <n v="3696"/>
  </r>
  <r>
    <x v="19"/>
    <x v="324"/>
    <x v="3"/>
    <n v="3.7661708045214459E-2"/>
    <n v="39191"/>
    <n v="1476"/>
  </r>
  <r>
    <x v="19"/>
    <x v="324"/>
    <x v="4"/>
    <n v="3.732999923451813E-2"/>
    <n v="39191"/>
    <n v="1463"/>
  </r>
  <r>
    <x v="19"/>
    <x v="325"/>
    <x v="0"/>
    <n v="0.42219261384988555"/>
    <n v="29271"/>
    <n v="12358"/>
  </r>
  <r>
    <x v="19"/>
    <x v="325"/>
    <x v="1"/>
    <n v="0.38553517132998533"/>
    <n v="29271"/>
    <n v="11285"/>
  </r>
  <r>
    <x v="19"/>
    <x v="325"/>
    <x v="2"/>
    <n v="0.10354958832974616"/>
    <n v="29271"/>
    <n v="3031"/>
  </r>
  <r>
    <x v="19"/>
    <x v="325"/>
    <x v="3"/>
    <n v="4.5300809675105053E-2"/>
    <n v="29271"/>
    <n v="1326"/>
  </r>
  <r>
    <x v="19"/>
    <x v="325"/>
    <x v="4"/>
    <n v="4.3319326295650988E-2"/>
    <n v="29271"/>
    <n v="1268"/>
  </r>
  <r>
    <x v="20"/>
    <x v="326"/>
    <x v="0"/>
    <n v="0.39941469987578165"/>
    <n v="94994"/>
    <n v="37942"/>
  </r>
  <r>
    <x v="20"/>
    <x v="326"/>
    <x v="1"/>
    <n v="0.39371960334336903"/>
    <n v="94994"/>
    <n v="37401"/>
  </r>
  <r>
    <x v="20"/>
    <x v="326"/>
    <x v="2"/>
    <n v="0.11688106617260037"/>
    <n v="94994"/>
    <n v="11103"/>
  </r>
  <r>
    <x v="20"/>
    <x v="326"/>
    <x v="3"/>
    <n v="4.5729203949723143E-2"/>
    <n v="94994"/>
    <n v="4344"/>
  </r>
  <r>
    <x v="20"/>
    <x v="326"/>
    <x v="4"/>
    <n v="4.4202791755268755E-2"/>
    <n v="94994"/>
    <n v="4199"/>
  </r>
  <r>
    <x v="20"/>
    <x v="327"/>
    <x v="0"/>
    <n v="0.44808737753418143"/>
    <n v="201791"/>
    <n v="90420"/>
  </r>
  <r>
    <x v="20"/>
    <x v="327"/>
    <x v="1"/>
    <n v="0.4049833738868433"/>
    <n v="201791"/>
    <n v="81722"/>
  </r>
  <r>
    <x v="20"/>
    <x v="327"/>
    <x v="2"/>
    <n v="8.9518363058808365E-2"/>
    <n v="201791"/>
    <n v="18064"/>
  </r>
  <r>
    <x v="20"/>
    <x v="327"/>
    <x v="3"/>
    <n v="3.0645568930229791E-2"/>
    <n v="201791"/>
    <n v="6184"/>
  </r>
  <r>
    <x v="20"/>
    <x v="327"/>
    <x v="4"/>
    <n v="2.6760360967535719E-2"/>
    <n v="201791"/>
    <n v="5400"/>
  </r>
  <r>
    <x v="20"/>
    <x v="328"/>
    <x v="0"/>
    <n v="0.40309213199115246"/>
    <n v="221530"/>
    <n v="89297"/>
  </r>
  <r>
    <x v="20"/>
    <x v="328"/>
    <x v="1"/>
    <n v="0.40513248769918297"/>
    <n v="221530"/>
    <n v="89749"/>
  </r>
  <r>
    <x v="20"/>
    <x v="328"/>
    <x v="2"/>
    <n v="0.11010246919153162"/>
    <n v="221530"/>
    <n v="24391"/>
  </r>
  <r>
    <x v="20"/>
    <x v="328"/>
    <x v="3"/>
    <n v="4.2179388796099851E-2"/>
    <n v="221530"/>
    <n v="9344"/>
  </r>
  <r>
    <x v="20"/>
    <x v="328"/>
    <x v="4"/>
    <n v="3.9475466076829321E-2"/>
    <n v="221530"/>
    <n v="8745"/>
  </r>
  <r>
    <x v="20"/>
    <x v="329"/>
    <x v="0"/>
    <n v="0.40695128976508993"/>
    <n v="78115"/>
    <n v="31789"/>
  </r>
  <r>
    <x v="20"/>
    <x v="329"/>
    <x v="1"/>
    <n v="0.40519746527555528"/>
    <n v="78115"/>
    <n v="31652"/>
  </r>
  <r>
    <x v="20"/>
    <x v="329"/>
    <x v="2"/>
    <n v="0.1118863214491455"/>
    <n v="78115"/>
    <n v="8740"/>
  </r>
  <r>
    <x v="20"/>
    <x v="329"/>
    <x v="3"/>
    <n v="3.9569864942712668E-2"/>
    <n v="78115"/>
    <n v="3091"/>
  </r>
  <r>
    <x v="20"/>
    <x v="329"/>
    <x v="4"/>
    <n v="3.6433463483325865E-2"/>
    <n v="78115"/>
    <n v="2846"/>
  </r>
  <r>
    <x v="20"/>
    <x v="330"/>
    <x v="0"/>
    <n v="0.39742431089019431"/>
    <n v="48686"/>
    <n v="19349"/>
  </r>
  <r>
    <x v="20"/>
    <x v="330"/>
    <x v="1"/>
    <n v="0.39693135603664298"/>
    <n v="48686"/>
    <n v="19325"/>
  </r>
  <r>
    <x v="20"/>
    <x v="330"/>
    <x v="2"/>
    <n v="0.11724109600295773"/>
    <n v="48686"/>
    <n v="5708"/>
  </r>
  <r>
    <x v="20"/>
    <x v="330"/>
    <x v="3"/>
    <n v="4.6029659450355337E-2"/>
    <n v="48686"/>
    <n v="2241"/>
  </r>
  <r>
    <x v="20"/>
    <x v="330"/>
    <x v="4"/>
    <n v="4.2496816333237479E-2"/>
    <n v="48686"/>
    <n v="2069"/>
  </r>
  <r>
    <x v="20"/>
    <x v="331"/>
    <x v="0"/>
    <n v="0.35233124074204697"/>
    <n v="14177"/>
    <n v="4995"/>
  </r>
  <r>
    <x v="20"/>
    <x v="331"/>
    <x v="1"/>
    <n v="0.37306905551244973"/>
    <n v="14177"/>
    <n v="5289"/>
  </r>
  <r>
    <x v="20"/>
    <x v="331"/>
    <x v="2"/>
    <n v="0.13670028920081823"/>
    <n v="14177"/>
    <n v="1938"/>
  </r>
  <r>
    <x v="20"/>
    <x v="331"/>
    <x v="3"/>
    <n v="6.2283981096141638E-2"/>
    <n v="14177"/>
    <n v="883"/>
  </r>
  <r>
    <x v="20"/>
    <x v="331"/>
    <x v="4"/>
    <n v="7.5685970233476757E-2"/>
    <n v="14177"/>
    <n v="1073"/>
  </r>
  <r>
    <x v="20"/>
    <x v="332"/>
    <x v="0"/>
    <n v="0.43481970339514692"/>
    <n v="39851"/>
    <n v="17328"/>
  </r>
  <r>
    <x v="20"/>
    <x v="332"/>
    <x v="1"/>
    <n v="0.37695415422448619"/>
    <n v="39851"/>
    <n v="15022"/>
  </r>
  <r>
    <x v="20"/>
    <x v="332"/>
    <x v="2"/>
    <n v="0.10484053097789266"/>
    <n v="39851"/>
    <n v="4178"/>
  </r>
  <r>
    <x v="20"/>
    <x v="332"/>
    <x v="3"/>
    <n v="4.1103109081327943E-2"/>
    <n v="39851"/>
    <n v="1638"/>
  </r>
  <r>
    <x v="20"/>
    <x v="332"/>
    <x v="4"/>
    <n v="4.2131941482020527E-2"/>
    <n v="39851"/>
    <n v="1679"/>
  </r>
  <r>
    <x v="20"/>
    <x v="333"/>
    <x v="0"/>
    <n v="0.39037735849056604"/>
    <n v="15900"/>
    <n v="6207"/>
  </r>
  <r>
    <x v="20"/>
    <x v="333"/>
    <x v="1"/>
    <n v="0.39037735849056604"/>
    <n v="15900"/>
    <n v="6207"/>
  </r>
  <r>
    <x v="20"/>
    <x v="333"/>
    <x v="2"/>
    <n v="0.11672955974842768"/>
    <n v="15900"/>
    <n v="1856"/>
  </r>
  <r>
    <x v="20"/>
    <x v="333"/>
    <x v="3"/>
    <n v="5.0125786163522014E-2"/>
    <n v="15900"/>
    <n v="797"/>
  </r>
  <r>
    <x v="20"/>
    <x v="333"/>
    <x v="4"/>
    <n v="5.2327044025157234E-2"/>
    <n v="15900"/>
    <n v="832"/>
  </r>
  <r>
    <x v="21"/>
    <x v="334"/>
    <x v="0"/>
    <n v="0.44882834768519908"/>
    <n v="99987"/>
    <n v="44877"/>
  </r>
  <r>
    <x v="21"/>
    <x v="334"/>
    <x v="1"/>
    <n v="0.39246101993259125"/>
    <n v="99987"/>
    <n v="39241"/>
  </r>
  <r>
    <x v="21"/>
    <x v="334"/>
    <x v="2"/>
    <n v="9.0611779531339073E-2"/>
    <n v="99987"/>
    <n v="9060"/>
  </r>
  <r>
    <x v="21"/>
    <x v="334"/>
    <x v="3"/>
    <n v="3.4094432276195907E-2"/>
    <n v="99987"/>
    <n v="3409"/>
  </r>
  <r>
    <x v="21"/>
    <x v="334"/>
    <x v="4"/>
    <n v="3.4044425775350794E-2"/>
    <n v="99987"/>
    <n v="3404"/>
  </r>
  <r>
    <x v="21"/>
    <x v="335"/>
    <x v="0"/>
    <n v="0.48304385375683717"/>
    <n v="52105"/>
    <n v="25169"/>
  </r>
  <r>
    <x v="21"/>
    <x v="335"/>
    <x v="1"/>
    <n v="0.37368774589770654"/>
    <n v="52105"/>
    <n v="19471"/>
  </r>
  <r>
    <x v="21"/>
    <x v="335"/>
    <x v="2"/>
    <n v="8.1662028596104025E-2"/>
    <n v="52105"/>
    <n v="4255"/>
  </r>
  <r>
    <x v="21"/>
    <x v="335"/>
    <x v="3"/>
    <n v="2.9728432971883698E-2"/>
    <n v="52105"/>
    <n v="1549"/>
  </r>
  <r>
    <x v="21"/>
    <x v="335"/>
    <x v="4"/>
    <n v="3.187793877746857E-2"/>
    <n v="52105"/>
    <n v="1661"/>
  </r>
  <r>
    <x v="21"/>
    <x v="336"/>
    <x v="0"/>
    <n v="0.3733565440469101"/>
    <n v="43658"/>
    <n v="16300"/>
  </r>
  <r>
    <x v="21"/>
    <x v="336"/>
    <x v="1"/>
    <n v="0.34722158596362634"/>
    <n v="43658"/>
    <n v="15159"/>
  </r>
  <r>
    <x v="21"/>
    <x v="336"/>
    <x v="2"/>
    <n v="0.13149938155664484"/>
    <n v="43658"/>
    <n v="5741"/>
  </r>
  <r>
    <x v="21"/>
    <x v="336"/>
    <x v="3"/>
    <n v="6.4455540794356128E-2"/>
    <n v="43658"/>
    <n v="2814"/>
  </r>
  <r>
    <x v="21"/>
    <x v="336"/>
    <x v="4"/>
    <n v="8.3421137019561137E-2"/>
    <n v="43658"/>
    <n v="3642"/>
  </r>
  <r>
    <x v="21"/>
    <x v="337"/>
    <x v="0"/>
    <n v="0.44098354367256126"/>
    <n v="52138"/>
    <n v="22992"/>
  </r>
  <r>
    <x v="21"/>
    <x v="337"/>
    <x v="1"/>
    <n v="0.37076604396025931"/>
    <n v="52138"/>
    <n v="19331"/>
  </r>
  <r>
    <x v="21"/>
    <x v="337"/>
    <x v="2"/>
    <n v="9.7855690667075834E-2"/>
    <n v="52138"/>
    <n v="5102"/>
  </r>
  <r>
    <x v="21"/>
    <x v="337"/>
    <x v="3"/>
    <n v="4.1716214661091718E-2"/>
    <n v="52138"/>
    <n v="2175"/>
  </r>
  <r>
    <x v="21"/>
    <x v="337"/>
    <x v="4"/>
    <n v="4.8659327170202153E-2"/>
    <n v="52138"/>
    <n v="2537"/>
  </r>
  <r>
    <x v="21"/>
    <x v="338"/>
    <x v="0"/>
    <n v="0.45312644742936542"/>
    <n v="669290"/>
    <n v="303273"/>
  </r>
  <r>
    <x v="21"/>
    <x v="338"/>
    <x v="1"/>
    <n v="0.39050187512139728"/>
    <n v="669290"/>
    <n v="261359"/>
  </r>
  <r>
    <x v="21"/>
    <x v="338"/>
    <x v="2"/>
    <n v="9.3787446398422208E-2"/>
    <n v="669290"/>
    <n v="62771"/>
  </r>
  <r>
    <x v="21"/>
    <x v="338"/>
    <x v="3"/>
    <n v="3.3017077798861483E-2"/>
    <n v="669290"/>
    <n v="22098"/>
  </r>
  <r>
    <x v="21"/>
    <x v="338"/>
    <x v="4"/>
    <n v="2.9565659131318263E-2"/>
    <n v="669290"/>
    <n v="19788"/>
  </r>
  <r>
    <x v="21"/>
    <x v="339"/>
    <x v="0"/>
    <n v="0.4707809993348202"/>
    <n v="102228"/>
    <n v="48127"/>
  </r>
  <r>
    <x v="21"/>
    <x v="339"/>
    <x v="1"/>
    <n v="0.36938999100050868"/>
    <n v="102228"/>
    <n v="37762"/>
  </r>
  <r>
    <x v="21"/>
    <x v="339"/>
    <x v="2"/>
    <n v="9.1912196267167512E-2"/>
    <n v="102228"/>
    <n v="9396"/>
  </r>
  <r>
    <x v="21"/>
    <x v="339"/>
    <x v="3"/>
    <n v="3.3523105215792152E-2"/>
    <n v="102228"/>
    <n v="3427"/>
  </r>
  <r>
    <x v="21"/>
    <x v="339"/>
    <x v="4"/>
    <n v="3.441327229330516E-2"/>
    <n v="102228"/>
    <n v="3518"/>
  </r>
  <r>
    <x v="21"/>
    <x v="340"/>
    <x v="0"/>
    <n v="0.42163494611327679"/>
    <n v="52332"/>
    <n v="22065"/>
  </r>
  <r>
    <x v="21"/>
    <x v="340"/>
    <x v="1"/>
    <n v="0.38989528395627915"/>
    <n v="52332"/>
    <n v="20404"/>
  </r>
  <r>
    <x v="21"/>
    <x v="340"/>
    <x v="2"/>
    <n v="0.10148666208056256"/>
    <n v="52332"/>
    <n v="5311"/>
  </r>
  <r>
    <x v="21"/>
    <x v="340"/>
    <x v="3"/>
    <n v="4.0644347626691127E-2"/>
    <n v="52332"/>
    <n v="2127"/>
  </r>
  <r>
    <x v="21"/>
    <x v="340"/>
    <x v="4"/>
    <n v="4.6415195291599785E-2"/>
    <n v="52332"/>
    <n v="2429"/>
  </r>
  <r>
    <x v="21"/>
    <x v="341"/>
    <x v="0"/>
    <n v="0.46374654475866467"/>
    <n v="32921"/>
    <n v="15267"/>
  </r>
  <r>
    <x v="21"/>
    <x v="341"/>
    <x v="1"/>
    <n v="0.36967285319400989"/>
    <n v="32921"/>
    <n v="12170"/>
  </r>
  <r>
    <x v="21"/>
    <x v="341"/>
    <x v="2"/>
    <n v="8.8970565900185289E-2"/>
    <n v="32921"/>
    <n v="2929"/>
  </r>
  <r>
    <x v="21"/>
    <x v="341"/>
    <x v="3"/>
    <n v="3.7787430515476443E-2"/>
    <n v="32921"/>
    <n v="1244"/>
  </r>
  <r>
    <x v="21"/>
    <x v="341"/>
    <x v="4"/>
    <n v="3.9792229883660886E-2"/>
    <n v="32921"/>
    <n v="1310"/>
  </r>
  <r>
    <x v="21"/>
    <x v="342"/>
    <x v="0"/>
    <n v="0.4426675282018146"/>
    <n v="37143"/>
    <n v="16442"/>
  </r>
  <r>
    <x v="21"/>
    <x v="342"/>
    <x v="1"/>
    <n v="0.38898311929569501"/>
    <n v="37143"/>
    <n v="14448"/>
  </r>
  <r>
    <x v="21"/>
    <x v="342"/>
    <x v="2"/>
    <n v="9.6491936569474732E-2"/>
    <n v="37143"/>
    <n v="3584"/>
  </r>
  <r>
    <x v="21"/>
    <x v="342"/>
    <x v="3"/>
    <n v="3.6669089734270251E-2"/>
    <n v="37143"/>
    <n v="1362"/>
  </r>
  <r>
    <x v="21"/>
    <x v="342"/>
    <x v="4"/>
    <n v="3.5188326198745387E-2"/>
    <n v="37143"/>
    <n v="1307"/>
  </r>
  <r>
    <x v="22"/>
    <x v="343"/>
    <x v="0"/>
    <n v="0.47785012128175669"/>
    <n v="7833"/>
    <n v="3743"/>
  </r>
  <r>
    <x v="22"/>
    <x v="343"/>
    <x v="1"/>
    <n v="0.47031788586748374"/>
    <n v="7833"/>
    <n v="3684"/>
  </r>
  <r>
    <x v="22"/>
    <x v="343"/>
    <x v="2"/>
    <n v="4.3533767394357208E-2"/>
    <n v="7833"/>
    <n v="341"/>
  </r>
  <r>
    <x v="22"/>
    <x v="343"/>
    <x v="3"/>
    <n v="6.7662453721434954E-3"/>
    <n v="7833"/>
    <n v="53"/>
  </r>
  <r>
    <x v="22"/>
    <x v="343"/>
    <x v="4"/>
    <n v="1.7873100983020554E-3"/>
    <n v="7833"/>
    <n v="14"/>
  </r>
  <r>
    <x v="22"/>
    <x v="344"/>
    <x v="0"/>
    <n v="0.48028685158273837"/>
    <n v="696388"/>
    <n v="334466"/>
  </r>
  <r>
    <x v="22"/>
    <x v="344"/>
    <x v="1"/>
    <n v="0.39736181553961297"/>
    <n v="696388"/>
    <n v="276718"/>
  </r>
  <r>
    <x v="22"/>
    <x v="344"/>
    <x v="2"/>
    <n v="7.8451954944657287E-2"/>
    <n v="696388"/>
    <n v="54633"/>
  </r>
  <r>
    <x v="22"/>
    <x v="344"/>
    <x v="3"/>
    <n v="2.4035451501174632E-2"/>
    <n v="696388"/>
    <n v="16738"/>
  </r>
  <r>
    <x v="22"/>
    <x v="344"/>
    <x v="4"/>
    <n v="1.9865362412907747E-2"/>
    <n v="696388"/>
    <n v="13834"/>
  </r>
  <r>
    <x v="22"/>
    <x v="345"/>
    <x v="0"/>
    <n v="0.49543556286572055"/>
    <n v="163547"/>
    <n v="81027"/>
  </r>
  <r>
    <x v="22"/>
    <x v="345"/>
    <x v="1"/>
    <n v="0.38755831656954881"/>
    <n v="163547"/>
    <n v="63384"/>
  </r>
  <r>
    <x v="22"/>
    <x v="345"/>
    <x v="2"/>
    <n v="7.4412859911829624E-2"/>
    <n v="163547"/>
    <n v="12170"/>
  </r>
  <r>
    <x v="22"/>
    <x v="345"/>
    <x v="3"/>
    <n v="2.2727411692051825E-2"/>
    <n v="163547"/>
    <n v="3717"/>
  </r>
  <r>
    <x v="22"/>
    <x v="345"/>
    <x v="4"/>
    <n v="1.9823047808886742E-2"/>
    <n v="163547"/>
    <n v="3242"/>
  </r>
  <r>
    <x v="22"/>
    <x v="346"/>
    <x v="0"/>
    <n v="0.53811879566228749"/>
    <n v="152615"/>
    <n v="82125"/>
  </r>
  <r>
    <x v="22"/>
    <x v="346"/>
    <x v="1"/>
    <n v="0.35571208596795861"/>
    <n v="152615"/>
    <n v="54287"/>
  </r>
  <r>
    <x v="22"/>
    <x v="346"/>
    <x v="2"/>
    <n v="6.6068210857386234E-2"/>
    <n v="152615"/>
    <n v="10083"/>
  </r>
  <r>
    <x v="22"/>
    <x v="346"/>
    <x v="3"/>
    <n v="2.0843298496215967E-2"/>
    <n v="152615"/>
    <n v="3181"/>
  </r>
  <r>
    <x v="22"/>
    <x v="346"/>
    <x v="4"/>
    <n v="1.9264161452019788E-2"/>
    <n v="152615"/>
    <n v="2940"/>
  </r>
  <r>
    <x v="22"/>
    <x v="347"/>
    <x v="0"/>
    <n v="0.52009391597711363"/>
    <n v="263214"/>
    <n v="136896"/>
  </r>
  <r>
    <x v="22"/>
    <x v="347"/>
    <x v="1"/>
    <n v="0.35125031343317603"/>
    <n v="263214"/>
    <n v="92454"/>
  </r>
  <r>
    <x v="22"/>
    <x v="347"/>
    <x v="2"/>
    <n v="7.3297772914814568E-2"/>
    <n v="263214"/>
    <n v="19293"/>
  </r>
  <r>
    <x v="22"/>
    <x v="347"/>
    <x v="3"/>
    <n v="2.6898265289840205E-2"/>
    <n v="263214"/>
    <n v="7080"/>
  </r>
  <r>
    <x v="22"/>
    <x v="347"/>
    <x v="4"/>
    <n v="2.8444535625004749E-2"/>
    <n v="263214"/>
    <n v="7487"/>
  </r>
  <r>
    <x v="22"/>
    <x v="348"/>
    <x v="0"/>
    <n v="0.56959570341638077"/>
    <n v="60327"/>
    <n v="34362"/>
  </r>
  <r>
    <x v="22"/>
    <x v="348"/>
    <x v="1"/>
    <n v="0.31740348434366039"/>
    <n v="60327"/>
    <n v="19148"/>
  </r>
  <r>
    <x v="22"/>
    <x v="348"/>
    <x v="2"/>
    <n v="6.4266414706516159E-2"/>
    <n v="60327"/>
    <n v="3877"/>
  </r>
  <r>
    <x v="22"/>
    <x v="348"/>
    <x v="3"/>
    <n v="2.3820180018897012E-2"/>
    <n v="60327"/>
    <n v="1437"/>
  </r>
  <r>
    <x v="22"/>
    <x v="348"/>
    <x v="4"/>
    <n v="2.4997099143003961E-2"/>
    <n v="60327"/>
    <n v="1508"/>
  </r>
  <r>
    <x v="22"/>
    <x v="349"/>
    <x v="0"/>
    <n v="0.50946522840436526"/>
    <n v="126727"/>
    <n v="64563"/>
  </r>
  <r>
    <x v="22"/>
    <x v="349"/>
    <x v="1"/>
    <n v="0.35551224285274646"/>
    <n v="126727"/>
    <n v="45053"/>
  </r>
  <r>
    <x v="22"/>
    <x v="349"/>
    <x v="2"/>
    <n v="7.6503034081135041E-2"/>
    <n v="126727"/>
    <n v="9695"/>
  </r>
  <r>
    <x v="22"/>
    <x v="349"/>
    <x v="3"/>
    <n v="2.8320720919772426E-2"/>
    <n v="126727"/>
    <n v="3589"/>
  </r>
  <r>
    <x v="22"/>
    <x v="349"/>
    <x v="4"/>
    <n v="3.0159318850757927E-2"/>
    <n v="126727"/>
    <n v="3822"/>
  </r>
  <r>
    <x v="22"/>
    <x v="350"/>
    <x v="0"/>
    <n v="0.46574033125526054"/>
    <n v="70097"/>
    <n v="32647"/>
  </r>
  <r>
    <x v="22"/>
    <x v="350"/>
    <x v="1"/>
    <n v="0.36927400602022908"/>
    <n v="70097"/>
    <n v="25885"/>
  </r>
  <r>
    <x v="22"/>
    <x v="350"/>
    <x v="2"/>
    <n v="9.4511890665791687E-2"/>
    <n v="70097"/>
    <n v="6625"/>
  </r>
  <r>
    <x v="22"/>
    <x v="350"/>
    <x v="3"/>
    <n v="3.5436609270011556E-2"/>
    <n v="70097"/>
    <n v="2484"/>
  </r>
  <r>
    <x v="22"/>
    <x v="350"/>
    <x v="4"/>
    <n v="3.496583305990271E-2"/>
    <n v="70097"/>
    <n v="2451"/>
  </r>
  <r>
    <x v="22"/>
    <x v="351"/>
    <x v="0"/>
    <n v="0.51646262457466008"/>
    <n v="82581"/>
    <n v="42650"/>
  </r>
  <r>
    <x v="22"/>
    <x v="351"/>
    <x v="1"/>
    <n v="0.34115595597050169"/>
    <n v="82581"/>
    <n v="28173"/>
  </r>
  <r>
    <x v="22"/>
    <x v="351"/>
    <x v="2"/>
    <n v="8.3251595403301001E-2"/>
    <n v="82581"/>
    <n v="6875"/>
  </r>
  <r>
    <x v="22"/>
    <x v="351"/>
    <x v="3"/>
    <n v="2.9558857364284763E-2"/>
    <n v="82581"/>
    <n v="2441"/>
  </r>
  <r>
    <x v="22"/>
    <x v="351"/>
    <x v="4"/>
    <n v="2.9486201426478245E-2"/>
    <n v="82581"/>
    <n v="2435"/>
  </r>
  <r>
    <x v="22"/>
    <x v="352"/>
    <x v="0"/>
    <n v="0.5205179805757284"/>
    <n v="57145"/>
    <n v="29745"/>
  </r>
  <r>
    <x v="22"/>
    <x v="352"/>
    <x v="1"/>
    <n v="0.35406422259165282"/>
    <n v="57145"/>
    <n v="20233"/>
  </r>
  <r>
    <x v="22"/>
    <x v="352"/>
    <x v="2"/>
    <n v="7.5404672324787814E-2"/>
    <n v="57145"/>
    <n v="4309"/>
  </r>
  <r>
    <x v="22"/>
    <x v="352"/>
    <x v="3"/>
    <n v="2.5864030098871293E-2"/>
    <n v="57145"/>
    <n v="1478"/>
  </r>
  <r>
    <x v="22"/>
    <x v="352"/>
    <x v="4"/>
    <n v="2.4271589815381925E-2"/>
    <n v="57145"/>
    <n v="1387"/>
  </r>
  <r>
    <x v="22"/>
    <x v="353"/>
    <x v="0"/>
    <n v="0.50992369354092804"/>
    <n v="51896"/>
    <n v="26463"/>
  </r>
  <r>
    <x v="22"/>
    <x v="353"/>
    <x v="1"/>
    <n v="0.36160783104670879"/>
    <n v="51896"/>
    <n v="18766"/>
  </r>
  <r>
    <x v="22"/>
    <x v="353"/>
    <x v="2"/>
    <n v="7.7616772005549561E-2"/>
    <n v="51896"/>
    <n v="4028"/>
  </r>
  <r>
    <x v="22"/>
    <x v="353"/>
    <x v="3"/>
    <n v="2.6495298288885465E-2"/>
    <n v="51896"/>
    <n v="1375"/>
  </r>
  <r>
    <x v="22"/>
    <x v="353"/>
    <x v="4"/>
    <n v="2.4279327886542315E-2"/>
    <n v="51896"/>
    <n v="1260"/>
  </r>
  <r>
    <x v="22"/>
    <x v="354"/>
    <x v="0"/>
    <n v="0.54106207928197458"/>
    <n v="46795"/>
    <n v="25319"/>
  </r>
  <r>
    <x v="22"/>
    <x v="354"/>
    <x v="1"/>
    <n v="0.33339031947857678"/>
    <n v="46795"/>
    <n v="15601"/>
  </r>
  <r>
    <x v="22"/>
    <x v="354"/>
    <x v="2"/>
    <n v="6.859707233678812E-2"/>
    <n v="46795"/>
    <n v="3210"/>
  </r>
  <r>
    <x v="22"/>
    <x v="354"/>
    <x v="3"/>
    <n v="2.4318837482637034E-2"/>
    <n v="46795"/>
    <n v="1138"/>
  </r>
  <r>
    <x v="22"/>
    <x v="354"/>
    <x v="4"/>
    <n v="3.2738540442354955E-2"/>
    <n v="46795"/>
    <n v="1532"/>
  </r>
  <r>
    <x v="22"/>
    <x v="355"/>
    <x v="0"/>
    <n v="0.57075197341088491"/>
    <n v="36105"/>
    <n v="20607"/>
  </r>
  <r>
    <x v="22"/>
    <x v="355"/>
    <x v="1"/>
    <n v="0.30253427503115909"/>
    <n v="36105"/>
    <n v="10923"/>
  </r>
  <r>
    <x v="22"/>
    <x v="355"/>
    <x v="2"/>
    <n v="6.8716244287494802E-2"/>
    <n v="36105"/>
    <n v="2481"/>
  </r>
  <r>
    <x v="22"/>
    <x v="355"/>
    <x v="3"/>
    <n v="2.8887965655726353E-2"/>
    <n v="36105"/>
    <n v="1043"/>
  </r>
  <r>
    <x v="22"/>
    <x v="355"/>
    <x v="4"/>
    <n v="2.91095416147348E-2"/>
    <n v="36105"/>
    <n v="1051"/>
  </r>
  <r>
    <x v="23"/>
    <x v="356"/>
    <x v="0"/>
    <n v="0.33814737452351296"/>
    <n v="8824741"/>
    <n v="2984063"/>
  </r>
  <r>
    <x v="23"/>
    <x v="356"/>
    <x v="1"/>
    <n v="0.43322755874648333"/>
    <n v="8824741"/>
    <n v="3823121"/>
  </r>
  <r>
    <x v="23"/>
    <x v="356"/>
    <x v="2"/>
    <n v="0.13155955511895476"/>
    <n v="8824741"/>
    <n v="1160979"/>
  </r>
  <r>
    <x v="23"/>
    <x v="356"/>
    <x v="3"/>
    <n v="5.0765569210473149E-2"/>
    <n v="8824741"/>
    <n v="447993"/>
  </r>
  <r>
    <x v="23"/>
    <x v="356"/>
    <x v="4"/>
    <n v="4.630005571834913E-2"/>
    <n v="8824741"/>
    <n v="408586"/>
  </r>
  <r>
    <x v="23"/>
    <x v="357"/>
    <x v="0"/>
    <n v="0.4093188893431024"/>
    <n v="127204"/>
    <n v="52067"/>
  </r>
  <r>
    <x v="23"/>
    <x v="357"/>
    <x v="1"/>
    <n v="0.40861922581050908"/>
    <n v="127204"/>
    <n v="51978"/>
  </r>
  <r>
    <x v="23"/>
    <x v="357"/>
    <x v="2"/>
    <n v="0.10828275840382377"/>
    <n v="127204"/>
    <n v="13774"/>
  </r>
  <r>
    <x v="23"/>
    <x v="357"/>
    <x v="3"/>
    <n v="3.8921732021005628E-2"/>
    <n v="127204"/>
    <n v="4951"/>
  </r>
  <r>
    <x v="23"/>
    <x v="357"/>
    <x v="4"/>
    <n v="3.484167164554574E-2"/>
    <n v="127204"/>
    <n v="4432"/>
  </r>
  <r>
    <x v="23"/>
    <x v="358"/>
    <x v="0"/>
    <n v="0.4480769392958851"/>
    <n v="355709"/>
    <n v="159385"/>
  </r>
  <r>
    <x v="23"/>
    <x v="358"/>
    <x v="1"/>
    <n v="0.41208965755716048"/>
    <n v="355709"/>
    <n v="146584"/>
  </r>
  <r>
    <x v="23"/>
    <x v="358"/>
    <x v="2"/>
    <n v="9.0087684033859139E-2"/>
    <n v="355709"/>
    <n v="32045"/>
  </r>
  <r>
    <x v="23"/>
    <x v="358"/>
    <x v="3"/>
    <n v="2.798354834991524E-2"/>
    <n v="355709"/>
    <n v="9954"/>
  </r>
  <r>
    <x v="23"/>
    <x v="358"/>
    <x v="4"/>
    <n v="2.1759359476425953E-2"/>
    <n v="355709"/>
    <n v="7740"/>
  </r>
  <r>
    <x v="23"/>
    <x v="359"/>
    <x v="0"/>
    <n v="0.3338840244506856"/>
    <n v="48424"/>
    <n v="16168"/>
  </r>
  <r>
    <x v="23"/>
    <x v="359"/>
    <x v="1"/>
    <n v="0.41892450024781103"/>
    <n v="48424"/>
    <n v="20286"/>
  </r>
  <r>
    <x v="23"/>
    <x v="359"/>
    <x v="2"/>
    <n v="0.13962084916570297"/>
    <n v="48424"/>
    <n v="6761"/>
  </r>
  <r>
    <x v="23"/>
    <x v="359"/>
    <x v="3"/>
    <n v="5.5654221047414507E-2"/>
    <n v="48424"/>
    <n v="2695"/>
  </r>
  <r>
    <x v="23"/>
    <x v="359"/>
    <x v="4"/>
    <n v="5.1751197753180239E-2"/>
    <n v="48424"/>
    <n v="2506"/>
  </r>
  <r>
    <x v="23"/>
    <x v="360"/>
    <x v="0"/>
    <n v="0.42375891397243709"/>
    <n v="291116"/>
    <n v="123363"/>
  </r>
  <r>
    <x v="23"/>
    <x v="360"/>
    <x v="1"/>
    <n v="0.41484150647851714"/>
    <n v="291116"/>
    <n v="120767"/>
  </r>
  <r>
    <x v="23"/>
    <x v="360"/>
    <x v="2"/>
    <n v="0.10116242322648017"/>
    <n v="291116"/>
    <n v="29450"/>
  </r>
  <r>
    <x v="23"/>
    <x v="360"/>
    <x v="3"/>
    <n v="3.3883400431443139E-2"/>
    <n v="291116"/>
    <n v="9864"/>
  </r>
  <r>
    <x v="23"/>
    <x v="360"/>
    <x v="4"/>
    <n v="2.6357190947938279E-2"/>
    <n v="291116"/>
    <n v="7673"/>
  </r>
  <r>
    <x v="23"/>
    <x v="361"/>
    <x v="0"/>
    <n v="0.43108690193854066"/>
    <n v="768671"/>
    <n v="331364"/>
  </r>
  <r>
    <x v="23"/>
    <x v="361"/>
    <x v="1"/>
    <n v="0.42586360094240577"/>
    <n v="768671"/>
    <n v="327349"/>
  </r>
  <r>
    <x v="23"/>
    <x v="361"/>
    <x v="2"/>
    <n v="9.3843790126074744E-2"/>
    <n v="768671"/>
    <n v="72135"/>
  </r>
  <r>
    <x v="23"/>
    <x v="361"/>
    <x v="3"/>
    <n v="2.8300794488149025E-2"/>
    <n v="768671"/>
    <n v="21754"/>
  </r>
  <r>
    <x v="23"/>
    <x v="361"/>
    <x v="4"/>
    <n v="2.0903611558130853E-2"/>
    <n v="768671"/>
    <n v="16068"/>
  </r>
  <r>
    <x v="23"/>
    <x v="362"/>
    <x v="0"/>
    <n v="0.41599644220647752"/>
    <n v="557649"/>
    <n v="231980"/>
  </r>
  <r>
    <x v="23"/>
    <x v="362"/>
    <x v="1"/>
    <n v="0.42987972721192003"/>
    <n v="557649"/>
    <n v="239722"/>
  </r>
  <r>
    <x v="23"/>
    <x v="362"/>
    <x v="2"/>
    <n v="9.7846494838150874E-2"/>
    <n v="557649"/>
    <n v="54564"/>
  </r>
  <r>
    <x v="23"/>
    <x v="362"/>
    <x v="3"/>
    <n v="3.1462443221452918E-2"/>
    <n v="557649"/>
    <n v="17545"/>
  </r>
  <r>
    <x v="23"/>
    <x v="362"/>
    <x v="4"/>
    <n v="2.4822065492809995E-2"/>
    <n v="557649"/>
    <n v="13842"/>
  </r>
  <r>
    <x v="23"/>
    <x v="363"/>
    <x v="0"/>
    <n v="0.44495442986404526"/>
    <n v="304366"/>
    <n v="135429"/>
  </r>
  <r>
    <x v="23"/>
    <x v="363"/>
    <x v="1"/>
    <n v="0.4252248937134897"/>
    <n v="304366"/>
    <n v="129424"/>
  </r>
  <r>
    <x v="23"/>
    <x v="363"/>
    <x v="2"/>
    <n v="8.5676455320239445E-2"/>
    <n v="304366"/>
    <n v="26077"/>
  </r>
  <r>
    <x v="23"/>
    <x v="363"/>
    <x v="3"/>
    <n v="2.5383912789207728E-2"/>
    <n v="304366"/>
    <n v="7726"/>
  </r>
  <r>
    <x v="23"/>
    <x v="363"/>
    <x v="4"/>
    <n v="1.8757022794924531E-2"/>
    <n v="304366"/>
    <n v="5709"/>
  </r>
  <r>
    <x v="23"/>
    <x v="364"/>
    <x v="0"/>
    <n v="0.4745527405272808"/>
    <n v="361591"/>
    <n v="171594"/>
  </r>
  <r>
    <x v="23"/>
    <x v="364"/>
    <x v="1"/>
    <n v="0.40914182045460201"/>
    <n v="361591"/>
    <n v="147942"/>
  </r>
  <r>
    <x v="23"/>
    <x v="364"/>
    <x v="2"/>
    <n v="7.8176724531307473E-2"/>
    <n v="361591"/>
    <n v="28268"/>
  </r>
  <r>
    <x v="23"/>
    <x v="364"/>
    <x v="3"/>
    <n v="2.2030415580033796E-2"/>
    <n v="361591"/>
    <n v="7966"/>
  </r>
  <r>
    <x v="23"/>
    <x v="364"/>
    <x v="4"/>
    <n v="1.6084471128982744E-2"/>
    <n v="361591"/>
    <n v="5816"/>
  </r>
  <r>
    <x v="23"/>
    <x v="365"/>
    <x v="0"/>
    <n v="0.36163145610150216"/>
    <n v="33418"/>
    <n v="12085"/>
  </r>
  <r>
    <x v="23"/>
    <x v="365"/>
    <x v="1"/>
    <n v="0.40328565443772818"/>
    <n v="33418"/>
    <n v="13477"/>
  </r>
  <r>
    <x v="23"/>
    <x v="365"/>
    <x v="2"/>
    <n v="0.12738643844634628"/>
    <n v="33418"/>
    <n v="4257"/>
  </r>
  <r>
    <x v="23"/>
    <x v="365"/>
    <x v="3"/>
    <n v="5.2666227781435156E-2"/>
    <n v="33418"/>
    <n v="1760"/>
  </r>
  <r>
    <x v="23"/>
    <x v="365"/>
    <x v="4"/>
    <n v="5.5119995212161113E-2"/>
    <n v="33418"/>
    <n v="1842"/>
  </r>
  <r>
    <x v="23"/>
    <x v="366"/>
    <x v="0"/>
    <n v="0.44553293816722572"/>
    <n v="326445"/>
    <n v="145442"/>
  </r>
  <r>
    <x v="23"/>
    <x v="366"/>
    <x v="1"/>
    <n v="0.43083520960651872"/>
    <n v="326445"/>
    <n v="140644"/>
  </r>
  <r>
    <x v="23"/>
    <x v="366"/>
    <x v="2"/>
    <n v="8.2758198165081412E-2"/>
    <n v="326445"/>
    <n v="27016"/>
  </r>
  <r>
    <x v="23"/>
    <x v="366"/>
    <x v="3"/>
    <n v="2.3762042610546954E-2"/>
    <n v="326445"/>
    <n v="7757"/>
  </r>
  <r>
    <x v="23"/>
    <x v="366"/>
    <x v="4"/>
    <n v="1.7102421541147821E-2"/>
    <n v="326445"/>
    <n v="5583"/>
  </r>
  <r>
    <x v="23"/>
    <x v="367"/>
    <x v="0"/>
    <n v="0.44350448368972917"/>
    <n v="389969"/>
    <n v="172953"/>
  </r>
  <r>
    <x v="23"/>
    <x v="367"/>
    <x v="1"/>
    <n v="0.42433116478489313"/>
    <n v="389969"/>
    <n v="165476"/>
  </r>
  <r>
    <x v="23"/>
    <x v="367"/>
    <x v="2"/>
    <n v="8.836343401655003E-2"/>
    <n v="389969"/>
    <n v="34459"/>
  </r>
  <r>
    <x v="23"/>
    <x v="367"/>
    <x v="3"/>
    <n v="2.5278932427962222E-2"/>
    <n v="389969"/>
    <n v="9858"/>
  </r>
  <r>
    <x v="23"/>
    <x v="367"/>
    <x v="4"/>
    <n v="1.8514292161684646E-2"/>
    <n v="389969"/>
    <n v="7220"/>
  </r>
  <r>
    <x v="23"/>
    <x v="368"/>
    <x v="0"/>
    <n v="0.45138770451728805"/>
    <n v="87951"/>
    <n v="39700"/>
  </r>
  <r>
    <x v="23"/>
    <x v="368"/>
    <x v="1"/>
    <n v="0.39336676103739582"/>
    <n v="87951"/>
    <n v="34597"/>
  </r>
  <r>
    <x v="23"/>
    <x v="368"/>
    <x v="2"/>
    <n v="9.4825527850735072E-2"/>
    <n v="87951"/>
    <n v="8340"/>
  </r>
  <r>
    <x v="23"/>
    <x v="368"/>
    <x v="3"/>
    <n v="3.2779615922502302E-2"/>
    <n v="87951"/>
    <n v="2883"/>
  </r>
  <r>
    <x v="23"/>
    <x v="368"/>
    <x v="4"/>
    <n v="2.7674500574183351E-2"/>
    <n v="87951"/>
    <n v="2434"/>
  </r>
  <r>
    <x v="23"/>
    <x v="369"/>
    <x v="0"/>
    <n v="0.46861509017728659"/>
    <n v="547588"/>
    <n v="256608"/>
  </r>
  <r>
    <x v="23"/>
    <x v="369"/>
    <x v="1"/>
    <n v="0.41211823487731652"/>
    <n v="547588"/>
    <n v="225671"/>
  </r>
  <r>
    <x v="23"/>
    <x v="369"/>
    <x v="2"/>
    <n v="7.9601817424779217E-2"/>
    <n v="547588"/>
    <n v="43589"/>
  </r>
  <r>
    <x v="23"/>
    <x v="369"/>
    <x v="3"/>
    <n v="2.3176183554058892E-2"/>
    <n v="547588"/>
    <n v="12691"/>
  </r>
  <r>
    <x v="23"/>
    <x v="369"/>
    <x v="4"/>
    <n v="1.6490500157052383E-2"/>
    <n v="547588"/>
    <n v="9030"/>
  </r>
  <r>
    <x v="23"/>
    <x v="370"/>
    <x v="0"/>
    <n v="0.42703340158764619"/>
    <n v="170441"/>
    <n v="72784"/>
  </r>
  <r>
    <x v="23"/>
    <x v="370"/>
    <x v="1"/>
    <n v="0.42926291209274764"/>
    <n v="170441"/>
    <n v="73164"/>
  </r>
  <r>
    <x v="23"/>
    <x v="370"/>
    <x v="2"/>
    <n v="9.4232021637986163E-2"/>
    <n v="170441"/>
    <n v="16061"/>
  </r>
  <r>
    <x v="23"/>
    <x v="370"/>
    <x v="3"/>
    <n v="2.8625741458921269E-2"/>
    <n v="170441"/>
    <n v="4879"/>
  </r>
  <r>
    <x v="23"/>
    <x v="370"/>
    <x v="4"/>
    <n v="2.0834188956882441E-2"/>
    <n v="170441"/>
    <n v="3551"/>
  </r>
  <r>
    <x v="23"/>
    <x v="371"/>
    <x v="0"/>
    <n v="0.45069921869273954"/>
    <n v="272876"/>
    <n v="122985"/>
  </r>
  <r>
    <x v="23"/>
    <x v="371"/>
    <x v="1"/>
    <n v="0.41376302789545433"/>
    <n v="272876"/>
    <n v="112906"/>
  </r>
  <r>
    <x v="23"/>
    <x v="371"/>
    <x v="2"/>
    <n v="8.7241091191603518E-2"/>
    <n v="272876"/>
    <n v="23806"/>
  </r>
  <r>
    <x v="23"/>
    <x v="371"/>
    <x v="3"/>
    <n v="2.724680807399698E-2"/>
    <n v="272876"/>
    <n v="7435"/>
  </r>
  <r>
    <x v="23"/>
    <x v="371"/>
    <x v="4"/>
    <n v="2.1057183482607485E-2"/>
    <n v="272876"/>
    <n v="5746"/>
  </r>
  <r>
    <x v="24"/>
    <x v="372"/>
    <x v="0"/>
    <n v="0.42089715750141832"/>
    <n v="613404"/>
    <n v="258180"/>
  </r>
  <r>
    <x v="24"/>
    <x v="372"/>
    <x v="1"/>
    <n v="0.41168463198805355"/>
    <n v="613404"/>
    <n v="252529"/>
  </r>
  <r>
    <x v="24"/>
    <x v="372"/>
    <x v="2"/>
    <n v="0.10110139483929026"/>
    <n v="613404"/>
    <n v="62016"/>
  </r>
  <r>
    <x v="24"/>
    <x v="372"/>
    <x v="3"/>
    <n v="3.5263871771295918E-2"/>
    <n v="613404"/>
    <n v="21631"/>
  </r>
  <r>
    <x v="24"/>
    <x v="372"/>
    <x v="4"/>
    <n v="3.1054574146891771E-2"/>
    <n v="613404"/>
    <n v="19049"/>
  </r>
  <r>
    <x v="24"/>
    <x v="373"/>
    <x v="0"/>
    <n v="0.40759439387146451"/>
    <n v="51301"/>
    <n v="20910"/>
  </r>
  <r>
    <x v="24"/>
    <x v="373"/>
    <x v="1"/>
    <n v="0.41332527631040333"/>
    <n v="51301"/>
    <n v="21204"/>
  </r>
  <r>
    <x v="24"/>
    <x v="373"/>
    <x v="2"/>
    <n v="0.10578741155143175"/>
    <n v="51301"/>
    <n v="5427"/>
  </r>
  <r>
    <x v="24"/>
    <x v="373"/>
    <x v="3"/>
    <n v="3.7991462154733827E-2"/>
    <n v="51301"/>
    <n v="1949"/>
  </r>
  <r>
    <x v="24"/>
    <x v="373"/>
    <x v="4"/>
    <n v="3.5165006530087133E-2"/>
    <n v="51301"/>
    <n v="1804"/>
  </r>
  <r>
    <x v="24"/>
    <x v="374"/>
    <x v="0"/>
    <n v="0.39447224538967657"/>
    <n v="86328"/>
    <n v="34054"/>
  </r>
  <r>
    <x v="24"/>
    <x v="374"/>
    <x v="1"/>
    <n v="0.38350245575016217"/>
    <n v="86328"/>
    <n v="33107"/>
  </r>
  <r>
    <x v="24"/>
    <x v="374"/>
    <x v="2"/>
    <n v="0.11543184134927255"/>
    <n v="86328"/>
    <n v="9965"/>
  </r>
  <r>
    <x v="24"/>
    <x v="374"/>
    <x v="3"/>
    <n v="5.0609304049671025E-2"/>
    <n v="86328"/>
    <n v="4369"/>
  </r>
  <r>
    <x v="24"/>
    <x v="374"/>
    <x v="4"/>
    <n v="5.603048836993791E-2"/>
    <n v="86328"/>
    <n v="4837"/>
  </r>
  <r>
    <x v="24"/>
    <x v="375"/>
    <x v="0"/>
    <n v="0.40775540041177932"/>
    <n v="149109"/>
    <n v="60800"/>
  </r>
  <r>
    <x v="24"/>
    <x v="375"/>
    <x v="1"/>
    <n v="0.39950640135739629"/>
    <n v="149109"/>
    <n v="59570"/>
  </r>
  <r>
    <x v="24"/>
    <x v="375"/>
    <x v="2"/>
    <n v="0.11008725160788417"/>
    <n v="149109"/>
    <n v="16415"/>
  </r>
  <r>
    <x v="24"/>
    <x v="375"/>
    <x v="3"/>
    <n v="4.2136960210315946E-2"/>
    <n v="149109"/>
    <n v="6283"/>
  </r>
  <r>
    <x v="24"/>
    <x v="375"/>
    <x v="4"/>
    <n v="4.0507279909328078E-2"/>
    <n v="149109"/>
    <n v="6040"/>
  </r>
  <r>
    <x v="24"/>
    <x v="376"/>
    <x v="0"/>
    <n v="0.41250544489763591"/>
    <n v="75759"/>
    <n v="31251"/>
  </r>
  <r>
    <x v="24"/>
    <x v="376"/>
    <x v="1"/>
    <n v="0.39576815955860029"/>
    <n v="75759"/>
    <n v="29983"/>
  </r>
  <r>
    <x v="24"/>
    <x v="376"/>
    <x v="2"/>
    <n v="0.10580921078683721"/>
    <n v="75759"/>
    <n v="8016"/>
  </r>
  <r>
    <x v="24"/>
    <x v="376"/>
    <x v="3"/>
    <n v="4.2912393247006957E-2"/>
    <n v="75759"/>
    <n v="3251"/>
  </r>
  <r>
    <x v="24"/>
    <x v="376"/>
    <x v="4"/>
    <n v="4.2925592998851625E-2"/>
    <n v="75759"/>
    <n v="3252"/>
  </r>
  <r>
    <x v="24"/>
    <x v="377"/>
    <x v="0"/>
    <n v="0.44757574066841488"/>
    <n v="179230"/>
    <n v="80219"/>
  </r>
  <r>
    <x v="24"/>
    <x v="377"/>
    <x v="1"/>
    <n v="0.40922278636388998"/>
    <n v="179230"/>
    <n v="73345"/>
  </r>
  <r>
    <x v="24"/>
    <x v="377"/>
    <x v="2"/>
    <n v="8.7775484014952859E-2"/>
    <n v="179230"/>
    <n v="15732"/>
  </r>
  <r>
    <x v="24"/>
    <x v="377"/>
    <x v="3"/>
    <n v="2.9219438710037383E-2"/>
    <n v="179230"/>
    <n v="5237"/>
  </r>
  <r>
    <x v="24"/>
    <x v="377"/>
    <x v="4"/>
    <n v="2.6167494281091334E-2"/>
    <n v="179230"/>
    <n v="4690"/>
  </r>
  <r>
    <x v="24"/>
    <x v="378"/>
    <x v="0"/>
    <n v="0.38626510469513881"/>
    <n v="21682"/>
    <n v="8375"/>
  </r>
  <r>
    <x v="24"/>
    <x v="378"/>
    <x v="1"/>
    <n v="0.38077668111797802"/>
    <n v="21682"/>
    <n v="8256"/>
  </r>
  <r>
    <x v="24"/>
    <x v="378"/>
    <x v="2"/>
    <n v="0.12203671248039849"/>
    <n v="21682"/>
    <n v="2646"/>
  </r>
  <r>
    <x v="24"/>
    <x v="378"/>
    <x v="3"/>
    <n v="5.2439811825477356E-2"/>
    <n v="21682"/>
    <n v="1137"/>
  </r>
  <r>
    <x v="24"/>
    <x v="378"/>
    <x v="4"/>
    <n v="5.8481689881007284E-2"/>
    <n v="21682"/>
    <n v="1268"/>
  </r>
  <r>
    <x v="24"/>
    <x v="379"/>
    <x v="0"/>
    <n v="0.42895556648630923"/>
    <n v="60990"/>
    <n v="26162"/>
  </r>
  <r>
    <x v="24"/>
    <x v="379"/>
    <x v="1"/>
    <n v="0.3856369896704378"/>
    <n v="60990"/>
    <n v="23520"/>
  </r>
  <r>
    <x v="24"/>
    <x v="379"/>
    <x v="2"/>
    <n v="0.10083620265617314"/>
    <n v="60990"/>
    <n v="6150"/>
  </r>
  <r>
    <x v="24"/>
    <x v="379"/>
    <x v="3"/>
    <n v="4.2728316117396296E-2"/>
    <n v="60990"/>
    <n v="2606"/>
  </r>
  <r>
    <x v="24"/>
    <x v="379"/>
    <x v="4"/>
    <n v="4.1695359895064767E-2"/>
    <n v="60990"/>
    <n v="2543"/>
  </r>
  <r>
    <x v="24"/>
    <x v="380"/>
    <x v="0"/>
    <n v="0.38653474903474905"/>
    <n v="20720"/>
    <n v="8009"/>
  </r>
  <r>
    <x v="24"/>
    <x v="380"/>
    <x v="1"/>
    <n v="0.38088803088803092"/>
    <n v="20720"/>
    <n v="7892"/>
  </r>
  <r>
    <x v="24"/>
    <x v="380"/>
    <x v="2"/>
    <n v="0.12360038610038609"/>
    <n v="20720"/>
    <n v="2561"/>
  </r>
  <r>
    <x v="24"/>
    <x v="380"/>
    <x v="3"/>
    <n v="5.2702702702702706E-2"/>
    <n v="20720"/>
    <n v="1092"/>
  </r>
  <r>
    <x v="24"/>
    <x v="380"/>
    <x v="4"/>
    <n v="5.6418918918918919E-2"/>
    <n v="20720"/>
    <n v="1169"/>
  </r>
  <r>
    <x v="24"/>
    <x v="381"/>
    <x v="0"/>
    <n v="0.44579688094332448"/>
    <n v="18403"/>
    <n v="8204"/>
  </r>
  <r>
    <x v="24"/>
    <x v="381"/>
    <x v="1"/>
    <n v="0.37548225832744664"/>
    <n v="18403"/>
    <n v="6910"/>
  </r>
  <r>
    <x v="24"/>
    <x v="381"/>
    <x v="2"/>
    <n v="9.949464761180242E-2"/>
    <n v="18403"/>
    <n v="1831"/>
  </r>
  <r>
    <x v="24"/>
    <x v="381"/>
    <x v="3"/>
    <n v="4.1025919687007556E-2"/>
    <n v="18403"/>
    <n v="755"/>
  </r>
  <r>
    <x v="24"/>
    <x v="381"/>
    <x v="4"/>
    <n v="3.8471988262783245E-2"/>
    <n v="18403"/>
    <n v="708"/>
  </r>
  <r>
    <x v="25"/>
    <x v="382"/>
    <x v="0"/>
    <n v="0.45138081052764434"/>
    <n v="1315242"/>
    <n v="593675"/>
  </r>
  <r>
    <x v="25"/>
    <x v="382"/>
    <x v="1"/>
    <n v="0.39583285813561309"/>
    <n v="1315242"/>
    <n v="520616"/>
  </r>
  <r>
    <x v="25"/>
    <x v="382"/>
    <x v="2"/>
    <n v="9.3071085017053898E-2"/>
    <n v="1315242"/>
    <n v="122411"/>
  </r>
  <r>
    <x v="25"/>
    <x v="382"/>
    <x v="3"/>
    <n v="3.1828363145337511E-2"/>
    <n v="1315242"/>
    <n v="41862"/>
  </r>
  <r>
    <x v="25"/>
    <x v="382"/>
    <x v="4"/>
    <n v="2.7887643490703613E-2"/>
    <n v="1315242"/>
    <n v="36679"/>
  </r>
  <r>
    <x v="26"/>
    <x v="383"/>
    <x v="0"/>
    <n v="0.44498181349985516"/>
    <n v="124268"/>
    <n v="55297"/>
  </r>
  <r>
    <x v="26"/>
    <x v="383"/>
    <x v="1"/>
    <n v="0.39409984871406961"/>
    <n v="124268"/>
    <n v="48974"/>
  </r>
  <r>
    <x v="26"/>
    <x v="383"/>
    <x v="2"/>
    <n v="9.2743103614768077E-2"/>
    <n v="124268"/>
    <n v="11525"/>
  </r>
  <r>
    <x v="26"/>
    <x v="383"/>
    <x v="3"/>
    <n v="3.4280748060643129E-2"/>
    <n v="124268"/>
    <n v="4260"/>
  </r>
  <r>
    <x v="26"/>
    <x v="383"/>
    <x v="4"/>
    <n v="3.3854250490874559E-2"/>
    <n v="124268"/>
    <n v="4207"/>
  </r>
  <r>
    <x v="26"/>
    <x v="384"/>
    <x v="0"/>
    <n v="0.43450185568440647"/>
    <n v="172982"/>
    <n v="75161"/>
  </r>
  <r>
    <x v="26"/>
    <x v="384"/>
    <x v="1"/>
    <n v="0.39795470048906822"/>
    <n v="172982"/>
    <n v="68839"/>
  </r>
  <r>
    <x v="26"/>
    <x v="384"/>
    <x v="2"/>
    <n v="9.6790417500086712E-2"/>
    <n v="172982"/>
    <n v="16743"/>
  </r>
  <r>
    <x v="26"/>
    <x v="384"/>
    <x v="3"/>
    <n v="3.6691678903007251E-2"/>
    <n v="172982"/>
    <n v="6347"/>
  </r>
  <r>
    <x v="26"/>
    <x v="384"/>
    <x v="4"/>
    <n v="3.4055566475124581E-2"/>
    <n v="172982"/>
    <n v="5891"/>
  </r>
  <r>
    <x v="26"/>
    <x v="385"/>
    <x v="0"/>
    <n v="0.39004570764008423"/>
    <n v="603619"/>
    <n v="235439"/>
  </r>
  <r>
    <x v="26"/>
    <x v="385"/>
    <x v="1"/>
    <n v="0.41994536288619144"/>
    <n v="603619"/>
    <n v="253487"/>
  </r>
  <r>
    <x v="26"/>
    <x v="385"/>
    <x v="2"/>
    <n v="0.11207897697057249"/>
    <n v="603619"/>
    <n v="67653"/>
  </r>
  <r>
    <x v="26"/>
    <x v="385"/>
    <x v="3"/>
    <n v="4.1083862502671389E-2"/>
    <n v="603619"/>
    <n v="24799"/>
  </r>
  <r>
    <x v="26"/>
    <x v="385"/>
    <x v="4"/>
    <n v="3.6842776652159723E-2"/>
    <n v="603619"/>
    <n v="22239"/>
  </r>
  <r>
    <x v="26"/>
    <x v="386"/>
    <x v="0"/>
    <n v="0.41870740108676308"/>
    <n v="95513"/>
    <n v="39992"/>
  </r>
  <r>
    <x v="26"/>
    <x v="386"/>
    <x v="1"/>
    <n v="0.42012082124946343"/>
    <n v="95513"/>
    <n v="40127"/>
  </r>
  <r>
    <x v="26"/>
    <x v="386"/>
    <x v="2"/>
    <n v="9.7170018740904376E-2"/>
    <n v="95513"/>
    <n v="9281"/>
  </r>
  <r>
    <x v="26"/>
    <x v="386"/>
    <x v="3"/>
    <n v="3.3838325672945042E-2"/>
    <n v="95513"/>
    <n v="3232"/>
  </r>
  <r>
    <x v="26"/>
    <x v="386"/>
    <x v="4"/>
    <n v="3.0173903028907059E-2"/>
    <n v="95513"/>
    <n v="2882"/>
  </r>
  <r>
    <x v="26"/>
    <x v="387"/>
    <x v="0"/>
    <n v="0.43610732885927733"/>
    <n v="247501"/>
    <n v="107937"/>
  </r>
  <r>
    <x v="26"/>
    <x v="387"/>
    <x v="1"/>
    <n v="0.43306895729714223"/>
    <n v="247501"/>
    <n v="107185"/>
  </r>
  <r>
    <x v="26"/>
    <x v="387"/>
    <x v="2"/>
    <n v="8.6431974012226215E-2"/>
    <n v="247501"/>
    <n v="21392"/>
  </r>
  <r>
    <x v="26"/>
    <x v="387"/>
    <x v="3"/>
    <n v="2.5563533076634035E-2"/>
    <n v="247501"/>
    <n v="6327"/>
  </r>
  <r>
    <x v="26"/>
    <x v="387"/>
    <x v="4"/>
    <n v="1.8828206754720182E-2"/>
    <n v="247501"/>
    <n v="4660"/>
  </r>
  <r>
    <x v="26"/>
    <x v="388"/>
    <x v="0"/>
    <n v="0.40053775588594154"/>
    <n v="44258"/>
    <n v="17727"/>
  </r>
  <r>
    <x v="26"/>
    <x v="388"/>
    <x v="1"/>
    <n v="0.38243933300194316"/>
    <n v="44258"/>
    <n v="16926"/>
  </r>
  <r>
    <x v="26"/>
    <x v="388"/>
    <x v="2"/>
    <n v="0.11387771702291111"/>
    <n v="44258"/>
    <n v="5040"/>
  </r>
  <r>
    <x v="26"/>
    <x v="388"/>
    <x v="3"/>
    <n v="4.9640742916534863E-2"/>
    <n v="44258"/>
    <n v="2197"/>
  </r>
  <r>
    <x v="26"/>
    <x v="388"/>
    <x v="4"/>
    <n v="5.3391477247051379E-2"/>
    <n v="44258"/>
    <n v="2363"/>
  </r>
  <r>
    <x v="27"/>
    <x v="389"/>
    <x v="0"/>
    <n v="0.36518918918918919"/>
    <n v="46250"/>
    <n v="16890"/>
  </r>
  <r>
    <x v="27"/>
    <x v="389"/>
    <x v="1"/>
    <n v="0.40635675675675675"/>
    <n v="46250"/>
    <n v="18794"/>
  </r>
  <r>
    <x v="27"/>
    <x v="389"/>
    <x v="2"/>
    <n v="0.12953513513513515"/>
    <n v="46250"/>
    <n v="5991"/>
  </r>
  <r>
    <x v="27"/>
    <x v="389"/>
    <x v="3"/>
    <n v="5.04E-2"/>
    <n v="46250"/>
    <n v="2331"/>
  </r>
  <r>
    <x v="27"/>
    <x v="389"/>
    <x v="4"/>
    <n v="4.8583783783783786E-2"/>
    <n v="46250"/>
    <n v="2247"/>
  </r>
  <r>
    <x v="27"/>
    <x v="390"/>
    <x v="0"/>
    <n v="0.46749344203746351"/>
    <n v="81199"/>
    <n v="37960"/>
  </r>
  <r>
    <x v="27"/>
    <x v="390"/>
    <x v="1"/>
    <n v="0.37110062931809507"/>
    <n v="81199"/>
    <n v="30133"/>
  </r>
  <r>
    <x v="27"/>
    <x v="390"/>
    <x v="2"/>
    <n v="9.9607138018941124E-2"/>
    <n v="81199"/>
    <n v="8088"/>
  </r>
  <r>
    <x v="27"/>
    <x v="390"/>
    <x v="3"/>
    <n v="3.3855096737644551E-2"/>
    <n v="81199"/>
    <n v="2749"/>
  </r>
  <r>
    <x v="27"/>
    <x v="390"/>
    <x v="4"/>
    <n v="2.7968324733063214E-2"/>
    <n v="81199"/>
    <n v="2271"/>
  </r>
  <r>
    <x v="27"/>
    <x v="391"/>
    <x v="0"/>
    <n v="0.44915498199026843"/>
    <n v="142423"/>
    <n v="63970"/>
  </r>
  <r>
    <x v="27"/>
    <x v="391"/>
    <x v="1"/>
    <n v="0.39315279133286057"/>
    <n v="142423"/>
    <n v="55994"/>
  </r>
  <r>
    <x v="27"/>
    <x v="391"/>
    <x v="2"/>
    <n v="9.7147230433286755E-2"/>
    <n v="142423"/>
    <n v="13836"/>
  </r>
  <r>
    <x v="27"/>
    <x v="391"/>
    <x v="3"/>
    <n v="3.3442632159131604E-2"/>
    <n v="142423"/>
    <n v="4763"/>
  </r>
  <r>
    <x v="27"/>
    <x v="391"/>
    <x v="4"/>
    <n v="2.7067257395224087E-2"/>
    <n v="142423"/>
    <n v="3855"/>
  </r>
  <r>
    <x v="27"/>
    <x v="392"/>
    <x v="0"/>
    <n v="0.37673330734532495"/>
    <n v="71828"/>
    <n v="27060"/>
  </r>
  <r>
    <x v="27"/>
    <x v="392"/>
    <x v="1"/>
    <n v="0.41334855488110483"/>
    <n v="71828"/>
    <n v="29690"/>
  </r>
  <r>
    <x v="27"/>
    <x v="392"/>
    <x v="2"/>
    <n v="0.12262627387648271"/>
    <n v="71828"/>
    <n v="8808"/>
  </r>
  <r>
    <x v="27"/>
    <x v="392"/>
    <x v="3"/>
    <n v="4.6360750682185217E-2"/>
    <n v="71828"/>
    <n v="3330"/>
  </r>
  <r>
    <x v="27"/>
    <x v="392"/>
    <x v="4"/>
    <n v="4.0931113214902268E-2"/>
    <n v="71828"/>
    <n v="2940"/>
  </r>
  <r>
    <x v="27"/>
    <x v="393"/>
    <x v="0"/>
    <n v="0.40486172388693931"/>
    <n v="491842"/>
    <n v="199128"/>
  </r>
  <r>
    <x v="27"/>
    <x v="393"/>
    <x v="1"/>
    <n v="0.41805091879099388"/>
    <n v="491842"/>
    <n v="205615"/>
  </r>
  <r>
    <x v="27"/>
    <x v="393"/>
    <x v="2"/>
    <n v="0.10909397733418455"/>
    <n v="491842"/>
    <n v="53657"/>
  </r>
  <r>
    <x v="27"/>
    <x v="393"/>
    <x v="3"/>
    <n v="3.7609638867766478E-2"/>
    <n v="491842"/>
    <n v="18498"/>
  </r>
  <r>
    <x v="27"/>
    <x v="393"/>
    <x v="4"/>
    <n v="3.0371542080586855E-2"/>
    <n v="491842"/>
    <n v="14938"/>
  </r>
  <r>
    <x v="27"/>
    <x v="394"/>
    <x v="0"/>
    <n v="0.47302034402399568"/>
    <n v="355731"/>
    <n v="168268"/>
  </r>
  <r>
    <x v="27"/>
    <x v="394"/>
    <x v="1"/>
    <n v="0.3828791980457143"/>
    <n v="355731"/>
    <n v="136202"/>
  </r>
  <r>
    <x v="27"/>
    <x v="394"/>
    <x v="2"/>
    <n v="9.0905768684764618E-2"/>
    <n v="355731"/>
    <n v="32338"/>
  </r>
  <r>
    <x v="27"/>
    <x v="394"/>
    <x v="3"/>
    <n v="2.9960841197421647E-2"/>
    <n v="355731"/>
    <n v="10658"/>
  </r>
  <r>
    <x v="27"/>
    <x v="394"/>
    <x v="4"/>
    <n v="2.3216981370754869E-2"/>
    <n v="355731"/>
    <n v="8259"/>
  </r>
  <r>
    <x v="27"/>
    <x v="395"/>
    <x v="0"/>
    <n v="0.45269942749341685"/>
    <n v="76331"/>
    <n v="34555"/>
  </r>
  <r>
    <x v="27"/>
    <x v="395"/>
    <x v="1"/>
    <n v="0.38448336848724635"/>
    <n v="76331"/>
    <n v="29348"/>
  </r>
  <r>
    <x v="27"/>
    <x v="395"/>
    <x v="2"/>
    <n v="9.654006891040337E-2"/>
    <n v="76331"/>
    <n v="7369"/>
  </r>
  <r>
    <x v="27"/>
    <x v="395"/>
    <x v="3"/>
    <n v="3.5162646893136473E-2"/>
    <n v="76331"/>
    <n v="2684"/>
  </r>
  <r>
    <x v="27"/>
    <x v="395"/>
    <x v="4"/>
    <n v="3.1101387378653495E-2"/>
    <n v="76331"/>
    <n v="2374"/>
  </r>
  <r>
    <x v="27"/>
    <x v="396"/>
    <x v="0"/>
    <n v="0.50429157579566042"/>
    <n v="135265"/>
    <n v="68213"/>
  </r>
  <r>
    <x v="27"/>
    <x v="396"/>
    <x v="1"/>
    <n v="0.36217055409751231"/>
    <n v="135265"/>
    <n v="48989"/>
  </r>
  <r>
    <x v="27"/>
    <x v="396"/>
    <x v="2"/>
    <n v="8.3221823827301963E-2"/>
    <n v="135265"/>
    <n v="11257"/>
  </r>
  <r>
    <x v="27"/>
    <x v="396"/>
    <x v="3"/>
    <n v="2.733892729087347E-2"/>
    <n v="135265"/>
    <n v="3698"/>
  </r>
  <r>
    <x v="27"/>
    <x v="396"/>
    <x v="4"/>
    <n v="2.2977118988651905E-2"/>
    <n v="135265"/>
    <n v="3108"/>
  </r>
  <r>
    <x v="27"/>
    <x v="397"/>
    <x v="0"/>
    <n v="0.49852210130323793"/>
    <n v="119088"/>
    <n v="59368"/>
  </r>
  <r>
    <x v="27"/>
    <x v="397"/>
    <x v="1"/>
    <n v="0.36815632137578935"/>
    <n v="119088"/>
    <n v="43843"/>
  </r>
  <r>
    <x v="27"/>
    <x v="397"/>
    <x v="2"/>
    <n v="8.4408168749160281E-2"/>
    <n v="119088"/>
    <n v="10052"/>
  </r>
  <r>
    <x v="27"/>
    <x v="397"/>
    <x v="3"/>
    <n v="2.7341125890098079E-2"/>
    <n v="119088"/>
    <n v="3256"/>
  </r>
  <r>
    <x v="27"/>
    <x v="397"/>
    <x v="4"/>
    <n v="2.158907698508666E-2"/>
    <n v="119088"/>
    <n v="2571"/>
  </r>
  <r>
    <x v="27"/>
    <x v="398"/>
    <x v="0"/>
    <n v="0.45546645885031067"/>
    <n v="97522"/>
    <n v="44418"/>
  </r>
  <r>
    <x v="27"/>
    <x v="398"/>
    <x v="1"/>
    <n v="0.38713315969729906"/>
    <n v="97522"/>
    <n v="37754"/>
  </r>
  <r>
    <x v="27"/>
    <x v="398"/>
    <x v="2"/>
    <n v="9.6901212034207665E-2"/>
    <n v="97522"/>
    <n v="9450"/>
  </r>
  <r>
    <x v="27"/>
    <x v="398"/>
    <x v="3"/>
    <n v="3.3623182461393328E-2"/>
    <n v="97522"/>
    <n v="3279"/>
  </r>
  <r>
    <x v="27"/>
    <x v="398"/>
    <x v="4"/>
    <n v="2.6906749246323906E-2"/>
    <n v="97522"/>
    <n v="2624"/>
  </r>
  <r>
    <x v="27"/>
    <x v="399"/>
    <x v="0"/>
    <n v="0.47426978715562518"/>
    <n v="86824"/>
    <n v="41178"/>
  </r>
  <r>
    <x v="27"/>
    <x v="399"/>
    <x v="1"/>
    <n v="0.37336450750944439"/>
    <n v="86824"/>
    <n v="32417"/>
  </r>
  <r>
    <x v="27"/>
    <x v="399"/>
    <x v="2"/>
    <n v="9.3303694830922324E-2"/>
    <n v="86824"/>
    <n v="8101"/>
  </r>
  <r>
    <x v="27"/>
    <x v="399"/>
    <x v="3"/>
    <n v="3.1097392426057312E-2"/>
    <n v="86824"/>
    <n v="2700"/>
  </r>
  <r>
    <x v="27"/>
    <x v="399"/>
    <x v="4"/>
    <n v="2.7872477655947664E-2"/>
    <n v="86824"/>
    <n v="2420"/>
  </r>
  <r>
    <x v="27"/>
    <x v="400"/>
    <x v="0"/>
    <n v="0.54433315082611355"/>
    <n v="62098"/>
    <n v="33802"/>
  </r>
  <r>
    <x v="27"/>
    <x v="400"/>
    <x v="1"/>
    <n v="0.34373087700086957"/>
    <n v="62098"/>
    <n v="21345"/>
  </r>
  <r>
    <x v="27"/>
    <x v="400"/>
    <x v="2"/>
    <n v="7.3271280878611234E-2"/>
    <n v="62098"/>
    <n v="4550"/>
  </r>
  <r>
    <x v="27"/>
    <x v="400"/>
    <x v="3"/>
    <n v="2.2625527392186543E-2"/>
    <n v="62098"/>
    <n v="1405"/>
  </r>
  <r>
    <x v="27"/>
    <x v="400"/>
    <x v="4"/>
    <n v="1.6071371058649232E-2"/>
    <n v="62098"/>
    <n v="998"/>
  </r>
  <r>
    <x v="27"/>
    <x v="401"/>
    <x v="0"/>
    <n v="0.48667416082075216"/>
    <n v="70277"/>
    <n v="34202"/>
  </r>
  <r>
    <x v="27"/>
    <x v="401"/>
    <x v="1"/>
    <n v="0.36173997182577516"/>
    <n v="70277"/>
    <n v="25422"/>
  </r>
  <r>
    <x v="27"/>
    <x v="401"/>
    <x v="2"/>
    <n v="9.0385190033723695E-2"/>
    <n v="70277"/>
    <n v="6352"/>
  </r>
  <r>
    <x v="27"/>
    <x v="401"/>
    <x v="3"/>
    <n v="3.2400358581043585E-2"/>
    <n v="70277"/>
    <n v="2277"/>
  </r>
  <r>
    <x v="27"/>
    <x v="401"/>
    <x v="4"/>
    <n v="2.8771859925722499E-2"/>
    <n v="70277"/>
    <n v="2022"/>
  </r>
  <r>
    <x v="27"/>
    <x v="402"/>
    <x v="0"/>
    <n v="0.46844641147574428"/>
    <n v="63717"/>
    <n v="29848"/>
  </r>
  <r>
    <x v="27"/>
    <x v="402"/>
    <x v="1"/>
    <n v="0.38124833247014139"/>
    <n v="63717"/>
    <n v="24292"/>
  </r>
  <r>
    <x v="27"/>
    <x v="402"/>
    <x v="2"/>
    <n v="9.3365977682565091E-2"/>
    <n v="63717"/>
    <n v="5949"/>
  </r>
  <r>
    <x v="27"/>
    <x v="402"/>
    <x v="3"/>
    <n v="3.0902270979487421E-2"/>
    <n v="63717"/>
    <n v="1969"/>
  </r>
  <r>
    <x v="27"/>
    <x v="402"/>
    <x v="4"/>
    <n v="2.5958535398716197E-2"/>
    <n v="63717"/>
    <n v="1654"/>
  </r>
  <r>
    <x v="28"/>
    <x v="403"/>
    <x v="0"/>
    <n v="0.43493696386258368"/>
    <n v="121121"/>
    <n v="52680"/>
  </r>
  <r>
    <x v="28"/>
    <x v="403"/>
    <x v="1"/>
    <n v="0.38203119194854734"/>
    <n v="121121"/>
    <n v="46272"/>
  </r>
  <r>
    <x v="28"/>
    <x v="403"/>
    <x v="2"/>
    <n v="0.1074875537685455"/>
    <n v="121121"/>
    <n v="13019"/>
  </r>
  <r>
    <x v="28"/>
    <x v="403"/>
    <x v="3"/>
    <n v="3.8944526547832335E-2"/>
    <n v="121121"/>
    <n v="4717"/>
  </r>
  <r>
    <x v="28"/>
    <x v="403"/>
    <x v="4"/>
    <n v="3.6632788698904399E-2"/>
    <n v="121121"/>
    <n v="4437"/>
  </r>
  <r>
    <x v="28"/>
    <x v="404"/>
    <x v="0"/>
    <n v="0.46908476134597121"/>
    <n v="330646"/>
    <n v="155101"/>
  </r>
  <r>
    <x v="28"/>
    <x v="404"/>
    <x v="1"/>
    <n v="0.38225171331272723"/>
    <n v="330646"/>
    <n v="126390"/>
  </r>
  <r>
    <x v="28"/>
    <x v="404"/>
    <x v="2"/>
    <n v="9.1959376493288891E-2"/>
    <n v="330646"/>
    <n v="30406"/>
  </r>
  <r>
    <x v="28"/>
    <x v="404"/>
    <x v="3"/>
    <n v="3.0939433714607164E-2"/>
    <n v="330646"/>
    <n v="10230"/>
  </r>
  <r>
    <x v="28"/>
    <x v="404"/>
    <x v="4"/>
    <n v="2.5758666368260921E-2"/>
    <n v="330646"/>
    <n v="8517"/>
  </r>
  <r>
    <x v="28"/>
    <x v="405"/>
    <x v="0"/>
    <n v="0.44445999272340547"/>
    <n v="35731"/>
    <n v="15881"/>
  </r>
  <r>
    <x v="28"/>
    <x v="405"/>
    <x v="1"/>
    <n v="0.37731941451400747"/>
    <n v="35731"/>
    <n v="13482"/>
  </r>
  <r>
    <x v="28"/>
    <x v="405"/>
    <x v="2"/>
    <n v="0.10178836304609443"/>
    <n v="35731"/>
    <n v="3637"/>
  </r>
  <r>
    <x v="28"/>
    <x v="405"/>
    <x v="3"/>
    <n v="3.8565951134868881E-2"/>
    <n v="35731"/>
    <n v="1378"/>
  </r>
  <r>
    <x v="28"/>
    <x v="405"/>
    <x v="4"/>
    <n v="3.7838291679493999E-2"/>
    <n v="35731"/>
    <n v="1352"/>
  </r>
  <r>
    <x v="28"/>
    <x v="406"/>
    <x v="0"/>
    <n v="0.43242781012060721"/>
    <n v="146177"/>
    <n v="63211"/>
  </r>
  <r>
    <x v="28"/>
    <x v="406"/>
    <x v="1"/>
    <n v="0.38241994294588066"/>
    <n v="146177"/>
    <n v="55901"/>
  </r>
  <r>
    <x v="28"/>
    <x v="406"/>
    <x v="2"/>
    <n v="0.1096000054728172"/>
    <n v="146177"/>
    <n v="16021"/>
  </r>
  <r>
    <x v="28"/>
    <x v="406"/>
    <x v="3"/>
    <n v="4.0054180890290537E-2"/>
    <n v="146177"/>
    <n v="5855"/>
  </r>
  <r>
    <x v="28"/>
    <x v="406"/>
    <x v="4"/>
    <n v="3.5491219548903045E-2"/>
    <n v="146177"/>
    <n v="5188"/>
  </r>
  <r>
    <x v="28"/>
    <x v="407"/>
    <x v="0"/>
    <n v="0.43018018018018017"/>
    <n v="49728"/>
    <n v="21392"/>
  </r>
  <r>
    <x v="28"/>
    <x v="407"/>
    <x v="1"/>
    <n v="0.35770592020592018"/>
    <n v="49728"/>
    <n v="17788"/>
  </r>
  <r>
    <x v="28"/>
    <x v="407"/>
    <x v="2"/>
    <n v="0.11385939510939511"/>
    <n v="49728"/>
    <n v="5662"/>
  </r>
  <r>
    <x v="28"/>
    <x v="407"/>
    <x v="3"/>
    <n v="4.9107142857142856E-2"/>
    <n v="49728"/>
    <n v="2442"/>
  </r>
  <r>
    <x v="28"/>
    <x v="407"/>
    <x v="4"/>
    <n v="4.9227799227799227E-2"/>
    <n v="49728"/>
    <n v="2448"/>
  </r>
  <r>
    <x v="28"/>
    <x v="408"/>
    <x v="0"/>
    <n v="0.49827331988204254"/>
    <n v="103088"/>
    <n v="51366"/>
  </r>
  <r>
    <x v="28"/>
    <x v="408"/>
    <x v="1"/>
    <n v="0.35855773707900046"/>
    <n v="103088"/>
    <n v="36963"/>
  </r>
  <r>
    <x v="28"/>
    <x v="408"/>
    <x v="2"/>
    <n v="8.7953981064721409E-2"/>
    <n v="103088"/>
    <n v="9067"/>
  </r>
  <r>
    <x v="28"/>
    <x v="408"/>
    <x v="3"/>
    <n v="2.9673676858606238E-2"/>
    <n v="103088"/>
    <n v="3059"/>
  </r>
  <r>
    <x v="28"/>
    <x v="408"/>
    <x v="4"/>
    <n v="2.5541285115629364E-2"/>
    <n v="103088"/>
    <n v="2633"/>
  </r>
  <r>
    <x v="28"/>
    <x v="409"/>
    <x v="0"/>
    <n v="0.46453047535724701"/>
    <n v="27432"/>
    <n v="12743"/>
  </r>
  <r>
    <x v="28"/>
    <x v="409"/>
    <x v="1"/>
    <n v="0.37270341207349084"/>
    <n v="27432"/>
    <n v="10224"/>
  </r>
  <r>
    <x v="28"/>
    <x v="409"/>
    <x v="2"/>
    <n v="9.3431029454651496E-2"/>
    <n v="27432"/>
    <n v="2563"/>
  </r>
  <r>
    <x v="28"/>
    <x v="409"/>
    <x v="3"/>
    <n v="3.5651793525809272E-2"/>
    <n v="27432"/>
    <n v="978"/>
  </r>
  <r>
    <x v="28"/>
    <x v="409"/>
    <x v="4"/>
    <n v="3.3537474482356375E-2"/>
    <n v="27432"/>
    <n v="920"/>
  </r>
  <r>
    <x v="28"/>
    <x v="410"/>
    <x v="0"/>
    <n v="0.54462081128747797"/>
    <n v="59535"/>
    <n v="32424"/>
  </r>
  <r>
    <x v="28"/>
    <x v="410"/>
    <x v="1"/>
    <n v="0.33148568069202988"/>
    <n v="59535"/>
    <n v="19735"/>
  </r>
  <r>
    <x v="28"/>
    <x v="410"/>
    <x v="2"/>
    <n v="7.8474846728814981E-2"/>
    <n v="59535"/>
    <n v="4672"/>
  </r>
  <r>
    <x v="28"/>
    <x v="410"/>
    <x v="3"/>
    <n v="2.5396825396825397E-2"/>
    <n v="59535"/>
    <n v="1512"/>
  </r>
  <r>
    <x v="28"/>
    <x v="410"/>
    <x v="4"/>
    <n v="1.9904257999496095E-2"/>
    <n v="59535"/>
    <n v="1185"/>
  </r>
  <r>
    <x v="29"/>
    <x v="411"/>
    <x v="0"/>
    <n v="0.47784579288147572"/>
    <n v="265954"/>
    <n v="127085"/>
  </r>
  <r>
    <x v="29"/>
    <x v="411"/>
    <x v="1"/>
    <n v="0.36925558555238874"/>
    <n v="265954"/>
    <n v="98205"/>
  </r>
  <r>
    <x v="29"/>
    <x v="411"/>
    <x v="2"/>
    <n v="8.8639388766478408E-2"/>
    <n v="265954"/>
    <n v="23574"/>
  </r>
  <r>
    <x v="29"/>
    <x v="411"/>
    <x v="3"/>
    <n v="3.2719944050474896E-2"/>
    <n v="265954"/>
    <n v="8702"/>
  </r>
  <r>
    <x v="29"/>
    <x v="411"/>
    <x v="4"/>
    <n v="3.1524248554261267E-2"/>
    <n v="265954"/>
    <n v="8384"/>
  </r>
  <r>
    <x v="29"/>
    <x v="412"/>
    <x v="0"/>
    <n v="0.51182767769346371"/>
    <n v="53899"/>
    <n v="27587"/>
  </r>
  <r>
    <x v="29"/>
    <x v="412"/>
    <x v="1"/>
    <n v="0.32288168611662554"/>
    <n v="53899"/>
    <n v="17403"/>
  </r>
  <r>
    <x v="29"/>
    <x v="412"/>
    <x v="2"/>
    <n v="8.8814263715467814E-2"/>
    <n v="53899"/>
    <n v="4787"/>
  </r>
  <r>
    <x v="29"/>
    <x v="412"/>
    <x v="3"/>
    <n v="3.6791035084138855E-2"/>
    <n v="53899"/>
    <n v="1983"/>
  </r>
  <r>
    <x v="29"/>
    <x v="412"/>
    <x v="4"/>
    <n v="3.9592571290747509E-2"/>
    <n v="53899"/>
    <n v="2134"/>
  </r>
  <r>
    <x v="29"/>
    <x v="413"/>
    <x v="0"/>
    <n v="0.49278390592351429"/>
    <n v="41158"/>
    <n v="20282"/>
  </r>
  <r>
    <x v="29"/>
    <x v="413"/>
    <x v="1"/>
    <n v="0.32797997959084502"/>
    <n v="41158"/>
    <n v="13499"/>
  </r>
  <r>
    <x v="29"/>
    <x v="413"/>
    <x v="2"/>
    <n v="9.4003595898731723E-2"/>
    <n v="41158"/>
    <n v="3869"/>
  </r>
  <r>
    <x v="29"/>
    <x v="413"/>
    <x v="3"/>
    <n v="3.9627775888041207E-2"/>
    <n v="41158"/>
    <n v="1631"/>
  </r>
  <r>
    <x v="29"/>
    <x v="413"/>
    <x v="4"/>
    <n v="4.5750522377180622E-2"/>
    <n v="41158"/>
    <n v="1883"/>
  </r>
  <r>
    <x v="29"/>
    <x v="414"/>
    <x v="0"/>
    <n v="0.47296700309239814"/>
    <n v="117708"/>
    <n v="55672"/>
  </r>
  <r>
    <x v="29"/>
    <x v="414"/>
    <x v="1"/>
    <n v="0.35161586298297481"/>
    <n v="117708"/>
    <n v="41388"/>
  </r>
  <r>
    <x v="29"/>
    <x v="414"/>
    <x v="2"/>
    <n v="9.1888401807863521E-2"/>
    <n v="117708"/>
    <n v="10816"/>
  </r>
  <r>
    <x v="29"/>
    <x v="414"/>
    <x v="3"/>
    <n v="3.9436571855778708E-2"/>
    <n v="117708"/>
    <n v="4642"/>
  </r>
  <r>
    <x v="29"/>
    <x v="414"/>
    <x v="4"/>
    <n v="4.4066673463146092E-2"/>
    <n v="117708"/>
    <n v="5187"/>
  </r>
  <r>
    <x v="29"/>
    <x v="415"/>
    <x v="0"/>
    <n v="0.51112198942627762"/>
    <n v="51070"/>
    <n v="26103"/>
  </r>
  <r>
    <x v="29"/>
    <x v="415"/>
    <x v="1"/>
    <n v="0.33931858233796752"/>
    <n v="51070"/>
    <n v="17329"/>
  </r>
  <r>
    <x v="29"/>
    <x v="415"/>
    <x v="2"/>
    <n v="8.2122576855296656E-2"/>
    <n v="51070"/>
    <n v="4194"/>
  </r>
  <r>
    <x v="29"/>
    <x v="415"/>
    <x v="3"/>
    <n v="3.2484824750342665E-2"/>
    <n v="51070"/>
    <n v="1659"/>
  </r>
  <r>
    <x v="29"/>
    <x v="415"/>
    <x v="4"/>
    <n v="3.4834540826316818E-2"/>
    <n v="51070"/>
    <n v="1779"/>
  </r>
  <r>
    <x v="29"/>
    <x v="416"/>
    <x v="0"/>
    <n v="0.44284246161286422"/>
    <n v="33084"/>
    <n v="14651"/>
  </r>
  <r>
    <x v="29"/>
    <x v="416"/>
    <x v="1"/>
    <n v="0.35842098899770281"/>
    <n v="33084"/>
    <n v="11858"/>
  </r>
  <r>
    <x v="29"/>
    <x v="416"/>
    <x v="2"/>
    <n v="0.1034941361383146"/>
    <n v="33084"/>
    <n v="3424"/>
  </r>
  <r>
    <x v="29"/>
    <x v="416"/>
    <x v="3"/>
    <n v="4.3586023455446744E-2"/>
    <n v="33084"/>
    <n v="1442"/>
  </r>
  <r>
    <x v="29"/>
    <x v="416"/>
    <x v="4"/>
    <n v="5.1716841977995406E-2"/>
    <n v="33084"/>
    <n v="1711"/>
  </r>
  <r>
    <x v="29"/>
    <x v="417"/>
    <x v="0"/>
    <n v="0.43150164048410578"/>
    <n v="46023"/>
    <n v="19859"/>
  </r>
  <r>
    <x v="29"/>
    <x v="417"/>
    <x v="1"/>
    <n v="0.36662103730743323"/>
    <n v="46023"/>
    <n v="16873"/>
  </r>
  <r>
    <x v="29"/>
    <x v="417"/>
    <x v="2"/>
    <n v="0.10831540751363448"/>
    <n v="46023"/>
    <n v="4985"/>
  </r>
  <r>
    <x v="29"/>
    <x v="417"/>
    <x v="3"/>
    <n v="4.3782456597788059E-2"/>
    <n v="46023"/>
    <n v="2015"/>
  </r>
  <r>
    <x v="29"/>
    <x v="417"/>
    <x v="4"/>
    <n v="4.9714273298133542E-2"/>
    <n v="46023"/>
    <n v="2288"/>
  </r>
  <r>
    <x v="29"/>
    <x v="418"/>
    <x v="0"/>
    <n v="0.43780076541245122"/>
    <n v="26391"/>
    <n v="11554"/>
  </r>
  <r>
    <x v="29"/>
    <x v="418"/>
    <x v="1"/>
    <n v="0.37001250426281684"/>
    <n v="26391"/>
    <n v="9765"/>
  </r>
  <r>
    <x v="29"/>
    <x v="418"/>
    <x v="2"/>
    <n v="0.10158766246068736"/>
    <n v="26391"/>
    <n v="2681"/>
  </r>
  <r>
    <x v="29"/>
    <x v="418"/>
    <x v="3"/>
    <n v="4.2893410632412567E-2"/>
    <n v="26391"/>
    <n v="1132"/>
  </r>
  <r>
    <x v="29"/>
    <x v="418"/>
    <x v="4"/>
    <n v="4.755409040960934E-2"/>
    <n v="26391"/>
    <n v="1255"/>
  </r>
  <r>
    <x v="29"/>
    <x v="419"/>
    <x v="0"/>
    <n v="0.50632660641327221"/>
    <n v="40385"/>
    <n v="20448"/>
  </r>
  <r>
    <x v="29"/>
    <x v="419"/>
    <x v="1"/>
    <n v="0.32950352853782344"/>
    <n v="40385"/>
    <n v="13307"/>
  </r>
  <r>
    <x v="29"/>
    <x v="419"/>
    <x v="2"/>
    <n v="8.849820477900211E-2"/>
    <n v="40385"/>
    <n v="3574"/>
  </r>
  <r>
    <x v="29"/>
    <x v="419"/>
    <x v="3"/>
    <n v="3.6746316701745697E-2"/>
    <n v="40385"/>
    <n v="1484"/>
  </r>
  <r>
    <x v="29"/>
    <x v="419"/>
    <x v="4"/>
    <n v="3.8950105237092983E-2"/>
    <n v="40385"/>
    <n v="1573"/>
  </r>
  <r>
    <x v="29"/>
    <x v="420"/>
    <x v="0"/>
    <n v="0.47257706192724241"/>
    <n v="28808"/>
    <n v="13614"/>
  </r>
  <r>
    <x v="29"/>
    <x v="420"/>
    <x v="1"/>
    <n v="0.32466675923354626"/>
    <n v="28808"/>
    <n v="9353"/>
  </r>
  <r>
    <x v="29"/>
    <x v="420"/>
    <x v="2"/>
    <n v="9.5563732296584283E-2"/>
    <n v="28808"/>
    <n v="2753"/>
  </r>
  <r>
    <x v="29"/>
    <x v="420"/>
    <x v="3"/>
    <n v="4.807692307692308E-2"/>
    <n v="28808"/>
    <n v="1385"/>
  </r>
  <r>
    <x v="29"/>
    <x v="420"/>
    <x v="4"/>
    <n v="5.8907247986670366E-2"/>
    <n v="28808"/>
    <n v="1697"/>
  </r>
  <r>
    <x v="29"/>
    <x v="421"/>
    <x v="0"/>
    <n v="0.45228854298593235"/>
    <n v="73431"/>
    <n v="33212"/>
  </r>
  <r>
    <x v="29"/>
    <x v="421"/>
    <x v="1"/>
    <n v="0.37937655758467131"/>
    <n v="73431"/>
    <n v="27858"/>
  </r>
  <r>
    <x v="29"/>
    <x v="421"/>
    <x v="2"/>
    <n v="9.6525990385532001E-2"/>
    <n v="73431"/>
    <n v="7088"/>
  </r>
  <r>
    <x v="29"/>
    <x v="421"/>
    <x v="3"/>
    <n v="3.4985224224101538E-2"/>
    <n v="73431"/>
    <n v="2569"/>
  </r>
  <r>
    <x v="29"/>
    <x v="421"/>
    <x v="4"/>
    <n v="3.6891775952935406E-2"/>
    <n v="73431"/>
    <n v="2709"/>
  </r>
  <r>
    <x v="30"/>
    <x v="422"/>
    <x v="0"/>
    <n v="0.38047238464675831"/>
    <n v="2025214"/>
    <n v="770538"/>
  </r>
  <r>
    <x v="30"/>
    <x v="422"/>
    <x v="1"/>
    <n v="0.43589813224676505"/>
    <n v="2025214"/>
    <n v="882787"/>
  </r>
  <r>
    <x v="30"/>
    <x v="422"/>
    <x v="2"/>
    <n v="0.11264192327329359"/>
    <n v="2025214"/>
    <n v="228124"/>
  </r>
  <r>
    <x v="30"/>
    <x v="422"/>
    <x v="3"/>
    <n v="3.8724302715663628E-2"/>
    <n v="2025214"/>
    <n v="78425"/>
  </r>
  <r>
    <x v="30"/>
    <x v="422"/>
    <x v="4"/>
    <n v="3.2258813142709855E-2"/>
    <n v="2025214"/>
    <n v="65331"/>
  </r>
  <r>
    <x v="30"/>
    <x v="423"/>
    <x v="0"/>
    <n v="0.42693833812305398"/>
    <n v="266891"/>
    <n v="113946"/>
  </r>
  <r>
    <x v="30"/>
    <x v="423"/>
    <x v="1"/>
    <n v="0.4138505981842775"/>
    <n v="266891"/>
    <n v="110453"/>
  </r>
  <r>
    <x v="30"/>
    <x v="423"/>
    <x v="2"/>
    <n v="9.8980482668954747E-2"/>
    <n v="266891"/>
    <n v="26417"/>
  </r>
  <r>
    <x v="30"/>
    <x v="423"/>
    <x v="3"/>
    <n v="3.2968515236557243E-2"/>
    <n v="266891"/>
    <n v="8799"/>
  </r>
  <r>
    <x v="30"/>
    <x v="423"/>
    <x v="4"/>
    <n v="2.7273306331049005E-2"/>
    <n v="266891"/>
    <n v="7279"/>
  </r>
  <r>
    <x v="30"/>
    <x v="424"/>
    <x v="0"/>
    <n v="0.42544978863800392"/>
    <n v="155184"/>
    <n v="66023"/>
  </r>
  <r>
    <x v="30"/>
    <x v="424"/>
    <x v="1"/>
    <n v="0.41898649345293332"/>
    <n v="155184"/>
    <n v="65020"/>
  </r>
  <r>
    <x v="30"/>
    <x v="424"/>
    <x v="2"/>
    <n v="9.4880915558304982E-2"/>
    <n v="155184"/>
    <n v="14724"/>
  </r>
  <r>
    <x v="30"/>
    <x v="424"/>
    <x v="3"/>
    <n v="3.2902876585214971E-2"/>
    <n v="155184"/>
    <n v="5106"/>
  </r>
  <r>
    <x v="30"/>
    <x v="424"/>
    <x v="4"/>
    <n v="2.7779925765542838E-2"/>
    <n v="155184"/>
    <n v="4311"/>
  </r>
  <r>
    <x v="30"/>
    <x v="425"/>
    <x v="0"/>
    <n v="0.26629979662639069"/>
    <n v="16718"/>
    <n v="4452"/>
  </r>
  <r>
    <x v="30"/>
    <x v="425"/>
    <x v="1"/>
    <n v="0.37857399210431869"/>
    <n v="16718"/>
    <n v="6329"/>
  </r>
  <r>
    <x v="30"/>
    <x v="425"/>
    <x v="2"/>
    <n v="0.16927862184471826"/>
    <n v="16718"/>
    <n v="2830"/>
  </r>
  <r>
    <x v="30"/>
    <x v="425"/>
    <x v="3"/>
    <n v="8.6673047015193211E-2"/>
    <n v="16718"/>
    <n v="1449"/>
  </r>
  <r>
    <x v="30"/>
    <x v="425"/>
    <x v="4"/>
    <n v="9.8875463572197633E-2"/>
    <n v="16718"/>
    <n v="1653"/>
  </r>
  <r>
    <x v="30"/>
    <x v="426"/>
    <x v="0"/>
    <n v="0.47068450448110144"/>
    <n v="38495"/>
    <n v="18119"/>
  </r>
  <r>
    <x v="30"/>
    <x v="426"/>
    <x v="1"/>
    <n v="0.41007923106896998"/>
    <n v="38495"/>
    <n v="15786"/>
  </r>
  <r>
    <x v="30"/>
    <x v="426"/>
    <x v="2"/>
    <n v="7.5334459020652028E-2"/>
    <n v="38495"/>
    <n v="2900"/>
  </r>
  <r>
    <x v="30"/>
    <x v="426"/>
    <x v="3"/>
    <n v="2.3639433692687364E-2"/>
    <n v="38495"/>
    <n v="910"/>
  </r>
  <r>
    <x v="30"/>
    <x v="426"/>
    <x v="4"/>
    <n v="2.021041693726458E-2"/>
    <n v="38495"/>
    <n v="778"/>
  </r>
  <r>
    <x v="30"/>
    <x v="427"/>
    <x v="0"/>
    <n v="0.39122895822339016"/>
    <n v="278553"/>
    <n v="108978"/>
  </r>
  <r>
    <x v="30"/>
    <x v="427"/>
    <x v="1"/>
    <n v="0.43529597599020653"/>
    <n v="278553"/>
    <n v="121253"/>
  </r>
  <r>
    <x v="30"/>
    <x v="427"/>
    <x v="2"/>
    <n v="0.10914978478063421"/>
    <n v="278553"/>
    <n v="30404"/>
  </r>
  <r>
    <x v="30"/>
    <x v="427"/>
    <x v="3"/>
    <n v="3.6240859010673011E-2"/>
    <n v="278553"/>
    <n v="10095"/>
  </r>
  <r>
    <x v="30"/>
    <x v="427"/>
    <x v="4"/>
    <n v="2.8062882108611287E-2"/>
    <n v="278553"/>
    <n v="7817"/>
  </r>
  <r>
    <x v="0"/>
    <x v="0"/>
    <x v="5"/>
    <n v="0.6"/>
    <n v="11701"/>
    <n v="7021"/>
  </r>
  <r>
    <x v="0"/>
    <x v="0"/>
    <x v="6"/>
    <n v="0.4"/>
    <n v="11701"/>
    <n v="4680"/>
  </r>
  <r>
    <x v="0"/>
    <x v="0"/>
    <x v="7"/>
    <n v="9.6360122997667923E-3"/>
    <n v="11701"/>
    <n v="113"/>
  </r>
  <r>
    <x v="0"/>
    <x v="1"/>
    <x v="5"/>
    <n v="0.6"/>
    <n v="402"/>
    <n v="241"/>
  </r>
  <r>
    <x v="0"/>
    <x v="1"/>
    <x v="6"/>
    <n v="0.4"/>
    <n v="402"/>
    <n v="161"/>
  </r>
  <r>
    <x v="0"/>
    <x v="1"/>
    <x v="7"/>
    <n v="8.0690731013162639E-3"/>
    <n v="402"/>
    <n v="3"/>
  </r>
  <r>
    <x v="0"/>
    <x v="2"/>
    <x v="5"/>
    <n v="0.6"/>
    <n v="559"/>
    <n v="335"/>
  </r>
  <r>
    <x v="0"/>
    <x v="2"/>
    <x v="6"/>
    <n v="0.4"/>
    <n v="559"/>
    <n v="224"/>
  </r>
  <r>
    <x v="0"/>
    <x v="2"/>
    <x v="7"/>
    <n v="4.4281961591014296E-3"/>
    <n v="559"/>
    <n v="2"/>
  </r>
  <r>
    <x v="0"/>
    <x v="3"/>
    <x v="5"/>
    <n v="0.6"/>
    <n v="1536"/>
    <n v="922"/>
  </r>
  <r>
    <x v="0"/>
    <x v="3"/>
    <x v="6"/>
    <n v="0.4"/>
    <n v="1536"/>
    <n v="614"/>
  </r>
  <r>
    <x v="0"/>
    <x v="3"/>
    <x v="7"/>
    <n v="1.5280870956507103E-2"/>
    <n v="1536"/>
    <n v="23"/>
  </r>
  <r>
    <x v="0"/>
    <x v="4"/>
    <x v="5"/>
    <n v="0.6"/>
    <n v="674"/>
    <n v="404"/>
  </r>
  <r>
    <x v="0"/>
    <x v="4"/>
    <x v="6"/>
    <n v="0.4"/>
    <n v="674"/>
    <n v="270"/>
  </r>
  <r>
    <x v="0"/>
    <x v="4"/>
    <x v="7"/>
    <n v="1.06585279675783E-2"/>
    <n v="674"/>
    <n v="7"/>
  </r>
  <r>
    <x v="0"/>
    <x v="5"/>
    <x v="5"/>
    <n v="0.6"/>
    <n v="3746"/>
    <n v="2248"/>
  </r>
  <r>
    <x v="0"/>
    <x v="5"/>
    <x v="6"/>
    <n v="0.4"/>
    <n v="3746"/>
    <n v="1498"/>
  </r>
  <r>
    <x v="0"/>
    <x v="5"/>
    <x v="7"/>
    <n v="1.2035054155802504E-2"/>
    <n v="3746"/>
    <n v="45"/>
  </r>
  <r>
    <x v="0"/>
    <x v="6"/>
    <x v="5"/>
    <n v="0.6"/>
    <n v="1294"/>
    <n v="776"/>
  </r>
  <r>
    <x v="0"/>
    <x v="6"/>
    <x v="6"/>
    <n v="0.4"/>
    <n v="1294"/>
    <n v="518"/>
  </r>
  <r>
    <x v="0"/>
    <x v="6"/>
    <x v="7"/>
    <n v="5.2755110040593415E-3"/>
    <n v="1294"/>
    <n v="7"/>
  </r>
  <r>
    <x v="0"/>
    <x v="7"/>
    <x v="5"/>
    <n v="0.6"/>
    <n v="640"/>
    <n v="384"/>
  </r>
  <r>
    <x v="0"/>
    <x v="7"/>
    <x v="6"/>
    <n v="0.4"/>
    <n v="640"/>
    <n v="256"/>
  </r>
  <r>
    <x v="0"/>
    <x v="7"/>
    <x v="7"/>
    <n v="1.4999165911642656E-2"/>
    <n v="640"/>
    <n v="10"/>
  </r>
  <r>
    <x v="0"/>
    <x v="8"/>
    <x v="5"/>
    <n v="0.6"/>
    <n v="686"/>
    <n v="412"/>
  </r>
  <r>
    <x v="0"/>
    <x v="8"/>
    <x v="6"/>
    <n v="0.4"/>
    <n v="686"/>
    <n v="274"/>
  </r>
  <r>
    <x v="0"/>
    <x v="8"/>
    <x v="7"/>
    <n v="5.780028341275059E-3"/>
    <n v="686"/>
    <n v="4"/>
  </r>
  <r>
    <x v="0"/>
    <x v="9"/>
    <x v="5"/>
    <n v="0.6"/>
    <n v="481"/>
    <n v="289"/>
  </r>
  <r>
    <x v="0"/>
    <x v="9"/>
    <x v="6"/>
    <n v="0.4"/>
    <n v="481"/>
    <n v="192"/>
  </r>
  <r>
    <x v="0"/>
    <x v="9"/>
    <x v="7"/>
    <n v="7.7742317906863484E-3"/>
    <n v="481"/>
    <n v="4"/>
  </r>
  <r>
    <x v="0"/>
    <x v="10"/>
    <x v="5"/>
    <n v="0.6"/>
    <n v="713"/>
    <n v="428"/>
  </r>
  <r>
    <x v="0"/>
    <x v="10"/>
    <x v="6"/>
    <n v="0.4"/>
    <n v="713"/>
    <n v="285"/>
  </r>
  <r>
    <x v="0"/>
    <x v="10"/>
    <x v="7"/>
    <n v="1.1927547442934585E-2"/>
    <n v="713"/>
    <n v="9"/>
  </r>
  <r>
    <x v="0"/>
    <x v="11"/>
    <x v="5"/>
    <n v="0.6"/>
    <n v="498"/>
    <n v="299"/>
  </r>
  <r>
    <x v="0"/>
    <x v="11"/>
    <x v="6"/>
    <n v="0.4"/>
    <n v="498"/>
    <n v="199"/>
  </r>
  <r>
    <x v="0"/>
    <x v="11"/>
    <x v="7"/>
    <n v="6.0375321261438184E-3"/>
    <n v="498"/>
    <n v="3"/>
  </r>
  <r>
    <x v="1"/>
    <x v="12"/>
    <x v="5"/>
    <n v="0.6"/>
    <n v="1184"/>
    <n v="710"/>
  </r>
  <r>
    <x v="1"/>
    <x v="12"/>
    <x v="6"/>
    <n v="0.4"/>
    <n v="1184"/>
    <n v="474"/>
  </r>
  <r>
    <x v="1"/>
    <x v="12"/>
    <x v="7"/>
    <n v="9.3393175206160934E-3"/>
    <n v="1184"/>
    <n v="11"/>
  </r>
  <r>
    <x v="1"/>
    <x v="13"/>
    <x v="5"/>
    <n v="0.6"/>
    <n v="708"/>
    <n v="425"/>
  </r>
  <r>
    <x v="1"/>
    <x v="13"/>
    <x v="6"/>
    <n v="0.4"/>
    <n v="708"/>
    <n v="283"/>
  </r>
  <r>
    <x v="1"/>
    <x v="13"/>
    <x v="7"/>
    <n v="9.100615100291528E-3"/>
    <n v="708"/>
    <n v="6"/>
  </r>
  <r>
    <x v="1"/>
    <x v="14"/>
    <x v="5"/>
    <n v="0.6"/>
    <n v="1802"/>
    <n v="1081"/>
  </r>
  <r>
    <x v="1"/>
    <x v="14"/>
    <x v="6"/>
    <n v="0.4"/>
    <n v="1802"/>
    <n v="721"/>
  </r>
  <r>
    <x v="1"/>
    <x v="14"/>
    <x v="7"/>
    <n v="1.1250730686095061E-2"/>
    <n v="1802"/>
    <n v="20"/>
  </r>
  <r>
    <x v="1"/>
    <x v="15"/>
    <x v="5"/>
    <n v="0.6"/>
    <n v="2317"/>
    <n v="1390"/>
  </r>
  <r>
    <x v="1"/>
    <x v="15"/>
    <x v="6"/>
    <n v="0.4"/>
    <n v="2317"/>
    <n v="927"/>
  </r>
  <r>
    <x v="1"/>
    <x v="15"/>
    <x v="7"/>
    <n v="1.0313841274580238E-4"/>
    <n v="2317"/>
    <n v="0"/>
  </r>
  <r>
    <x v="1"/>
    <x v="16"/>
    <x v="5"/>
    <n v="0.6"/>
    <n v="24908"/>
    <n v="14945"/>
  </r>
  <r>
    <x v="1"/>
    <x v="16"/>
    <x v="6"/>
    <n v="0.4"/>
    <n v="24908"/>
    <n v="9963"/>
  </r>
  <r>
    <x v="1"/>
    <x v="16"/>
    <x v="7"/>
    <n v="3.9260415930233465E-3"/>
    <n v="24908"/>
    <n v="98"/>
  </r>
  <r>
    <x v="1"/>
    <x v="17"/>
    <x v="5"/>
    <n v="0.6"/>
    <n v="1482"/>
    <n v="889"/>
  </r>
  <r>
    <x v="1"/>
    <x v="17"/>
    <x v="6"/>
    <n v="0.4"/>
    <n v="1482"/>
    <n v="593"/>
  </r>
  <r>
    <x v="1"/>
    <x v="17"/>
    <x v="7"/>
    <n v="1.6722763044921568E-2"/>
    <n v="1482"/>
    <n v="25"/>
  </r>
  <r>
    <x v="1"/>
    <x v="18"/>
    <x v="5"/>
    <n v="0.6"/>
    <n v="1931"/>
    <n v="1159"/>
  </r>
  <r>
    <x v="1"/>
    <x v="18"/>
    <x v="6"/>
    <n v="0.4"/>
    <n v="1931"/>
    <n v="772"/>
  </r>
  <r>
    <x v="1"/>
    <x v="18"/>
    <x v="7"/>
    <n v="4.913331715260756E-3"/>
    <n v="1931"/>
    <n v="9"/>
  </r>
  <r>
    <x v="1"/>
    <x v="19"/>
    <x v="5"/>
    <n v="0.6"/>
    <n v="916"/>
    <n v="550"/>
  </r>
  <r>
    <x v="1"/>
    <x v="19"/>
    <x v="6"/>
    <n v="0.4"/>
    <n v="916"/>
    <n v="366"/>
  </r>
  <r>
    <x v="1"/>
    <x v="19"/>
    <x v="7"/>
    <n v="8.1867023747973795E-3"/>
    <n v="916"/>
    <n v="7"/>
  </r>
  <r>
    <x v="1"/>
    <x v="20"/>
    <x v="5"/>
    <n v="0.6"/>
    <n v="1097"/>
    <n v="658"/>
  </r>
  <r>
    <x v="1"/>
    <x v="20"/>
    <x v="6"/>
    <n v="0.4"/>
    <n v="1097"/>
    <n v="439"/>
  </r>
  <r>
    <x v="1"/>
    <x v="20"/>
    <x v="7"/>
    <n v="1.0116940128794787E-2"/>
    <n v="1097"/>
    <n v="11"/>
  </r>
  <r>
    <x v="1"/>
    <x v="21"/>
    <x v="5"/>
    <n v="0.6"/>
    <n v="1742"/>
    <n v="1045"/>
  </r>
  <r>
    <x v="1"/>
    <x v="21"/>
    <x v="6"/>
    <n v="0.4"/>
    <n v="1742"/>
    <n v="697"/>
  </r>
  <r>
    <x v="1"/>
    <x v="21"/>
    <x v="7"/>
    <n v="1.8701284769099626E-2"/>
    <n v="1742"/>
    <n v="33"/>
  </r>
  <r>
    <x v="1"/>
    <x v="22"/>
    <x v="5"/>
    <n v="0.6"/>
    <n v="4040"/>
    <n v="2424"/>
  </r>
  <r>
    <x v="1"/>
    <x v="22"/>
    <x v="6"/>
    <n v="0.4"/>
    <n v="4040"/>
    <n v="1616"/>
  </r>
  <r>
    <x v="1"/>
    <x v="22"/>
    <x v="7"/>
    <n v="3.0533380719964033E-3"/>
    <n v="4040"/>
    <n v="12"/>
  </r>
  <r>
    <x v="1"/>
    <x v="23"/>
    <x v="5"/>
    <n v="0.6"/>
    <n v="665"/>
    <n v="399"/>
  </r>
  <r>
    <x v="1"/>
    <x v="23"/>
    <x v="6"/>
    <n v="0.4"/>
    <n v="665"/>
    <n v="266"/>
  </r>
  <r>
    <x v="1"/>
    <x v="23"/>
    <x v="7"/>
    <n v="1.8536453336353838E-2"/>
    <n v="665"/>
    <n v="12"/>
  </r>
  <r>
    <x v="1"/>
    <x v="24"/>
    <x v="5"/>
    <n v="0.6"/>
    <n v="503"/>
    <n v="302"/>
  </r>
  <r>
    <x v="1"/>
    <x v="24"/>
    <x v="6"/>
    <n v="0.4"/>
    <n v="503"/>
    <n v="201"/>
  </r>
  <r>
    <x v="1"/>
    <x v="24"/>
    <x v="7"/>
    <n v="1.0708260717977125E-3"/>
    <n v="503"/>
    <n v="1"/>
  </r>
  <r>
    <x v="1"/>
    <x v="25"/>
    <x v="5"/>
    <n v="0.6"/>
    <n v="543"/>
    <n v="326"/>
  </r>
  <r>
    <x v="1"/>
    <x v="25"/>
    <x v="6"/>
    <n v="0.4"/>
    <n v="543"/>
    <n v="217"/>
  </r>
  <r>
    <x v="1"/>
    <x v="25"/>
    <x v="7"/>
    <n v="1.7796774295953357E-2"/>
    <n v="543"/>
    <n v="10"/>
  </r>
  <r>
    <x v="1"/>
    <x v="26"/>
    <x v="5"/>
    <n v="0.6"/>
    <n v="794"/>
    <n v="476"/>
  </r>
  <r>
    <x v="1"/>
    <x v="26"/>
    <x v="6"/>
    <n v="0.4"/>
    <n v="794"/>
    <n v="318"/>
  </r>
  <r>
    <x v="1"/>
    <x v="26"/>
    <x v="7"/>
    <n v="7.8991306736982542E-3"/>
    <n v="794"/>
    <n v="6"/>
  </r>
  <r>
    <x v="1"/>
    <x v="27"/>
    <x v="5"/>
    <n v="0.6"/>
    <n v="500"/>
    <n v="300"/>
  </r>
  <r>
    <x v="1"/>
    <x v="27"/>
    <x v="6"/>
    <n v="0.4"/>
    <n v="500"/>
    <n v="200"/>
  </r>
  <r>
    <x v="1"/>
    <x v="27"/>
    <x v="7"/>
    <n v="1.4726369213248346E-2"/>
    <n v="500"/>
    <n v="7"/>
  </r>
  <r>
    <x v="2"/>
    <x v="28"/>
    <x v="5"/>
    <n v="0.6"/>
    <n v="7212"/>
    <n v="4327"/>
  </r>
  <r>
    <x v="2"/>
    <x v="28"/>
    <x v="6"/>
    <n v="0.4"/>
    <n v="7212"/>
    <n v="2885"/>
  </r>
  <r>
    <x v="2"/>
    <x v="28"/>
    <x v="7"/>
    <n v="1.4095753802053841E-2"/>
    <n v="7212"/>
    <n v="102"/>
  </r>
  <r>
    <x v="2"/>
    <x v="29"/>
    <x v="5"/>
    <n v="0.6"/>
    <n v="12504"/>
    <n v="7502"/>
  </r>
  <r>
    <x v="2"/>
    <x v="29"/>
    <x v="6"/>
    <n v="0.4"/>
    <n v="12504"/>
    <n v="5002"/>
  </r>
  <r>
    <x v="2"/>
    <x v="29"/>
    <x v="7"/>
    <n v="1.5955462464455016E-2"/>
    <n v="12504"/>
    <n v="200"/>
  </r>
  <r>
    <x v="2"/>
    <x v="30"/>
    <x v="5"/>
    <n v="0.6"/>
    <n v="3050"/>
    <n v="1830"/>
  </r>
  <r>
    <x v="2"/>
    <x v="30"/>
    <x v="6"/>
    <n v="0.4"/>
    <n v="3050"/>
    <n v="1220"/>
  </r>
  <r>
    <x v="2"/>
    <x v="30"/>
    <x v="7"/>
    <n v="1.7196677390330442E-2"/>
    <n v="3050"/>
    <n v="52"/>
  </r>
  <r>
    <x v="2"/>
    <x v="31"/>
    <x v="5"/>
    <n v="0.6"/>
    <n v="2893"/>
    <n v="1736"/>
  </r>
  <r>
    <x v="2"/>
    <x v="31"/>
    <x v="6"/>
    <n v="0.4"/>
    <n v="2893"/>
    <n v="1157"/>
  </r>
  <r>
    <x v="2"/>
    <x v="31"/>
    <x v="7"/>
    <n v="1.560999481793063E-2"/>
    <n v="2893"/>
    <n v="45"/>
  </r>
  <r>
    <x v="2"/>
    <x v="32"/>
    <x v="5"/>
    <n v="0.6"/>
    <n v="1778"/>
    <n v="1067"/>
  </r>
  <r>
    <x v="2"/>
    <x v="32"/>
    <x v="6"/>
    <n v="0.4"/>
    <n v="1778"/>
    <n v="711"/>
  </r>
  <r>
    <x v="2"/>
    <x v="32"/>
    <x v="7"/>
    <n v="3.1995074152055981E-3"/>
    <n v="1778"/>
    <n v="6"/>
  </r>
  <r>
    <x v="2"/>
    <x v="33"/>
    <x v="5"/>
    <n v="0.6"/>
    <n v="6330"/>
    <n v="3798"/>
  </r>
  <r>
    <x v="2"/>
    <x v="33"/>
    <x v="6"/>
    <n v="0.4"/>
    <n v="6330"/>
    <n v="2532"/>
  </r>
  <r>
    <x v="2"/>
    <x v="33"/>
    <x v="7"/>
    <n v="1.5038667350547447E-2"/>
    <n v="6330"/>
    <n v="95"/>
  </r>
  <r>
    <x v="2"/>
    <x v="34"/>
    <x v="5"/>
    <n v="0.6"/>
    <n v="859"/>
    <n v="515"/>
  </r>
  <r>
    <x v="2"/>
    <x v="34"/>
    <x v="6"/>
    <n v="0.4"/>
    <n v="859"/>
    <n v="344"/>
  </r>
  <r>
    <x v="2"/>
    <x v="34"/>
    <x v="7"/>
    <n v="1.7363109448001863E-2"/>
    <n v="859"/>
    <n v="15"/>
  </r>
  <r>
    <x v="2"/>
    <x v="35"/>
    <x v="5"/>
    <n v="0.6"/>
    <n v="2914"/>
    <n v="1748"/>
  </r>
  <r>
    <x v="2"/>
    <x v="35"/>
    <x v="6"/>
    <n v="0.4"/>
    <n v="2914"/>
    <n v="1166"/>
  </r>
  <r>
    <x v="2"/>
    <x v="35"/>
    <x v="7"/>
    <n v="3.9320196872795581E-3"/>
    <n v="2914"/>
    <n v="11"/>
  </r>
  <r>
    <x v="2"/>
    <x v="36"/>
    <x v="5"/>
    <n v="0.6"/>
    <n v="1670"/>
    <n v="1002"/>
  </r>
  <r>
    <x v="2"/>
    <x v="36"/>
    <x v="6"/>
    <n v="0.4"/>
    <n v="1670"/>
    <n v="668"/>
  </r>
  <r>
    <x v="2"/>
    <x v="36"/>
    <x v="7"/>
    <n v="1.4190074981595591E-3"/>
    <n v="1670"/>
    <n v="2"/>
  </r>
  <r>
    <x v="2"/>
    <x v="37"/>
    <x v="5"/>
    <n v="0.6"/>
    <n v="1860"/>
    <n v="1116"/>
  </r>
  <r>
    <x v="2"/>
    <x v="37"/>
    <x v="6"/>
    <n v="0.4"/>
    <n v="1860"/>
    <n v="744"/>
  </r>
  <r>
    <x v="2"/>
    <x v="37"/>
    <x v="7"/>
    <n v="2.9672315379913397E-3"/>
    <n v="1860"/>
    <n v="6"/>
  </r>
  <r>
    <x v="2"/>
    <x v="38"/>
    <x v="5"/>
    <n v="0.6"/>
    <n v="1578"/>
    <n v="947"/>
  </r>
  <r>
    <x v="2"/>
    <x v="38"/>
    <x v="6"/>
    <n v="0.4"/>
    <n v="1578"/>
    <n v="631"/>
  </r>
  <r>
    <x v="2"/>
    <x v="38"/>
    <x v="7"/>
    <n v="9.2528272463512033E-3"/>
    <n v="1578"/>
    <n v="15"/>
  </r>
  <r>
    <x v="2"/>
    <x v="39"/>
    <x v="5"/>
    <n v="0.6"/>
    <n v="934"/>
    <n v="560"/>
  </r>
  <r>
    <x v="2"/>
    <x v="39"/>
    <x v="6"/>
    <n v="0.4"/>
    <n v="934"/>
    <n v="374"/>
  </r>
  <r>
    <x v="2"/>
    <x v="39"/>
    <x v="7"/>
    <n v="1.7476975652045309E-2"/>
    <n v="934"/>
    <n v="16"/>
  </r>
  <r>
    <x v="2"/>
    <x v="40"/>
    <x v="5"/>
    <n v="0.6"/>
    <n v="1500"/>
    <n v="900"/>
  </r>
  <r>
    <x v="2"/>
    <x v="40"/>
    <x v="6"/>
    <n v="0.4"/>
    <n v="1500"/>
    <n v="600"/>
  </r>
  <r>
    <x v="2"/>
    <x v="40"/>
    <x v="7"/>
    <n v="1.1343091446963328E-3"/>
    <n v="1500"/>
    <n v="2"/>
  </r>
  <r>
    <x v="2"/>
    <x v="41"/>
    <x v="5"/>
    <n v="0.6"/>
    <n v="2606"/>
    <n v="1564"/>
  </r>
  <r>
    <x v="2"/>
    <x v="41"/>
    <x v="6"/>
    <n v="0.4"/>
    <n v="2606"/>
    <n v="1042"/>
  </r>
  <r>
    <x v="2"/>
    <x v="41"/>
    <x v="7"/>
    <n v="1.4487546125999069E-2"/>
    <n v="2606"/>
    <n v="38"/>
  </r>
  <r>
    <x v="2"/>
    <x v="42"/>
    <x v="5"/>
    <n v="0.6"/>
    <n v="924"/>
    <n v="554"/>
  </r>
  <r>
    <x v="2"/>
    <x v="42"/>
    <x v="6"/>
    <n v="0.4"/>
    <n v="924"/>
    <n v="370"/>
  </r>
  <r>
    <x v="2"/>
    <x v="42"/>
    <x v="7"/>
    <n v="2.3988042914805541E-3"/>
    <n v="924"/>
    <n v="2"/>
  </r>
  <r>
    <x v="2"/>
    <x v="43"/>
    <x v="5"/>
    <n v="0.6"/>
    <n v="530"/>
    <n v="318"/>
  </r>
  <r>
    <x v="2"/>
    <x v="43"/>
    <x v="6"/>
    <n v="0.4"/>
    <n v="530"/>
    <n v="212"/>
  </r>
  <r>
    <x v="2"/>
    <x v="43"/>
    <x v="7"/>
    <n v="7.37628295282343E-3"/>
    <n v="530"/>
    <n v="4"/>
  </r>
  <r>
    <x v="2"/>
    <x v="44"/>
    <x v="5"/>
    <n v="0.6"/>
    <n v="2410"/>
    <n v="1446"/>
  </r>
  <r>
    <x v="2"/>
    <x v="44"/>
    <x v="6"/>
    <n v="0.4"/>
    <n v="2410"/>
    <n v="964"/>
  </r>
  <r>
    <x v="2"/>
    <x v="44"/>
    <x v="7"/>
    <n v="8.5452400938847758E-4"/>
    <n v="2410"/>
    <n v="2"/>
  </r>
  <r>
    <x v="2"/>
    <x v="45"/>
    <x v="5"/>
    <n v="0.6"/>
    <n v="403"/>
    <n v="242"/>
  </r>
  <r>
    <x v="2"/>
    <x v="45"/>
    <x v="6"/>
    <n v="0.4"/>
    <n v="403"/>
    <n v="161"/>
  </r>
  <r>
    <x v="2"/>
    <x v="45"/>
    <x v="7"/>
    <n v="1.3729896192467251E-3"/>
    <n v="403"/>
    <n v="1"/>
  </r>
  <r>
    <x v="2"/>
    <x v="46"/>
    <x v="5"/>
    <n v="0.6"/>
    <n v="850"/>
    <n v="510"/>
  </r>
  <r>
    <x v="2"/>
    <x v="46"/>
    <x v="6"/>
    <n v="0.4"/>
    <n v="850"/>
    <n v="340"/>
  </r>
  <r>
    <x v="2"/>
    <x v="46"/>
    <x v="7"/>
    <n v="1.3357675967064496E-2"/>
    <n v="850"/>
    <n v="11"/>
  </r>
  <r>
    <x v="2"/>
    <x v="47"/>
    <x v="5"/>
    <n v="0.6"/>
    <n v="428"/>
    <n v="257"/>
  </r>
  <r>
    <x v="2"/>
    <x v="47"/>
    <x v="6"/>
    <n v="0.4"/>
    <n v="428"/>
    <n v="171"/>
  </r>
  <r>
    <x v="2"/>
    <x v="47"/>
    <x v="7"/>
    <n v="1.6961819900752576E-2"/>
    <n v="428"/>
    <n v="7"/>
  </r>
  <r>
    <x v="2"/>
    <x v="48"/>
    <x v="5"/>
    <n v="0.6"/>
    <n v="454"/>
    <n v="272"/>
  </r>
  <r>
    <x v="2"/>
    <x v="48"/>
    <x v="6"/>
    <n v="0.4"/>
    <n v="454"/>
    <n v="182"/>
  </r>
  <r>
    <x v="2"/>
    <x v="48"/>
    <x v="7"/>
    <n v="9.741895567495518E-3"/>
    <n v="454"/>
    <n v="4"/>
  </r>
  <r>
    <x v="2"/>
    <x v="428"/>
    <x v="5"/>
    <n v="0.6"/>
    <n v="11701"/>
    <n v="7021"/>
  </r>
  <r>
    <x v="2"/>
    <x v="428"/>
    <x v="6"/>
    <n v="0.4"/>
    <n v="11701"/>
    <n v="4680"/>
  </r>
  <r>
    <x v="2"/>
    <x v="428"/>
    <x v="7"/>
    <n v="5.6858223121212118E-3"/>
    <n v="11701"/>
    <n v="67"/>
  </r>
  <r>
    <x v="3"/>
    <x v="50"/>
    <x v="5"/>
    <n v="0.6"/>
    <n v="2012"/>
    <n v="1207"/>
  </r>
  <r>
    <x v="3"/>
    <x v="50"/>
    <x v="6"/>
    <n v="0.4"/>
    <n v="2012"/>
    <n v="805"/>
  </r>
  <r>
    <x v="3"/>
    <x v="50"/>
    <x v="7"/>
    <n v="1.7421887294595356E-2"/>
    <n v="2012"/>
    <n v="35"/>
  </r>
  <r>
    <x v="3"/>
    <x v="51"/>
    <x v="5"/>
    <n v="0.6"/>
    <n v="43164"/>
    <n v="25898"/>
  </r>
  <r>
    <x v="3"/>
    <x v="51"/>
    <x v="6"/>
    <n v="0.4"/>
    <n v="43164"/>
    <n v="17266"/>
  </r>
  <r>
    <x v="3"/>
    <x v="51"/>
    <x v="7"/>
    <n v="1.7551657966323846E-2"/>
    <n v="43164"/>
    <n v="758"/>
  </r>
  <r>
    <x v="3"/>
    <x v="52"/>
    <x v="5"/>
    <n v="0.6"/>
    <n v="2106"/>
    <n v="1264"/>
  </r>
  <r>
    <x v="3"/>
    <x v="52"/>
    <x v="6"/>
    <n v="0.4"/>
    <n v="2106"/>
    <n v="842"/>
  </r>
  <r>
    <x v="3"/>
    <x v="52"/>
    <x v="7"/>
    <n v="1.1183170880759787E-2"/>
    <n v="2106"/>
    <n v="24"/>
  </r>
  <r>
    <x v="3"/>
    <x v="53"/>
    <x v="5"/>
    <n v="0.6"/>
    <n v="3544"/>
    <n v="2126"/>
  </r>
  <r>
    <x v="3"/>
    <x v="53"/>
    <x v="6"/>
    <n v="0.4"/>
    <n v="3544"/>
    <n v="1418"/>
  </r>
  <r>
    <x v="3"/>
    <x v="53"/>
    <x v="7"/>
    <n v="1.0966391295573637E-2"/>
    <n v="3544"/>
    <n v="39"/>
  </r>
  <r>
    <x v="3"/>
    <x v="54"/>
    <x v="5"/>
    <n v="0.6"/>
    <n v="2153"/>
    <n v="1292"/>
  </r>
  <r>
    <x v="3"/>
    <x v="54"/>
    <x v="6"/>
    <n v="0.4"/>
    <n v="2153"/>
    <n v="861"/>
  </r>
  <r>
    <x v="3"/>
    <x v="54"/>
    <x v="7"/>
    <n v="1.0424734334238895E-2"/>
    <n v="2153"/>
    <n v="22"/>
  </r>
  <r>
    <x v="3"/>
    <x v="55"/>
    <x v="5"/>
    <n v="0.6"/>
    <n v="2584"/>
    <n v="1550"/>
  </r>
  <r>
    <x v="3"/>
    <x v="55"/>
    <x v="6"/>
    <n v="0.4"/>
    <n v="2584"/>
    <n v="1034"/>
  </r>
  <r>
    <x v="3"/>
    <x v="55"/>
    <x v="7"/>
    <n v="5.1747253748934165E-3"/>
    <n v="2584"/>
    <n v="13"/>
  </r>
  <r>
    <x v="3"/>
    <x v="56"/>
    <x v="5"/>
    <n v="0.6"/>
    <n v="1485"/>
    <n v="891"/>
  </r>
  <r>
    <x v="3"/>
    <x v="56"/>
    <x v="6"/>
    <n v="0.4"/>
    <n v="1485"/>
    <n v="594"/>
  </r>
  <r>
    <x v="3"/>
    <x v="56"/>
    <x v="7"/>
    <n v="4.6912436646645485E-3"/>
    <n v="1485"/>
    <n v="7"/>
  </r>
  <r>
    <x v="3"/>
    <x v="57"/>
    <x v="5"/>
    <n v="0.6"/>
    <n v="2019"/>
    <n v="1211"/>
  </r>
  <r>
    <x v="3"/>
    <x v="57"/>
    <x v="6"/>
    <n v="0.4"/>
    <n v="2019"/>
    <n v="808"/>
  </r>
  <r>
    <x v="3"/>
    <x v="57"/>
    <x v="7"/>
    <n v="5.6657970520688442E-3"/>
    <n v="2019"/>
    <n v="11"/>
  </r>
  <r>
    <x v="3"/>
    <x v="58"/>
    <x v="5"/>
    <n v="0.6"/>
    <n v="1547"/>
    <n v="928"/>
  </r>
  <r>
    <x v="3"/>
    <x v="58"/>
    <x v="6"/>
    <n v="0.4"/>
    <n v="1547"/>
    <n v="619"/>
  </r>
  <r>
    <x v="3"/>
    <x v="58"/>
    <x v="7"/>
    <n v="1.9341969640301514E-2"/>
    <n v="1547"/>
    <n v="30"/>
  </r>
  <r>
    <x v="3"/>
    <x v="59"/>
    <x v="5"/>
    <n v="0.6"/>
    <n v="1428"/>
    <n v="857"/>
  </r>
  <r>
    <x v="3"/>
    <x v="59"/>
    <x v="6"/>
    <n v="0.4"/>
    <n v="1428"/>
    <n v="571"/>
  </r>
  <r>
    <x v="3"/>
    <x v="59"/>
    <x v="7"/>
    <n v="9.9045418856823116E-3"/>
    <n v="1428"/>
    <n v="14"/>
  </r>
  <r>
    <x v="3"/>
    <x v="60"/>
    <x v="5"/>
    <n v="0.6"/>
    <n v="764"/>
    <n v="458"/>
  </r>
  <r>
    <x v="3"/>
    <x v="60"/>
    <x v="6"/>
    <n v="0.4"/>
    <n v="764"/>
    <n v="306"/>
  </r>
  <r>
    <x v="3"/>
    <x v="60"/>
    <x v="7"/>
    <n v="6.6878194307453788E-3"/>
    <n v="764"/>
    <n v="5"/>
  </r>
  <r>
    <x v="3"/>
    <x v="61"/>
    <x v="5"/>
    <n v="0.6"/>
    <n v="1034"/>
    <n v="620"/>
  </r>
  <r>
    <x v="3"/>
    <x v="61"/>
    <x v="6"/>
    <n v="0.4"/>
    <n v="1034"/>
    <n v="414"/>
  </r>
  <r>
    <x v="3"/>
    <x v="61"/>
    <x v="7"/>
    <n v="5.8463230677514178E-3"/>
    <n v="1034"/>
    <n v="6"/>
  </r>
  <r>
    <x v="3"/>
    <x v="62"/>
    <x v="5"/>
    <n v="0.6"/>
    <n v="601"/>
    <n v="361"/>
  </r>
  <r>
    <x v="3"/>
    <x v="62"/>
    <x v="6"/>
    <n v="0.4"/>
    <n v="601"/>
    <n v="240"/>
  </r>
  <r>
    <x v="3"/>
    <x v="62"/>
    <x v="7"/>
    <n v="5.8273068423856916E-3"/>
    <n v="601"/>
    <n v="4"/>
  </r>
  <r>
    <x v="3"/>
    <x v="63"/>
    <x v="5"/>
    <n v="0.6"/>
    <n v="1176"/>
    <n v="706"/>
  </r>
  <r>
    <x v="3"/>
    <x v="63"/>
    <x v="6"/>
    <n v="0.4"/>
    <n v="1176"/>
    <n v="470"/>
  </r>
  <r>
    <x v="3"/>
    <x v="63"/>
    <x v="7"/>
    <n v="1.2256610542438473E-3"/>
    <n v="1176"/>
    <n v="1"/>
  </r>
  <r>
    <x v="3"/>
    <x v="64"/>
    <x v="5"/>
    <n v="0.6"/>
    <n v="846"/>
    <n v="508"/>
  </r>
  <r>
    <x v="3"/>
    <x v="64"/>
    <x v="6"/>
    <n v="0.4"/>
    <n v="846"/>
    <n v="338"/>
  </r>
  <r>
    <x v="3"/>
    <x v="64"/>
    <x v="7"/>
    <n v="1.0379630780342531E-2"/>
    <n v="846"/>
    <n v="9"/>
  </r>
  <r>
    <x v="3"/>
    <x v="65"/>
    <x v="5"/>
    <n v="0.6"/>
    <n v="826"/>
    <n v="496"/>
  </r>
  <r>
    <x v="3"/>
    <x v="65"/>
    <x v="6"/>
    <n v="0.4"/>
    <n v="826"/>
    <n v="330"/>
  </r>
  <r>
    <x v="3"/>
    <x v="65"/>
    <x v="7"/>
    <n v="8.7919642172993976E-4"/>
    <n v="826"/>
    <n v="1"/>
  </r>
  <r>
    <x v="3"/>
    <x v="66"/>
    <x v="5"/>
    <n v="0.6"/>
    <n v="666"/>
    <n v="400"/>
  </r>
  <r>
    <x v="3"/>
    <x v="66"/>
    <x v="6"/>
    <n v="0.4"/>
    <n v="666"/>
    <n v="266"/>
  </r>
  <r>
    <x v="3"/>
    <x v="66"/>
    <x v="7"/>
    <n v="1.7580039713938997E-2"/>
    <n v="666"/>
    <n v="12"/>
  </r>
  <r>
    <x v="3"/>
    <x v="67"/>
    <x v="5"/>
    <n v="0.6"/>
    <n v="625"/>
    <n v="375"/>
  </r>
  <r>
    <x v="3"/>
    <x v="67"/>
    <x v="6"/>
    <n v="0.4"/>
    <n v="625"/>
    <n v="250"/>
  </r>
  <r>
    <x v="3"/>
    <x v="67"/>
    <x v="7"/>
    <n v="7.0767578793351337E-3"/>
    <n v="625"/>
    <n v="4"/>
  </r>
  <r>
    <x v="3"/>
    <x v="68"/>
    <x v="5"/>
    <n v="0.6"/>
    <n v="746"/>
    <n v="448"/>
  </r>
  <r>
    <x v="3"/>
    <x v="68"/>
    <x v="6"/>
    <n v="0.4"/>
    <n v="746"/>
    <n v="298"/>
  </r>
  <r>
    <x v="3"/>
    <x v="68"/>
    <x v="7"/>
    <n v="1.3720595932594642E-2"/>
    <n v="746"/>
    <n v="10"/>
  </r>
  <r>
    <x v="3"/>
    <x v="69"/>
    <x v="5"/>
    <n v="0.6"/>
    <n v="389"/>
    <n v="233"/>
  </r>
  <r>
    <x v="3"/>
    <x v="69"/>
    <x v="6"/>
    <n v="0.4"/>
    <n v="389"/>
    <n v="156"/>
  </r>
  <r>
    <x v="3"/>
    <x v="69"/>
    <x v="7"/>
    <n v="1.9196059769503636E-2"/>
    <n v="389"/>
    <n v="7"/>
  </r>
  <r>
    <x v="4"/>
    <x v="70"/>
    <x v="5"/>
    <n v="0.6"/>
    <n v="20538"/>
    <n v="12323"/>
  </r>
  <r>
    <x v="4"/>
    <x v="70"/>
    <x v="6"/>
    <n v="0.4"/>
    <n v="20538"/>
    <n v="8215"/>
  </r>
  <r>
    <x v="4"/>
    <x v="70"/>
    <x v="7"/>
    <n v="1.4761069650703623E-2"/>
    <n v="20538"/>
    <n v="303"/>
  </r>
  <r>
    <x v="4"/>
    <x v="71"/>
    <x v="5"/>
    <n v="0.6"/>
    <n v="1190"/>
    <n v="714"/>
  </r>
  <r>
    <x v="4"/>
    <x v="71"/>
    <x v="6"/>
    <n v="0.4"/>
    <n v="1190"/>
    <n v="476"/>
  </r>
  <r>
    <x v="4"/>
    <x v="71"/>
    <x v="7"/>
    <n v="5.5176209116939434E-3"/>
    <n v="1190"/>
    <n v="7"/>
  </r>
  <r>
    <x v="4"/>
    <x v="72"/>
    <x v="5"/>
    <n v="0.6"/>
    <n v="1736"/>
    <n v="1042"/>
  </r>
  <r>
    <x v="4"/>
    <x v="72"/>
    <x v="6"/>
    <n v="0.4"/>
    <n v="1736"/>
    <n v="694"/>
  </r>
  <r>
    <x v="4"/>
    <x v="72"/>
    <x v="7"/>
    <n v="1.9601029970965207E-2"/>
    <n v="1736"/>
    <n v="34"/>
  </r>
  <r>
    <x v="4"/>
    <x v="73"/>
    <x v="5"/>
    <n v="0.6"/>
    <n v="1466"/>
    <n v="880"/>
  </r>
  <r>
    <x v="4"/>
    <x v="73"/>
    <x v="6"/>
    <n v="0.4"/>
    <n v="1466"/>
    <n v="586"/>
  </r>
  <r>
    <x v="4"/>
    <x v="73"/>
    <x v="7"/>
    <n v="9.4580682466085045E-3"/>
    <n v="1466"/>
    <n v="14"/>
  </r>
  <r>
    <x v="4"/>
    <x v="74"/>
    <x v="5"/>
    <n v="0.6"/>
    <n v="2060"/>
    <n v="1236"/>
  </r>
  <r>
    <x v="4"/>
    <x v="74"/>
    <x v="6"/>
    <n v="0.4"/>
    <n v="2060"/>
    <n v="824"/>
  </r>
  <r>
    <x v="4"/>
    <x v="74"/>
    <x v="7"/>
    <n v="6.9373683370529049E-3"/>
    <n v="2060"/>
    <n v="14"/>
  </r>
  <r>
    <x v="4"/>
    <x v="75"/>
    <x v="5"/>
    <n v="0.6"/>
    <n v="1284"/>
    <n v="770"/>
  </r>
  <r>
    <x v="4"/>
    <x v="75"/>
    <x v="6"/>
    <n v="0.4"/>
    <n v="1284"/>
    <n v="514"/>
  </r>
  <r>
    <x v="4"/>
    <x v="75"/>
    <x v="7"/>
    <n v="1.3002982169830377E-2"/>
    <n v="1284"/>
    <n v="17"/>
  </r>
  <r>
    <x v="4"/>
    <x v="76"/>
    <x v="5"/>
    <n v="0.6"/>
    <n v="2716"/>
    <n v="1630"/>
  </r>
  <r>
    <x v="4"/>
    <x v="76"/>
    <x v="6"/>
    <n v="0.4"/>
    <n v="2716"/>
    <n v="1086"/>
  </r>
  <r>
    <x v="4"/>
    <x v="76"/>
    <x v="7"/>
    <n v="6.8987258839783181E-3"/>
    <n v="2716"/>
    <n v="19"/>
  </r>
  <r>
    <x v="4"/>
    <x v="77"/>
    <x v="5"/>
    <n v="0.6"/>
    <n v="3464"/>
    <n v="2078"/>
  </r>
  <r>
    <x v="4"/>
    <x v="77"/>
    <x v="6"/>
    <n v="0.4"/>
    <n v="3464"/>
    <n v="1386"/>
  </r>
  <r>
    <x v="4"/>
    <x v="77"/>
    <x v="7"/>
    <n v="2.4840096810350132E-3"/>
    <n v="3464"/>
    <n v="9"/>
  </r>
  <r>
    <x v="4"/>
    <x v="78"/>
    <x v="5"/>
    <n v="0.6"/>
    <n v="1548"/>
    <n v="929"/>
  </r>
  <r>
    <x v="4"/>
    <x v="78"/>
    <x v="6"/>
    <n v="0.4"/>
    <n v="1548"/>
    <n v="619"/>
  </r>
  <r>
    <x v="4"/>
    <x v="78"/>
    <x v="7"/>
    <n v="7.8316551798067943E-3"/>
    <n v="1548"/>
    <n v="12"/>
  </r>
  <r>
    <x v="4"/>
    <x v="79"/>
    <x v="5"/>
    <n v="0.6"/>
    <n v="2518"/>
    <n v="1511"/>
  </r>
  <r>
    <x v="4"/>
    <x v="79"/>
    <x v="6"/>
    <n v="0.4"/>
    <n v="2518"/>
    <n v="1007"/>
  </r>
  <r>
    <x v="4"/>
    <x v="79"/>
    <x v="7"/>
    <n v="1.4057253277116597E-2"/>
    <n v="2518"/>
    <n v="35"/>
  </r>
  <r>
    <x v="4"/>
    <x v="80"/>
    <x v="5"/>
    <n v="0.6"/>
    <n v="827"/>
    <n v="496"/>
  </r>
  <r>
    <x v="4"/>
    <x v="80"/>
    <x v="6"/>
    <n v="0.4"/>
    <n v="827"/>
    <n v="331"/>
  </r>
  <r>
    <x v="4"/>
    <x v="80"/>
    <x v="7"/>
    <n v="8.0158584813743827E-4"/>
    <n v="827"/>
    <n v="1"/>
  </r>
  <r>
    <x v="4"/>
    <x v="81"/>
    <x v="5"/>
    <n v="0.6"/>
    <n v="2291"/>
    <n v="1375"/>
  </r>
  <r>
    <x v="4"/>
    <x v="81"/>
    <x v="6"/>
    <n v="0.4"/>
    <n v="2291"/>
    <n v="916"/>
  </r>
  <r>
    <x v="4"/>
    <x v="81"/>
    <x v="7"/>
    <n v="1.6820378318137083E-2"/>
    <n v="2291"/>
    <n v="39"/>
  </r>
  <r>
    <x v="4"/>
    <x v="82"/>
    <x v="5"/>
    <n v="0.6"/>
    <n v="726"/>
    <n v="436"/>
  </r>
  <r>
    <x v="4"/>
    <x v="82"/>
    <x v="6"/>
    <n v="0.4"/>
    <n v="726"/>
    <n v="290"/>
  </r>
  <r>
    <x v="4"/>
    <x v="82"/>
    <x v="7"/>
    <n v="1.3374299394776525E-4"/>
    <n v="726"/>
    <n v="0"/>
  </r>
  <r>
    <x v="4"/>
    <x v="83"/>
    <x v="5"/>
    <n v="0.6"/>
    <n v="601"/>
    <n v="361"/>
  </r>
  <r>
    <x v="4"/>
    <x v="83"/>
    <x v="6"/>
    <n v="0.4"/>
    <n v="601"/>
    <n v="240"/>
  </r>
  <r>
    <x v="4"/>
    <x v="83"/>
    <x v="7"/>
    <n v="1.5874736499738945E-2"/>
    <n v="601"/>
    <n v="10"/>
  </r>
  <r>
    <x v="4"/>
    <x v="84"/>
    <x v="5"/>
    <n v="0.6"/>
    <n v="496"/>
    <n v="298"/>
  </r>
  <r>
    <x v="4"/>
    <x v="84"/>
    <x v="6"/>
    <n v="0.4"/>
    <n v="496"/>
    <n v="198"/>
  </r>
  <r>
    <x v="4"/>
    <x v="84"/>
    <x v="7"/>
    <n v="1.842786922155517E-2"/>
    <n v="496"/>
    <n v="9"/>
  </r>
  <r>
    <x v="4"/>
    <x v="85"/>
    <x v="5"/>
    <n v="0.6"/>
    <n v="600"/>
    <n v="360"/>
  </r>
  <r>
    <x v="4"/>
    <x v="85"/>
    <x v="6"/>
    <n v="0.4"/>
    <n v="600"/>
    <n v="240"/>
  </r>
  <r>
    <x v="4"/>
    <x v="85"/>
    <x v="7"/>
    <n v="1.3893325507580918E-2"/>
    <n v="600"/>
    <n v="8"/>
  </r>
  <r>
    <x v="4"/>
    <x v="86"/>
    <x v="5"/>
    <n v="0.6"/>
    <n v="535"/>
    <n v="321"/>
  </r>
  <r>
    <x v="4"/>
    <x v="86"/>
    <x v="6"/>
    <n v="0.4"/>
    <n v="535"/>
    <n v="214"/>
  </r>
  <r>
    <x v="4"/>
    <x v="86"/>
    <x v="7"/>
    <n v="1.1957938148856036E-2"/>
    <n v="535"/>
    <n v="6"/>
  </r>
  <r>
    <x v="5"/>
    <x v="87"/>
    <x v="5"/>
    <n v="0.6"/>
    <n v="770"/>
    <n v="462"/>
  </r>
  <r>
    <x v="5"/>
    <x v="87"/>
    <x v="6"/>
    <n v="0.4"/>
    <n v="770"/>
    <n v="308"/>
  </r>
  <r>
    <x v="5"/>
    <x v="87"/>
    <x v="7"/>
    <n v="8.0502853000218363E-3"/>
    <n v="770"/>
    <n v="6"/>
  </r>
  <r>
    <x v="5"/>
    <x v="88"/>
    <x v="5"/>
    <n v="0.6"/>
    <n v="20296"/>
    <n v="12178"/>
  </r>
  <r>
    <x v="5"/>
    <x v="88"/>
    <x v="6"/>
    <n v="0.4"/>
    <n v="20296"/>
    <n v="8118"/>
  </r>
  <r>
    <x v="5"/>
    <x v="88"/>
    <x v="7"/>
    <n v="1.5664242937534104E-2"/>
    <n v="20296"/>
    <n v="318"/>
  </r>
  <r>
    <x v="5"/>
    <x v="89"/>
    <x v="5"/>
    <n v="0.6"/>
    <n v="867"/>
    <n v="520"/>
  </r>
  <r>
    <x v="5"/>
    <x v="89"/>
    <x v="6"/>
    <n v="0.4"/>
    <n v="867"/>
    <n v="347"/>
  </r>
  <r>
    <x v="5"/>
    <x v="89"/>
    <x v="7"/>
    <n v="3.8840231233413357E-3"/>
    <n v="867"/>
    <n v="3"/>
  </r>
  <r>
    <x v="5"/>
    <x v="90"/>
    <x v="5"/>
    <n v="0.6"/>
    <n v="525"/>
    <n v="315"/>
  </r>
  <r>
    <x v="5"/>
    <x v="90"/>
    <x v="6"/>
    <n v="0.4"/>
    <n v="525"/>
    <n v="210"/>
  </r>
  <r>
    <x v="5"/>
    <x v="90"/>
    <x v="7"/>
    <n v="6.6903961257546943E-3"/>
    <n v="525"/>
    <n v="4"/>
  </r>
  <r>
    <x v="5"/>
    <x v="91"/>
    <x v="5"/>
    <n v="0.6"/>
    <n v="1572"/>
    <n v="943"/>
  </r>
  <r>
    <x v="5"/>
    <x v="91"/>
    <x v="6"/>
    <n v="0.4"/>
    <n v="1572"/>
    <n v="629"/>
  </r>
  <r>
    <x v="5"/>
    <x v="91"/>
    <x v="7"/>
    <n v="1.3196922191764065E-2"/>
    <n v="1572"/>
    <n v="21"/>
  </r>
  <r>
    <x v="5"/>
    <x v="92"/>
    <x v="5"/>
    <n v="0.6"/>
    <n v="253"/>
    <n v="152"/>
  </r>
  <r>
    <x v="5"/>
    <x v="92"/>
    <x v="6"/>
    <n v="0.4"/>
    <n v="253"/>
    <n v="101"/>
  </r>
  <r>
    <x v="5"/>
    <x v="92"/>
    <x v="7"/>
    <n v="1.6535864061665677E-2"/>
    <n v="253"/>
    <n v="4"/>
  </r>
  <r>
    <x v="5"/>
    <x v="93"/>
    <x v="5"/>
    <n v="0.6"/>
    <n v="1058"/>
    <n v="635"/>
  </r>
  <r>
    <x v="5"/>
    <x v="93"/>
    <x v="6"/>
    <n v="0.4"/>
    <n v="1058"/>
    <n v="423"/>
  </r>
  <r>
    <x v="5"/>
    <x v="93"/>
    <x v="7"/>
    <n v="1.2979967083932223E-2"/>
    <n v="1058"/>
    <n v="14"/>
  </r>
  <r>
    <x v="5"/>
    <x v="94"/>
    <x v="5"/>
    <n v="0.6"/>
    <n v="667"/>
    <n v="400"/>
  </r>
  <r>
    <x v="5"/>
    <x v="94"/>
    <x v="6"/>
    <n v="0.4"/>
    <n v="667"/>
    <n v="267"/>
  </r>
  <r>
    <x v="5"/>
    <x v="94"/>
    <x v="7"/>
    <n v="1.9604988133970085E-2"/>
    <n v="667"/>
    <n v="13"/>
  </r>
  <r>
    <x v="5"/>
    <x v="95"/>
    <x v="5"/>
    <n v="0.6"/>
    <n v="1147"/>
    <n v="688"/>
  </r>
  <r>
    <x v="5"/>
    <x v="95"/>
    <x v="6"/>
    <n v="0.4"/>
    <n v="1147"/>
    <n v="459"/>
  </r>
  <r>
    <x v="5"/>
    <x v="95"/>
    <x v="7"/>
    <n v="1.1067935791344375E-3"/>
    <n v="1147"/>
    <n v="1"/>
  </r>
  <r>
    <x v="5"/>
    <x v="96"/>
    <x v="5"/>
    <n v="0.6"/>
    <n v="1048"/>
    <n v="629"/>
  </r>
  <r>
    <x v="5"/>
    <x v="96"/>
    <x v="6"/>
    <n v="0.4"/>
    <n v="1048"/>
    <n v="419"/>
  </r>
  <r>
    <x v="5"/>
    <x v="96"/>
    <x v="7"/>
    <n v="6.1129185963077724E-3"/>
    <n v="1048"/>
    <n v="6"/>
  </r>
  <r>
    <x v="5"/>
    <x v="97"/>
    <x v="5"/>
    <n v="0.6"/>
    <n v="1054"/>
    <n v="632"/>
  </r>
  <r>
    <x v="5"/>
    <x v="97"/>
    <x v="6"/>
    <n v="0.4"/>
    <n v="1054"/>
    <n v="422"/>
  </r>
  <r>
    <x v="5"/>
    <x v="97"/>
    <x v="7"/>
    <n v="4.8767225336603182E-3"/>
    <n v="1054"/>
    <n v="5"/>
  </r>
  <r>
    <x v="5"/>
    <x v="98"/>
    <x v="5"/>
    <n v="0.6"/>
    <n v="392"/>
    <n v="235"/>
  </r>
  <r>
    <x v="5"/>
    <x v="98"/>
    <x v="6"/>
    <n v="0.4"/>
    <n v="392"/>
    <n v="157"/>
  </r>
  <r>
    <x v="5"/>
    <x v="98"/>
    <x v="7"/>
    <n v="1.2138912919361312E-3"/>
    <n v="392"/>
    <n v="0"/>
  </r>
  <r>
    <x v="5"/>
    <x v="99"/>
    <x v="5"/>
    <n v="0.6"/>
    <n v="351"/>
    <n v="211"/>
  </r>
  <r>
    <x v="5"/>
    <x v="99"/>
    <x v="6"/>
    <n v="0.4"/>
    <n v="351"/>
    <n v="140"/>
  </r>
  <r>
    <x v="5"/>
    <x v="99"/>
    <x v="7"/>
    <n v="3.1475625206753822E-3"/>
    <n v="351"/>
    <n v="1"/>
  </r>
  <r>
    <x v="5"/>
    <x v="100"/>
    <x v="5"/>
    <n v="0.6"/>
    <n v="444"/>
    <n v="266"/>
  </r>
  <r>
    <x v="5"/>
    <x v="100"/>
    <x v="6"/>
    <n v="0.4"/>
    <n v="444"/>
    <n v="178"/>
  </r>
  <r>
    <x v="5"/>
    <x v="100"/>
    <x v="7"/>
    <n v="1.8296582385509564E-2"/>
    <n v="444"/>
    <n v="8"/>
  </r>
  <r>
    <x v="6"/>
    <x v="101"/>
    <x v="5"/>
    <n v="0.6"/>
    <n v="4560"/>
    <n v="2736"/>
  </r>
  <r>
    <x v="6"/>
    <x v="101"/>
    <x v="6"/>
    <n v="0.4"/>
    <n v="4560"/>
    <n v="1824"/>
  </r>
  <r>
    <x v="6"/>
    <x v="101"/>
    <x v="7"/>
    <n v="1.6259791101302993E-2"/>
    <n v="4560"/>
    <n v="74"/>
  </r>
  <r>
    <x v="6"/>
    <x v="102"/>
    <x v="5"/>
    <n v="0.6"/>
    <n v="11701"/>
    <n v="7021"/>
  </r>
  <r>
    <x v="6"/>
    <x v="102"/>
    <x v="6"/>
    <n v="0.4"/>
    <n v="11701"/>
    <n v="4680"/>
  </r>
  <r>
    <x v="6"/>
    <x v="102"/>
    <x v="7"/>
    <n v="6.5929762825769371E-3"/>
    <n v="11701"/>
    <n v="77"/>
  </r>
  <r>
    <x v="6"/>
    <x v="103"/>
    <x v="5"/>
    <n v="0.6"/>
    <n v="33255"/>
    <n v="19953"/>
  </r>
  <r>
    <x v="6"/>
    <x v="103"/>
    <x v="6"/>
    <n v="0.4"/>
    <n v="33255"/>
    <n v="13302"/>
  </r>
  <r>
    <x v="6"/>
    <x v="103"/>
    <x v="7"/>
    <n v="4.018262106349966E-3"/>
    <n v="33255"/>
    <n v="134"/>
  </r>
  <r>
    <x v="6"/>
    <x v="104"/>
    <x v="5"/>
    <n v="0.6"/>
    <n v="1653"/>
    <n v="992"/>
  </r>
  <r>
    <x v="6"/>
    <x v="104"/>
    <x v="6"/>
    <n v="0.4"/>
    <n v="1653"/>
    <n v="661"/>
  </r>
  <r>
    <x v="6"/>
    <x v="104"/>
    <x v="7"/>
    <n v="9.3996787884777361E-3"/>
    <n v="1653"/>
    <n v="16"/>
  </r>
  <r>
    <x v="6"/>
    <x v="105"/>
    <x v="5"/>
    <n v="0.6"/>
    <n v="3192"/>
    <n v="1915"/>
  </r>
  <r>
    <x v="6"/>
    <x v="105"/>
    <x v="6"/>
    <n v="0.4"/>
    <n v="3192"/>
    <n v="1277"/>
  </r>
  <r>
    <x v="6"/>
    <x v="105"/>
    <x v="7"/>
    <n v="6.8243889738695885E-4"/>
    <n v="3192"/>
    <n v="2"/>
  </r>
  <r>
    <x v="6"/>
    <x v="106"/>
    <x v="5"/>
    <n v="0.6"/>
    <n v="3243"/>
    <n v="1946"/>
  </r>
  <r>
    <x v="6"/>
    <x v="106"/>
    <x v="6"/>
    <n v="0.4"/>
    <n v="3243"/>
    <n v="1297"/>
  </r>
  <r>
    <x v="6"/>
    <x v="106"/>
    <x v="7"/>
    <n v="9.2712633314444813E-3"/>
    <n v="3243"/>
    <n v="30"/>
  </r>
  <r>
    <x v="6"/>
    <x v="107"/>
    <x v="5"/>
    <n v="0.6"/>
    <n v="1600"/>
    <n v="960"/>
  </r>
  <r>
    <x v="6"/>
    <x v="107"/>
    <x v="6"/>
    <n v="0.4"/>
    <n v="1600"/>
    <n v="640"/>
  </r>
  <r>
    <x v="6"/>
    <x v="107"/>
    <x v="7"/>
    <n v="8.5659217596572787E-3"/>
    <n v="1600"/>
    <n v="14"/>
  </r>
  <r>
    <x v="6"/>
    <x v="108"/>
    <x v="5"/>
    <n v="0.6"/>
    <n v="5870"/>
    <n v="3522"/>
  </r>
  <r>
    <x v="6"/>
    <x v="108"/>
    <x v="6"/>
    <n v="0.4"/>
    <n v="5870"/>
    <n v="2348"/>
  </r>
  <r>
    <x v="6"/>
    <x v="108"/>
    <x v="7"/>
    <n v="1.666023314145134E-2"/>
    <n v="5870"/>
    <n v="98"/>
  </r>
  <r>
    <x v="6"/>
    <x v="109"/>
    <x v="5"/>
    <n v="0.6"/>
    <n v="356"/>
    <n v="214"/>
  </r>
  <r>
    <x v="6"/>
    <x v="109"/>
    <x v="6"/>
    <n v="0.4"/>
    <n v="356"/>
    <n v="142"/>
  </r>
  <r>
    <x v="6"/>
    <x v="109"/>
    <x v="7"/>
    <n v="1.1145421454861373E-2"/>
    <n v="356"/>
    <n v="4"/>
  </r>
  <r>
    <x v="6"/>
    <x v="110"/>
    <x v="5"/>
    <n v="0.6"/>
    <n v="1313"/>
    <n v="788"/>
  </r>
  <r>
    <x v="6"/>
    <x v="110"/>
    <x v="6"/>
    <n v="0.4"/>
    <n v="1313"/>
    <n v="525"/>
  </r>
  <r>
    <x v="6"/>
    <x v="110"/>
    <x v="7"/>
    <n v="1.0130255224180165E-2"/>
    <n v="1313"/>
    <n v="13"/>
  </r>
  <r>
    <x v="6"/>
    <x v="111"/>
    <x v="5"/>
    <n v="0.6"/>
    <n v="1432"/>
    <n v="859"/>
  </r>
  <r>
    <x v="6"/>
    <x v="111"/>
    <x v="6"/>
    <n v="0.4"/>
    <n v="1432"/>
    <n v="573"/>
  </r>
  <r>
    <x v="6"/>
    <x v="111"/>
    <x v="7"/>
    <n v="9.7439107827257954E-3"/>
    <n v="1432"/>
    <n v="14"/>
  </r>
  <r>
    <x v="6"/>
    <x v="112"/>
    <x v="5"/>
    <n v="0.6"/>
    <n v="2260"/>
    <n v="1356"/>
  </r>
  <r>
    <x v="6"/>
    <x v="112"/>
    <x v="6"/>
    <n v="0.4"/>
    <n v="2260"/>
    <n v="904"/>
  </r>
  <r>
    <x v="6"/>
    <x v="112"/>
    <x v="7"/>
    <n v="8.9426605082925325E-4"/>
    <n v="2260"/>
    <n v="2"/>
  </r>
  <r>
    <x v="6"/>
    <x v="113"/>
    <x v="5"/>
    <n v="0.6"/>
    <n v="1909"/>
    <n v="1145"/>
  </r>
  <r>
    <x v="6"/>
    <x v="113"/>
    <x v="6"/>
    <n v="0.4"/>
    <n v="1909"/>
    <n v="764"/>
  </r>
  <r>
    <x v="6"/>
    <x v="113"/>
    <x v="7"/>
    <n v="8.4829345868325315E-3"/>
    <n v="1909"/>
    <n v="16"/>
  </r>
  <r>
    <x v="6"/>
    <x v="114"/>
    <x v="5"/>
    <n v="0.6"/>
    <n v="1760"/>
    <n v="1056"/>
  </r>
  <r>
    <x v="6"/>
    <x v="114"/>
    <x v="6"/>
    <n v="0.4"/>
    <n v="1760"/>
    <n v="704"/>
  </r>
  <r>
    <x v="6"/>
    <x v="114"/>
    <x v="7"/>
    <n v="1.9880902888161522E-2"/>
    <n v="1760"/>
    <n v="35"/>
  </r>
  <r>
    <x v="6"/>
    <x v="429"/>
    <x v="5"/>
    <n v="0.6"/>
    <n v="11701"/>
    <n v="7021"/>
  </r>
  <r>
    <x v="6"/>
    <x v="429"/>
    <x v="6"/>
    <n v="0.4"/>
    <n v="11701"/>
    <n v="4680"/>
  </r>
  <r>
    <x v="6"/>
    <x v="429"/>
    <x v="7"/>
    <n v="2.5833469214557713E-3"/>
    <n v="11701"/>
    <n v="30"/>
  </r>
  <r>
    <x v="6"/>
    <x v="116"/>
    <x v="5"/>
    <n v="0.6"/>
    <n v="1046"/>
    <n v="628"/>
  </r>
  <r>
    <x v="6"/>
    <x v="116"/>
    <x v="6"/>
    <n v="0.4"/>
    <n v="1046"/>
    <n v="418"/>
  </r>
  <r>
    <x v="6"/>
    <x v="116"/>
    <x v="7"/>
    <n v="1.3720229043099011E-2"/>
    <n v="1046"/>
    <n v="14"/>
  </r>
  <r>
    <x v="6"/>
    <x v="117"/>
    <x v="5"/>
    <n v="0.6"/>
    <n v="406"/>
    <n v="244"/>
  </r>
  <r>
    <x v="6"/>
    <x v="117"/>
    <x v="6"/>
    <n v="0.4"/>
    <n v="406"/>
    <n v="162"/>
  </r>
  <r>
    <x v="6"/>
    <x v="117"/>
    <x v="7"/>
    <n v="3.3390230536082654E-3"/>
    <n v="406"/>
    <n v="1"/>
  </r>
  <r>
    <x v="6"/>
    <x v="118"/>
    <x v="5"/>
    <n v="0.6"/>
    <n v="404"/>
    <n v="242"/>
  </r>
  <r>
    <x v="6"/>
    <x v="118"/>
    <x v="6"/>
    <n v="0.4"/>
    <n v="404"/>
    <n v="162"/>
  </r>
  <r>
    <x v="6"/>
    <x v="118"/>
    <x v="7"/>
    <n v="1.8525245231430384E-2"/>
    <n v="404"/>
    <n v="7"/>
  </r>
  <r>
    <x v="6"/>
    <x v="119"/>
    <x v="5"/>
    <n v="0.6"/>
    <n v="422"/>
    <n v="253"/>
  </r>
  <r>
    <x v="6"/>
    <x v="119"/>
    <x v="6"/>
    <n v="0.4"/>
    <n v="422"/>
    <n v="169"/>
  </r>
  <r>
    <x v="6"/>
    <x v="119"/>
    <x v="7"/>
    <n v="1.5541015556164028E-2"/>
    <n v="422"/>
    <n v="7"/>
  </r>
  <r>
    <x v="6"/>
    <x v="120"/>
    <x v="5"/>
    <n v="0.6"/>
    <n v="677"/>
    <n v="406"/>
  </r>
  <r>
    <x v="6"/>
    <x v="120"/>
    <x v="6"/>
    <n v="0.4"/>
    <n v="677"/>
    <n v="271"/>
  </r>
  <r>
    <x v="6"/>
    <x v="120"/>
    <x v="7"/>
    <n v="1.2443773516710466E-2"/>
    <n v="677"/>
    <n v="8"/>
  </r>
  <r>
    <x v="6"/>
    <x v="430"/>
    <x v="5"/>
    <n v="0.6"/>
    <n v="11701"/>
    <n v="7021"/>
  </r>
  <r>
    <x v="6"/>
    <x v="430"/>
    <x v="6"/>
    <n v="0.4"/>
    <n v="11701"/>
    <n v="4680"/>
  </r>
  <r>
    <x v="6"/>
    <x v="430"/>
    <x v="7"/>
    <n v="7.980507229850797E-4"/>
    <n v="11701"/>
    <n v="9"/>
  </r>
  <r>
    <x v="6"/>
    <x v="122"/>
    <x v="5"/>
    <n v="0.6"/>
    <n v="115"/>
    <n v="69"/>
  </r>
  <r>
    <x v="6"/>
    <x v="122"/>
    <x v="6"/>
    <n v="0.4"/>
    <n v="115"/>
    <n v="46"/>
  </r>
  <r>
    <x v="6"/>
    <x v="122"/>
    <x v="7"/>
    <n v="6.384220741878153E-3"/>
    <n v="115"/>
    <n v="1"/>
  </r>
  <r>
    <x v="6"/>
    <x v="123"/>
    <x v="5"/>
    <n v="0.6"/>
    <n v="164"/>
    <n v="98"/>
  </r>
  <r>
    <x v="6"/>
    <x v="123"/>
    <x v="6"/>
    <n v="0.4"/>
    <n v="164"/>
    <n v="66"/>
  </r>
  <r>
    <x v="6"/>
    <x v="123"/>
    <x v="7"/>
    <n v="1.0114579660493912E-2"/>
    <n v="164"/>
    <n v="2"/>
  </r>
  <r>
    <x v="6"/>
    <x v="124"/>
    <x v="5"/>
    <n v="0.6"/>
    <n v="842"/>
    <n v="505"/>
  </r>
  <r>
    <x v="6"/>
    <x v="124"/>
    <x v="6"/>
    <n v="0.4"/>
    <n v="842"/>
    <n v="337"/>
  </r>
  <r>
    <x v="6"/>
    <x v="124"/>
    <x v="7"/>
    <n v="4.71747422647121E-3"/>
    <n v="842"/>
    <n v="4"/>
  </r>
  <r>
    <x v="6"/>
    <x v="125"/>
    <x v="5"/>
    <n v="0.6"/>
    <n v="466"/>
    <n v="280"/>
  </r>
  <r>
    <x v="6"/>
    <x v="125"/>
    <x v="6"/>
    <n v="0.4"/>
    <n v="466"/>
    <n v="186"/>
  </r>
  <r>
    <x v="6"/>
    <x v="125"/>
    <x v="7"/>
    <n v="3.9907649126799801E-3"/>
    <n v="466"/>
    <n v="2"/>
  </r>
  <r>
    <x v="6"/>
    <x v="126"/>
    <x v="5"/>
    <n v="0.6"/>
    <n v="518"/>
    <n v="311"/>
  </r>
  <r>
    <x v="6"/>
    <x v="126"/>
    <x v="6"/>
    <n v="0.4"/>
    <n v="518"/>
    <n v="207"/>
  </r>
  <r>
    <x v="6"/>
    <x v="126"/>
    <x v="7"/>
    <n v="3.0567424047000438E-3"/>
    <n v="518"/>
    <n v="2"/>
  </r>
  <r>
    <x v="6"/>
    <x v="431"/>
    <x v="5"/>
    <n v="0.6"/>
    <n v="11701"/>
    <n v="7021"/>
  </r>
  <r>
    <x v="6"/>
    <x v="431"/>
    <x v="6"/>
    <n v="0.4"/>
    <n v="11701"/>
    <n v="4680"/>
  </r>
  <r>
    <x v="6"/>
    <x v="431"/>
    <x v="7"/>
    <n v="5.4356249351479981E-3"/>
    <n v="11701"/>
    <n v="64"/>
  </r>
  <r>
    <x v="7"/>
    <x v="128"/>
    <x v="5"/>
    <n v="0.6"/>
    <n v="1578"/>
    <n v="947"/>
  </r>
  <r>
    <x v="7"/>
    <x v="128"/>
    <x v="6"/>
    <n v="0.4"/>
    <n v="1578"/>
    <n v="631"/>
  </r>
  <r>
    <x v="7"/>
    <x v="128"/>
    <x v="7"/>
    <n v="2.4781154735895971E-3"/>
    <n v="1578"/>
    <n v="4"/>
  </r>
  <r>
    <x v="7"/>
    <x v="129"/>
    <x v="5"/>
    <n v="0.6"/>
    <n v="972"/>
    <n v="583"/>
  </r>
  <r>
    <x v="7"/>
    <x v="129"/>
    <x v="6"/>
    <n v="0.4"/>
    <n v="972"/>
    <n v="389"/>
  </r>
  <r>
    <x v="7"/>
    <x v="129"/>
    <x v="7"/>
    <n v="6.5613993684261419E-3"/>
    <n v="972"/>
    <n v="6"/>
  </r>
  <r>
    <x v="7"/>
    <x v="130"/>
    <x v="5"/>
    <n v="0.6"/>
    <n v="1146"/>
    <n v="688"/>
  </r>
  <r>
    <x v="7"/>
    <x v="130"/>
    <x v="6"/>
    <n v="0.4"/>
    <n v="1146"/>
    <n v="458"/>
  </r>
  <r>
    <x v="7"/>
    <x v="130"/>
    <x v="7"/>
    <n v="8.5043074990725836E-4"/>
    <n v="1146"/>
    <n v="1"/>
  </r>
  <r>
    <x v="7"/>
    <x v="131"/>
    <x v="5"/>
    <n v="0.6"/>
    <n v="4174"/>
    <n v="2504"/>
  </r>
  <r>
    <x v="7"/>
    <x v="131"/>
    <x v="6"/>
    <n v="0.4"/>
    <n v="4174"/>
    <n v="1670"/>
  </r>
  <r>
    <x v="7"/>
    <x v="131"/>
    <x v="7"/>
    <n v="1.1773614793725186E-2"/>
    <n v="4174"/>
    <n v="49"/>
  </r>
  <r>
    <x v="7"/>
    <x v="132"/>
    <x v="5"/>
    <n v="0.6"/>
    <n v="1943"/>
    <n v="1166"/>
  </r>
  <r>
    <x v="7"/>
    <x v="132"/>
    <x v="6"/>
    <n v="0.4"/>
    <n v="1943"/>
    <n v="777"/>
  </r>
  <r>
    <x v="7"/>
    <x v="132"/>
    <x v="7"/>
    <n v="1.7560144113765996E-2"/>
    <n v="1943"/>
    <n v="34"/>
  </r>
  <r>
    <x v="7"/>
    <x v="133"/>
    <x v="5"/>
    <n v="0.6"/>
    <n v="1126"/>
    <n v="676"/>
  </r>
  <r>
    <x v="7"/>
    <x v="133"/>
    <x v="6"/>
    <n v="0.4"/>
    <n v="1126"/>
    <n v="450"/>
  </r>
  <r>
    <x v="7"/>
    <x v="133"/>
    <x v="7"/>
    <n v="1.4669280875069156E-2"/>
    <n v="1126"/>
    <n v="17"/>
  </r>
  <r>
    <x v="7"/>
    <x v="134"/>
    <x v="5"/>
    <n v="0.6"/>
    <n v="53026"/>
    <n v="31816"/>
  </r>
  <r>
    <x v="7"/>
    <x v="134"/>
    <x v="6"/>
    <n v="0.4"/>
    <n v="53026"/>
    <n v="21210"/>
  </r>
  <r>
    <x v="7"/>
    <x v="134"/>
    <x v="7"/>
    <n v="9.5569146227355486E-3"/>
    <n v="53026"/>
    <n v="507"/>
  </r>
  <r>
    <x v="7"/>
    <x v="135"/>
    <x v="5"/>
    <n v="0.6"/>
    <n v="4282"/>
    <n v="2569"/>
  </r>
  <r>
    <x v="7"/>
    <x v="135"/>
    <x v="6"/>
    <n v="0.4"/>
    <n v="4282"/>
    <n v="1713"/>
  </r>
  <r>
    <x v="7"/>
    <x v="135"/>
    <x v="7"/>
    <n v="9.660391859821163E-3"/>
    <n v="4282"/>
    <n v="41"/>
  </r>
  <r>
    <x v="7"/>
    <x v="136"/>
    <x v="5"/>
    <n v="0.6"/>
    <n v="1400"/>
    <n v="840"/>
  </r>
  <r>
    <x v="7"/>
    <x v="136"/>
    <x v="6"/>
    <n v="0.4"/>
    <n v="1400"/>
    <n v="560"/>
  </r>
  <r>
    <x v="7"/>
    <x v="136"/>
    <x v="7"/>
    <n v="1.5825341526905401E-2"/>
    <n v="1400"/>
    <n v="22"/>
  </r>
  <r>
    <x v="7"/>
    <x v="137"/>
    <x v="5"/>
    <n v="0.6"/>
    <n v="2652"/>
    <n v="1591"/>
  </r>
  <r>
    <x v="7"/>
    <x v="137"/>
    <x v="6"/>
    <n v="0.4"/>
    <n v="2652"/>
    <n v="1061"/>
  </r>
  <r>
    <x v="7"/>
    <x v="137"/>
    <x v="7"/>
    <n v="1.8563498258615436E-2"/>
    <n v="2652"/>
    <n v="49"/>
  </r>
  <r>
    <x v="7"/>
    <x v="138"/>
    <x v="5"/>
    <n v="0.6"/>
    <n v="1206"/>
    <n v="724"/>
  </r>
  <r>
    <x v="7"/>
    <x v="138"/>
    <x v="6"/>
    <n v="0.4"/>
    <n v="1206"/>
    <n v="482"/>
  </r>
  <r>
    <x v="7"/>
    <x v="138"/>
    <x v="7"/>
    <n v="1.8722434016502931E-2"/>
    <n v="1206"/>
    <n v="23"/>
  </r>
  <r>
    <x v="7"/>
    <x v="139"/>
    <x v="5"/>
    <n v="0.6"/>
    <n v="3020"/>
    <n v="1812"/>
  </r>
  <r>
    <x v="7"/>
    <x v="139"/>
    <x v="6"/>
    <n v="0.4"/>
    <n v="3020"/>
    <n v="1208"/>
  </r>
  <r>
    <x v="7"/>
    <x v="139"/>
    <x v="7"/>
    <n v="8.5500220410740201E-3"/>
    <n v="3020"/>
    <n v="26"/>
  </r>
  <r>
    <x v="7"/>
    <x v="140"/>
    <x v="5"/>
    <n v="0.6"/>
    <n v="1679"/>
    <n v="1007"/>
  </r>
  <r>
    <x v="7"/>
    <x v="140"/>
    <x v="6"/>
    <n v="0.4"/>
    <n v="1679"/>
    <n v="672"/>
  </r>
  <r>
    <x v="7"/>
    <x v="140"/>
    <x v="7"/>
    <n v="3.249826861981786E-4"/>
    <n v="1679"/>
    <n v="1"/>
  </r>
  <r>
    <x v="7"/>
    <x v="141"/>
    <x v="5"/>
    <n v="0.6"/>
    <n v="600"/>
    <n v="360"/>
  </r>
  <r>
    <x v="7"/>
    <x v="141"/>
    <x v="6"/>
    <n v="0.4"/>
    <n v="600"/>
    <n v="240"/>
  </r>
  <r>
    <x v="7"/>
    <x v="141"/>
    <x v="7"/>
    <n v="1.6695722013552794E-2"/>
    <n v="600"/>
    <n v="10"/>
  </r>
  <r>
    <x v="7"/>
    <x v="142"/>
    <x v="5"/>
    <n v="0.6"/>
    <n v="1899"/>
    <n v="1139"/>
  </r>
  <r>
    <x v="7"/>
    <x v="142"/>
    <x v="6"/>
    <n v="0.4"/>
    <n v="1899"/>
    <n v="760"/>
  </r>
  <r>
    <x v="7"/>
    <x v="142"/>
    <x v="7"/>
    <n v="1.5641462856143533E-2"/>
    <n v="1899"/>
    <n v="30"/>
  </r>
  <r>
    <x v="7"/>
    <x v="143"/>
    <x v="5"/>
    <n v="0.6"/>
    <n v="851"/>
    <n v="511"/>
  </r>
  <r>
    <x v="7"/>
    <x v="143"/>
    <x v="6"/>
    <n v="0.4"/>
    <n v="851"/>
    <n v="340"/>
  </r>
  <r>
    <x v="7"/>
    <x v="143"/>
    <x v="7"/>
    <n v="1.3857268186530512E-2"/>
    <n v="851"/>
    <n v="12"/>
  </r>
  <r>
    <x v="7"/>
    <x v="144"/>
    <x v="5"/>
    <n v="0.6"/>
    <n v="698"/>
    <n v="419"/>
  </r>
  <r>
    <x v="7"/>
    <x v="144"/>
    <x v="6"/>
    <n v="0.4"/>
    <n v="698"/>
    <n v="279"/>
  </r>
  <r>
    <x v="7"/>
    <x v="144"/>
    <x v="7"/>
    <n v="1.8253056072135808E-2"/>
    <n v="698"/>
    <n v="13"/>
  </r>
  <r>
    <x v="7"/>
    <x v="145"/>
    <x v="5"/>
    <n v="0.6"/>
    <n v="759"/>
    <n v="455"/>
  </r>
  <r>
    <x v="7"/>
    <x v="145"/>
    <x v="6"/>
    <n v="0.4"/>
    <n v="759"/>
    <n v="304"/>
  </r>
  <r>
    <x v="7"/>
    <x v="145"/>
    <x v="7"/>
    <n v="1.8061698489137263E-2"/>
    <n v="759"/>
    <n v="14"/>
  </r>
  <r>
    <x v="7"/>
    <x v="146"/>
    <x v="5"/>
    <n v="0.6"/>
    <n v="515"/>
    <n v="309"/>
  </r>
  <r>
    <x v="7"/>
    <x v="146"/>
    <x v="6"/>
    <n v="0.4"/>
    <n v="515"/>
    <n v="206"/>
  </r>
  <r>
    <x v="7"/>
    <x v="146"/>
    <x v="7"/>
    <n v="1.0949381839230578E-2"/>
    <n v="515"/>
    <n v="6"/>
  </r>
  <r>
    <x v="7"/>
    <x v="147"/>
    <x v="5"/>
    <n v="0.6"/>
    <n v="386"/>
    <n v="232"/>
  </r>
  <r>
    <x v="7"/>
    <x v="147"/>
    <x v="6"/>
    <n v="0.4"/>
    <n v="386"/>
    <n v="154"/>
  </r>
  <r>
    <x v="7"/>
    <x v="147"/>
    <x v="7"/>
    <n v="1.6933485132741184E-2"/>
    <n v="386"/>
    <n v="7"/>
  </r>
  <r>
    <x v="7"/>
    <x v="148"/>
    <x v="5"/>
    <n v="0.6"/>
    <n v="1007"/>
    <n v="604"/>
  </r>
  <r>
    <x v="7"/>
    <x v="148"/>
    <x v="6"/>
    <n v="0.4"/>
    <n v="1007"/>
    <n v="403"/>
  </r>
  <r>
    <x v="7"/>
    <x v="148"/>
    <x v="7"/>
    <n v="7.4537184696720354E-3"/>
    <n v="1007"/>
    <n v="8"/>
  </r>
  <r>
    <x v="7"/>
    <x v="149"/>
    <x v="5"/>
    <n v="0.6"/>
    <n v="313"/>
    <n v="188"/>
  </r>
  <r>
    <x v="7"/>
    <x v="149"/>
    <x v="6"/>
    <n v="0.4"/>
    <n v="313"/>
    <n v="125"/>
  </r>
  <r>
    <x v="7"/>
    <x v="149"/>
    <x v="7"/>
    <n v="3.5835673023301706E-3"/>
    <n v="313"/>
    <n v="1"/>
  </r>
  <r>
    <x v="7"/>
    <x v="150"/>
    <x v="5"/>
    <n v="0.6"/>
    <n v="730"/>
    <n v="438"/>
  </r>
  <r>
    <x v="7"/>
    <x v="150"/>
    <x v="6"/>
    <n v="0.4"/>
    <n v="730"/>
    <n v="292"/>
  </r>
  <r>
    <x v="7"/>
    <x v="150"/>
    <x v="7"/>
    <n v="7.9202045095485233E-3"/>
    <n v="730"/>
    <n v="6"/>
  </r>
  <r>
    <x v="7"/>
    <x v="151"/>
    <x v="5"/>
    <n v="0.6"/>
    <n v="508"/>
    <n v="305"/>
  </r>
  <r>
    <x v="7"/>
    <x v="151"/>
    <x v="6"/>
    <n v="0.4"/>
    <n v="508"/>
    <n v="203"/>
  </r>
  <r>
    <x v="7"/>
    <x v="151"/>
    <x v="7"/>
    <n v="8.2715184783348113E-3"/>
    <n v="508"/>
    <n v="4"/>
  </r>
  <r>
    <x v="7"/>
    <x v="152"/>
    <x v="5"/>
    <n v="0.6"/>
    <n v="639"/>
    <n v="383"/>
  </r>
  <r>
    <x v="7"/>
    <x v="152"/>
    <x v="6"/>
    <n v="0.4"/>
    <n v="639"/>
    <n v="256"/>
  </r>
  <r>
    <x v="7"/>
    <x v="152"/>
    <x v="7"/>
    <n v="1.9759467016572458E-2"/>
    <n v="639"/>
    <n v="13"/>
  </r>
  <r>
    <x v="7"/>
    <x v="153"/>
    <x v="5"/>
    <n v="0.6"/>
    <n v="343"/>
    <n v="206"/>
  </r>
  <r>
    <x v="7"/>
    <x v="153"/>
    <x v="6"/>
    <n v="0.4"/>
    <n v="343"/>
    <n v="137"/>
  </r>
  <r>
    <x v="7"/>
    <x v="153"/>
    <x v="7"/>
    <n v="5.9364769924460069E-3"/>
    <n v="343"/>
    <n v="2"/>
  </r>
  <r>
    <x v="7"/>
    <x v="154"/>
    <x v="5"/>
    <n v="0.6"/>
    <n v="2322"/>
    <n v="1393"/>
  </r>
  <r>
    <x v="7"/>
    <x v="154"/>
    <x v="6"/>
    <n v="0.4"/>
    <n v="2322"/>
    <n v="929"/>
  </r>
  <r>
    <x v="7"/>
    <x v="154"/>
    <x v="7"/>
    <n v="4.7827104329357748E-3"/>
    <n v="2322"/>
    <n v="11"/>
  </r>
  <r>
    <x v="7"/>
    <x v="155"/>
    <x v="5"/>
    <n v="0.6"/>
    <n v="1068"/>
    <n v="641"/>
  </r>
  <r>
    <x v="7"/>
    <x v="155"/>
    <x v="6"/>
    <n v="0.4"/>
    <n v="1068"/>
    <n v="427"/>
  </r>
  <r>
    <x v="7"/>
    <x v="155"/>
    <x v="7"/>
    <n v="1.7158149356568425E-2"/>
    <n v="1068"/>
    <n v="18"/>
  </r>
  <r>
    <x v="7"/>
    <x v="156"/>
    <x v="5"/>
    <n v="0.6"/>
    <n v="910"/>
    <n v="546"/>
  </r>
  <r>
    <x v="7"/>
    <x v="156"/>
    <x v="6"/>
    <n v="0.4"/>
    <n v="910"/>
    <n v="364"/>
  </r>
  <r>
    <x v="7"/>
    <x v="156"/>
    <x v="7"/>
    <n v="1.6397630554389139E-2"/>
    <n v="910"/>
    <n v="15"/>
  </r>
  <r>
    <x v="8"/>
    <x v="157"/>
    <x v="5"/>
    <n v="0.6"/>
    <n v="1261"/>
    <n v="757"/>
  </r>
  <r>
    <x v="8"/>
    <x v="157"/>
    <x v="6"/>
    <n v="0.4"/>
    <n v="1261"/>
    <n v="504"/>
  </r>
  <r>
    <x v="8"/>
    <x v="157"/>
    <x v="7"/>
    <n v="9.0844744535643479E-3"/>
    <n v="1261"/>
    <n v="11"/>
  </r>
  <r>
    <x v="8"/>
    <x v="158"/>
    <x v="5"/>
    <n v="0.6"/>
    <n v="2654"/>
    <n v="1592"/>
  </r>
  <r>
    <x v="8"/>
    <x v="158"/>
    <x v="6"/>
    <n v="0.4"/>
    <n v="2654"/>
    <n v="1062"/>
  </r>
  <r>
    <x v="8"/>
    <x v="158"/>
    <x v="7"/>
    <n v="8.3522429662563086E-3"/>
    <n v="2654"/>
    <n v="22"/>
  </r>
  <r>
    <x v="8"/>
    <x v="159"/>
    <x v="5"/>
    <n v="0.6"/>
    <n v="4073"/>
    <n v="2444"/>
  </r>
  <r>
    <x v="8"/>
    <x v="159"/>
    <x v="6"/>
    <n v="0.4"/>
    <n v="4073"/>
    <n v="1629"/>
  </r>
  <r>
    <x v="8"/>
    <x v="159"/>
    <x v="7"/>
    <n v="1.9361974541401105E-2"/>
    <n v="4073"/>
    <n v="79"/>
  </r>
  <r>
    <x v="8"/>
    <x v="160"/>
    <x v="5"/>
    <n v="0.6"/>
    <n v="4851"/>
    <n v="2911"/>
  </r>
  <r>
    <x v="8"/>
    <x v="160"/>
    <x v="6"/>
    <n v="0.4"/>
    <n v="4851"/>
    <n v="1940"/>
  </r>
  <r>
    <x v="8"/>
    <x v="160"/>
    <x v="7"/>
    <n v="5.670725756666644E-3"/>
    <n v="4851"/>
    <n v="28"/>
  </r>
  <r>
    <x v="8"/>
    <x v="161"/>
    <x v="5"/>
    <n v="0.6"/>
    <n v="1949"/>
    <n v="1169"/>
  </r>
  <r>
    <x v="8"/>
    <x v="161"/>
    <x v="6"/>
    <n v="0.4"/>
    <n v="1949"/>
    <n v="780"/>
  </r>
  <r>
    <x v="8"/>
    <x v="161"/>
    <x v="7"/>
    <n v="1.7520811323032279E-2"/>
    <n v="1949"/>
    <n v="34"/>
  </r>
  <r>
    <x v="8"/>
    <x v="162"/>
    <x v="5"/>
    <n v="0.6"/>
    <n v="3728"/>
    <n v="2237"/>
  </r>
  <r>
    <x v="8"/>
    <x v="162"/>
    <x v="6"/>
    <n v="0.4"/>
    <n v="3728"/>
    <n v="1491"/>
  </r>
  <r>
    <x v="8"/>
    <x v="162"/>
    <x v="7"/>
    <n v="5.7682306895122789E-3"/>
    <n v="3728"/>
    <n v="22"/>
  </r>
  <r>
    <x v="8"/>
    <x v="163"/>
    <x v="5"/>
    <n v="0.6"/>
    <n v="1102"/>
    <n v="661"/>
  </r>
  <r>
    <x v="8"/>
    <x v="163"/>
    <x v="6"/>
    <n v="0.4"/>
    <n v="1102"/>
    <n v="441"/>
  </r>
  <r>
    <x v="8"/>
    <x v="163"/>
    <x v="7"/>
    <n v="2.9372921614502293E-3"/>
    <n v="1102"/>
    <n v="3"/>
  </r>
  <r>
    <x v="8"/>
    <x v="164"/>
    <x v="5"/>
    <n v="0.6"/>
    <n v="20991"/>
    <n v="12595"/>
  </r>
  <r>
    <x v="8"/>
    <x v="164"/>
    <x v="6"/>
    <n v="0.4"/>
    <n v="20991"/>
    <n v="8396"/>
  </r>
  <r>
    <x v="8"/>
    <x v="164"/>
    <x v="7"/>
    <n v="1.5095458464039587E-2"/>
    <n v="20991"/>
    <n v="317"/>
  </r>
  <r>
    <x v="8"/>
    <x v="165"/>
    <x v="5"/>
    <n v="0.6"/>
    <n v="1034"/>
    <n v="620"/>
  </r>
  <r>
    <x v="8"/>
    <x v="165"/>
    <x v="6"/>
    <n v="0.4"/>
    <n v="1034"/>
    <n v="414"/>
  </r>
  <r>
    <x v="8"/>
    <x v="165"/>
    <x v="7"/>
    <n v="1.2220401412077015E-2"/>
    <n v="1034"/>
    <n v="13"/>
  </r>
  <r>
    <x v="8"/>
    <x v="166"/>
    <x v="5"/>
    <n v="0.6"/>
    <n v="1348"/>
    <n v="809"/>
  </r>
  <r>
    <x v="8"/>
    <x v="166"/>
    <x v="6"/>
    <n v="0.4"/>
    <n v="1348"/>
    <n v="539"/>
  </r>
  <r>
    <x v="8"/>
    <x v="166"/>
    <x v="7"/>
    <n v="1.5630717181765608E-2"/>
    <n v="1348"/>
    <n v="21"/>
  </r>
  <r>
    <x v="8"/>
    <x v="167"/>
    <x v="5"/>
    <n v="0.6"/>
    <n v="715"/>
    <n v="429"/>
  </r>
  <r>
    <x v="8"/>
    <x v="167"/>
    <x v="6"/>
    <n v="0.4"/>
    <n v="715"/>
    <n v="286"/>
  </r>
  <r>
    <x v="8"/>
    <x v="167"/>
    <x v="7"/>
    <n v="1.3349577494414868E-2"/>
    <n v="715"/>
    <n v="10"/>
  </r>
  <r>
    <x v="8"/>
    <x v="168"/>
    <x v="5"/>
    <n v="0.6"/>
    <n v="481"/>
    <n v="289"/>
  </r>
  <r>
    <x v="8"/>
    <x v="168"/>
    <x v="6"/>
    <n v="0.4"/>
    <n v="481"/>
    <n v="192"/>
  </r>
  <r>
    <x v="8"/>
    <x v="168"/>
    <x v="7"/>
    <n v="1.0999644593200278E-2"/>
    <n v="481"/>
    <n v="5"/>
  </r>
  <r>
    <x v="8"/>
    <x v="169"/>
    <x v="5"/>
    <n v="0.6"/>
    <n v="566"/>
    <n v="340"/>
  </r>
  <r>
    <x v="8"/>
    <x v="169"/>
    <x v="6"/>
    <n v="0.4"/>
    <n v="566"/>
    <n v="226"/>
  </r>
  <r>
    <x v="8"/>
    <x v="169"/>
    <x v="7"/>
    <n v="1.9616301409003178E-2"/>
    <n v="566"/>
    <n v="11"/>
  </r>
  <r>
    <x v="8"/>
    <x v="170"/>
    <x v="5"/>
    <n v="0.6"/>
    <n v="279"/>
    <n v="167"/>
  </r>
  <r>
    <x v="8"/>
    <x v="170"/>
    <x v="6"/>
    <n v="0.4"/>
    <n v="279"/>
    <n v="112"/>
  </r>
  <r>
    <x v="8"/>
    <x v="170"/>
    <x v="7"/>
    <n v="1.0918029853661094E-2"/>
    <n v="279"/>
    <n v="3"/>
  </r>
  <r>
    <x v="8"/>
    <x v="171"/>
    <x v="5"/>
    <n v="0.6"/>
    <n v="368"/>
    <n v="221"/>
  </r>
  <r>
    <x v="8"/>
    <x v="171"/>
    <x v="6"/>
    <n v="0.4"/>
    <n v="368"/>
    <n v="147"/>
  </r>
  <r>
    <x v="8"/>
    <x v="171"/>
    <x v="7"/>
    <n v="2.7017966250094806E-3"/>
    <n v="368"/>
    <n v="1"/>
  </r>
  <r>
    <x v="8"/>
    <x v="172"/>
    <x v="5"/>
    <n v="0.6"/>
    <n v="543"/>
    <n v="326"/>
  </r>
  <r>
    <x v="8"/>
    <x v="172"/>
    <x v="6"/>
    <n v="0.4"/>
    <n v="543"/>
    <n v="217"/>
  </r>
  <r>
    <x v="8"/>
    <x v="172"/>
    <x v="7"/>
    <n v="3.5338958389387921E-3"/>
    <n v="543"/>
    <n v="2"/>
  </r>
  <r>
    <x v="8"/>
    <x v="173"/>
    <x v="5"/>
    <n v="0.6"/>
    <n v="378"/>
    <n v="227"/>
  </r>
  <r>
    <x v="8"/>
    <x v="173"/>
    <x v="6"/>
    <n v="0.4"/>
    <n v="378"/>
    <n v="151"/>
  </r>
  <r>
    <x v="8"/>
    <x v="173"/>
    <x v="7"/>
    <n v="1.6135940459444515E-2"/>
    <n v="378"/>
    <n v="6"/>
  </r>
  <r>
    <x v="8"/>
    <x v="174"/>
    <x v="5"/>
    <n v="0.6"/>
    <n v="320"/>
    <n v="192"/>
  </r>
  <r>
    <x v="8"/>
    <x v="174"/>
    <x v="6"/>
    <n v="0.4"/>
    <n v="320"/>
    <n v="128"/>
  </r>
  <r>
    <x v="8"/>
    <x v="174"/>
    <x v="7"/>
    <n v="5.1339429248193236E-4"/>
    <n v="320"/>
    <n v="0"/>
  </r>
  <r>
    <x v="8"/>
    <x v="175"/>
    <x v="5"/>
    <n v="0.6"/>
    <n v="265"/>
    <n v="159"/>
  </r>
  <r>
    <x v="8"/>
    <x v="175"/>
    <x v="6"/>
    <n v="0.4"/>
    <n v="265"/>
    <n v="106"/>
  </r>
  <r>
    <x v="8"/>
    <x v="175"/>
    <x v="7"/>
    <n v="2.641740100436787E-3"/>
    <n v="265"/>
    <n v="1"/>
  </r>
  <r>
    <x v="8"/>
    <x v="176"/>
    <x v="5"/>
    <n v="0.6"/>
    <n v="487"/>
    <n v="292"/>
  </r>
  <r>
    <x v="8"/>
    <x v="176"/>
    <x v="6"/>
    <n v="0.4"/>
    <n v="487"/>
    <n v="195"/>
  </r>
  <r>
    <x v="8"/>
    <x v="176"/>
    <x v="7"/>
    <n v="1.8040610649458614E-2"/>
    <n v="487"/>
    <n v="9"/>
  </r>
  <r>
    <x v="8"/>
    <x v="177"/>
    <x v="5"/>
    <n v="0.6"/>
    <n v="426"/>
    <n v="256"/>
  </r>
  <r>
    <x v="8"/>
    <x v="177"/>
    <x v="6"/>
    <n v="0.4"/>
    <n v="426"/>
    <n v="170"/>
  </r>
  <r>
    <x v="8"/>
    <x v="177"/>
    <x v="7"/>
    <n v="9.5533062654438589E-3"/>
    <n v="426"/>
    <n v="4"/>
  </r>
  <r>
    <x v="8"/>
    <x v="178"/>
    <x v="5"/>
    <n v="0.6"/>
    <n v="151"/>
    <n v="91"/>
  </r>
  <r>
    <x v="8"/>
    <x v="178"/>
    <x v="6"/>
    <n v="0.4"/>
    <n v="151"/>
    <n v="60"/>
  </r>
  <r>
    <x v="8"/>
    <x v="178"/>
    <x v="7"/>
    <n v="2.7278778656468928E-3"/>
    <n v="151"/>
    <n v="0"/>
  </r>
  <r>
    <x v="8"/>
    <x v="179"/>
    <x v="5"/>
    <n v="0.6"/>
    <n v="481"/>
    <n v="289"/>
  </r>
  <r>
    <x v="8"/>
    <x v="179"/>
    <x v="6"/>
    <n v="0.4"/>
    <n v="481"/>
    <n v="192"/>
  </r>
  <r>
    <x v="8"/>
    <x v="179"/>
    <x v="7"/>
    <n v="1.6590974929708992E-2"/>
    <n v="481"/>
    <n v="8"/>
  </r>
  <r>
    <x v="9"/>
    <x v="180"/>
    <x v="5"/>
    <n v="0.6"/>
    <n v="2213"/>
    <n v="1328"/>
  </r>
  <r>
    <x v="9"/>
    <x v="180"/>
    <x v="6"/>
    <n v="0.4"/>
    <n v="2213"/>
    <n v="885"/>
  </r>
  <r>
    <x v="9"/>
    <x v="180"/>
    <x v="7"/>
    <n v="5.7092567579271813E-3"/>
    <n v="2213"/>
    <n v="13"/>
  </r>
  <r>
    <x v="9"/>
    <x v="181"/>
    <x v="5"/>
    <n v="0.6"/>
    <n v="944"/>
    <n v="566"/>
  </r>
  <r>
    <x v="9"/>
    <x v="181"/>
    <x v="6"/>
    <n v="0.4"/>
    <n v="944"/>
    <n v="378"/>
  </r>
  <r>
    <x v="9"/>
    <x v="181"/>
    <x v="7"/>
    <n v="1.3657774011177265E-2"/>
    <n v="944"/>
    <n v="13"/>
  </r>
  <r>
    <x v="9"/>
    <x v="182"/>
    <x v="5"/>
    <n v="0.6"/>
    <n v="1504"/>
    <n v="902"/>
  </r>
  <r>
    <x v="9"/>
    <x v="182"/>
    <x v="6"/>
    <n v="0.4"/>
    <n v="1504"/>
    <n v="602"/>
  </r>
  <r>
    <x v="9"/>
    <x v="182"/>
    <x v="7"/>
    <n v="1.8237716053431784E-2"/>
    <n v="1504"/>
    <n v="27"/>
  </r>
  <r>
    <x v="9"/>
    <x v="183"/>
    <x v="5"/>
    <n v="0.6"/>
    <n v="1058"/>
    <n v="635"/>
  </r>
  <r>
    <x v="9"/>
    <x v="183"/>
    <x v="6"/>
    <n v="0.4"/>
    <n v="1058"/>
    <n v="423"/>
  </r>
  <r>
    <x v="9"/>
    <x v="183"/>
    <x v="7"/>
    <n v="1.1565341203972488E-2"/>
    <n v="1058"/>
    <n v="12"/>
  </r>
  <r>
    <x v="9"/>
    <x v="184"/>
    <x v="5"/>
    <n v="0.6"/>
    <n v="5447"/>
    <n v="3268"/>
  </r>
  <r>
    <x v="9"/>
    <x v="184"/>
    <x v="6"/>
    <n v="0.4"/>
    <n v="5447"/>
    <n v="2179"/>
  </r>
  <r>
    <x v="9"/>
    <x v="184"/>
    <x v="7"/>
    <n v="1.8963367542060891E-2"/>
    <n v="5447"/>
    <n v="103"/>
  </r>
  <r>
    <x v="9"/>
    <x v="185"/>
    <x v="5"/>
    <n v="0.6"/>
    <n v="2342"/>
    <n v="1405"/>
  </r>
  <r>
    <x v="9"/>
    <x v="185"/>
    <x v="6"/>
    <n v="0.4"/>
    <n v="2342"/>
    <n v="937"/>
  </r>
  <r>
    <x v="9"/>
    <x v="185"/>
    <x v="7"/>
    <n v="1.1126804581891891E-2"/>
    <n v="2342"/>
    <n v="26"/>
  </r>
  <r>
    <x v="9"/>
    <x v="186"/>
    <x v="5"/>
    <n v="0.6"/>
    <n v="2329"/>
    <n v="1397"/>
  </r>
  <r>
    <x v="9"/>
    <x v="186"/>
    <x v="6"/>
    <n v="0.4"/>
    <n v="2329"/>
    <n v="932"/>
  </r>
  <r>
    <x v="9"/>
    <x v="186"/>
    <x v="7"/>
    <n v="1.6964914423965177E-2"/>
    <n v="2329"/>
    <n v="40"/>
  </r>
  <r>
    <x v="9"/>
    <x v="187"/>
    <x v="5"/>
    <n v="0.6"/>
    <n v="1919"/>
    <n v="1151"/>
  </r>
  <r>
    <x v="9"/>
    <x v="187"/>
    <x v="6"/>
    <n v="0.4"/>
    <n v="1919"/>
    <n v="768"/>
  </r>
  <r>
    <x v="9"/>
    <x v="187"/>
    <x v="7"/>
    <n v="1.6679028925559239E-2"/>
    <n v="1919"/>
    <n v="32"/>
  </r>
  <r>
    <x v="9"/>
    <x v="188"/>
    <x v="5"/>
    <n v="0.6"/>
    <n v="64758"/>
    <n v="38855"/>
  </r>
  <r>
    <x v="9"/>
    <x v="188"/>
    <x v="6"/>
    <n v="0.4"/>
    <n v="64758"/>
    <n v="25903"/>
  </r>
  <r>
    <x v="9"/>
    <x v="188"/>
    <x v="7"/>
    <n v="9.7938824053154603E-3"/>
    <n v="64758"/>
    <n v="634"/>
  </r>
  <r>
    <x v="9"/>
    <x v="189"/>
    <x v="5"/>
    <n v="0.6"/>
    <n v="5469"/>
    <n v="3281"/>
  </r>
  <r>
    <x v="9"/>
    <x v="189"/>
    <x v="6"/>
    <n v="0.4"/>
    <n v="5469"/>
    <n v="2188"/>
  </r>
  <r>
    <x v="9"/>
    <x v="189"/>
    <x v="7"/>
    <n v="1.4450996003589707E-2"/>
    <n v="5469"/>
    <n v="79"/>
  </r>
  <r>
    <x v="9"/>
    <x v="190"/>
    <x v="5"/>
    <n v="0.6"/>
    <n v="1784"/>
    <n v="1070"/>
  </r>
  <r>
    <x v="9"/>
    <x v="190"/>
    <x v="6"/>
    <n v="0.4"/>
    <n v="1784"/>
    <n v="714"/>
  </r>
  <r>
    <x v="9"/>
    <x v="190"/>
    <x v="7"/>
    <n v="1.9348028723284172E-2"/>
    <n v="1784"/>
    <n v="35"/>
  </r>
  <r>
    <x v="9"/>
    <x v="191"/>
    <x v="5"/>
    <n v="0.6"/>
    <n v="2941"/>
    <n v="1765"/>
  </r>
  <r>
    <x v="9"/>
    <x v="191"/>
    <x v="6"/>
    <n v="0.4"/>
    <n v="2941"/>
    <n v="1176"/>
  </r>
  <r>
    <x v="9"/>
    <x v="191"/>
    <x v="7"/>
    <n v="1.1148303481919928E-2"/>
    <n v="2941"/>
    <n v="33"/>
  </r>
  <r>
    <x v="9"/>
    <x v="192"/>
    <x v="5"/>
    <n v="0.6"/>
    <n v="1326"/>
    <n v="796"/>
  </r>
  <r>
    <x v="9"/>
    <x v="192"/>
    <x v="6"/>
    <n v="0.4"/>
    <n v="1326"/>
    <n v="530"/>
  </r>
  <r>
    <x v="9"/>
    <x v="192"/>
    <x v="7"/>
    <n v="5.3263183728734179E-3"/>
    <n v="1326"/>
    <n v="7"/>
  </r>
  <r>
    <x v="9"/>
    <x v="193"/>
    <x v="5"/>
    <n v="0.6"/>
    <n v="1459"/>
    <n v="875"/>
  </r>
  <r>
    <x v="9"/>
    <x v="193"/>
    <x v="6"/>
    <n v="0.4"/>
    <n v="1459"/>
    <n v="584"/>
  </r>
  <r>
    <x v="9"/>
    <x v="193"/>
    <x v="7"/>
    <n v="1.0405557140091474E-2"/>
    <n v="1459"/>
    <n v="15"/>
  </r>
  <r>
    <x v="9"/>
    <x v="194"/>
    <x v="5"/>
    <n v="0.6"/>
    <n v="1130"/>
    <n v="678"/>
  </r>
  <r>
    <x v="9"/>
    <x v="194"/>
    <x v="6"/>
    <n v="0.4"/>
    <n v="1130"/>
    <n v="452"/>
  </r>
  <r>
    <x v="9"/>
    <x v="194"/>
    <x v="7"/>
    <n v="1.2713920665336562E-2"/>
    <n v="1130"/>
    <n v="14"/>
  </r>
  <r>
    <x v="9"/>
    <x v="195"/>
    <x v="5"/>
    <n v="0.6"/>
    <n v="498"/>
    <n v="299"/>
  </r>
  <r>
    <x v="9"/>
    <x v="195"/>
    <x v="6"/>
    <n v="0.4"/>
    <n v="498"/>
    <n v="199"/>
  </r>
  <r>
    <x v="9"/>
    <x v="195"/>
    <x v="7"/>
    <n v="1.7993644127161923E-2"/>
    <n v="498"/>
    <n v="9"/>
  </r>
  <r>
    <x v="9"/>
    <x v="196"/>
    <x v="5"/>
    <n v="0.6"/>
    <n v="518"/>
    <n v="311"/>
  </r>
  <r>
    <x v="9"/>
    <x v="196"/>
    <x v="6"/>
    <n v="0.4"/>
    <n v="518"/>
    <n v="207"/>
  </r>
  <r>
    <x v="9"/>
    <x v="196"/>
    <x v="7"/>
    <n v="1.2247472939487244E-2"/>
    <n v="518"/>
    <n v="6"/>
  </r>
  <r>
    <x v="9"/>
    <x v="197"/>
    <x v="5"/>
    <n v="0.6"/>
    <n v="369"/>
    <n v="221"/>
  </r>
  <r>
    <x v="9"/>
    <x v="197"/>
    <x v="6"/>
    <n v="0.4"/>
    <n v="369"/>
    <n v="148"/>
  </r>
  <r>
    <x v="9"/>
    <x v="197"/>
    <x v="7"/>
    <n v="1.9767241988789756E-2"/>
    <n v="369"/>
    <n v="7"/>
  </r>
  <r>
    <x v="9"/>
    <x v="198"/>
    <x v="5"/>
    <n v="0.6"/>
    <n v="423"/>
    <n v="254"/>
  </r>
  <r>
    <x v="9"/>
    <x v="198"/>
    <x v="6"/>
    <n v="0.4"/>
    <n v="423"/>
    <n v="169"/>
  </r>
  <r>
    <x v="9"/>
    <x v="198"/>
    <x v="7"/>
    <n v="6.8231852009114219E-3"/>
    <n v="423"/>
    <n v="3"/>
  </r>
  <r>
    <x v="9"/>
    <x v="199"/>
    <x v="5"/>
    <n v="0.6"/>
    <n v="413"/>
    <n v="248"/>
  </r>
  <r>
    <x v="9"/>
    <x v="199"/>
    <x v="6"/>
    <n v="0.4"/>
    <n v="413"/>
    <n v="165"/>
  </r>
  <r>
    <x v="9"/>
    <x v="199"/>
    <x v="7"/>
    <n v="1.1560985757568148E-2"/>
    <n v="413"/>
    <n v="5"/>
  </r>
  <r>
    <x v="9"/>
    <x v="200"/>
    <x v="5"/>
    <n v="0.6"/>
    <n v="623"/>
    <n v="374"/>
  </r>
  <r>
    <x v="9"/>
    <x v="200"/>
    <x v="6"/>
    <n v="0.4"/>
    <n v="623"/>
    <n v="249"/>
  </r>
  <r>
    <x v="9"/>
    <x v="200"/>
    <x v="7"/>
    <n v="1.8290614614278417E-2"/>
    <n v="623"/>
    <n v="11"/>
  </r>
  <r>
    <x v="9"/>
    <x v="201"/>
    <x v="5"/>
    <n v="0.6"/>
    <n v="521"/>
    <n v="313"/>
  </r>
  <r>
    <x v="9"/>
    <x v="201"/>
    <x v="6"/>
    <n v="0.4"/>
    <n v="521"/>
    <n v="208"/>
  </r>
  <r>
    <x v="9"/>
    <x v="201"/>
    <x v="7"/>
    <n v="1.3375215921877702E-2"/>
    <n v="521"/>
    <n v="7"/>
  </r>
  <r>
    <x v="9"/>
    <x v="202"/>
    <x v="5"/>
    <n v="0.6"/>
    <n v="738"/>
    <n v="443"/>
  </r>
  <r>
    <x v="9"/>
    <x v="202"/>
    <x v="6"/>
    <n v="0.4"/>
    <n v="738"/>
    <n v="295"/>
  </r>
  <r>
    <x v="9"/>
    <x v="202"/>
    <x v="7"/>
    <n v="1.7905962586707469E-3"/>
    <n v="738"/>
    <n v="1"/>
  </r>
  <r>
    <x v="9"/>
    <x v="203"/>
    <x v="5"/>
    <n v="0.6"/>
    <n v="466"/>
    <n v="280"/>
  </r>
  <r>
    <x v="9"/>
    <x v="203"/>
    <x v="6"/>
    <n v="0.4"/>
    <n v="466"/>
    <n v="186"/>
  </r>
  <r>
    <x v="9"/>
    <x v="203"/>
    <x v="7"/>
    <n v="7.7832598878527981E-3"/>
    <n v="466"/>
    <n v="4"/>
  </r>
  <r>
    <x v="9"/>
    <x v="204"/>
    <x v="5"/>
    <n v="0.6"/>
    <n v="839"/>
    <n v="503"/>
  </r>
  <r>
    <x v="9"/>
    <x v="204"/>
    <x v="6"/>
    <n v="0.4"/>
    <n v="839"/>
    <n v="336"/>
  </r>
  <r>
    <x v="9"/>
    <x v="204"/>
    <x v="7"/>
    <n v="1.6986948970024753E-2"/>
    <n v="839"/>
    <n v="14"/>
  </r>
  <r>
    <x v="9"/>
    <x v="205"/>
    <x v="5"/>
    <n v="0.6"/>
    <n v="2437"/>
    <n v="1462"/>
  </r>
  <r>
    <x v="9"/>
    <x v="205"/>
    <x v="6"/>
    <n v="0.4"/>
    <n v="2437"/>
    <n v="975"/>
  </r>
  <r>
    <x v="9"/>
    <x v="205"/>
    <x v="7"/>
    <n v="3.3016319977255382E-3"/>
    <n v="2437"/>
    <n v="8"/>
  </r>
  <r>
    <x v="9"/>
    <x v="206"/>
    <x v="5"/>
    <n v="0.6"/>
    <n v="392"/>
    <n v="235"/>
  </r>
  <r>
    <x v="9"/>
    <x v="206"/>
    <x v="6"/>
    <n v="0.4"/>
    <n v="392"/>
    <n v="157"/>
  </r>
  <r>
    <x v="9"/>
    <x v="206"/>
    <x v="7"/>
    <n v="9.33842587828408E-3"/>
    <n v="392"/>
    <n v="4"/>
  </r>
  <r>
    <x v="9"/>
    <x v="207"/>
    <x v="5"/>
    <n v="0.6"/>
    <n v="226"/>
    <n v="136"/>
  </r>
  <r>
    <x v="9"/>
    <x v="207"/>
    <x v="6"/>
    <n v="0.4"/>
    <n v="226"/>
    <n v="90"/>
  </r>
  <r>
    <x v="9"/>
    <x v="207"/>
    <x v="7"/>
    <n v="1.0135034211972663E-2"/>
    <n v="226"/>
    <n v="2"/>
  </r>
  <r>
    <x v="10"/>
    <x v="208"/>
    <x v="5"/>
    <n v="0.6"/>
    <n v="767"/>
    <n v="460"/>
  </r>
  <r>
    <x v="10"/>
    <x v="208"/>
    <x v="6"/>
    <n v="0.4"/>
    <n v="767"/>
    <n v="307"/>
  </r>
  <r>
    <x v="10"/>
    <x v="208"/>
    <x v="7"/>
    <n v="3.36478090211801E-3"/>
    <n v="767"/>
    <n v="3"/>
  </r>
  <r>
    <x v="10"/>
    <x v="209"/>
    <x v="5"/>
    <n v="0.6"/>
    <n v="55583"/>
    <n v="33350"/>
  </r>
  <r>
    <x v="10"/>
    <x v="209"/>
    <x v="6"/>
    <n v="0.4"/>
    <n v="55583"/>
    <n v="22233"/>
  </r>
  <r>
    <x v="10"/>
    <x v="209"/>
    <x v="7"/>
    <n v="1.8197373827713238E-2"/>
    <n v="55583"/>
    <n v="1011"/>
  </r>
  <r>
    <x v="10"/>
    <x v="210"/>
    <x v="5"/>
    <n v="0.6"/>
    <n v="1510"/>
    <n v="906"/>
  </r>
  <r>
    <x v="10"/>
    <x v="210"/>
    <x v="6"/>
    <n v="0.4"/>
    <n v="1510"/>
    <n v="604"/>
  </r>
  <r>
    <x v="10"/>
    <x v="210"/>
    <x v="7"/>
    <n v="1.2184539186703097E-2"/>
    <n v="1510"/>
    <n v="18"/>
  </r>
  <r>
    <x v="10"/>
    <x v="211"/>
    <x v="5"/>
    <n v="0.6"/>
    <n v="886"/>
    <n v="532"/>
  </r>
  <r>
    <x v="10"/>
    <x v="211"/>
    <x v="6"/>
    <n v="0.4"/>
    <n v="886"/>
    <n v="354"/>
  </r>
  <r>
    <x v="10"/>
    <x v="211"/>
    <x v="7"/>
    <n v="5.3980138424470248E-4"/>
    <n v="886"/>
    <n v="0"/>
  </r>
  <r>
    <x v="10"/>
    <x v="212"/>
    <x v="5"/>
    <n v="0.6"/>
    <n v="1037"/>
    <n v="622"/>
  </r>
  <r>
    <x v="10"/>
    <x v="212"/>
    <x v="6"/>
    <n v="0.4"/>
    <n v="1037"/>
    <n v="415"/>
  </r>
  <r>
    <x v="10"/>
    <x v="212"/>
    <x v="7"/>
    <n v="1.6593331874325667E-2"/>
    <n v="1037"/>
    <n v="17"/>
  </r>
  <r>
    <x v="10"/>
    <x v="213"/>
    <x v="5"/>
    <n v="0.6"/>
    <n v="938"/>
    <n v="563"/>
  </r>
  <r>
    <x v="10"/>
    <x v="213"/>
    <x v="6"/>
    <n v="0.4"/>
    <n v="938"/>
    <n v="375"/>
  </r>
  <r>
    <x v="10"/>
    <x v="213"/>
    <x v="7"/>
    <n v="1.8979882864572958E-2"/>
    <n v="938"/>
    <n v="18"/>
  </r>
  <r>
    <x v="10"/>
    <x v="214"/>
    <x v="5"/>
    <n v="0.6"/>
    <n v="709"/>
    <n v="425"/>
  </r>
  <r>
    <x v="10"/>
    <x v="214"/>
    <x v="6"/>
    <n v="0.4"/>
    <n v="709"/>
    <n v="284"/>
  </r>
  <r>
    <x v="10"/>
    <x v="214"/>
    <x v="7"/>
    <n v="1.4550829855881877E-2"/>
    <n v="709"/>
    <n v="10"/>
  </r>
  <r>
    <x v="10"/>
    <x v="215"/>
    <x v="5"/>
    <n v="0.6"/>
    <n v="2473"/>
    <n v="1484"/>
  </r>
  <r>
    <x v="10"/>
    <x v="215"/>
    <x v="6"/>
    <n v="0.4"/>
    <n v="2473"/>
    <n v="989"/>
  </r>
  <r>
    <x v="10"/>
    <x v="215"/>
    <x v="7"/>
    <n v="5.7599912988458611E-3"/>
    <n v="2473"/>
    <n v="14"/>
  </r>
  <r>
    <x v="10"/>
    <x v="216"/>
    <x v="5"/>
    <n v="0.6"/>
    <n v="1922"/>
    <n v="1153"/>
  </r>
  <r>
    <x v="10"/>
    <x v="216"/>
    <x v="6"/>
    <n v="0.4"/>
    <n v="1922"/>
    <n v="769"/>
  </r>
  <r>
    <x v="10"/>
    <x v="216"/>
    <x v="7"/>
    <n v="1.3103296310165345E-2"/>
    <n v="1922"/>
    <n v="25"/>
  </r>
  <r>
    <x v="10"/>
    <x v="432"/>
    <x v="5"/>
    <n v="0.6"/>
    <n v="11701"/>
    <n v="7021"/>
  </r>
  <r>
    <x v="10"/>
    <x v="432"/>
    <x v="6"/>
    <n v="0.4"/>
    <n v="11701"/>
    <n v="4680"/>
  </r>
  <r>
    <x v="10"/>
    <x v="432"/>
    <x v="7"/>
    <n v="1.2830535395576903E-3"/>
    <n v="11701"/>
    <n v="15"/>
  </r>
  <r>
    <x v="10"/>
    <x v="218"/>
    <x v="5"/>
    <n v="0.6"/>
    <n v="1158"/>
    <n v="695"/>
  </r>
  <r>
    <x v="10"/>
    <x v="218"/>
    <x v="6"/>
    <n v="0.4"/>
    <n v="1158"/>
    <n v="463"/>
  </r>
  <r>
    <x v="10"/>
    <x v="218"/>
    <x v="7"/>
    <n v="3.3535395654362412E-3"/>
    <n v="1158"/>
    <n v="4"/>
  </r>
  <r>
    <x v="10"/>
    <x v="219"/>
    <x v="5"/>
    <n v="0.6"/>
    <n v="2936"/>
    <n v="1762"/>
  </r>
  <r>
    <x v="10"/>
    <x v="219"/>
    <x v="6"/>
    <n v="0.4"/>
    <n v="2936"/>
    <n v="1174"/>
  </r>
  <r>
    <x v="10"/>
    <x v="219"/>
    <x v="7"/>
    <n v="2.7511660938472284E-3"/>
    <n v="2936"/>
    <n v="8"/>
  </r>
  <r>
    <x v="10"/>
    <x v="220"/>
    <x v="5"/>
    <n v="0.6"/>
    <n v="341"/>
    <n v="205"/>
  </r>
  <r>
    <x v="10"/>
    <x v="220"/>
    <x v="6"/>
    <n v="0.4"/>
    <n v="341"/>
    <n v="136"/>
  </r>
  <r>
    <x v="10"/>
    <x v="220"/>
    <x v="7"/>
    <n v="2.8177762740756829E-3"/>
    <n v="341"/>
    <n v="1"/>
  </r>
  <r>
    <x v="10"/>
    <x v="221"/>
    <x v="5"/>
    <n v="0.6"/>
    <n v="1953"/>
    <n v="1172"/>
  </r>
  <r>
    <x v="10"/>
    <x v="221"/>
    <x v="6"/>
    <n v="0.4"/>
    <n v="1953"/>
    <n v="781"/>
  </r>
  <r>
    <x v="10"/>
    <x v="221"/>
    <x v="7"/>
    <n v="9.3940669344633517E-3"/>
    <n v="1953"/>
    <n v="18"/>
  </r>
  <r>
    <x v="10"/>
    <x v="222"/>
    <x v="5"/>
    <n v="0.6"/>
    <n v="847"/>
    <n v="508"/>
  </r>
  <r>
    <x v="10"/>
    <x v="222"/>
    <x v="6"/>
    <n v="0.4"/>
    <n v="847"/>
    <n v="339"/>
  </r>
  <r>
    <x v="10"/>
    <x v="222"/>
    <x v="7"/>
    <n v="1.4659667624142305E-2"/>
    <n v="847"/>
    <n v="12"/>
  </r>
  <r>
    <x v="10"/>
    <x v="223"/>
    <x v="5"/>
    <n v="0.6"/>
    <n v="1322"/>
    <n v="793"/>
  </r>
  <r>
    <x v="10"/>
    <x v="223"/>
    <x v="6"/>
    <n v="0.4"/>
    <n v="1322"/>
    <n v="529"/>
  </r>
  <r>
    <x v="10"/>
    <x v="223"/>
    <x v="7"/>
    <n v="1.220656428419741E-2"/>
    <n v="1322"/>
    <n v="16"/>
  </r>
  <r>
    <x v="10"/>
    <x v="433"/>
    <x v="5"/>
    <n v="0.6"/>
    <n v="11701"/>
    <n v="7021"/>
  </r>
  <r>
    <x v="10"/>
    <x v="433"/>
    <x v="6"/>
    <n v="0.4"/>
    <n v="11701"/>
    <n v="4680"/>
  </r>
  <r>
    <x v="10"/>
    <x v="433"/>
    <x v="7"/>
    <n v="1.7646796565937203E-2"/>
    <n v="11701"/>
    <n v="206"/>
  </r>
  <r>
    <x v="10"/>
    <x v="225"/>
    <x v="5"/>
    <n v="0.6"/>
    <n v="268"/>
    <n v="161"/>
  </r>
  <r>
    <x v="10"/>
    <x v="225"/>
    <x v="6"/>
    <n v="0.4"/>
    <n v="268"/>
    <n v="107"/>
  </r>
  <r>
    <x v="10"/>
    <x v="225"/>
    <x v="7"/>
    <n v="1.2000047199709268E-2"/>
    <n v="268"/>
    <n v="3"/>
  </r>
  <r>
    <x v="10"/>
    <x v="226"/>
    <x v="5"/>
    <n v="0.6"/>
    <n v="560"/>
    <n v="336"/>
  </r>
  <r>
    <x v="10"/>
    <x v="226"/>
    <x v="6"/>
    <n v="0.4"/>
    <n v="560"/>
    <n v="224"/>
  </r>
  <r>
    <x v="10"/>
    <x v="226"/>
    <x v="7"/>
    <n v="1.6302898161953516E-2"/>
    <n v="560"/>
    <n v="9"/>
  </r>
  <r>
    <x v="10"/>
    <x v="227"/>
    <x v="5"/>
    <n v="0.6"/>
    <n v="524"/>
    <n v="314"/>
  </r>
  <r>
    <x v="10"/>
    <x v="227"/>
    <x v="6"/>
    <n v="0.4"/>
    <n v="524"/>
    <n v="210"/>
  </r>
  <r>
    <x v="10"/>
    <x v="227"/>
    <x v="7"/>
    <n v="1.5582141784450134E-2"/>
    <n v="524"/>
    <n v="8"/>
  </r>
  <r>
    <x v="10"/>
    <x v="228"/>
    <x v="5"/>
    <n v="0.6"/>
    <n v="523"/>
    <n v="314"/>
  </r>
  <r>
    <x v="10"/>
    <x v="228"/>
    <x v="6"/>
    <n v="0.4"/>
    <n v="523"/>
    <n v="209"/>
  </r>
  <r>
    <x v="10"/>
    <x v="228"/>
    <x v="7"/>
    <n v="1.7493856235460372E-2"/>
    <n v="523"/>
    <n v="9"/>
  </r>
  <r>
    <x v="10"/>
    <x v="229"/>
    <x v="5"/>
    <n v="0.6"/>
    <n v="524"/>
    <n v="314"/>
  </r>
  <r>
    <x v="10"/>
    <x v="229"/>
    <x v="6"/>
    <n v="0.4"/>
    <n v="524"/>
    <n v="210"/>
  </r>
  <r>
    <x v="10"/>
    <x v="229"/>
    <x v="7"/>
    <n v="4.5718562612310706E-3"/>
    <n v="524"/>
    <n v="2"/>
  </r>
  <r>
    <x v="10"/>
    <x v="230"/>
    <x v="5"/>
    <n v="0.6"/>
    <n v="227"/>
    <n v="136"/>
  </r>
  <r>
    <x v="10"/>
    <x v="230"/>
    <x v="6"/>
    <n v="0.4"/>
    <n v="227"/>
    <n v="91"/>
  </r>
  <r>
    <x v="10"/>
    <x v="230"/>
    <x v="7"/>
    <n v="1.461708016299308E-3"/>
    <n v="227"/>
    <n v="0"/>
  </r>
  <r>
    <x v="10"/>
    <x v="231"/>
    <x v="5"/>
    <n v="0.6"/>
    <n v="494"/>
    <n v="296"/>
  </r>
  <r>
    <x v="10"/>
    <x v="231"/>
    <x v="6"/>
    <n v="0.4"/>
    <n v="494"/>
    <n v="198"/>
  </r>
  <r>
    <x v="10"/>
    <x v="231"/>
    <x v="7"/>
    <n v="1.1322181518304527E-2"/>
    <n v="494"/>
    <n v="6"/>
  </r>
  <r>
    <x v="11"/>
    <x v="232"/>
    <x v="5"/>
    <n v="0.6"/>
    <n v="3126"/>
    <n v="1876"/>
  </r>
  <r>
    <x v="11"/>
    <x v="232"/>
    <x v="6"/>
    <n v="0.4"/>
    <n v="3126"/>
    <n v="1250"/>
  </r>
  <r>
    <x v="11"/>
    <x v="232"/>
    <x v="7"/>
    <n v="2.9426016586900959E-3"/>
    <n v="3126"/>
    <n v="9"/>
  </r>
  <r>
    <x v="11"/>
    <x v="233"/>
    <x v="5"/>
    <n v="0.6"/>
    <n v="863"/>
    <n v="518"/>
  </r>
  <r>
    <x v="11"/>
    <x v="233"/>
    <x v="6"/>
    <n v="0.4"/>
    <n v="863"/>
    <n v="345"/>
  </r>
  <r>
    <x v="11"/>
    <x v="233"/>
    <x v="7"/>
    <n v="2.5857799304641604E-3"/>
    <n v="863"/>
    <n v="2"/>
  </r>
  <r>
    <x v="11"/>
    <x v="234"/>
    <x v="5"/>
    <n v="0.6"/>
    <n v="2249"/>
    <n v="1349"/>
  </r>
  <r>
    <x v="11"/>
    <x v="234"/>
    <x v="6"/>
    <n v="0.4"/>
    <n v="2249"/>
    <n v="900"/>
  </r>
  <r>
    <x v="11"/>
    <x v="234"/>
    <x v="7"/>
    <n v="6.1982025569351177E-3"/>
    <n v="2249"/>
    <n v="14"/>
  </r>
  <r>
    <x v="11"/>
    <x v="235"/>
    <x v="5"/>
    <n v="0.6"/>
    <n v="3283"/>
    <n v="1970"/>
  </r>
  <r>
    <x v="11"/>
    <x v="235"/>
    <x v="6"/>
    <n v="0.4"/>
    <n v="3283"/>
    <n v="1313"/>
  </r>
  <r>
    <x v="11"/>
    <x v="235"/>
    <x v="7"/>
    <n v="1.1650068637420588E-2"/>
    <n v="3283"/>
    <n v="38"/>
  </r>
  <r>
    <x v="11"/>
    <x v="236"/>
    <x v="5"/>
    <n v="0.6"/>
    <n v="9899"/>
    <n v="5939"/>
  </r>
  <r>
    <x v="11"/>
    <x v="236"/>
    <x v="6"/>
    <n v="0.4"/>
    <n v="9899"/>
    <n v="3960"/>
  </r>
  <r>
    <x v="11"/>
    <x v="236"/>
    <x v="7"/>
    <n v="1.3383453882435892E-2"/>
    <n v="9899"/>
    <n v="132"/>
  </r>
  <r>
    <x v="11"/>
    <x v="237"/>
    <x v="5"/>
    <n v="0.6"/>
    <n v="1681"/>
    <n v="1009"/>
  </r>
  <r>
    <x v="11"/>
    <x v="237"/>
    <x v="6"/>
    <n v="0.4"/>
    <n v="1681"/>
    <n v="672"/>
  </r>
  <r>
    <x v="11"/>
    <x v="237"/>
    <x v="7"/>
    <n v="1.7369474861523401E-2"/>
    <n v="1681"/>
    <n v="29"/>
  </r>
  <r>
    <x v="11"/>
    <x v="238"/>
    <x v="5"/>
    <n v="0.6"/>
    <n v="724"/>
    <n v="434"/>
  </r>
  <r>
    <x v="11"/>
    <x v="238"/>
    <x v="6"/>
    <n v="0.4"/>
    <n v="724"/>
    <n v="290"/>
  </r>
  <r>
    <x v="11"/>
    <x v="238"/>
    <x v="7"/>
    <n v="5.9375990510643903E-4"/>
    <n v="724"/>
    <n v="0"/>
  </r>
  <r>
    <x v="11"/>
    <x v="239"/>
    <x v="5"/>
    <n v="0.6"/>
    <n v="1547"/>
    <n v="928"/>
  </r>
  <r>
    <x v="11"/>
    <x v="239"/>
    <x v="6"/>
    <n v="0.4"/>
    <n v="1547"/>
    <n v="619"/>
  </r>
  <r>
    <x v="11"/>
    <x v="239"/>
    <x v="7"/>
    <n v="1.3793758385284958E-2"/>
    <n v="1547"/>
    <n v="21"/>
  </r>
  <r>
    <x v="11"/>
    <x v="240"/>
    <x v="5"/>
    <n v="0.6"/>
    <n v="281"/>
    <n v="169"/>
  </r>
  <r>
    <x v="11"/>
    <x v="240"/>
    <x v="6"/>
    <n v="0.4"/>
    <n v="281"/>
    <n v="112"/>
  </r>
  <r>
    <x v="11"/>
    <x v="240"/>
    <x v="7"/>
    <n v="1.4075776029479682E-2"/>
    <n v="281"/>
    <n v="4"/>
  </r>
  <r>
    <x v="11"/>
    <x v="241"/>
    <x v="5"/>
    <n v="0.6"/>
    <n v="1054"/>
    <n v="632"/>
  </r>
  <r>
    <x v="11"/>
    <x v="241"/>
    <x v="6"/>
    <n v="0.4"/>
    <n v="1054"/>
    <n v="422"/>
  </r>
  <r>
    <x v="11"/>
    <x v="241"/>
    <x v="7"/>
    <n v="1.2956388621622529E-2"/>
    <n v="1054"/>
    <n v="14"/>
  </r>
  <r>
    <x v="11"/>
    <x v="242"/>
    <x v="5"/>
    <n v="0.6"/>
    <n v="689"/>
    <n v="413"/>
  </r>
  <r>
    <x v="11"/>
    <x v="242"/>
    <x v="6"/>
    <n v="0.4"/>
    <n v="689"/>
    <n v="276"/>
  </r>
  <r>
    <x v="11"/>
    <x v="242"/>
    <x v="7"/>
    <n v="1.1177341980937351E-2"/>
    <n v="689"/>
    <n v="8"/>
  </r>
  <r>
    <x v="11"/>
    <x v="243"/>
    <x v="5"/>
    <n v="0.6"/>
    <n v="427"/>
    <n v="256"/>
  </r>
  <r>
    <x v="11"/>
    <x v="243"/>
    <x v="6"/>
    <n v="0.4"/>
    <n v="427"/>
    <n v="171"/>
  </r>
  <r>
    <x v="11"/>
    <x v="243"/>
    <x v="7"/>
    <n v="2.5655075745457936E-3"/>
    <n v="427"/>
    <n v="1"/>
  </r>
  <r>
    <x v="11"/>
    <x v="244"/>
    <x v="5"/>
    <n v="0.6"/>
    <n v="300"/>
    <n v="180"/>
  </r>
  <r>
    <x v="11"/>
    <x v="244"/>
    <x v="6"/>
    <n v="0.4"/>
    <n v="300"/>
    <n v="120"/>
  </r>
  <r>
    <x v="11"/>
    <x v="244"/>
    <x v="7"/>
    <n v="5.4201385674909376E-3"/>
    <n v="300"/>
    <n v="2"/>
  </r>
  <r>
    <x v="11"/>
    <x v="245"/>
    <x v="5"/>
    <n v="0.6"/>
    <n v="351"/>
    <n v="211"/>
  </r>
  <r>
    <x v="11"/>
    <x v="245"/>
    <x v="6"/>
    <n v="0.4"/>
    <n v="351"/>
    <n v="140"/>
  </r>
  <r>
    <x v="11"/>
    <x v="245"/>
    <x v="7"/>
    <n v="2.0486670892129722E-3"/>
    <n v="351"/>
    <n v="1"/>
  </r>
  <r>
    <x v="11"/>
    <x v="246"/>
    <x v="5"/>
    <n v="0.6"/>
    <n v="343"/>
    <n v="206"/>
  </r>
  <r>
    <x v="11"/>
    <x v="246"/>
    <x v="6"/>
    <n v="0.4"/>
    <n v="343"/>
    <n v="137"/>
  </r>
  <r>
    <x v="11"/>
    <x v="246"/>
    <x v="7"/>
    <n v="1.6694785760819054E-2"/>
    <n v="343"/>
    <n v="6"/>
  </r>
  <r>
    <x v="11"/>
    <x v="247"/>
    <x v="5"/>
    <n v="0.6"/>
    <n v="448"/>
    <n v="269"/>
  </r>
  <r>
    <x v="11"/>
    <x v="247"/>
    <x v="6"/>
    <n v="0.4"/>
    <n v="448"/>
    <n v="179"/>
  </r>
  <r>
    <x v="11"/>
    <x v="247"/>
    <x v="7"/>
    <n v="2.3001236972002294E-4"/>
    <n v="448"/>
    <n v="0"/>
  </r>
  <r>
    <x v="11"/>
    <x v="248"/>
    <x v="5"/>
    <n v="0.6"/>
    <n v="346"/>
    <n v="208"/>
  </r>
  <r>
    <x v="11"/>
    <x v="248"/>
    <x v="6"/>
    <n v="0.4"/>
    <n v="346"/>
    <n v="138"/>
  </r>
  <r>
    <x v="11"/>
    <x v="248"/>
    <x v="7"/>
    <n v="7.6041284755083986E-4"/>
    <n v="346"/>
    <n v="0"/>
  </r>
  <r>
    <x v="11"/>
    <x v="249"/>
    <x v="5"/>
    <n v="0.6"/>
    <n v="254"/>
    <n v="152"/>
  </r>
  <r>
    <x v="11"/>
    <x v="249"/>
    <x v="6"/>
    <n v="0.4"/>
    <n v="254"/>
    <n v="102"/>
  </r>
  <r>
    <x v="11"/>
    <x v="249"/>
    <x v="7"/>
    <n v="1.4617770893463784E-2"/>
    <n v="254"/>
    <n v="4"/>
  </r>
  <r>
    <x v="11"/>
    <x v="250"/>
    <x v="5"/>
    <n v="0.6"/>
    <n v="254"/>
    <n v="152"/>
  </r>
  <r>
    <x v="11"/>
    <x v="250"/>
    <x v="6"/>
    <n v="0.4"/>
    <n v="254"/>
    <n v="102"/>
  </r>
  <r>
    <x v="11"/>
    <x v="250"/>
    <x v="7"/>
    <n v="1.0964402470543784E-2"/>
    <n v="254"/>
    <n v="3"/>
  </r>
  <r>
    <x v="12"/>
    <x v="251"/>
    <x v="5"/>
    <n v="0.6"/>
    <n v="1768"/>
    <n v="1061"/>
  </r>
  <r>
    <x v="12"/>
    <x v="251"/>
    <x v="6"/>
    <n v="0.4"/>
    <n v="1768"/>
    <n v="707"/>
  </r>
  <r>
    <x v="12"/>
    <x v="251"/>
    <x v="7"/>
    <n v="1.2964848001384317E-2"/>
    <n v="1768"/>
    <n v="23"/>
  </r>
  <r>
    <x v="12"/>
    <x v="252"/>
    <x v="5"/>
    <n v="0.6"/>
    <n v="1462"/>
    <n v="877"/>
  </r>
  <r>
    <x v="12"/>
    <x v="252"/>
    <x v="6"/>
    <n v="0.4"/>
    <n v="1462"/>
    <n v="585"/>
  </r>
  <r>
    <x v="12"/>
    <x v="252"/>
    <x v="7"/>
    <n v="1.9338616819065369E-3"/>
    <n v="1462"/>
    <n v="3"/>
  </r>
  <r>
    <x v="12"/>
    <x v="253"/>
    <x v="5"/>
    <n v="0.6"/>
    <n v="2784"/>
    <n v="1670"/>
  </r>
  <r>
    <x v="12"/>
    <x v="253"/>
    <x v="6"/>
    <n v="0.4"/>
    <n v="2784"/>
    <n v="1114"/>
  </r>
  <r>
    <x v="12"/>
    <x v="253"/>
    <x v="7"/>
    <n v="1.9460801279150276E-2"/>
    <n v="2784"/>
    <n v="54"/>
  </r>
  <r>
    <x v="12"/>
    <x v="254"/>
    <x v="5"/>
    <n v="0.6"/>
    <n v="11748"/>
    <n v="7049"/>
  </r>
  <r>
    <x v="12"/>
    <x v="254"/>
    <x v="6"/>
    <n v="0.4"/>
    <n v="11748"/>
    <n v="4699"/>
  </r>
  <r>
    <x v="12"/>
    <x v="254"/>
    <x v="7"/>
    <n v="1.7205426447000637E-2"/>
    <n v="11748"/>
    <n v="202"/>
  </r>
  <r>
    <x v="12"/>
    <x v="255"/>
    <x v="5"/>
    <n v="0.6"/>
    <n v="1689"/>
    <n v="1013"/>
  </r>
  <r>
    <x v="12"/>
    <x v="255"/>
    <x v="6"/>
    <n v="0.4"/>
    <n v="1689"/>
    <n v="676"/>
  </r>
  <r>
    <x v="12"/>
    <x v="255"/>
    <x v="7"/>
    <n v="1.2235777670967332E-2"/>
    <n v="1689"/>
    <n v="21"/>
  </r>
  <r>
    <x v="12"/>
    <x v="256"/>
    <x v="5"/>
    <n v="0.6"/>
    <n v="2157"/>
    <n v="1294"/>
  </r>
  <r>
    <x v="12"/>
    <x v="256"/>
    <x v="6"/>
    <n v="0.4"/>
    <n v="2157"/>
    <n v="863"/>
  </r>
  <r>
    <x v="12"/>
    <x v="256"/>
    <x v="7"/>
    <n v="1.9015070456111317E-2"/>
    <n v="2157"/>
    <n v="41"/>
  </r>
  <r>
    <x v="12"/>
    <x v="257"/>
    <x v="5"/>
    <n v="0.6"/>
    <n v="1373"/>
    <n v="824"/>
  </r>
  <r>
    <x v="12"/>
    <x v="257"/>
    <x v="6"/>
    <n v="0.4"/>
    <n v="1373"/>
    <n v="549"/>
  </r>
  <r>
    <x v="12"/>
    <x v="257"/>
    <x v="7"/>
    <n v="7.3160697022308053E-3"/>
    <n v="1373"/>
    <n v="10"/>
  </r>
  <r>
    <x v="12"/>
    <x v="258"/>
    <x v="5"/>
    <n v="0.6"/>
    <n v="1300"/>
    <n v="780"/>
  </r>
  <r>
    <x v="12"/>
    <x v="258"/>
    <x v="6"/>
    <n v="0.4"/>
    <n v="1300"/>
    <n v="520"/>
  </r>
  <r>
    <x v="12"/>
    <x v="258"/>
    <x v="7"/>
    <n v="4.8940043864972175E-3"/>
    <n v="1300"/>
    <n v="6"/>
  </r>
  <r>
    <x v="12"/>
    <x v="259"/>
    <x v="5"/>
    <n v="0.6"/>
    <n v="637"/>
    <n v="382"/>
  </r>
  <r>
    <x v="12"/>
    <x v="259"/>
    <x v="6"/>
    <n v="0.4"/>
    <n v="637"/>
    <n v="255"/>
  </r>
  <r>
    <x v="12"/>
    <x v="259"/>
    <x v="7"/>
    <n v="1.7593203113959767E-2"/>
    <n v="637"/>
    <n v="11"/>
  </r>
  <r>
    <x v="12"/>
    <x v="260"/>
    <x v="5"/>
    <n v="0.6"/>
    <n v="643"/>
    <n v="386"/>
  </r>
  <r>
    <x v="12"/>
    <x v="260"/>
    <x v="6"/>
    <n v="0.4"/>
    <n v="643"/>
    <n v="257"/>
  </r>
  <r>
    <x v="12"/>
    <x v="260"/>
    <x v="7"/>
    <n v="1.6177279433002293E-2"/>
    <n v="643"/>
    <n v="10"/>
  </r>
  <r>
    <x v="13"/>
    <x v="261"/>
    <x v="5"/>
    <n v="0.6"/>
    <n v="1418"/>
    <n v="851"/>
  </r>
  <r>
    <x v="13"/>
    <x v="261"/>
    <x v="6"/>
    <n v="0.4"/>
    <n v="1418"/>
    <n v="567"/>
  </r>
  <r>
    <x v="13"/>
    <x v="261"/>
    <x v="7"/>
    <n v="1.6567111756328617E-2"/>
    <n v="1418"/>
    <n v="23"/>
  </r>
  <r>
    <x v="13"/>
    <x v="262"/>
    <x v="5"/>
    <n v="0.6"/>
    <n v="4164"/>
    <n v="2498"/>
  </r>
  <r>
    <x v="13"/>
    <x v="262"/>
    <x v="6"/>
    <n v="0.4"/>
    <n v="4164"/>
    <n v="1666"/>
  </r>
  <r>
    <x v="13"/>
    <x v="262"/>
    <x v="7"/>
    <n v="1.3365277440928951E-2"/>
    <n v="4164"/>
    <n v="56"/>
  </r>
  <r>
    <x v="13"/>
    <x v="263"/>
    <x v="5"/>
    <n v="0.6"/>
    <n v="2354"/>
    <n v="1412"/>
  </r>
  <r>
    <x v="13"/>
    <x v="263"/>
    <x v="6"/>
    <n v="0.4"/>
    <n v="2354"/>
    <n v="942"/>
  </r>
  <r>
    <x v="13"/>
    <x v="263"/>
    <x v="7"/>
    <n v="1.2640577022141351E-2"/>
    <n v="2354"/>
    <n v="30"/>
  </r>
  <r>
    <x v="13"/>
    <x v="264"/>
    <x v="5"/>
    <n v="0.6"/>
    <n v="14759"/>
    <n v="8855"/>
  </r>
  <r>
    <x v="13"/>
    <x v="264"/>
    <x v="6"/>
    <n v="0.4"/>
    <n v="14759"/>
    <n v="5904"/>
  </r>
  <r>
    <x v="13"/>
    <x v="264"/>
    <x v="7"/>
    <n v="1.809464389410851E-2"/>
    <n v="14759"/>
    <n v="267"/>
  </r>
  <r>
    <x v="13"/>
    <x v="265"/>
    <x v="5"/>
    <n v="0.6"/>
    <n v="1412"/>
    <n v="847"/>
  </r>
  <r>
    <x v="13"/>
    <x v="265"/>
    <x v="6"/>
    <n v="0.4"/>
    <n v="1412"/>
    <n v="565"/>
  </r>
  <r>
    <x v="13"/>
    <x v="265"/>
    <x v="7"/>
    <n v="7.1132461908527782E-3"/>
    <n v="1412"/>
    <n v="10"/>
  </r>
  <r>
    <x v="13"/>
    <x v="266"/>
    <x v="5"/>
    <n v="0.6"/>
    <n v="1192"/>
    <n v="715"/>
  </r>
  <r>
    <x v="13"/>
    <x v="266"/>
    <x v="6"/>
    <n v="0.4"/>
    <n v="1192"/>
    <n v="477"/>
  </r>
  <r>
    <x v="13"/>
    <x v="266"/>
    <x v="7"/>
    <n v="1.6913861395122864E-2"/>
    <n v="1192"/>
    <n v="20"/>
  </r>
  <r>
    <x v="13"/>
    <x v="267"/>
    <x v="5"/>
    <n v="0.6"/>
    <n v="1151"/>
    <n v="691"/>
  </r>
  <r>
    <x v="13"/>
    <x v="267"/>
    <x v="6"/>
    <n v="0.4"/>
    <n v="1151"/>
    <n v="460"/>
  </r>
  <r>
    <x v="13"/>
    <x v="267"/>
    <x v="7"/>
    <n v="1.9164473605333288E-2"/>
    <n v="1151"/>
    <n v="22"/>
  </r>
  <r>
    <x v="13"/>
    <x v="268"/>
    <x v="5"/>
    <n v="0.6"/>
    <n v="1378"/>
    <n v="827"/>
  </r>
  <r>
    <x v="13"/>
    <x v="268"/>
    <x v="6"/>
    <n v="0.4"/>
    <n v="1378"/>
    <n v="551"/>
  </r>
  <r>
    <x v="13"/>
    <x v="268"/>
    <x v="7"/>
    <n v="1.8989819872672759E-2"/>
    <n v="1378"/>
    <n v="26"/>
  </r>
  <r>
    <x v="13"/>
    <x v="269"/>
    <x v="5"/>
    <n v="0.6"/>
    <n v="536"/>
    <n v="322"/>
  </r>
  <r>
    <x v="13"/>
    <x v="269"/>
    <x v="6"/>
    <n v="0.4"/>
    <n v="536"/>
    <n v="214"/>
  </r>
  <r>
    <x v="13"/>
    <x v="269"/>
    <x v="7"/>
    <n v="2.8491028218351143E-3"/>
    <n v="536"/>
    <n v="2"/>
  </r>
  <r>
    <x v="14"/>
    <x v="270"/>
    <x v="5"/>
    <n v="0.6"/>
    <n v="2034"/>
    <n v="1220"/>
  </r>
  <r>
    <x v="14"/>
    <x v="270"/>
    <x v="6"/>
    <n v="0.4"/>
    <n v="2034"/>
    <n v="814"/>
  </r>
  <r>
    <x v="14"/>
    <x v="270"/>
    <x v="7"/>
    <n v="1.0244527344724761E-2"/>
    <n v="2034"/>
    <n v="21"/>
  </r>
  <r>
    <x v="14"/>
    <x v="271"/>
    <x v="5"/>
    <n v="0.6"/>
    <n v="7685"/>
    <n v="4611"/>
  </r>
  <r>
    <x v="14"/>
    <x v="271"/>
    <x v="6"/>
    <n v="0.4"/>
    <n v="7685"/>
    <n v="3074"/>
  </r>
  <r>
    <x v="14"/>
    <x v="271"/>
    <x v="7"/>
    <n v="7.1691748642625395E-4"/>
    <n v="7685"/>
    <n v="6"/>
  </r>
  <r>
    <x v="14"/>
    <x v="272"/>
    <x v="5"/>
    <n v="0.6"/>
    <n v="2095"/>
    <n v="1257"/>
  </r>
  <r>
    <x v="14"/>
    <x v="272"/>
    <x v="6"/>
    <n v="0.4"/>
    <n v="2095"/>
    <n v="838"/>
  </r>
  <r>
    <x v="14"/>
    <x v="272"/>
    <x v="7"/>
    <n v="2.9453206725092974E-3"/>
    <n v="2095"/>
    <n v="6"/>
  </r>
  <r>
    <x v="14"/>
    <x v="273"/>
    <x v="5"/>
    <n v="0.6"/>
    <n v="2508"/>
    <n v="1505"/>
  </r>
  <r>
    <x v="14"/>
    <x v="273"/>
    <x v="6"/>
    <n v="0.4"/>
    <n v="2508"/>
    <n v="1003"/>
  </r>
  <r>
    <x v="14"/>
    <x v="273"/>
    <x v="7"/>
    <n v="7.0449269941315132E-3"/>
    <n v="2508"/>
    <n v="18"/>
  </r>
  <r>
    <x v="14"/>
    <x v="274"/>
    <x v="5"/>
    <n v="0.6"/>
    <n v="784"/>
    <n v="470"/>
  </r>
  <r>
    <x v="14"/>
    <x v="274"/>
    <x v="6"/>
    <n v="0.4"/>
    <n v="784"/>
    <n v="314"/>
  </r>
  <r>
    <x v="14"/>
    <x v="274"/>
    <x v="7"/>
    <n v="5.7410981184415656E-3"/>
    <n v="784"/>
    <n v="5"/>
  </r>
  <r>
    <x v="14"/>
    <x v="275"/>
    <x v="5"/>
    <n v="0.6"/>
    <n v="539"/>
    <n v="323"/>
  </r>
  <r>
    <x v="14"/>
    <x v="275"/>
    <x v="6"/>
    <n v="0.4"/>
    <n v="539"/>
    <n v="216"/>
  </r>
  <r>
    <x v="14"/>
    <x v="275"/>
    <x v="7"/>
    <n v="1.9650980688761137E-2"/>
    <n v="539"/>
    <n v="11"/>
  </r>
  <r>
    <x v="14"/>
    <x v="276"/>
    <x v="5"/>
    <n v="0.6"/>
    <n v="771"/>
    <n v="463"/>
  </r>
  <r>
    <x v="14"/>
    <x v="276"/>
    <x v="6"/>
    <n v="0.4"/>
    <n v="771"/>
    <n v="308"/>
  </r>
  <r>
    <x v="14"/>
    <x v="276"/>
    <x v="7"/>
    <n v="1.7946444414352142E-2"/>
    <n v="771"/>
    <n v="14"/>
  </r>
  <r>
    <x v="14"/>
    <x v="277"/>
    <x v="5"/>
    <n v="0.6"/>
    <n v="612"/>
    <n v="367"/>
  </r>
  <r>
    <x v="14"/>
    <x v="277"/>
    <x v="6"/>
    <n v="0.4"/>
    <n v="612"/>
    <n v="245"/>
  </r>
  <r>
    <x v="14"/>
    <x v="277"/>
    <x v="7"/>
    <n v="8.6019149048935633E-3"/>
    <n v="612"/>
    <n v="5"/>
  </r>
  <r>
    <x v="14"/>
    <x v="278"/>
    <x v="5"/>
    <n v="0.6"/>
    <n v="472"/>
    <n v="283"/>
  </r>
  <r>
    <x v="14"/>
    <x v="278"/>
    <x v="6"/>
    <n v="0.4"/>
    <n v="472"/>
    <n v="189"/>
  </r>
  <r>
    <x v="14"/>
    <x v="278"/>
    <x v="7"/>
    <n v="1.4132226235575963E-2"/>
    <n v="472"/>
    <n v="7"/>
  </r>
  <r>
    <x v="15"/>
    <x v="279"/>
    <x v="5"/>
    <n v="0.6"/>
    <n v="1976"/>
    <n v="1186"/>
  </r>
  <r>
    <x v="15"/>
    <x v="279"/>
    <x v="6"/>
    <n v="0.4"/>
    <n v="1976"/>
    <n v="790"/>
  </r>
  <r>
    <x v="15"/>
    <x v="279"/>
    <x v="7"/>
    <n v="1.7189409536423911E-2"/>
    <n v="1976"/>
    <n v="34"/>
  </r>
  <r>
    <x v="15"/>
    <x v="280"/>
    <x v="5"/>
    <n v="0.6"/>
    <n v="4034"/>
    <n v="2420"/>
  </r>
  <r>
    <x v="15"/>
    <x v="280"/>
    <x v="6"/>
    <n v="0.4"/>
    <n v="4034"/>
    <n v="1614"/>
  </r>
  <r>
    <x v="15"/>
    <x v="280"/>
    <x v="7"/>
    <n v="5.1530797951456165E-3"/>
    <n v="4034"/>
    <n v="21"/>
  </r>
  <r>
    <x v="15"/>
    <x v="281"/>
    <x v="5"/>
    <n v="0.6"/>
    <n v="2293"/>
    <n v="1376"/>
  </r>
  <r>
    <x v="15"/>
    <x v="281"/>
    <x v="6"/>
    <n v="0.4"/>
    <n v="2293"/>
    <n v="917"/>
  </r>
  <r>
    <x v="15"/>
    <x v="281"/>
    <x v="7"/>
    <n v="1.0627137956281958E-2"/>
    <n v="2293"/>
    <n v="24"/>
  </r>
  <r>
    <x v="15"/>
    <x v="282"/>
    <x v="5"/>
    <n v="0.6"/>
    <n v="1581"/>
    <n v="949"/>
  </r>
  <r>
    <x v="15"/>
    <x v="282"/>
    <x v="6"/>
    <n v="0.4"/>
    <n v="1581"/>
    <n v="632"/>
  </r>
  <r>
    <x v="15"/>
    <x v="282"/>
    <x v="7"/>
    <n v="1.8843217222370835E-3"/>
    <n v="1581"/>
    <n v="3"/>
  </r>
  <r>
    <x v="15"/>
    <x v="283"/>
    <x v="5"/>
    <n v="0.6"/>
    <n v="1856"/>
    <n v="1114"/>
  </r>
  <r>
    <x v="15"/>
    <x v="283"/>
    <x v="6"/>
    <n v="0.4"/>
    <n v="1856"/>
    <n v="742"/>
  </r>
  <r>
    <x v="15"/>
    <x v="283"/>
    <x v="7"/>
    <n v="1.5167729559278123E-2"/>
    <n v="1856"/>
    <n v="28"/>
  </r>
  <r>
    <x v="15"/>
    <x v="434"/>
    <x v="5"/>
    <n v="0.6"/>
    <n v="11701"/>
    <n v="7021"/>
  </r>
  <r>
    <x v="15"/>
    <x v="434"/>
    <x v="6"/>
    <n v="0.4"/>
    <n v="11701"/>
    <n v="4680"/>
  </r>
  <r>
    <x v="15"/>
    <x v="434"/>
    <x v="7"/>
    <n v="1.8454063070943647E-2"/>
    <n v="11701"/>
    <n v="216"/>
  </r>
  <r>
    <x v="15"/>
    <x v="285"/>
    <x v="5"/>
    <n v="0.6"/>
    <n v="1018"/>
    <n v="611"/>
  </r>
  <r>
    <x v="15"/>
    <x v="285"/>
    <x v="6"/>
    <n v="0.4"/>
    <n v="1018"/>
    <n v="407"/>
  </r>
  <r>
    <x v="15"/>
    <x v="285"/>
    <x v="7"/>
    <n v="7.3106790589226871E-4"/>
    <n v="1018"/>
    <n v="1"/>
  </r>
  <r>
    <x v="15"/>
    <x v="286"/>
    <x v="5"/>
    <n v="0.6"/>
    <n v="1062"/>
    <n v="637"/>
  </r>
  <r>
    <x v="15"/>
    <x v="286"/>
    <x v="6"/>
    <n v="0.4"/>
    <n v="1062"/>
    <n v="425"/>
  </r>
  <r>
    <x v="15"/>
    <x v="286"/>
    <x v="7"/>
    <n v="9.3770468726752914E-3"/>
    <n v="1062"/>
    <n v="10"/>
  </r>
  <r>
    <x v="15"/>
    <x v="287"/>
    <x v="5"/>
    <n v="0.6"/>
    <n v="1021"/>
    <n v="613"/>
  </r>
  <r>
    <x v="15"/>
    <x v="287"/>
    <x v="6"/>
    <n v="0.4"/>
    <n v="1021"/>
    <n v="408"/>
  </r>
  <r>
    <x v="15"/>
    <x v="287"/>
    <x v="7"/>
    <n v="1.4134842889319339E-2"/>
    <n v="1021"/>
    <n v="14"/>
  </r>
  <r>
    <x v="15"/>
    <x v="288"/>
    <x v="5"/>
    <n v="0.6"/>
    <n v="565"/>
    <n v="339"/>
  </r>
  <r>
    <x v="15"/>
    <x v="288"/>
    <x v="6"/>
    <n v="0.4"/>
    <n v="565"/>
    <n v="226"/>
  </r>
  <r>
    <x v="15"/>
    <x v="288"/>
    <x v="7"/>
    <n v="1.2784266800786937E-2"/>
    <n v="565"/>
    <n v="7"/>
  </r>
  <r>
    <x v="15"/>
    <x v="435"/>
    <x v="5"/>
    <n v="0.6"/>
    <n v="11701"/>
    <n v="7021"/>
  </r>
  <r>
    <x v="15"/>
    <x v="435"/>
    <x v="6"/>
    <n v="0.4"/>
    <n v="11701"/>
    <n v="4680"/>
  </r>
  <r>
    <x v="15"/>
    <x v="435"/>
    <x v="7"/>
    <n v="6.7703082217922496E-3"/>
    <n v="11701"/>
    <n v="79"/>
  </r>
  <r>
    <x v="16"/>
    <x v="290"/>
    <x v="5"/>
    <n v="0.6"/>
    <n v="4799"/>
    <n v="2879"/>
  </r>
  <r>
    <x v="16"/>
    <x v="290"/>
    <x v="6"/>
    <n v="0.4"/>
    <n v="4799"/>
    <n v="1920"/>
  </r>
  <r>
    <x v="16"/>
    <x v="290"/>
    <x v="7"/>
    <n v="1.1047322051911173E-2"/>
    <n v="4799"/>
    <n v="53"/>
  </r>
  <r>
    <x v="16"/>
    <x v="291"/>
    <x v="5"/>
    <n v="0.6"/>
    <n v="292"/>
    <n v="175"/>
  </r>
  <r>
    <x v="16"/>
    <x v="291"/>
    <x v="6"/>
    <n v="0.4"/>
    <n v="292"/>
    <n v="117"/>
  </r>
  <r>
    <x v="16"/>
    <x v="291"/>
    <x v="7"/>
    <n v="1.4649489846707962E-2"/>
    <n v="292"/>
    <n v="4"/>
  </r>
  <r>
    <x v="16"/>
    <x v="292"/>
    <x v="5"/>
    <n v="0.6"/>
    <n v="842"/>
    <n v="505"/>
  </r>
  <r>
    <x v="16"/>
    <x v="292"/>
    <x v="6"/>
    <n v="0.4"/>
    <n v="842"/>
    <n v="337"/>
  </r>
  <r>
    <x v="16"/>
    <x v="292"/>
    <x v="7"/>
    <n v="1.6149501862221246E-2"/>
    <n v="842"/>
    <n v="14"/>
  </r>
  <r>
    <x v="16"/>
    <x v="293"/>
    <x v="5"/>
    <n v="0.6"/>
    <n v="869"/>
    <n v="521"/>
  </r>
  <r>
    <x v="16"/>
    <x v="293"/>
    <x v="6"/>
    <n v="0.4"/>
    <n v="869"/>
    <n v="348"/>
  </r>
  <r>
    <x v="16"/>
    <x v="293"/>
    <x v="7"/>
    <n v="5.4136916545232854E-3"/>
    <n v="869"/>
    <n v="5"/>
  </r>
  <r>
    <x v="16"/>
    <x v="294"/>
    <x v="5"/>
    <n v="0.6"/>
    <n v="522"/>
    <n v="313"/>
  </r>
  <r>
    <x v="16"/>
    <x v="294"/>
    <x v="6"/>
    <n v="0.4"/>
    <n v="522"/>
    <n v="209"/>
  </r>
  <r>
    <x v="16"/>
    <x v="294"/>
    <x v="7"/>
    <n v="1.2854698308006483E-2"/>
    <n v="522"/>
    <n v="7"/>
  </r>
  <r>
    <x v="16"/>
    <x v="295"/>
    <x v="5"/>
    <n v="0.6"/>
    <n v="665"/>
    <n v="399"/>
  </r>
  <r>
    <x v="16"/>
    <x v="295"/>
    <x v="6"/>
    <n v="0.4"/>
    <n v="665"/>
    <n v="266"/>
  </r>
  <r>
    <x v="16"/>
    <x v="295"/>
    <x v="7"/>
    <n v="6.1984809447983708E-3"/>
    <n v="665"/>
    <n v="4"/>
  </r>
  <r>
    <x v="16"/>
    <x v="296"/>
    <x v="5"/>
    <n v="0.6"/>
    <n v="657"/>
    <n v="394"/>
  </r>
  <r>
    <x v="16"/>
    <x v="296"/>
    <x v="6"/>
    <n v="0.4"/>
    <n v="657"/>
    <n v="263"/>
  </r>
  <r>
    <x v="16"/>
    <x v="296"/>
    <x v="7"/>
    <n v="3.3699622903837945E-3"/>
    <n v="657"/>
    <n v="2"/>
  </r>
  <r>
    <x v="16"/>
    <x v="297"/>
    <x v="5"/>
    <n v="0.6"/>
    <n v="185"/>
    <n v="111"/>
  </r>
  <r>
    <x v="16"/>
    <x v="297"/>
    <x v="6"/>
    <n v="0.4"/>
    <n v="185"/>
    <n v="74"/>
  </r>
  <r>
    <x v="16"/>
    <x v="297"/>
    <x v="7"/>
    <n v="2.4282189823640189E-3"/>
    <n v="185"/>
    <n v="0"/>
  </r>
  <r>
    <x v="16"/>
    <x v="298"/>
    <x v="5"/>
    <n v="0.6"/>
    <n v="190"/>
    <n v="114"/>
  </r>
  <r>
    <x v="16"/>
    <x v="298"/>
    <x v="6"/>
    <n v="0.4"/>
    <n v="190"/>
    <n v="76"/>
  </r>
  <r>
    <x v="16"/>
    <x v="298"/>
    <x v="7"/>
    <n v="9.4401753343870201E-3"/>
    <n v="190"/>
    <n v="2"/>
  </r>
  <r>
    <x v="16"/>
    <x v="299"/>
    <x v="5"/>
    <n v="0.6"/>
    <n v="147"/>
    <n v="88"/>
  </r>
  <r>
    <x v="16"/>
    <x v="299"/>
    <x v="6"/>
    <n v="0.4"/>
    <n v="147"/>
    <n v="59"/>
  </r>
  <r>
    <x v="16"/>
    <x v="299"/>
    <x v="7"/>
    <n v="9.8599935561036588E-3"/>
    <n v="147"/>
    <n v="1"/>
  </r>
  <r>
    <x v="17"/>
    <x v="300"/>
    <x v="5"/>
    <n v="0.6"/>
    <n v="2586"/>
    <n v="1552"/>
  </r>
  <r>
    <x v="17"/>
    <x v="300"/>
    <x v="6"/>
    <n v="0.4"/>
    <n v="2586"/>
    <n v="1034"/>
  </r>
  <r>
    <x v="17"/>
    <x v="300"/>
    <x v="7"/>
    <n v="1.7103785120562955E-2"/>
    <n v="2586"/>
    <n v="44"/>
  </r>
  <r>
    <x v="17"/>
    <x v="301"/>
    <x v="5"/>
    <n v="0.6"/>
    <n v="2429"/>
    <n v="1457"/>
  </r>
  <r>
    <x v="17"/>
    <x v="301"/>
    <x v="6"/>
    <n v="0.4"/>
    <n v="2429"/>
    <n v="972"/>
  </r>
  <r>
    <x v="17"/>
    <x v="301"/>
    <x v="7"/>
    <n v="1.3315448556725507E-4"/>
    <n v="2429"/>
    <n v="0"/>
  </r>
  <r>
    <x v="17"/>
    <x v="302"/>
    <x v="5"/>
    <n v="0.6"/>
    <n v="2342"/>
    <n v="1405"/>
  </r>
  <r>
    <x v="17"/>
    <x v="302"/>
    <x v="6"/>
    <n v="0.4"/>
    <n v="2342"/>
    <n v="937"/>
  </r>
  <r>
    <x v="17"/>
    <x v="302"/>
    <x v="7"/>
    <n v="6.3498666190011897E-3"/>
    <n v="2342"/>
    <n v="15"/>
  </r>
  <r>
    <x v="17"/>
    <x v="303"/>
    <x v="5"/>
    <n v="0.6"/>
    <n v="480"/>
    <n v="288"/>
  </r>
  <r>
    <x v="17"/>
    <x v="303"/>
    <x v="6"/>
    <n v="0.4"/>
    <n v="480"/>
    <n v="192"/>
  </r>
  <r>
    <x v="17"/>
    <x v="303"/>
    <x v="7"/>
    <n v="3.1359679652154561E-3"/>
    <n v="480"/>
    <n v="2"/>
  </r>
  <r>
    <x v="17"/>
    <x v="304"/>
    <x v="5"/>
    <n v="0.6"/>
    <n v="466"/>
    <n v="280"/>
  </r>
  <r>
    <x v="17"/>
    <x v="304"/>
    <x v="6"/>
    <n v="0.4"/>
    <n v="466"/>
    <n v="186"/>
  </r>
  <r>
    <x v="17"/>
    <x v="304"/>
    <x v="7"/>
    <n v="7.7659536897829234E-3"/>
    <n v="466"/>
    <n v="4"/>
  </r>
  <r>
    <x v="17"/>
    <x v="305"/>
    <x v="5"/>
    <n v="0.6"/>
    <n v="293"/>
    <n v="176"/>
  </r>
  <r>
    <x v="17"/>
    <x v="305"/>
    <x v="6"/>
    <n v="0.4"/>
    <n v="293"/>
    <n v="117"/>
  </r>
  <r>
    <x v="17"/>
    <x v="305"/>
    <x v="7"/>
    <n v="1.8658875015650757E-2"/>
    <n v="293"/>
    <n v="5"/>
  </r>
  <r>
    <x v="17"/>
    <x v="306"/>
    <x v="5"/>
    <n v="0.6"/>
    <n v="266"/>
    <n v="160"/>
  </r>
  <r>
    <x v="17"/>
    <x v="306"/>
    <x v="6"/>
    <n v="0.4"/>
    <n v="266"/>
    <n v="106"/>
  </r>
  <r>
    <x v="17"/>
    <x v="306"/>
    <x v="7"/>
    <n v="5.7887111363252868E-6"/>
    <n v="266"/>
    <n v="0"/>
  </r>
  <r>
    <x v="17"/>
    <x v="307"/>
    <x v="5"/>
    <n v="0.6"/>
    <n v="303"/>
    <n v="182"/>
  </r>
  <r>
    <x v="17"/>
    <x v="307"/>
    <x v="6"/>
    <n v="0.4"/>
    <n v="303"/>
    <n v="121"/>
  </r>
  <r>
    <x v="17"/>
    <x v="307"/>
    <x v="7"/>
    <n v="1.2333226389733439E-2"/>
    <n v="303"/>
    <n v="4"/>
  </r>
  <r>
    <x v="18"/>
    <x v="308"/>
    <x v="5"/>
    <n v="0.6"/>
    <n v="6150"/>
    <n v="3690"/>
  </r>
  <r>
    <x v="18"/>
    <x v="308"/>
    <x v="6"/>
    <n v="0.4"/>
    <n v="6150"/>
    <n v="2460"/>
  </r>
  <r>
    <x v="18"/>
    <x v="308"/>
    <x v="7"/>
    <n v="7.5701365929038379E-3"/>
    <n v="6150"/>
    <n v="47"/>
  </r>
  <r>
    <x v="18"/>
    <x v="309"/>
    <x v="5"/>
    <n v="0.6"/>
    <n v="935"/>
    <n v="561"/>
  </r>
  <r>
    <x v="18"/>
    <x v="309"/>
    <x v="6"/>
    <n v="0.4"/>
    <n v="935"/>
    <n v="374"/>
  </r>
  <r>
    <x v="18"/>
    <x v="309"/>
    <x v="7"/>
    <n v="4.3636885930673922E-3"/>
    <n v="935"/>
    <n v="4"/>
  </r>
  <r>
    <x v="18"/>
    <x v="310"/>
    <x v="5"/>
    <n v="0.6"/>
    <n v="2962"/>
    <n v="1777"/>
  </r>
  <r>
    <x v="18"/>
    <x v="310"/>
    <x v="6"/>
    <n v="0.4"/>
    <n v="2962"/>
    <n v="1185"/>
  </r>
  <r>
    <x v="18"/>
    <x v="310"/>
    <x v="7"/>
    <n v="1.8491373498962415E-2"/>
    <n v="2962"/>
    <n v="55"/>
  </r>
  <r>
    <x v="18"/>
    <x v="311"/>
    <x v="5"/>
    <n v="0.6"/>
    <n v="1191"/>
    <n v="715"/>
  </r>
  <r>
    <x v="18"/>
    <x v="311"/>
    <x v="6"/>
    <n v="0.4"/>
    <n v="1191"/>
    <n v="476"/>
  </r>
  <r>
    <x v="18"/>
    <x v="311"/>
    <x v="7"/>
    <n v="2.1653335720542399E-4"/>
    <n v="1191"/>
    <n v="0"/>
  </r>
  <r>
    <x v="18"/>
    <x v="312"/>
    <x v="5"/>
    <n v="0.6"/>
    <n v="359"/>
    <n v="215"/>
  </r>
  <r>
    <x v="18"/>
    <x v="312"/>
    <x v="6"/>
    <n v="0.4"/>
    <n v="359"/>
    <n v="144"/>
  </r>
  <r>
    <x v="18"/>
    <x v="312"/>
    <x v="7"/>
    <n v="1.659505285743143E-2"/>
    <n v="359"/>
    <n v="6"/>
  </r>
  <r>
    <x v="18"/>
    <x v="313"/>
    <x v="5"/>
    <n v="0.6"/>
    <n v="1292"/>
    <n v="775"/>
  </r>
  <r>
    <x v="18"/>
    <x v="313"/>
    <x v="6"/>
    <n v="0.4"/>
    <n v="1292"/>
    <n v="517"/>
  </r>
  <r>
    <x v="18"/>
    <x v="313"/>
    <x v="7"/>
    <n v="1.2960362833880079E-2"/>
    <n v="1292"/>
    <n v="17"/>
  </r>
  <r>
    <x v="18"/>
    <x v="314"/>
    <x v="5"/>
    <n v="0.6"/>
    <n v="1393"/>
    <n v="836"/>
  </r>
  <r>
    <x v="18"/>
    <x v="314"/>
    <x v="6"/>
    <n v="0.4"/>
    <n v="1393"/>
    <n v="557"/>
  </r>
  <r>
    <x v="18"/>
    <x v="314"/>
    <x v="7"/>
    <n v="1.1872542819326697E-2"/>
    <n v="1393"/>
    <n v="17"/>
  </r>
  <r>
    <x v="18"/>
    <x v="315"/>
    <x v="5"/>
    <n v="0.6"/>
    <n v="487"/>
    <n v="292"/>
  </r>
  <r>
    <x v="18"/>
    <x v="315"/>
    <x v="6"/>
    <n v="0.4"/>
    <n v="487"/>
    <n v="195"/>
  </r>
  <r>
    <x v="18"/>
    <x v="315"/>
    <x v="7"/>
    <n v="7.68850935943064E-4"/>
    <n v="487"/>
    <n v="0"/>
  </r>
  <r>
    <x v="18"/>
    <x v="316"/>
    <x v="5"/>
    <n v="0.6"/>
    <n v="679"/>
    <n v="407"/>
  </r>
  <r>
    <x v="18"/>
    <x v="316"/>
    <x v="6"/>
    <n v="0.4"/>
    <n v="679"/>
    <n v="272"/>
  </r>
  <r>
    <x v="18"/>
    <x v="316"/>
    <x v="7"/>
    <n v="1.9118300829404689E-3"/>
    <n v="679"/>
    <n v="1"/>
  </r>
  <r>
    <x v="18"/>
    <x v="317"/>
    <x v="5"/>
    <n v="0.6"/>
    <n v="594"/>
    <n v="356"/>
  </r>
  <r>
    <x v="18"/>
    <x v="317"/>
    <x v="6"/>
    <n v="0.4"/>
    <n v="594"/>
    <n v="238"/>
  </r>
  <r>
    <x v="18"/>
    <x v="317"/>
    <x v="7"/>
    <n v="1.2665097292048913E-2"/>
    <n v="594"/>
    <n v="8"/>
  </r>
  <r>
    <x v="19"/>
    <x v="318"/>
    <x v="5"/>
    <n v="0.6"/>
    <n v="3124"/>
    <n v="1874"/>
  </r>
  <r>
    <x v="19"/>
    <x v="318"/>
    <x v="6"/>
    <n v="0.4"/>
    <n v="3124"/>
    <n v="1250"/>
  </r>
  <r>
    <x v="19"/>
    <x v="318"/>
    <x v="7"/>
    <n v="3.4857537730581334E-3"/>
    <n v="3124"/>
    <n v="11"/>
  </r>
  <r>
    <x v="19"/>
    <x v="319"/>
    <x v="5"/>
    <n v="0.6"/>
    <n v="1960"/>
    <n v="1176"/>
  </r>
  <r>
    <x v="19"/>
    <x v="319"/>
    <x v="6"/>
    <n v="0.4"/>
    <n v="1960"/>
    <n v="784"/>
  </r>
  <r>
    <x v="19"/>
    <x v="319"/>
    <x v="7"/>
    <n v="2.4039718967363457E-3"/>
    <n v="1960"/>
    <n v="5"/>
  </r>
  <r>
    <x v="19"/>
    <x v="320"/>
    <x v="5"/>
    <n v="0.6"/>
    <n v="10264"/>
    <n v="6158"/>
  </r>
  <r>
    <x v="19"/>
    <x v="320"/>
    <x v="6"/>
    <n v="0.4"/>
    <n v="10264"/>
    <n v="4106"/>
  </r>
  <r>
    <x v="19"/>
    <x v="320"/>
    <x v="7"/>
    <n v="8.1403320857461985E-3"/>
    <n v="10264"/>
    <n v="84"/>
  </r>
  <r>
    <x v="19"/>
    <x v="321"/>
    <x v="5"/>
    <n v="0.6"/>
    <n v="416"/>
    <n v="250"/>
  </r>
  <r>
    <x v="19"/>
    <x v="321"/>
    <x v="6"/>
    <n v="0.4"/>
    <n v="416"/>
    <n v="166"/>
  </r>
  <r>
    <x v="19"/>
    <x v="321"/>
    <x v="7"/>
    <n v="6.9989988990835908E-3"/>
    <n v="416"/>
    <n v="3"/>
  </r>
  <r>
    <x v="19"/>
    <x v="322"/>
    <x v="5"/>
    <n v="0.6"/>
    <n v="962"/>
    <n v="577"/>
  </r>
  <r>
    <x v="19"/>
    <x v="322"/>
    <x v="6"/>
    <n v="0.4"/>
    <n v="962"/>
    <n v="385"/>
  </r>
  <r>
    <x v="19"/>
    <x v="322"/>
    <x v="7"/>
    <n v="1.6008119890761063E-2"/>
    <n v="962"/>
    <n v="15"/>
  </r>
  <r>
    <x v="19"/>
    <x v="323"/>
    <x v="5"/>
    <n v="0.6"/>
    <n v="597"/>
    <n v="358"/>
  </r>
  <r>
    <x v="19"/>
    <x v="323"/>
    <x v="6"/>
    <n v="0.4"/>
    <n v="597"/>
    <n v="239"/>
  </r>
  <r>
    <x v="19"/>
    <x v="323"/>
    <x v="7"/>
    <n v="1.3098945605379862E-2"/>
    <n v="597"/>
    <n v="8"/>
  </r>
  <r>
    <x v="19"/>
    <x v="324"/>
    <x v="5"/>
    <n v="0.6"/>
    <n v="539"/>
    <n v="323"/>
  </r>
  <r>
    <x v="19"/>
    <x v="324"/>
    <x v="6"/>
    <n v="0.4"/>
    <n v="539"/>
    <n v="216"/>
  </r>
  <r>
    <x v="19"/>
    <x v="324"/>
    <x v="7"/>
    <n v="9.9134858110390845E-3"/>
    <n v="539"/>
    <n v="5"/>
  </r>
  <r>
    <x v="19"/>
    <x v="325"/>
    <x v="5"/>
    <n v="0.6"/>
    <n v="278"/>
    <n v="167"/>
  </r>
  <r>
    <x v="19"/>
    <x v="325"/>
    <x v="6"/>
    <n v="0.4"/>
    <n v="278"/>
    <n v="111"/>
  </r>
  <r>
    <x v="19"/>
    <x v="325"/>
    <x v="7"/>
    <n v="7.6440350849523876E-3"/>
    <n v="278"/>
    <n v="2"/>
  </r>
  <r>
    <x v="20"/>
    <x v="326"/>
    <x v="5"/>
    <n v="0.6"/>
    <n v="1600"/>
    <n v="960"/>
  </r>
  <r>
    <x v="20"/>
    <x v="326"/>
    <x v="6"/>
    <n v="0.4"/>
    <n v="1600"/>
    <n v="640"/>
  </r>
  <r>
    <x v="20"/>
    <x v="326"/>
    <x v="7"/>
    <n v="1.6079593106899936E-2"/>
    <n v="1600"/>
    <n v="26"/>
  </r>
  <r>
    <x v="20"/>
    <x v="327"/>
    <x v="5"/>
    <n v="0.6"/>
    <n v="4529"/>
    <n v="2717"/>
  </r>
  <r>
    <x v="20"/>
    <x v="327"/>
    <x v="6"/>
    <n v="0.4"/>
    <n v="4529"/>
    <n v="1812"/>
  </r>
  <r>
    <x v="20"/>
    <x v="327"/>
    <x v="7"/>
    <n v="1.0236431334182743E-2"/>
    <n v="4529"/>
    <n v="46"/>
  </r>
  <r>
    <x v="20"/>
    <x v="328"/>
    <x v="5"/>
    <n v="0.6"/>
    <n v="5812"/>
    <n v="3487"/>
  </r>
  <r>
    <x v="20"/>
    <x v="328"/>
    <x v="6"/>
    <n v="0.4"/>
    <n v="5812"/>
    <n v="2325"/>
  </r>
  <r>
    <x v="20"/>
    <x v="328"/>
    <x v="7"/>
    <n v="9.9842673614455868E-3"/>
    <n v="5812"/>
    <n v="58"/>
  </r>
  <r>
    <x v="20"/>
    <x v="329"/>
    <x v="5"/>
    <n v="0.6"/>
    <n v="1290"/>
    <n v="774"/>
  </r>
  <r>
    <x v="20"/>
    <x v="329"/>
    <x v="6"/>
    <n v="0.4"/>
    <n v="1290"/>
    <n v="516"/>
  </r>
  <r>
    <x v="20"/>
    <x v="329"/>
    <x v="7"/>
    <n v="5.8684802231047531E-3"/>
    <n v="1290"/>
    <n v="8"/>
  </r>
  <r>
    <x v="20"/>
    <x v="330"/>
    <x v="5"/>
    <n v="0.6"/>
    <n v="361"/>
    <n v="217"/>
  </r>
  <r>
    <x v="20"/>
    <x v="330"/>
    <x v="6"/>
    <n v="0.4"/>
    <n v="361"/>
    <n v="144"/>
  </r>
  <r>
    <x v="20"/>
    <x v="330"/>
    <x v="7"/>
    <n v="3.0592002951856934E-4"/>
    <n v="361"/>
    <n v="0"/>
  </r>
  <r>
    <x v="20"/>
    <x v="331"/>
    <x v="5"/>
    <n v="0.6"/>
    <n v="292"/>
    <n v="175"/>
  </r>
  <r>
    <x v="20"/>
    <x v="331"/>
    <x v="6"/>
    <n v="0.4"/>
    <n v="292"/>
    <n v="117"/>
  </r>
  <r>
    <x v="20"/>
    <x v="331"/>
    <x v="7"/>
    <n v="1.8219777955473828E-2"/>
    <n v="292"/>
    <n v="5"/>
  </r>
  <r>
    <x v="20"/>
    <x v="332"/>
    <x v="5"/>
    <n v="0.6"/>
    <n v="671"/>
    <n v="403"/>
  </r>
  <r>
    <x v="20"/>
    <x v="332"/>
    <x v="6"/>
    <n v="0.4"/>
    <n v="671"/>
    <n v="268"/>
  </r>
  <r>
    <x v="20"/>
    <x v="332"/>
    <x v="7"/>
    <n v="2.7516759446444363E-3"/>
    <n v="671"/>
    <n v="2"/>
  </r>
  <r>
    <x v="20"/>
    <x v="333"/>
    <x v="5"/>
    <n v="0.6"/>
    <n v="145"/>
    <n v="87"/>
  </r>
  <r>
    <x v="20"/>
    <x v="333"/>
    <x v="6"/>
    <n v="0.4"/>
    <n v="145"/>
    <n v="58"/>
  </r>
  <r>
    <x v="20"/>
    <x v="333"/>
    <x v="7"/>
    <n v="2.4348854971470192E-3"/>
    <n v="145"/>
    <n v="0"/>
  </r>
  <r>
    <x v="21"/>
    <x v="334"/>
    <x v="5"/>
    <n v="0.6"/>
    <n v="1598"/>
    <n v="959"/>
  </r>
  <r>
    <x v="21"/>
    <x v="334"/>
    <x v="6"/>
    <n v="0.4"/>
    <n v="1598"/>
    <n v="639"/>
  </r>
  <r>
    <x v="21"/>
    <x v="334"/>
    <x v="7"/>
    <n v="3.4285983989818815E-3"/>
    <n v="1598"/>
    <n v="5"/>
  </r>
  <r>
    <x v="21"/>
    <x v="335"/>
    <x v="5"/>
    <n v="0.6"/>
    <n v="822"/>
    <n v="493"/>
  </r>
  <r>
    <x v="21"/>
    <x v="335"/>
    <x v="6"/>
    <n v="0.4"/>
    <n v="822"/>
    <n v="329"/>
  </r>
  <r>
    <x v="21"/>
    <x v="335"/>
    <x v="7"/>
    <n v="5.333083519428585E-3"/>
    <n v="822"/>
    <n v="4"/>
  </r>
  <r>
    <x v="21"/>
    <x v="336"/>
    <x v="5"/>
    <n v="0.6"/>
    <n v="2023"/>
    <n v="1214"/>
  </r>
  <r>
    <x v="21"/>
    <x v="336"/>
    <x v="6"/>
    <n v="0.4"/>
    <n v="2023"/>
    <n v="809"/>
  </r>
  <r>
    <x v="21"/>
    <x v="336"/>
    <x v="7"/>
    <n v="1.3528037949557916E-2"/>
    <n v="2023"/>
    <n v="27"/>
  </r>
  <r>
    <x v="21"/>
    <x v="337"/>
    <x v="5"/>
    <n v="0.6"/>
    <n v="1475"/>
    <n v="885"/>
  </r>
  <r>
    <x v="21"/>
    <x v="337"/>
    <x v="6"/>
    <n v="0.4"/>
    <n v="1475"/>
    <n v="590"/>
  </r>
  <r>
    <x v="21"/>
    <x v="337"/>
    <x v="7"/>
    <n v="1.6443487842197433E-2"/>
    <n v="1475"/>
    <n v="24"/>
  </r>
  <r>
    <x v="21"/>
    <x v="338"/>
    <x v="5"/>
    <n v="0.6"/>
    <n v="18070"/>
    <n v="10842"/>
  </r>
  <r>
    <x v="21"/>
    <x v="338"/>
    <x v="6"/>
    <n v="0.4"/>
    <n v="18070"/>
    <n v="7228"/>
  </r>
  <r>
    <x v="21"/>
    <x v="338"/>
    <x v="7"/>
    <n v="1.1510398975137299E-2"/>
    <n v="18070"/>
    <n v="208"/>
  </r>
  <r>
    <x v="21"/>
    <x v="339"/>
    <x v="5"/>
    <n v="0.6"/>
    <n v="1734"/>
    <n v="1040"/>
  </r>
  <r>
    <x v="21"/>
    <x v="339"/>
    <x v="6"/>
    <n v="0.4"/>
    <n v="1734"/>
    <n v="694"/>
  </r>
  <r>
    <x v="21"/>
    <x v="339"/>
    <x v="7"/>
    <n v="2.5337689706955691E-3"/>
    <n v="1734"/>
    <n v="4"/>
  </r>
  <r>
    <x v="21"/>
    <x v="340"/>
    <x v="5"/>
    <n v="0.6"/>
    <n v="948"/>
    <n v="569"/>
  </r>
  <r>
    <x v="21"/>
    <x v="340"/>
    <x v="6"/>
    <n v="0.4"/>
    <n v="948"/>
    <n v="379"/>
  </r>
  <r>
    <x v="21"/>
    <x v="340"/>
    <x v="7"/>
    <n v="5.6705198545813395E-3"/>
    <n v="948"/>
    <n v="5"/>
  </r>
  <r>
    <x v="21"/>
    <x v="436"/>
    <x v="5"/>
    <n v="0.6"/>
    <n v="11701"/>
    <n v="7021"/>
  </r>
  <r>
    <x v="21"/>
    <x v="436"/>
    <x v="6"/>
    <n v="0.4"/>
    <n v="11701"/>
    <n v="4680"/>
  </r>
  <r>
    <x v="21"/>
    <x v="436"/>
    <x v="7"/>
    <n v="9.582407683157896E-3"/>
    <n v="11701"/>
    <n v="112"/>
  </r>
  <r>
    <x v="21"/>
    <x v="342"/>
    <x v="5"/>
    <n v="0.6"/>
    <n v="860"/>
    <n v="516"/>
  </r>
  <r>
    <x v="21"/>
    <x v="342"/>
    <x v="6"/>
    <n v="0.4"/>
    <n v="860"/>
    <n v="344"/>
  </r>
  <r>
    <x v="21"/>
    <x v="342"/>
    <x v="7"/>
    <n v="9.1521605204495926E-3"/>
    <n v="860"/>
    <n v="8"/>
  </r>
  <r>
    <x v="22"/>
    <x v="343"/>
    <x v="5"/>
    <n v="0.6"/>
    <n v="112"/>
    <n v="67"/>
  </r>
  <r>
    <x v="22"/>
    <x v="343"/>
    <x v="6"/>
    <n v="0.4"/>
    <n v="112"/>
    <n v="45"/>
  </r>
  <r>
    <x v="22"/>
    <x v="343"/>
    <x v="7"/>
    <n v="1.7347006727304996E-2"/>
    <n v="112"/>
    <n v="2"/>
  </r>
  <r>
    <x v="22"/>
    <x v="344"/>
    <x v="5"/>
    <n v="0.6"/>
    <n v="11488"/>
    <n v="6893"/>
  </r>
  <r>
    <x v="22"/>
    <x v="344"/>
    <x v="6"/>
    <n v="0.4"/>
    <n v="11488"/>
    <n v="4595"/>
  </r>
  <r>
    <x v="22"/>
    <x v="344"/>
    <x v="7"/>
    <n v="9.3437660322560519E-3"/>
    <n v="11488"/>
    <n v="107"/>
  </r>
  <r>
    <x v="22"/>
    <x v="345"/>
    <x v="5"/>
    <n v="0.6"/>
    <n v="2193"/>
    <n v="1316"/>
  </r>
  <r>
    <x v="22"/>
    <x v="345"/>
    <x v="6"/>
    <n v="0.4"/>
    <n v="2193"/>
    <n v="877"/>
  </r>
  <r>
    <x v="22"/>
    <x v="345"/>
    <x v="7"/>
    <n v="3.9285931586902348E-3"/>
    <n v="2193"/>
    <n v="9"/>
  </r>
  <r>
    <x v="22"/>
    <x v="346"/>
    <x v="5"/>
    <n v="0.6"/>
    <n v="1216"/>
    <n v="730"/>
  </r>
  <r>
    <x v="22"/>
    <x v="346"/>
    <x v="6"/>
    <n v="0.4"/>
    <n v="1216"/>
    <n v="486"/>
  </r>
  <r>
    <x v="22"/>
    <x v="346"/>
    <x v="7"/>
    <n v="1.5660894785823089E-3"/>
    <n v="1216"/>
    <n v="2"/>
  </r>
  <r>
    <x v="22"/>
    <x v="347"/>
    <x v="5"/>
    <n v="0.6"/>
    <n v="2644"/>
    <n v="1586"/>
  </r>
  <r>
    <x v="22"/>
    <x v="347"/>
    <x v="6"/>
    <n v="0.4"/>
    <n v="2644"/>
    <n v="1058"/>
  </r>
  <r>
    <x v="22"/>
    <x v="347"/>
    <x v="7"/>
    <n v="3.2036016176581763E-3"/>
    <n v="2644"/>
    <n v="8"/>
  </r>
  <r>
    <x v="22"/>
    <x v="348"/>
    <x v="5"/>
    <n v="0.6"/>
    <n v="477"/>
    <n v="286"/>
  </r>
  <r>
    <x v="22"/>
    <x v="348"/>
    <x v="6"/>
    <n v="0.4"/>
    <n v="477"/>
    <n v="191"/>
  </r>
  <r>
    <x v="22"/>
    <x v="348"/>
    <x v="7"/>
    <n v="1.5029662573177097E-2"/>
    <n v="477"/>
    <n v="7"/>
  </r>
  <r>
    <x v="22"/>
    <x v="349"/>
    <x v="5"/>
    <n v="0.6"/>
    <n v="1670"/>
    <n v="1002"/>
  </r>
  <r>
    <x v="22"/>
    <x v="349"/>
    <x v="6"/>
    <n v="0.4"/>
    <n v="1670"/>
    <n v="668"/>
  </r>
  <r>
    <x v="22"/>
    <x v="349"/>
    <x v="7"/>
    <n v="3.4030891656633999E-3"/>
    <n v="1670"/>
    <n v="6"/>
  </r>
  <r>
    <x v="22"/>
    <x v="350"/>
    <x v="5"/>
    <n v="0.6"/>
    <n v="682"/>
    <n v="409"/>
  </r>
  <r>
    <x v="22"/>
    <x v="350"/>
    <x v="6"/>
    <n v="0.4"/>
    <n v="682"/>
    <n v="273"/>
  </r>
  <r>
    <x v="22"/>
    <x v="350"/>
    <x v="7"/>
    <n v="8.5304685972205311E-3"/>
    <n v="682"/>
    <n v="6"/>
  </r>
  <r>
    <x v="22"/>
    <x v="351"/>
    <x v="5"/>
    <n v="0.6"/>
    <n v="2127"/>
    <n v="1276"/>
  </r>
  <r>
    <x v="22"/>
    <x v="351"/>
    <x v="6"/>
    <n v="0.4"/>
    <n v="2127"/>
    <n v="851"/>
  </r>
  <r>
    <x v="22"/>
    <x v="351"/>
    <x v="7"/>
    <n v="1.4550608059143559E-2"/>
    <n v="2127"/>
    <n v="31"/>
  </r>
  <r>
    <x v="22"/>
    <x v="352"/>
    <x v="5"/>
    <n v="0.6"/>
    <n v="756"/>
    <n v="454"/>
  </r>
  <r>
    <x v="22"/>
    <x v="352"/>
    <x v="6"/>
    <n v="0.4"/>
    <n v="756"/>
    <n v="302"/>
  </r>
  <r>
    <x v="22"/>
    <x v="352"/>
    <x v="7"/>
    <n v="4.9960249810140087E-3"/>
    <n v="756"/>
    <n v="4"/>
  </r>
  <r>
    <x v="22"/>
    <x v="353"/>
    <x v="5"/>
    <n v="0.6"/>
    <n v="1674"/>
    <n v="1004"/>
  </r>
  <r>
    <x v="22"/>
    <x v="353"/>
    <x v="6"/>
    <n v="0.4"/>
    <n v="1674"/>
    <n v="670"/>
  </r>
  <r>
    <x v="22"/>
    <x v="353"/>
    <x v="7"/>
    <n v="1.7865656366539584E-3"/>
    <n v="1674"/>
    <n v="3"/>
  </r>
  <r>
    <x v="22"/>
    <x v="354"/>
    <x v="5"/>
    <n v="0.6"/>
    <n v="499"/>
    <n v="299"/>
  </r>
  <r>
    <x v="22"/>
    <x v="354"/>
    <x v="6"/>
    <n v="0.4"/>
    <n v="499"/>
    <n v="200"/>
  </r>
  <r>
    <x v="22"/>
    <x v="354"/>
    <x v="7"/>
    <n v="1.6119483998347409E-2"/>
    <n v="499"/>
    <n v="8"/>
  </r>
  <r>
    <x v="22"/>
    <x v="355"/>
    <x v="5"/>
    <n v="0.6"/>
    <n v="440"/>
    <n v="264"/>
  </r>
  <r>
    <x v="22"/>
    <x v="355"/>
    <x v="6"/>
    <n v="0.4"/>
    <n v="440"/>
    <n v="176"/>
  </r>
  <r>
    <x v="22"/>
    <x v="355"/>
    <x v="7"/>
    <n v="1.7166372383674817E-2"/>
    <n v="440"/>
    <n v="8"/>
  </r>
  <r>
    <x v="23"/>
    <x v="356"/>
    <x v="5"/>
    <n v="0.6"/>
    <n v="144933"/>
    <n v="86960"/>
  </r>
  <r>
    <x v="23"/>
    <x v="356"/>
    <x v="6"/>
    <n v="0.4"/>
    <n v="144933"/>
    <n v="57973"/>
  </r>
  <r>
    <x v="23"/>
    <x v="356"/>
    <x v="7"/>
    <n v="4.5442856670427026E-4"/>
    <n v="144933"/>
    <n v="66"/>
  </r>
  <r>
    <x v="23"/>
    <x v="357"/>
    <x v="5"/>
    <n v="0.6"/>
    <n v="1366"/>
    <n v="820"/>
  </r>
  <r>
    <x v="23"/>
    <x v="357"/>
    <x v="6"/>
    <n v="0.4"/>
    <n v="1366"/>
    <n v="546"/>
  </r>
  <r>
    <x v="23"/>
    <x v="357"/>
    <x v="7"/>
    <n v="2.9741571875576025E-3"/>
    <n v="1366"/>
    <n v="4"/>
  </r>
  <r>
    <x v="23"/>
    <x v="358"/>
    <x v="5"/>
    <n v="0.6"/>
    <n v="5999"/>
    <n v="3599"/>
  </r>
  <r>
    <x v="23"/>
    <x v="358"/>
    <x v="6"/>
    <n v="0.4"/>
    <n v="5999"/>
    <n v="2400"/>
  </r>
  <r>
    <x v="23"/>
    <x v="358"/>
    <x v="7"/>
    <n v="1.2997475222320904E-2"/>
    <n v="5999"/>
    <n v="78"/>
  </r>
  <r>
    <x v="23"/>
    <x v="359"/>
    <x v="5"/>
    <n v="0.6"/>
    <n v="1040"/>
    <n v="624"/>
  </r>
  <r>
    <x v="23"/>
    <x v="359"/>
    <x v="6"/>
    <n v="0.4"/>
    <n v="1040"/>
    <n v="416"/>
  </r>
  <r>
    <x v="23"/>
    <x v="359"/>
    <x v="7"/>
    <n v="1.6294184182067798E-2"/>
    <n v="1040"/>
    <n v="17"/>
  </r>
  <r>
    <x v="23"/>
    <x v="360"/>
    <x v="5"/>
    <n v="0.6"/>
    <n v="3472"/>
    <n v="2083"/>
  </r>
  <r>
    <x v="23"/>
    <x v="360"/>
    <x v="6"/>
    <n v="0.4"/>
    <n v="3472"/>
    <n v="1389"/>
  </r>
  <r>
    <x v="23"/>
    <x v="360"/>
    <x v="7"/>
    <n v="5.0815130216847653E-3"/>
    <n v="3472"/>
    <n v="18"/>
  </r>
  <r>
    <x v="23"/>
    <x v="361"/>
    <x v="5"/>
    <n v="0.6"/>
    <n v="5281"/>
    <n v="3169"/>
  </r>
  <r>
    <x v="23"/>
    <x v="361"/>
    <x v="6"/>
    <n v="0.4"/>
    <n v="5281"/>
    <n v="2112"/>
  </r>
  <r>
    <x v="23"/>
    <x v="361"/>
    <x v="7"/>
    <n v="1.9796756608836247E-2"/>
    <n v="5281"/>
    <n v="105"/>
  </r>
  <r>
    <x v="23"/>
    <x v="362"/>
    <x v="5"/>
    <n v="0.6"/>
    <n v="3188"/>
    <n v="1913"/>
  </r>
  <r>
    <x v="23"/>
    <x v="362"/>
    <x v="6"/>
    <n v="0.4"/>
    <n v="3188"/>
    <n v="1275"/>
  </r>
  <r>
    <x v="23"/>
    <x v="362"/>
    <x v="7"/>
    <n v="5.1197892500058021E-3"/>
    <n v="3188"/>
    <n v="16"/>
  </r>
  <r>
    <x v="23"/>
    <x v="363"/>
    <x v="5"/>
    <n v="0.6"/>
    <n v="968"/>
    <n v="581"/>
  </r>
  <r>
    <x v="23"/>
    <x v="363"/>
    <x v="6"/>
    <n v="0.4"/>
    <n v="968"/>
    <n v="387"/>
  </r>
  <r>
    <x v="23"/>
    <x v="363"/>
    <x v="7"/>
    <n v="5.4377396647910282E-3"/>
    <n v="968"/>
    <n v="5"/>
  </r>
  <r>
    <x v="23"/>
    <x v="364"/>
    <x v="5"/>
    <n v="0.6"/>
    <n v="2206"/>
    <n v="1324"/>
  </r>
  <r>
    <x v="23"/>
    <x v="364"/>
    <x v="6"/>
    <n v="0.4"/>
    <n v="2206"/>
    <n v="882"/>
  </r>
  <r>
    <x v="23"/>
    <x v="364"/>
    <x v="7"/>
    <n v="1.9799895454460873E-2"/>
    <n v="2206"/>
    <n v="44"/>
  </r>
  <r>
    <x v="23"/>
    <x v="365"/>
    <x v="5"/>
    <n v="0.6"/>
    <n v="496"/>
    <n v="298"/>
  </r>
  <r>
    <x v="23"/>
    <x v="365"/>
    <x v="6"/>
    <n v="0.4"/>
    <n v="496"/>
    <n v="198"/>
  </r>
  <r>
    <x v="23"/>
    <x v="365"/>
    <x v="7"/>
    <n v="5.2218817927681552E-3"/>
    <n v="496"/>
    <n v="3"/>
  </r>
  <r>
    <x v="23"/>
    <x v="366"/>
    <x v="5"/>
    <n v="0.6"/>
    <n v="955"/>
    <n v="573"/>
  </r>
  <r>
    <x v="23"/>
    <x v="366"/>
    <x v="6"/>
    <n v="0.4"/>
    <n v="955"/>
    <n v="382"/>
  </r>
  <r>
    <x v="23"/>
    <x v="366"/>
    <x v="7"/>
    <n v="9.8853987608094936E-3"/>
    <n v="955"/>
    <n v="9"/>
  </r>
  <r>
    <x v="23"/>
    <x v="367"/>
    <x v="5"/>
    <n v="0.6"/>
    <n v="1311"/>
    <n v="787"/>
  </r>
  <r>
    <x v="23"/>
    <x v="367"/>
    <x v="6"/>
    <n v="0.4"/>
    <n v="1311"/>
    <n v="524"/>
  </r>
  <r>
    <x v="23"/>
    <x v="367"/>
    <x v="7"/>
    <n v="9.0922735094542562E-3"/>
    <n v="1311"/>
    <n v="12"/>
  </r>
  <r>
    <x v="23"/>
    <x v="368"/>
    <x v="5"/>
    <n v="0.6"/>
    <n v="540"/>
    <n v="324"/>
  </r>
  <r>
    <x v="23"/>
    <x v="368"/>
    <x v="6"/>
    <n v="0.4"/>
    <n v="540"/>
    <n v="216"/>
  </r>
  <r>
    <x v="23"/>
    <x v="368"/>
    <x v="7"/>
    <n v="7.0619814963706843E-3"/>
    <n v="540"/>
    <n v="4"/>
  </r>
  <r>
    <x v="23"/>
    <x v="369"/>
    <x v="5"/>
    <n v="0.6"/>
    <n v="1870"/>
    <n v="1122"/>
  </r>
  <r>
    <x v="23"/>
    <x v="369"/>
    <x v="6"/>
    <n v="0.4"/>
    <n v="1870"/>
    <n v="748"/>
  </r>
  <r>
    <x v="23"/>
    <x v="369"/>
    <x v="7"/>
    <n v="1.8623982380418912E-2"/>
    <n v="1870"/>
    <n v="35"/>
  </r>
  <r>
    <x v="23"/>
    <x v="370"/>
    <x v="5"/>
    <n v="0.6"/>
    <n v="2046"/>
    <n v="1228"/>
  </r>
  <r>
    <x v="23"/>
    <x v="370"/>
    <x v="6"/>
    <n v="0.4"/>
    <n v="2046"/>
    <n v="818"/>
  </r>
  <r>
    <x v="23"/>
    <x v="370"/>
    <x v="7"/>
    <n v="1.0512485691067202E-2"/>
    <n v="2046"/>
    <n v="22"/>
  </r>
  <r>
    <x v="23"/>
    <x v="437"/>
    <x v="5"/>
    <n v="0.6"/>
    <n v="11701"/>
    <n v="7021"/>
  </r>
  <r>
    <x v="23"/>
    <x v="437"/>
    <x v="6"/>
    <n v="0.4"/>
    <n v="11701"/>
    <n v="4680"/>
  </r>
  <r>
    <x v="23"/>
    <x v="437"/>
    <x v="7"/>
    <n v="1.0073884915709114E-2"/>
    <n v="11701"/>
    <n v="118"/>
  </r>
  <r>
    <x v="24"/>
    <x v="372"/>
    <x v="5"/>
    <n v="0.6"/>
    <n v="12494"/>
    <n v="7496"/>
  </r>
  <r>
    <x v="24"/>
    <x v="372"/>
    <x v="6"/>
    <n v="0.4"/>
    <n v="12494"/>
    <n v="4998"/>
  </r>
  <r>
    <x v="24"/>
    <x v="372"/>
    <x v="7"/>
    <n v="4.7768531354152382E-3"/>
    <n v="12494"/>
    <n v="60"/>
  </r>
  <r>
    <x v="24"/>
    <x v="373"/>
    <x v="5"/>
    <n v="0.6"/>
    <n v="356"/>
    <n v="214"/>
  </r>
  <r>
    <x v="24"/>
    <x v="373"/>
    <x v="6"/>
    <n v="0.4"/>
    <n v="356"/>
    <n v="142"/>
  </r>
  <r>
    <x v="24"/>
    <x v="373"/>
    <x v="7"/>
    <n v="1.3226504895562109E-2"/>
    <n v="356"/>
    <n v="5"/>
  </r>
  <r>
    <x v="24"/>
    <x v="374"/>
    <x v="5"/>
    <n v="0.6"/>
    <n v="1370"/>
    <n v="822"/>
  </r>
  <r>
    <x v="24"/>
    <x v="374"/>
    <x v="6"/>
    <n v="0.4"/>
    <n v="1370"/>
    <n v="548"/>
  </r>
  <r>
    <x v="24"/>
    <x v="374"/>
    <x v="7"/>
    <n v="7.6922724917205601E-3"/>
    <n v="1370"/>
    <n v="11"/>
  </r>
  <r>
    <x v="24"/>
    <x v="375"/>
    <x v="5"/>
    <n v="0.6"/>
    <n v="1172"/>
    <n v="703"/>
  </r>
  <r>
    <x v="24"/>
    <x v="375"/>
    <x v="6"/>
    <n v="0.4"/>
    <n v="1172"/>
    <n v="469"/>
  </r>
  <r>
    <x v="24"/>
    <x v="375"/>
    <x v="7"/>
    <n v="2.7077272411194352E-3"/>
    <n v="1172"/>
    <n v="3"/>
  </r>
  <r>
    <x v="24"/>
    <x v="376"/>
    <x v="5"/>
    <n v="0.6"/>
    <n v="1166"/>
    <n v="700"/>
  </r>
  <r>
    <x v="24"/>
    <x v="376"/>
    <x v="6"/>
    <n v="0.4"/>
    <n v="1166"/>
    <n v="466"/>
  </r>
  <r>
    <x v="24"/>
    <x v="376"/>
    <x v="7"/>
    <n v="2.9474829098455179E-3"/>
    <n v="1166"/>
    <n v="3"/>
  </r>
  <r>
    <x v="24"/>
    <x v="377"/>
    <x v="5"/>
    <n v="0.6"/>
    <n v="864"/>
    <n v="518"/>
  </r>
  <r>
    <x v="24"/>
    <x v="377"/>
    <x v="6"/>
    <n v="0.4"/>
    <n v="864"/>
    <n v="346"/>
  </r>
  <r>
    <x v="24"/>
    <x v="377"/>
    <x v="7"/>
    <n v="5.41197549678609E-3"/>
    <n v="864"/>
    <n v="5"/>
  </r>
  <r>
    <x v="24"/>
    <x v="378"/>
    <x v="5"/>
    <n v="0.6"/>
    <n v="358"/>
    <n v="215"/>
  </r>
  <r>
    <x v="24"/>
    <x v="378"/>
    <x v="6"/>
    <n v="0.4"/>
    <n v="358"/>
    <n v="143"/>
  </r>
  <r>
    <x v="24"/>
    <x v="378"/>
    <x v="7"/>
    <n v="1.9074198496051561E-2"/>
    <n v="358"/>
    <n v="7"/>
  </r>
  <r>
    <x v="24"/>
    <x v="379"/>
    <x v="5"/>
    <n v="0.6"/>
    <n v="798"/>
    <n v="479"/>
  </r>
  <r>
    <x v="24"/>
    <x v="379"/>
    <x v="6"/>
    <n v="0.4"/>
    <n v="798"/>
    <n v="319"/>
  </r>
  <r>
    <x v="24"/>
    <x v="379"/>
    <x v="7"/>
    <n v="8.10422810239236E-3"/>
    <n v="798"/>
    <n v="6"/>
  </r>
  <r>
    <x v="24"/>
    <x v="380"/>
    <x v="5"/>
    <n v="0.6"/>
    <n v="265"/>
    <n v="159"/>
  </r>
  <r>
    <x v="24"/>
    <x v="380"/>
    <x v="6"/>
    <n v="0.4"/>
    <n v="265"/>
    <n v="106"/>
  </r>
  <r>
    <x v="24"/>
    <x v="380"/>
    <x v="7"/>
    <n v="8.236053198727708E-3"/>
    <n v="265"/>
    <n v="2"/>
  </r>
  <r>
    <x v="24"/>
    <x v="381"/>
    <x v="5"/>
    <n v="0.6"/>
    <n v="204"/>
    <n v="122"/>
  </r>
  <r>
    <x v="24"/>
    <x v="381"/>
    <x v="6"/>
    <n v="0.4"/>
    <n v="204"/>
    <n v="82"/>
  </r>
  <r>
    <x v="24"/>
    <x v="381"/>
    <x v="7"/>
    <n v="1.5289705033543061E-2"/>
    <n v="204"/>
    <n v="3"/>
  </r>
  <r>
    <x v="25"/>
    <x v="382"/>
    <x v="5"/>
    <n v="0.6"/>
    <n v="19334"/>
    <n v="11600"/>
  </r>
  <r>
    <x v="25"/>
    <x v="382"/>
    <x v="6"/>
    <n v="0.4"/>
    <n v="19334"/>
    <n v="7734"/>
  </r>
  <r>
    <x v="25"/>
    <x v="382"/>
    <x v="7"/>
    <n v="1.0850432733655281E-2"/>
    <n v="19334"/>
    <n v="210"/>
  </r>
  <r>
    <x v="26"/>
    <x v="383"/>
    <x v="5"/>
    <n v="0.6"/>
    <n v="1156"/>
    <n v="694"/>
  </r>
  <r>
    <x v="26"/>
    <x v="383"/>
    <x v="6"/>
    <n v="0.4"/>
    <n v="1156"/>
    <n v="462"/>
  </r>
  <r>
    <x v="26"/>
    <x v="383"/>
    <x v="7"/>
    <n v="1.8185037698999002E-2"/>
    <n v="1156"/>
    <n v="21"/>
  </r>
  <r>
    <x v="26"/>
    <x v="384"/>
    <x v="5"/>
    <n v="0.6"/>
    <n v="2446"/>
    <n v="1468"/>
  </r>
  <r>
    <x v="26"/>
    <x v="384"/>
    <x v="6"/>
    <n v="0.4"/>
    <n v="2446"/>
    <n v="978"/>
  </r>
  <r>
    <x v="26"/>
    <x v="384"/>
    <x v="7"/>
    <n v="1.4761537797845441E-2"/>
    <n v="2446"/>
    <n v="36"/>
  </r>
  <r>
    <x v="26"/>
    <x v="385"/>
    <x v="5"/>
    <n v="0.6"/>
    <n v="14272"/>
    <n v="8563"/>
  </r>
  <r>
    <x v="26"/>
    <x v="385"/>
    <x v="6"/>
    <n v="0.4"/>
    <n v="14272"/>
    <n v="5709"/>
  </r>
  <r>
    <x v="26"/>
    <x v="385"/>
    <x v="7"/>
    <n v="1.3182352192772724E-2"/>
    <n v="14272"/>
    <n v="188"/>
  </r>
  <r>
    <x v="26"/>
    <x v="386"/>
    <x v="5"/>
    <n v="0.6"/>
    <n v="730"/>
    <n v="438"/>
  </r>
  <r>
    <x v="26"/>
    <x v="386"/>
    <x v="6"/>
    <n v="0.4"/>
    <n v="730"/>
    <n v="292"/>
  </r>
  <r>
    <x v="26"/>
    <x v="386"/>
    <x v="7"/>
    <n v="7.5797604730305015E-3"/>
    <n v="730"/>
    <n v="6"/>
  </r>
  <r>
    <x v="26"/>
    <x v="387"/>
    <x v="5"/>
    <n v="0.6"/>
    <n v="820"/>
    <n v="492"/>
  </r>
  <r>
    <x v="26"/>
    <x v="387"/>
    <x v="6"/>
    <n v="0.4"/>
    <n v="820"/>
    <n v="328"/>
  </r>
  <r>
    <x v="26"/>
    <x v="387"/>
    <x v="7"/>
    <n v="1.1360781318056292E-2"/>
    <n v="820"/>
    <n v="9"/>
  </r>
  <r>
    <x v="26"/>
    <x v="388"/>
    <x v="5"/>
    <n v="0.6"/>
    <n v="486"/>
    <n v="292"/>
  </r>
  <r>
    <x v="26"/>
    <x v="388"/>
    <x v="6"/>
    <n v="0.4"/>
    <n v="486"/>
    <n v="194"/>
  </r>
  <r>
    <x v="26"/>
    <x v="388"/>
    <x v="7"/>
    <n v="5.6792399713946028E-3"/>
    <n v="486"/>
    <n v="3"/>
  </r>
  <r>
    <x v="27"/>
    <x v="389"/>
    <x v="5"/>
    <n v="0.6"/>
    <n v="948"/>
    <n v="569"/>
  </r>
  <r>
    <x v="27"/>
    <x v="389"/>
    <x v="6"/>
    <n v="0.4"/>
    <n v="948"/>
    <n v="379"/>
  </r>
  <r>
    <x v="27"/>
    <x v="389"/>
    <x v="7"/>
    <n v="1.0216478527173858E-2"/>
    <n v="948"/>
    <n v="10"/>
  </r>
  <r>
    <x v="27"/>
    <x v="390"/>
    <x v="5"/>
    <n v="0.6"/>
    <n v="362"/>
    <n v="217"/>
  </r>
  <r>
    <x v="27"/>
    <x v="390"/>
    <x v="6"/>
    <n v="0.4"/>
    <n v="362"/>
    <n v="145"/>
  </r>
  <r>
    <x v="27"/>
    <x v="390"/>
    <x v="7"/>
    <n v="9.9319624969542949E-4"/>
    <n v="362"/>
    <n v="0"/>
  </r>
  <r>
    <x v="27"/>
    <x v="391"/>
    <x v="5"/>
    <n v="0.6"/>
    <n v="944"/>
    <n v="566"/>
  </r>
  <r>
    <x v="27"/>
    <x v="391"/>
    <x v="6"/>
    <n v="0.4"/>
    <n v="944"/>
    <n v="378"/>
  </r>
  <r>
    <x v="27"/>
    <x v="391"/>
    <x v="7"/>
    <n v="6.6654645813630569E-3"/>
    <n v="944"/>
    <n v="6"/>
  </r>
  <r>
    <x v="27"/>
    <x v="392"/>
    <x v="5"/>
    <n v="0.6"/>
    <n v="460"/>
    <n v="276"/>
  </r>
  <r>
    <x v="27"/>
    <x v="392"/>
    <x v="6"/>
    <n v="0.4"/>
    <n v="460"/>
    <n v="184"/>
  </r>
  <r>
    <x v="27"/>
    <x v="392"/>
    <x v="7"/>
    <n v="9.1212677844220574E-3"/>
    <n v="460"/>
    <n v="4"/>
  </r>
  <r>
    <x v="27"/>
    <x v="393"/>
    <x v="5"/>
    <n v="0.6"/>
    <n v="11530"/>
    <n v="6918"/>
  </r>
  <r>
    <x v="27"/>
    <x v="393"/>
    <x v="6"/>
    <n v="0.4"/>
    <n v="11530"/>
    <n v="4612"/>
  </r>
  <r>
    <x v="27"/>
    <x v="393"/>
    <x v="7"/>
    <n v="1.7452948047720575E-4"/>
    <n v="11530"/>
    <n v="2"/>
  </r>
  <r>
    <x v="27"/>
    <x v="394"/>
    <x v="5"/>
    <n v="0.6"/>
    <n v="2181"/>
    <n v="1309"/>
  </r>
  <r>
    <x v="27"/>
    <x v="394"/>
    <x v="6"/>
    <n v="0.4"/>
    <n v="2181"/>
    <n v="872"/>
  </r>
  <r>
    <x v="27"/>
    <x v="394"/>
    <x v="7"/>
    <n v="1.0121914224940133E-2"/>
    <n v="2181"/>
    <n v="22"/>
  </r>
  <r>
    <x v="27"/>
    <x v="395"/>
    <x v="5"/>
    <n v="0.6"/>
    <n v="1464"/>
    <n v="878"/>
  </r>
  <r>
    <x v="27"/>
    <x v="395"/>
    <x v="6"/>
    <n v="0.4"/>
    <n v="1464"/>
    <n v="586"/>
  </r>
  <r>
    <x v="27"/>
    <x v="395"/>
    <x v="7"/>
    <n v="1.8947603801781853E-2"/>
    <n v="1464"/>
    <n v="28"/>
  </r>
  <r>
    <x v="27"/>
    <x v="396"/>
    <x v="5"/>
    <n v="0.6"/>
    <n v="2182"/>
    <n v="1309"/>
  </r>
  <r>
    <x v="27"/>
    <x v="396"/>
    <x v="6"/>
    <n v="0.4"/>
    <n v="2182"/>
    <n v="873"/>
  </r>
  <r>
    <x v="27"/>
    <x v="396"/>
    <x v="7"/>
    <n v="1.509718430562134E-2"/>
    <n v="2182"/>
    <n v="33"/>
  </r>
  <r>
    <x v="27"/>
    <x v="397"/>
    <x v="5"/>
    <n v="0.6"/>
    <n v="2989"/>
    <n v="1793"/>
  </r>
  <r>
    <x v="27"/>
    <x v="397"/>
    <x v="6"/>
    <n v="0.4"/>
    <n v="2989"/>
    <n v="1196"/>
  </r>
  <r>
    <x v="27"/>
    <x v="397"/>
    <x v="7"/>
    <n v="1.7876193715784462E-2"/>
    <n v="2989"/>
    <n v="53"/>
  </r>
  <r>
    <x v="27"/>
    <x v="398"/>
    <x v="5"/>
    <n v="0.6"/>
    <n v="978"/>
    <n v="587"/>
  </r>
  <r>
    <x v="27"/>
    <x v="398"/>
    <x v="6"/>
    <n v="0.4"/>
    <n v="978"/>
    <n v="391"/>
  </r>
  <r>
    <x v="27"/>
    <x v="398"/>
    <x v="7"/>
    <n v="1.5379228730554561E-2"/>
    <n v="978"/>
    <n v="15"/>
  </r>
  <r>
    <x v="27"/>
    <x v="399"/>
    <x v="5"/>
    <n v="0.6"/>
    <n v="897"/>
    <n v="538"/>
  </r>
  <r>
    <x v="27"/>
    <x v="399"/>
    <x v="6"/>
    <n v="0.4"/>
    <n v="897"/>
    <n v="359"/>
  </r>
  <r>
    <x v="27"/>
    <x v="399"/>
    <x v="7"/>
    <n v="4.9903584729882192E-3"/>
    <n v="897"/>
    <n v="4"/>
  </r>
  <r>
    <x v="27"/>
    <x v="400"/>
    <x v="5"/>
    <n v="0.6"/>
    <n v="1608"/>
    <n v="965"/>
  </r>
  <r>
    <x v="27"/>
    <x v="400"/>
    <x v="6"/>
    <n v="0.4"/>
    <n v="1608"/>
    <n v="643"/>
  </r>
  <r>
    <x v="27"/>
    <x v="400"/>
    <x v="7"/>
    <n v="6.6152665233401714E-3"/>
    <n v="1608"/>
    <n v="11"/>
  </r>
  <r>
    <x v="27"/>
    <x v="401"/>
    <x v="5"/>
    <n v="0.6"/>
    <n v="402"/>
    <n v="241"/>
  </r>
  <r>
    <x v="27"/>
    <x v="401"/>
    <x v="6"/>
    <n v="0.4"/>
    <n v="402"/>
    <n v="161"/>
  </r>
  <r>
    <x v="27"/>
    <x v="401"/>
    <x v="7"/>
    <n v="3.237551020286349E-3"/>
    <n v="402"/>
    <n v="1"/>
  </r>
  <r>
    <x v="27"/>
    <x v="402"/>
    <x v="5"/>
    <n v="0.6"/>
    <n v="564"/>
    <n v="338"/>
  </r>
  <r>
    <x v="27"/>
    <x v="402"/>
    <x v="6"/>
    <n v="0.4"/>
    <n v="564"/>
    <n v="226"/>
  </r>
  <r>
    <x v="27"/>
    <x v="402"/>
    <x v="7"/>
    <n v="1.6727417869464842E-2"/>
    <n v="564"/>
    <n v="9"/>
  </r>
  <r>
    <x v="28"/>
    <x v="403"/>
    <x v="5"/>
    <n v="0.6"/>
    <n v="1538"/>
    <n v="923"/>
  </r>
  <r>
    <x v="28"/>
    <x v="403"/>
    <x v="6"/>
    <n v="0.4"/>
    <n v="1538"/>
    <n v="615"/>
  </r>
  <r>
    <x v="28"/>
    <x v="403"/>
    <x v="7"/>
    <n v="1.6071053797890596E-2"/>
    <n v="1538"/>
    <n v="25"/>
  </r>
  <r>
    <x v="28"/>
    <x v="404"/>
    <x v="5"/>
    <n v="0.6"/>
    <n v="6329"/>
    <n v="3797"/>
  </r>
  <r>
    <x v="28"/>
    <x v="404"/>
    <x v="6"/>
    <n v="0.4"/>
    <n v="6329"/>
    <n v="2532"/>
  </r>
  <r>
    <x v="28"/>
    <x v="404"/>
    <x v="7"/>
    <n v="5.192946464215773E-3"/>
    <n v="6329"/>
    <n v="33"/>
  </r>
  <r>
    <x v="28"/>
    <x v="405"/>
    <x v="5"/>
    <n v="0.6"/>
    <n v="509"/>
    <n v="305"/>
  </r>
  <r>
    <x v="28"/>
    <x v="405"/>
    <x v="6"/>
    <n v="0.4"/>
    <n v="509"/>
    <n v="204"/>
  </r>
  <r>
    <x v="28"/>
    <x v="405"/>
    <x v="7"/>
    <n v="1.1888000299361377E-2"/>
    <n v="509"/>
    <n v="6"/>
  </r>
  <r>
    <x v="28"/>
    <x v="406"/>
    <x v="5"/>
    <n v="0.6"/>
    <n v="2203"/>
    <n v="1322"/>
  </r>
  <r>
    <x v="28"/>
    <x v="406"/>
    <x v="6"/>
    <n v="0.4"/>
    <n v="2203"/>
    <n v="881"/>
  </r>
  <r>
    <x v="28"/>
    <x v="406"/>
    <x v="7"/>
    <n v="5.2296687899913933E-3"/>
    <n v="2203"/>
    <n v="12"/>
  </r>
  <r>
    <x v="28"/>
    <x v="407"/>
    <x v="5"/>
    <n v="0.6"/>
    <n v="539"/>
    <n v="323"/>
  </r>
  <r>
    <x v="28"/>
    <x v="407"/>
    <x v="6"/>
    <n v="0.4"/>
    <n v="539"/>
    <n v="216"/>
  </r>
  <r>
    <x v="28"/>
    <x v="407"/>
    <x v="7"/>
    <n v="1.4440616299918765E-2"/>
    <n v="539"/>
    <n v="8"/>
  </r>
  <r>
    <x v="28"/>
    <x v="408"/>
    <x v="5"/>
    <n v="0.6"/>
    <n v="692"/>
    <n v="415"/>
  </r>
  <r>
    <x v="28"/>
    <x v="408"/>
    <x v="6"/>
    <n v="0.4"/>
    <n v="692"/>
    <n v="277"/>
  </r>
  <r>
    <x v="28"/>
    <x v="408"/>
    <x v="7"/>
    <n v="1.3352814340928196E-2"/>
    <n v="692"/>
    <n v="9"/>
  </r>
  <r>
    <x v="28"/>
    <x v="409"/>
    <x v="5"/>
    <n v="0.6"/>
    <n v="156"/>
    <n v="94"/>
  </r>
  <r>
    <x v="28"/>
    <x v="409"/>
    <x v="6"/>
    <n v="0.4"/>
    <n v="156"/>
    <n v="62"/>
  </r>
  <r>
    <x v="28"/>
    <x v="409"/>
    <x v="7"/>
    <n v="4.8419604906385152E-3"/>
    <n v="156"/>
    <n v="1"/>
  </r>
  <r>
    <x v="28"/>
    <x v="410"/>
    <x v="5"/>
    <n v="0.6"/>
    <n v="553"/>
    <n v="332"/>
  </r>
  <r>
    <x v="28"/>
    <x v="410"/>
    <x v="6"/>
    <n v="0.4"/>
    <n v="553"/>
    <n v="221"/>
  </r>
  <r>
    <x v="28"/>
    <x v="410"/>
    <x v="7"/>
    <n v="1.6338855342063207E-2"/>
    <n v="553"/>
    <n v="9"/>
  </r>
  <r>
    <x v="29"/>
    <x v="411"/>
    <x v="5"/>
    <n v="0.6"/>
    <n v="6420"/>
    <n v="3852"/>
  </r>
  <r>
    <x v="29"/>
    <x v="411"/>
    <x v="6"/>
    <n v="0.4"/>
    <n v="6420"/>
    <n v="2568"/>
  </r>
  <r>
    <x v="29"/>
    <x v="411"/>
    <x v="7"/>
    <n v="1.658209566528265E-2"/>
    <n v="6420"/>
    <n v="106"/>
  </r>
  <r>
    <x v="29"/>
    <x v="412"/>
    <x v="5"/>
    <n v="0.6"/>
    <n v="632"/>
    <n v="379"/>
  </r>
  <r>
    <x v="29"/>
    <x v="412"/>
    <x v="6"/>
    <n v="0.4"/>
    <n v="632"/>
    <n v="253"/>
  </r>
  <r>
    <x v="29"/>
    <x v="412"/>
    <x v="7"/>
    <n v="4.3830333936247029E-3"/>
    <n v="632"/>
    <n v="3"/>
  </r>
  <r>
    <x v="29"/>
    <x v="413"/>
    <x v="5"/>
    <n v="0.6"/>
    <n v="469"/>
    <n v="281"/>
  </r>
  <r>
    <x v="29"/>
    <x v="413"/>
    <x v="6"/>
    <n v="0.4"/>
    <n v="469"/>
    <n v="188"/>
  </r>
  <r>
    <x v="29"/>
    <x v="413"/>
    <x v="7"/>
    <n v="3.3733782117456503E-3"/>
    <n v="469"/>
    <n v="2"/>
  </r>
  <r>
    <x v="29"/>
    <x v="414"/>
    <x v="5"/>
    <n v="0.6"/>
    <n v="1615"/>
    <n v="969"/>
  </r>
  <r>
    <x v="29"/>
    <x v="414"/>
    <x v="6"/>
    <n v="0.4"/>
    <n v="1615"/>
    <n v="646"/>
  </r>
  <r>
    <x v="29"/>
    <x v="414"/>
    <x v="7"/>
    <n v="5.8118114056460567E-3"/>
    <n v="1615"/>
    <n v="9"/>
  </r>
  <r>
    <x v="29"/>
    <x v="415"/>
    <x v="5"/>
    <n v="0.6"/>
    <n v="659"/>
    <n v="395"/>
  </r>
  <r>
    <x v="29"/>
    <x v="415"/>
    <x v="6"/>
    <n v="0.4"/>
    <n v="659"/>
    <n v="264"/>
  </r>
  <r>
    <x v="29"/>
    <x v="415"/>
    <x v="7"/>
    <n v="1.0084541119514985E-2"/>
    <n v="659"/>
    <n v="7"/>
  </r>
  <r>
    <x v="29"/>
    <x v="416"/>
    <x v="5"/>
    <n v="0.6"/>
    <n v="398"/>
    <n v="239"/>
  </r>
  <r>
    <x v="29"/>
    <x v="416"/>
    <x v="6"/>
    <n v="0.4"/>
    <n v="398"/>
    <n v="159"/>
  </r>
  <r>
    <x v="29"/>
    <x v="416"/>
    <x v="7"/>
    <n v="6.0945133930911943E-3"/>
    <n v="398"/>
    <n v="2"/>
  </r>
  <r>
    <x v="29"/>
    <x v="417"/>
    <x v="5"/>
    <n v="0.6"/>
    <n v="1251"/>
    <n v="751"/>
  </r>
  <r>
    <x v="29"/>
    <x v="417"/>
    <x v="6"/>
    <n v="0.4"/>
    <n v="1251"/>
    <n v="500"/>
  </r>
  <r>
    <x v="29"/>
    <x v="417"/>
    <x v="7"/>
    <n v="1.7234198881641193E-2"/>
    <n v="1251"/>
    <n v="22"/>
  </r>
  <r>
    <x v="29"/>
    <x v="418"/>
    <x v="5"/>
    <n v="0.6"/>
    <n v="362"/>
    <n v="217"/>
  </r>
  <r>
    <x v="29"/>
    <x v="418"/>
    <x v="6"/>
    <n v="0.4"/>
    <n v="362"/>
    <n v="145"/>
  </r>
  <r>
    <x v="29"/>
    <x v="418"/>
    <x v="7"/>
    <n v="1.8487438486709962E-2"/>
    <n v="362"/>
    <n v="7"/>
  </r>
  <r>
    <x v="29"/>
    <x v="419"/>
    <x v="5"/>
    <n v="0.6"/>
    <n v="575"/>
    <n v="345"/>
  </r>
  <r>
    <x v="29"/>
    <x v="419"/>
    <x v="6"/>
    <n v="0.4"/>
    <n v="575"/>
    <n v="230"/>
  </r>
  <r>
    <x v="29"/>
    <x v="419"/>
    <x v="7"/>
    <n v="6.8816271692937157E-3"/>
    <n v="575"/>
    <n v="4"/>
  </r>
  <r>
    <x v="29"/>
    <x v="420"/>
    <x v="5"/>
    <n v="0.6"/>
    <n v="208"/>
    <n v="125"/>
  </r>
  <r>
    <x v="29"/>
    <x v="420"/>
    <x v="6"/>
    <n v="0.4"/>
    <n v="208"/>
    <n v="83"/>
  </r>
  <r>
    <x v="29"/>
    <x v="420"/>
    <x v="7"/>
    <n v="1.3435676507552572E-2"/>
    <n v="208"/>
    <n v="3"/>
  </r>
  <r>
    <x v="29"/>
    <x v="421"/>
    <x v="5"/>
    <n v="0.6"/>
    <n v="1374"/>
    <n v="824"/>
  </r>
  <r>
    <x v="29"/>
    <x v="421"/>
    <x v="6"/>
    <n v="0.4"/>
    <n v="1374"/>
    <n v="550"/>
  </r>
  <r>
    <x v="29"/>
    <x v="421"/>
    <x v="7"/>
    <n v="3.5015880336722652E-4"/>
    <n v="1374"/>
    <n v="0"/>
  </r>
  <r>
    <x v="30"/>
    <x v="422"/>
    <x v="5"/>
    <n v="0.6"/>
    <n v="29180"/>
    <n v="17508"/>
  </r>
  <r>
    <x v="30"/>
    <x v="422"/>
    <x v="6"/>
    <n v="0.4"/>
    <n v="29180"/>
    <n v="11672"/>
  </r>
  <r>
    <x v="30"/>
    <x v="422"/>
    <x v="7"/>
    <n v="1.0361082525744891E-2"/>
    <n v="29180"/>
    <n v="302"/>
  </r>
  <r>
    <x v="30"/>
    <x v="423"/>
    <x v="5"/>
    <n v="0.6"/>
    <n v="1623"/>
    <n v="974"/>
  </r>
  <r>
    <x v="30"/>
    <x v="423"/>
    <x v="6"/>
    <n v="0.4"/>
    <n v="1623"/>
    <n v="649"/>
  </r>
  <r>
    <x v="30"/>
    <x v="423"/>
    <x v="7"/>
    <n v="1.5129671106468994E-2"/>
    <n v="1623"/>
    <n v="25"/>
  </r>
  <r>
    <x v="30"/>
    <x v="424"/>
    <x v="5"/>
    <n v="0.6"/>
    <n v="916"/>
    <n v="550"/>
  </r>
  <r>
    <x v="30"/>
    <x v="424"/>
    <x v="6"/>
    <n v="0.4"/>
    <n v="916"/>
    <n v="366"/>
  </r>
  <r>
    <x v="30"/>
    <x v="424"/>
    <x v="7"/>
    <n v="2.7384926400797994E-3"/>
    <n v="916"/>
    <n v="3"/>
  </r>
  <r>
    <x v="30"/>
    <x v="425"/>
    <x v="5"/>
    <n v="0.6"/>
    <n v="143"/>
    <n v="86"/>
  </r>
  <r>
    <x v="30"/>
    <x v="425"/>
    <x v="6"/>
    <n v="0.4"/>
    <n v="143"/>
    <n v="57"/>
  </r>
  <r>
    <x v="30"/>
    <x v="425"/>
    <x v="7"/>
    <n v="8.3078285688211982E-3"/>
    <n v="143"/>
    <n v="1"/>
  </r>
  <r>
    <x v="30"/>
    <x v="426"/>
    <x v="5"/>
    <n v="0.6"/>
    <n v="444"/>
    <n v="266"/>
  </r>
  <r>
    <x v="30"/>
    <x v="426"/>
    <x v="6"/>
    <n v="0.4"/>
    <n v="444"/>
    <n v="178"/>
  </r>
  <r>
    <x v="30"/>
    <x v="426"/>
    <x v="7"/>
    <n v="5.2939579169463506E-3"/>
    <n v="444"/>
    <n v="2"/>
  </r>
  <r>
    <x v="30"/>
    <x v="438"/>
    <x v="5"/>
    <n v="0.6"/>
    <n v="11701"/>
    <n v="7021"/>
  </r>
  <r>
    <x v="30"/>
    <x v="438"/>
    <x v="6"/>
    <n v="0.4"/>
    <n v="11701"/>
    <n v="4680"/>
  </r>
  <r>
    <x v="30"/>
    <x v="438"/>
    <x v="7"/>
    <n v="1.48429205866471E-2"/>
    <n v="11701"/>
    <n v="174"/>
  </r>
  <r>
    <x v="0"/>
    <x v="0"/>
    <x v="8"/>
    <n v="0.1172495474325581"/>
    <n v="11701"/>
    <n v="1372"/>
  </r>
  <r>
    <x v="0"/>
    <x v="1"/>
    <x v="8"/>
    <n v="0.19271956825432038"/>
    <n v="402"/>
    <n v="77"/>
  </r>
  <r>
    <x v="0"/>
    <x v="2"/>
    <x v="8"/>
    <n v="8.6294371207161061E-2"/>
    <n v="559"/>
    <n v="48"/>
  </r>
  <r>
    <x v="0"/>
    <x v="3"/>
    <x v="8"/>
    <n v="0.1632476247786121"/>
    <n v="1536"/>
    <n v="251"/>
  </r>
  <r>
    <x v="0"/>
    <x v="4"/>
    <x v="8"/>
    <n v="9.3275953770703954E-2"/>
    <n v="674"/>
    <n v="63"/>
  </r>
  <r>
    <x v="0"/>
    <x v="5"/>
    <x v="8"/>
    <n v="0.19272325323570375"/>
    <n v="3746"/>
    <n v="722"/>
  </r>
  <r>
    <x v="0"/>
    <x v="6"/>
    <x v="8"/>
    <n v="0.14703248249002879"/>
    <n v="1294"/>
    <n v="190"/>
  </r>
  <r>
    <x v="0"/>
    <x v="7"/>
    <x v="8"/>
    <n v="7.4333387089940708E-2"/>
    <n v="640"/>
    <n v="48"/>
  </r>
  <r>
    <x v="0"/>
    <x v="8"/>
    <x v="8"/>
    <n v="2.1883938891582713E-2"/>
    <n v="686"/>
    <n v="15"/>
  </r>
  <r>
    <x v="0"/>
    <x v="9"/>
    <x v="8"/>
    <n v="0.15262199191618395"/>
    <n v="481"/>
    <n v="73"/>
  </r>
  <r>
    <x v="0"/>
    <x v="10"/>
    <x v="8"/>
    <n v="1.8391715100790986E-2"/>
    <n v="713"/>
    <n v="13"/>
  </r>
  <r>
    <x v="0"/>
    <x v="11"/>
    <x v="8"/>
    <n v="2.380237101944185E-2"/>
    <n v="498"/>
    <n v="12"/>
  </r>
  <r>
    <x v="1"/>
    <x v="12"/>
    <x v="8"/>
    <n v="0.15236535444660615"/>
    <n v="1184"/>
    <n v="180"/>
  </r>
  <r>
    <x v="1"/>
    <x v="13"/>
    <x v="8"/>
    <n v="0.10545048833539712"/>
    <n v="708"/>
    <n v="75"/>
  </r>
  <r>
    <x v="1"/>
    <x v="14"/>
    <x v="8"/>
    <n v="9.4061336988435884E-2"/>
    <n v="1802"/>
    <n v="169"/>
  </r>
  <r>
    <x v="1"/>
    <x v="15"/>
    <x v="8"/>
    <n v="0.12172465751942359"/>
    <n v="2317"/>
    <n v="282"/>
  </r>
  <r>
    <x v="1"/>
    <x v="16"/>
    <x v="8"/>
    <n v="0.11461528699605546"/>
    <n v="24908"/>
    <n v="2855"/>
  </r>
  <r>
    <x v="1"/>
    <x v="17"/>
    <x v="8"/>
    <n v="5.6514758240341828E-2"/>
    <n v="1482"/>
    <n v="84"/>
  </r>
  <r>
    <x v="1"/>
    <x v="18"/>
    <x v="8"/>
    <n v="0.12710646512822774"/>
    <n v="1931"/>
    <n v="245"/>
  </r>
  <r>
    <x v="1"/>
    <x v="19"/>
    <x v="8"/>
    <n v="0.15545632443223592"/>
    <n v="916"/>
    <n v="142"/>
  </r>
  <r>
    <x v="1"/>
    <x v="20"/>
    <x v="8"/>
    <n v="0.1078185918799105"/>
    <n v="1097"/>
    <n v="118"/>
  </r>
  <r>
    <x v="1"/>
    <x v="21"/>
    <x v="8"/>
    <n v="3.9873304765740872E-2"/>
    <n v="1742"/>
    <n v="69"/>
  </r>
  <r>
    <x v="1"/>
    <x v="22"/>
    <x v="8"/>
    <n v="0.1797534970213619"/>
    <n v="4040"/>
    <n v="726"/>
  </r>
  <r>
    <x v="1"/>
    <x v="23"/>
    <x v="8"/>
    <n v="0.10958777406552066"/>
    <n v="665"/>
    <n v="73"/>
  </r>
  <r>
    <x v="1"/>
    <x v="24"/>
    <x v="8"/>
    <n v="1.1659042062107307E-2"/>
    <n v="503"/>
    <n v="6"/>
  </r>
  <r>
    <x v="1"/>
    <x v="25"/>
    <x v="8"/>
    <n v="2.8904995056114437E-3"/>
    <n v="543"/>
    <n v="2"/>
  </r>
  <r>
    <x v="1"/>
    <x v="26"/>
    <x v="8"/>
    <n v="0.19499926518665411"/>
    <n v="794"/>
    <n v="155"/>
  </r>
  <r>
    <x v="1"/>
    <x v="27"/>
    <x v="8"/>
    <n v="0.11609834326330169"/>
    <n v="500"/>
    <n v="58"/>
  </r>
  <r>
    <x v="2"/>
    <x v="28"/>
    <x v="8"/>
    <n v="0.13842497253243077"/>
    <n v="7212"/>
    <n v="998"/>
  </r>
  <r>
    <x v="2"/>
    <x v="29"/>
    <x v="8"/>
    <n v="0.11278353772326255"/>
    <n v="12504"/>
    <n v="1410"/>
  </r>
  <r>
    <x v="2"/>
    <x v="30"/>
    <x v="8"/>
    <n v="0.15146021359450199"/>
    <n v="3050"/>
    <n v="462"/>
  </r>
  <r>
    <x v="2"/>
    <x v="31"/>
    <x v="8"/>
    <n v="0.1236799596380681"/>
    <n v="2893"/>
    <n v="358"/>
  </r>
  <r>
    <x v="2"/>
    <x v="32"/>
    <x v="8"/>
    <n v="8.8491214242044092E-2"/>
    <n v="1778"/>
    <n v="157"/>
  </r>
  <r>
    <x v="2"/>
    <x v="33"/>
    <x v="8"/>
    <n v="0.16064479125775749"/>
    <n v="6330"/>
    <n v="1017"/>
  </r>
  <r>
    <x v="2"/>
    <x v="34"/>
    <x v="8"/>
    <n v="4.3443464087467798E-2"/>
    <n v="859"/>
    <n v="37"/>
  </r>
  <r>
    <x v="2"/>
    <x v="35"/>
    <x v="8"/>
    <n v="0.18322795697853961"/>
    <n v="2914"/>
    <n v="534"/>
  </r>
  <r>
    <x v="2"/>
    <x v="36"/>
    <x v="8"/>
    <n v="0.10039767149568844"/>
    <n v="1670"/>
    <n v="168"/>
  </r>
  <r>
    <x v="2"/>
    <x v="37"/>
    <x v="8"/>
    <n v="0.14830815904319072"/>
    <n v="1860"/>
    <n v="276"/>
  </r>
  <r>
    <x v="2"/>
    <x v="38"/>
    <x v="8"/>
    <n v="0.17809186969472582"/>
    <n v="1578"/>
    <n v="281"/>
  </r>
  <r>
    <x v="2"/>
    <x v="39"/>
    <x v="8"/>
    <n v="9.736998247939524E-2"/>
    <n v="934"/>
    <n v="91"/>
  </r>
  <r>
    <x v="2"/>
    <x v="40"/>
    <x v="8"/>
    <n v="0.19549395037646561"/>
    <n v="1500"/>
    <n v="293"/>
  </r>
  <r>
    <x v="2"/>
    <x v="41"/>
    <x v="8"/>
    <n v="0.16783846648502937"/>
    <n v="2606"/>
    <n v="437"/>
  </r>
  <r>
    <x v="2"/>
    <x v="42"/>
    <x v="8"/>
    <n v="0.12842188492585571"/>
    <n v="924"/>
    <n v="119"/>
  </r>
  <r>
    <x v="2"/>
    <x v="43"/>
    <x v="8"/>
    <n v="9.5116631928545581E-2"/>
    <n v="530"/>
    <n v="50"/>
  </r>
  <r>
    <x v="2"/>
    <x v="44"/>
    <x v="8"/>
    <n v="8.9032507500024435E-2"/>
    <n v="2410"/>
    <n v="215"/>
  </r>
  <r>
    <x v="2"/>
    <x v="45"/>
    <x v="8"/>
    <n v="0.18117503816956129"/>
    <n v="403"/>
    <n v="73"/>
  </r>
  <r>
    <x v="2"/>
    <x v="46"/>
    <x v="8"/>
    <n v="9.9300316622032592E-2"/>
    <n v="850"/>
    <n v="84"/>
  </r>
  <r>
    <x v="2"/>
    <x v="47"/>
    <x v="8"/>
    <n v="9.5157152904911668E-2"/>
    <n v="428"/>
    <n v="41"/>
  </r>
  <r>
    <x v="2"/>
    <x v="48"/>
    <x v="8"/>
    <n v="0.11630997891850264"/>
    <n v="454"/>
    <n v="53"/>
  </r>
  <r>
    <x v="2"/>
    <x v="49"/>
    <x v="8"/>
    <n v="5.970329908952339E-2"/>
    <n v="304"/>
    <n v="18"/>
  </r>
  <r>
    <x v="3"/>
    <x v="50"/>
    <x v="8"/>
    <n v="0.11774652185123986"/>
    <n v="2012"/>
    <n v="237"/>
  </r>
  <r>
    <x v="3"/>
    <x v="51"/>
    <x v="8"/>
    <n v="0.13075282314766878"/>
    <n v="43164"/>
    <n v="5644"/>
  </r>
  <r>
    <x v="3"/>
    <x v="52"/>
    <x v="8"/>
    <n v="0.12530131084608395"/>
    <n v="2106"/>
    <n v="264"/>
  </r>
  <r>
    <x v="3"/>
    <x v="53"/>
    <x v="8"/>
    <n v="9.2479409789124667E-2"/>
    <n v="3544"/>
    <n v="328"/>
  </r>
  <r>
    <x v="3"/>
    <x v="54"/>
    <x v="8"/>
    <n v="0.1628613660852368"/>
    <n v="2153"/>
    <n v="351"/>
  </r>
  <r>
    <x v="3"/>
    <x v="55"/>
    <x v="8"/>
    <n v="1.6179090995670099E-2"/>
    <n v="2584"/>
    <n v="42"/>
  </r>
  <r>
    <x v="3"/>
    <x v="56"/>
    <x v="8"/>
    <n v="8.8903880286697892E-2"/>
    <n v="1485"/>
    <n v="132"/>
  </r>
  <r>
    <x v="3"/>
    <x v="57"/>
    <x v="8"/>
    <n v="0.11341500635353795"/>
    <n v="2019"/>
    <n v="229"/>
  </r>
  <r>
    <x v="3"/>
    <x v="58"/>
    <x v="8"/>
    <n v="0.19035135844209317"/>
    <n v="1547"/>
    <n v="294"/>
  </r>
  <r>
    <x v="3"/>
    <x v="59"/>
    <x v="8"/>
    <n v="9.5136228108562981E-2"/>
    <n v="1428"/>
    <n v="136"/>
  </r>
  <r>
    <x v="3"/>
    <x v="60"/>
    <x v="8"/>
    <n v="7.8364219968205973E-2"/>
    <n v="764"/>
    <n v="60"/>
  </r>
  <r>
    <x v="3"/>
    <x v="61"/>
    <x v="8"/>
    <n v="0.12321433409883231"/>
    <n v="1034"/>
    <n v="127"/>
  </r>
  <r>
    <x v="3"/>
    <x v="62"/>
    <x v="8"/>
    <n v="0.11890414051123724"/>
    <n v="601"/>
    <n v="71"/>
  </r>
  <r>
    <x v="3"/>
    <x v="63"/>
    <x v="8"/>
    <n v="1.1514695277072163E-3"/>
    <n v="1176"/>
    <n v="1"/>
  </r>
  <r>
    <x v="3"/>
    <x v="64"/>
    <x v="8"/>
    <n v="0.18351781143110302"/>
    <n v="846"/>
    <n v="155"/>
  </r>
  <r>
    <x v="3"/>
    <x v="65"/>
    <x v="8"/>
    <n v="3.2750879877426156E-2"/>
    <n v="826"/>
    <n v="27"/>
  </r>
  <r>
    <x v="3"/>
    <x v="66"/>
    <x v="8"/>
    <n v="2.6875612186592648E-2"/>
    <n v="666"/>
    <n v="18"/>
  </r>
  <r>
    <x v="3"/>
    <x v="67"/>
    <x v="8"/>
    <n v="0.19877389188181108"/>
    <n v="625"/>
    <n v="124"/>
  </r>
  <r>
    <x v="3"/>
    <x v="68"/>
    <x v="8"/>
    <n v="5.4217423576458826E-2"/>
    <n v="746"/>
    <n v="40"/>
  </r>
  <r>
    <x v="3"/>
    <x v="69"/>
    <x v="8"/>
    <n v="3.1600009670291994E-2"/>
    <n v="389"/>
    <n v="12"/>
  </r>
  <r>
    <x v="4"/>
    <x v="70"/>
    <x v="8"/>
    <n v="8.5922555791314581E-3"/>
    <n v="20538"/>
    <n v="176"/>
  </r>
  <r>
    <x v="4"/>
    <x v="71"/>
    <x v="8"/>
    <n v="1.1291897160931819E-2"/>
    <n v="1190"/>
    <n v="13"/>
  </r>
  <r>
    <x v="4"/>
    <x v="72"/>
    <x v="8"/>
    <n v="0.16125020149423544"/>
    <n v="1736"/>
    <n v="280"/>
  </r>
  <r>
    <x v="4"/>
    <x v="73"/>
    <x v="8"/>
    <n v="1.674548178744668E-2"/>
    <n v="1466"/>
    <n v="25"/>
  </r>
  <r>
    <x v="4"/>
    <x v="74"/>
    <x v="8"/>
    <n v="6.1118711274146677E-2"/>
    <n v="2060"/>
    <n v="126"/>
  </r>
  <r>
    <x v="4"/>
    <x v="75"/>
    <x v="8"/>
    <n v="0.11333359280430982"/>
    <n v="1284"/>
    <n v="146"/>
  </r>
  <r>
    <x v="4"/>
    <x v="76"/>
    <x v="8"/>
    <n v="0.19190170555519617"/>
    <n v="2716"/>
    <n v="521"/>
  </r>
  <r>
    <x v="4"/>
    <x v="77"/>
    <x v="8"/>
    <n v="8.3366520438153652E-2"/>
    <n v="3464"/>
    <n v="289"/>
  </r>
  <r>
    <x v="4"/>
    <x v="78"/>
    <x v="8"/>
    <n v="0.11051788693237415"/>
    <n v="1548"/>
    <n v="171"/>
  </r>
  <r>
    <x v="4"/>
    <x v="79"/>
    <x v="8"/>
    <n v="1.4916733371474478E-2"/>
    <n v="2518"/>
    <n v="38"/>
  </r>
  <r>
    <x v="4"/>
    <x v="80"/>
    <x v="8"/>
    <n v="0.12586413035888777"/>
    <n v="827"/>
    <n v="104"/>
  </r>
  <r>
    <x v="4"/>
    <x v="81"/>
    <x v="8"/>
    <n v="2.6254803895676627E-2"/>
    <n v="2291"/>
    <n v="60"/>
  </r>
  <r>
    <x v="4"/>
    <x v="82"/>
    <x v="8"/>
    <n v="0.19079497846353632"/>
    <n v="726"/>
    <n v="139"/>
  </r>
  <r>
    <x v="4"/>
    <x v="83"/>
    <x v="8"/>
    <n v="4.9798588135014456E-2"/>
    <n v="601"/>
    <n v="30"/>
  </r>
  <r>
    <x v="4"/>
    <x v="84"/>
    <x v="8"/>
    <n v="8.285739503075773E-2"/>
    <n v="496"/>
    <n v="41"/>
  </r>
  <r>
    <x v="4"/>
    <x v="85"/>
    <x v="8"/>
    <n v="0.19930158942785492"/>
    <n v="600"/>
    <n v="120"/>
  </r>
  <r>
    <x v="4"/>
    <x v="86"/>
    <x v="8"/>
    <n v="0.18757183174169589"/>
    <n v="535"/>
    <n v="100"/>
  </r>
  <r>
    <x v="5"/>
    <x v="87"/>
    <x v="8"/>
    <n v="0.17445824385195616"/>
    <n v="770"/>
    <n v="134"/>
  </r>
  <r>
    <x v="5"/>
    <x v="88"/>
    <x v="8"/>
    <n v="0.16334458454468415"/>
    <n v="20296"/>
    <n v="3315"/>
  </r>
  <r>
    <x v="5"/>
    <x v="89"/>
    <x v="8"/>
    <n v="2.3212165365518067E-2"/>
    <n v="867"/>
    <n v="20"/>
  </r>
  <r>
    <x v="5"/>
    <x v="90"/>
    <x v="8"/>
    <n v="0.11354062001129527"/>
    <n v="525"/>
    <n v="60"/>
  </r>
  <r>
    <x v="5"/>
    <x v="91"/>
    <x v="8"/>
    <n v="5.8232542168631586E-2"/>
    <n v="1572"/>
    <n v="92"/>
  </r>
  <r>
    <x v="5"/>
    <x v="92"/>
    <x v="8"/>
    <n v="0.12073902230474974"/>
    <n v="253"/>
    <n v="31"/>
  </r>
  <r>
    <x v="5"/>
    <x v="93"/>
    <x v="8"/>
    <n v="2.5319852857165759E-2"/>
    <n v="1058"/>
    <n v="27"/>
  </r>
  <r>
    <x v="5"/>
    <x v="94"/>
    <x v="8"/>
    <n v="6.9399894315973668E-2"/>
    <n v="667"/>
    <n v="46"/>
  </r>
  <r>
    <x v="5"/>
    <x v="95"/>
    <x v="8"/>
    <n v="9.0089606075981848E-2"/>
    <n v="1147"/>
    <n v="103"/>
  </r>
  <r>
    <x v="5"/>
    <x v="96"/>
    <x v="8"/>
    <n v="0.14344403983196075"/>
    <n v="1048"/>
    <n v="150"/>
  </r>
  <r>
    <x v="5"/>
    <x v="97"/>
    <x v="8"/>
    <n v="0.11719057035790609"/>
    <n v="1054"/>
    <n v="124"/>
  </r>
  <r>
    <x v="5"/>
    <x v="98"/>
    <x v="8"/>
    <n v="7.6687308526577014E-2"/>
    <n v="392"/>
    <n v="30"/>
  </r>
  <r>
    <x v="5"/>
    <x v="99"/>
    <x v="8"/>
    <n v="0.11662761296414759"/>
    <n v="351"/>
    <n v="41"/>
  </r>
  <r>
    <x v="5"/>
    <x v="100"/>
    <x v="8"/>
    <n v="0.11662197552176422"/>
    <n v="444"/>
    <n v="52"/>
  </r>
  <r>
    <x v="6"/>
    <x v="101"/>
    <x v="8"/>
    <n v="2.5483497961830137E-2"/>
    <n v="4560"/>
    <n v="116"/>
  </r>
  <r>
    <x v="6"/>
    <x v="102"/>
    <x v="8"/>
    <n v="0.10831833152224242"/>
    <n v="1472"/>
    <n v="159"/>
  </r>
  <r>
    <x v="6"/>
    <x v="103"/>
    <x v="8"/>
    <n v="0.17319243545915741"/>
    <n v="33255"/>
    <n v="5760"/>
  </r>
  <r>
    <x v="6"/>
    <x v="104"/>
    <x v="8"/>
    <n v="4.8264357668731252E-2"/>
    <n v="1653"/>
    <n v="80"/>
  </r>
  <r>
    <x v="6"/>
    <x v="105"/>
    <x v="8"/>
    <n v="5.2295491914220338E-2"/>
    <n v="3192"/>
    <n v="167"/>
  </r>
  <r>
    <x v="6"/>
    <x v="106"/>
    <x v="8"/>
    <n v="7.0558326246980427E-2"/>
    <n v="3243"/>
    <n v="229"/>
  </r>
  <r>
    <x v="6"/>
    <x v="107"/>
    <x v="8"/>
    <n v="8.8222339752974666E-4"/>
    <n v="1600"/>
    <n v="1"/>
  </r>
  <r>
    <x v="6"/>
    <x v="108"/>
    <x v="8"/>
    <n v="5.1234145616080952E-2"/>
    <n v="5870"/>
    <n v="301"/>
  </r>
  <r>
    <x v="6"/>
    <x v="109"/>
    <x v="8"/>
    <n v="0.13572557221149836"/>
    <n v="356"/>
    <n v="48"/>
  </r>
  <r>
    <x v="6"/>
    <x v="110"/>
    <x v="8"/>
    <n v="8.2174888465959217E-2"/>
    <n v="1313"/>
    <n v="108"/>
  </r>
  <r>
    <x v="6"/>
    <x v="111"/>
    <x v="8"/>
    <n v="1.580108500219286E-2"/>
    <n v="1432"/>
    <n v="23"/>
  </r>
  <r>
    <x v="6"/>
    <x v="112"/>
    <x v="8"/>
    <n v="7.4156019739502407E-2"/>
    <n v="2260"/>
    <n v="168"/>
  </r>
  <r>
    <x v="6"/>
    <x v="113"/>
    <x v="8"/>
    <n v="0.12557847923148757"/>
    <n v="1909"/>
    <n v="240"/>
  </r>
  <r>
    <x v="6"/>
    <x v="114"/>
    <x v="8"/>
    <n v="4.1403420821733851E-2"/>
    <n v="1760"/>
    <n v="73"/>
  </r>
  <r>
    <x v="6"/>
    <x v="115"/>
    <x v="8"/>
    <n v="0.16549473129588652"/>
    <n v="599"/>
    <n v="99"/>
  </r>
  <r>
    <x v="6"/>
    <x v="116"/>
    <x v="8"/>
    <n v="5.8608104822525278E-2"/>
    <n v="1046"/>
    <n v="61"/>
  </r>
  <r>
    <x v="6"/>
    <x v="117"/>
    <x v="8"/>
    <n v="0.13944525935121144"/>
    <n v="406"/>
    <n v="57"/>
  </r>
  <r>
    <x v="6"/>
    <x v="118"/>
    <x v="8"/>
    <n v="9.630977316661915E-2"/>
    <n v="404"/>
    <n v="39"/>
  </r>
  <r>
    <x v="6"/>
    <x v="119"/>
    <x v="8"/>
    <n v="3.7759564408223256E-2"/>
    <n v="422"/>
    <n v="16"/>
  </r>
  <r>
    <x v="6"/>
    <x v="120"/>
    <x v="8"/>
    <n v="1.3849623844729431E-2"/>
    <n v="677"/>
    <n v="9"/>
  </r>
  <r>
    <x v="6"/>
    <x v="121"/>
    <x v="8"/>
    <n v="0.10594675138441918"/>
    <n v="484"/>
    <n v="51"/>
  </r>
  <r>
    <x v="6"/>
    <x v="122"/>
    <x v="8"/>
    <n v="0.1706648589218297"/>
    <n v="115"/>
    <n v="20"/>
  </r>
  <r>
    <x v="6"/>
    <x v="123"/>
    <x v="8"/>
    <n v="0.12001173209879031"/>
    <n v="164"/>
    <n v="20"/>
  </r>
  <r>
    <x v="6"/>
    <x v="124"/>
    <x v="8"/>
    <n v="4.2762184392726943E-2"/>
    <n v="842"/>
    <n v="36"/>
  </r>
  <r>
    <x v="6"/>
    <x v="125"/>
    <x v="8"/>
    <n v="2.7548432950084425E-2"/>
    <n v="466"/>
    <n v="13"/>
  </r>
  <r>
    <x v="6"/>
    <x v="126"/>
    <x v="8"/>
    <n v="0.13213175259841556"/>
    <n v="518"/>
    <n v="68"/>
  </r>
  <r>
    <x v="6"/>
    <x v="127"/>
    <x v="8"/>
    <n v="2.846890418231527E-2"/>
    <n v="2539"/>
    <n v="72"/>
  </r>
  <r>
    <x v="7"/>
    <x v="128"/>
    <x v="8"/>
    <n v="0.13786051889669165"/>
    <n v="1578"/>
    <n v="218"/>
  </r>
  <r>
    <x v="7"/>
    <x v="129"/>
    <x v="8"/>
    <n v="6.293540061420265E-2"/>
    <n v="972"/>
    <n v="61"/>
  </r>
  <r>
    <x v="7"/>
    <x v="130"/>
    <x v="8"/>
    <n v="0.10432876731822123"/>
    <n v="1146"/>
    <n v="120"/>
  </r>
  <r>
    <x v="7"/>
    <x v="131"/>
    <x v="8"/>
    <n v="8.0620427945705952E-2"/>
    <n v="4174"/>
    <n v="337"/>
  </r>
  <r>
    <x v="7"/>
    <x v="132"/>
    <x v="8"/>
    <n v="8.5240495857661247E-2"/>
    <n v="1943"/>
    <n v="166"/>
  </r>
  <r>
    <x v="7"/>
    <x v="133"/>
    <x v="8"/>
    <n v="0.15456510494372777"/>
    <n v="1126"/>
    <n v="174"/>
  </r>
  <r>
    <x v="7"/>
    <x v="134"/>
    <x v="8"/>
    <n v="0.19032677749978499"/>
    <n v="53026"/>
    <n v="10092"/>
  </r>
  <r>
    <x v="7"/>
    <x v="135"/>
    <x v="8"/>
    <n v="0.12430678662186304"/>
    <n v="4282"/>
    <n v="532"/>
  </r>
  <r>
    <x v="7"/>
    <x v="136"/>
    <x v="8"/>
    <n v="2.7757377568717791E-2"/>
    <n v="1400"/>
    <n v="39"/>
  </r>
  <r>
    <x v="7"/>
    <x v="137"/>
    <x v="8"/>
    <n v="0.11040536335514035"/>
    <n v="2652"/>
    <n v="293"/>
  </r>
  <r>
    <x v="7"/>
    <x v="138"/>
    <x v="8"/>
    <n v="0.16832727352541429"/>
    <n v="1206"/>
    <n v="203"/>
  </r>
  <r>
    <x v="7"/>
    <x v="139"/>
    <x v="8"/>
    <n v="0.13088165292596071"/>
    <n v="3020"/>
    <n v="395"/>
  </r>
  <r>
    <x v="7"/>
    <x v="140"/>
    <x v="8"/>
    <n v="0.16870040236920456"/>
    <n v="1679"/>
    <n v="283"/>
  </r>
  <r>
    <x v="7"/>
    <x v="141"/>
    <x v="8"/>
    <n v="0.15201539091469682"/>
    <n v="600"/>
    <n v="91"/>
  </r>
  <r>
    <x v="7"/>
    <x v="142"/>
    <x v="8"/>
    <n v="5.5823378780485378E-2"/>
    <n v="1899"/>
    <n v="106"/>
  </r>
  <r>
    <x v="7"/>
    <x v="143"/>
    <x v="8"/>
    <n v="0.16997920232927208"/>
    <n v="851"/>
    <n v="145"/>
  </r>
  <r>
    <x v="7"/>
    <x v="144"/>
    <x v="8"/>
    <n v="5.0588897267555159E-2"/>
    <n v="698"/>
    <n v="35"/>
  </r>
  <r>
    <x v="7"/>
    <x v="145"/>
    <x v="8"/>
    <n v="2.4997254062522446E-2"/>
    <n v="759"/>
    <n v="19"/>
  </r>
  <r>
    <x v="7"/>
    <x v="146"/>
    <x v="8"/>
    <n v="0.1513554243852713"/>
    <n v="515"/>
    <n v="78"/>
  </r>
  <r>
    <x v="7"/>
    <x v="147"/>
    <x v="8"/>
    <n v="0.17461300542558214"/>
    <n v="386"/>
    <n v="67"/>
  </r>
  <r>
    <x v="7"/>
    <x v="148"/>
    <x v="8"/>
    <n v="0.10319369891023039"/>
    <n v="1007"/>
    <n v="104"/>
  </r>
  <r>
    <x v="7"/>
    <x v="149"/>
    <x v="8"/>
    <n v="0.19246188440996592"/>
    <n v="313"/>
    <n v="60"/>
  </r>
  <r>
    <x v="7"/>
    <x v="150"/>
    <x v="8"/>
    <n v="0.16443595159726354"/>
    <n v="730"/>
    <n v="120"/>
  </r>
  <r>
    <x v="7"/>
    <x v="151"/>
    <x v="8"/>
    <n v="5.7168947963453842E-2"/>
    <n v="508"/>
    <n v="29"/>
  </r>
  <r>
    <x v="7"/>
    <x v="152"/>
    <x v="8"/>
    <n v="0.12114818772332388"/>
    <n v="639"/>
    <n v="77"/>
  </r>
  <r>
    <x v="7"/>
    <x v="153"/>
    <x v="8"/>
    <n v="4.8287355605147741E-3"/>
    <n v="343"/>
    <n v="2"/>
  </r>
  <r>
    <x v="7"/>
    <x v="154"/>
    <x v="8"/>
    <n v="0.14221813167962202"/>
    <n v="2322"/>
    <n v="330"/>
  </r>
  <r>
    <x v="7"/>
    <x v="155"/>
    <x v="8"/>
    <n v="6.6803650741690576E-2"/>
    <n v="1068"/>
    <n v="71"/>
  </r>
  <r>
    <x v="7"/>
    <x v="156"/>
    <x v="8"/>
    <n v="2.5831396077596682E-2"/>
    <n v="910"/>
    <n v="24"/>
  </r>
  <r>
    <x v="8"/>
    <x v="157"/>
    <x v="8"/>
    <n v="0.18225006139369423"/>
    <n v="1261"/>
    <n v="230"/>
  </r>
  <r>
    <x v="8"/>
    <x v="158"/>
    <x v="8"/>
    <n v="3.8341665723556045E-2"/>
    <n v="2654"/>
    <n v="102"/>
  </r>
  <r>
    <x v="8"/>
    <x v="159"/>
    <x v="8"/>
    <n v="2.7366074284667464E-2"/>
    <n v="4073"/>
    <n v="111"/>
  </r>
  <r>
    <x v="8"/>
    <x v="160"/>
    <x v="8"/>
    <n v="0.17410887144220843"/>
    <n v="4851"/>
    <n v="845"/>
  </r>
  <r>
    <x v="8"/>
    <x v="161"/>
    <x v="8"/>
    <n v="0.15528354338230144"/>
    <n v="1949"/>
    <n v="303"/>
  </r>
  <r>
    <x v="8"/>
    <x v="162"/>
    <x v="8"/>
    <n v="0.11393698881136033"/>
    <n v="3728"/>
    <n v="425"/>
  </r>
  <r>
    <x v="8"/>
    <x v="163"/>
    <x v="8"/>
    <n v="5.3765293414430017E-2"/>
    <n v="1102"/>
    <n v="59"/>
  </r>
  <r>
    <x v="8"/>
    <x v="164"/>
    <x v="8"/>
    <n v="0.11437270889670643"/>
    <n v="20991"/>
    <n v="2401"/>
  </r>
  <r>
    <x v="8"/>
    <x v="165"/>
    <x v="8"/>
    <n v="0.12892190745483742"/>
    <n v="1034"/>
    <n v="133"/>
  </r>
  <r>
    <x v="8"/>
    <x v="166"/>
    <x v="8"/>
    <n v="0.13095810089737611"/>
    <n v="1348"/>
    <n v="177"/>
  </r>
  <r>
    <x v="8"/>
    <x v="167"/>
    <x v="8"/>
    <n v="5.0682012540709254E-2"/>
    <n v="715"/>
    <n v="36"/>
  </r>
  <r>
    <x v="8"/>
    <x v="168"/>
    <x v="8"/>
    <n v="5.0041377707451519E-2"/>
    <n v="481"/>
    <n v="24"/>
  </r>
  <r>
    <x v="8"/>
    <x v="169"/>
    <x v="8"/>
    <n v="0.1742601790209769"/>
    <n v="566"/>
    <n v="99"/>
  </r>
  <r>
    <x v="8"/>
    <x v="170"/>
    <x v="8"/>
    <n v="3.1090483120261195E-3"/>
    <n v="279"/>
    <n v="1"/>
  </r>
  <r>
    <x v="8"/>
    <x v="171"/>
    <x v="8"/>
    <n v="4.3518094724581012E-3"/>
    <n v="368"/>
    <n v="2"/>
  </r>
  <r>
    <x v="8"/>
    <x v="172"/>
    <x v="8"/>
    <n v="9.8888595170902663E-3"/>
    <n v="543"/>
    <n v="5"/>
  </r>
  <r>
    <x v="8"/>
    <x v="173"/>
    <x v="8"/>
    <n v="2.2381220182985606E-2"/>
    <n v="378"/>
    <n v="8"/>
  </r>
  <r>
    <x v="8"/>
    <x v="174"/>
    <x v="8"/>
    <n v="2.9272481050894351E-2"/>
    <n v="320"/>
    <n v="9"/>
  </r>
  <r>
    <x v="8"/>
    <x v="175"/>
    <x v="8"/>
    <n v="4.949374438398213E-2"/>
    <n v="265"/>
    <n v="13"/>
  </r>
  <r>
    <x v="8"/>
    <x v="176"/>
    <x v="8"/>
    <n v="1.2404837872012587E-2"/>
    <n v="487"/>
    <n v="6"/>
  </r>
  <r>
    <x v="8"/>
    <x v="177"/>
    <x v="8"/>
    <n v="0.10767833367584104"/>
    <n v="426"/>
    <n v="46"/>
  </r>
  <r>
    <x v="8"/>
    <x v="178"/>
    <x v="8"/>
    <n v="7.597691766054733E-2"/>
    <n v="151"/>
    <n v="11"/>
  </r>
  <r>
    <x v="8"/>
    <x v="179"/>
    <x v="8"/>
    <n v="0.12097306180325905"/>
    <n v="481"/>
    <n v="58"/>
  </r>
  <r>
    <x v="9"/>
    <x v="180"/>
    <x v="8"/>
    <n v="0.1352980720899499"/>
    <n v="2213"/>
    <n v="299"/>
  </r>
  <r>
    <x v="9"/>
    <x v="181"/>
    <x v="8"/>
    <n v="5.9444580143348129E-2"/>
    <n v="944"/>
    <n v="56"/>
  </r>
  <r>
    <x v="9"/>
    <x v="182"/>
    <x v="8"/>
    <n v="0.14289540750566715"/>
    <n v="1504"/>
    <n v="215"/>
  </r>
  <r>
    <x v="9"/>
    <x v="183"/>
    <x v="8"/>
    <n v="3.162346593743726E-3"/>
    <n v="1058"/>
    <n v="3"/>
  </r>
  <r>
    <x v="9"/>
    <x v="184"/>
    <x v="8"/>
    <n v="0.12521509761374547"/>
    <n v="5447"/>
    <n v="682"/>
  </r>
  <r>
    <x v="9"/>
    <x v="185"/>
    <x v="8"/>
    <n v="4.2625391728982831E-2"/>
    <n v="2342"/>
    <n v="100"/>
  </r>
  <r>
    <x v="9"/>
    <x v="186"/>
    <x v="8"/>
    <n v="0.10577340573925126"/>
    <n v="2329"/>
    <n v="246"/>
  </r>
  <r>
    <x v="9"/>
    <x v="187"/>
    <x v="8"/>
    <n v="7.445685553246402E-2"/>
    <n v="1919"/>
    <n v="143"/>
  </r>
  <r>
    <x v="9"/>
    <x v="188"/>
    <x v="8"/>
    <n v="0.15063863687849399"/>
    <n v="64758"/>
    <n v="9755"/>
  </r>
  <r>
    <x v="9"/>
    <x v="189"/>
    <x v="8"/>
    <n v="3.9200875845354234E-2"/>
    <n v="5469"/>
    <n v="214"/>
  </r>
  <r>
    <x v="9"/>
    <x v="190"/>
    <x v="8"/>
    <n v="0.16222482720797962"/>
    <n v="1784"/>
    <n v="289"/>
  </r>
  <r>
    <x v="9"/>
    <x v="191"/>
    <x v="8"/>
    <n v="0.10253968146128803"/>
    <n v="2941"/>
    <n v="302"/>
  </r>
  <r>
    <x v="9"/>
    <x v="192"/>
    <x v="8"/>
    <n v="4.4918907029278593E-3"/>
    <n v="1326"/>
    <n v="6"/>
  </r>
  <r>
    <x v="9"/>
    <x v="193"/>
    <x v="8"/>
    <n v="0.15748017382721718"/>
    <n v="1459"/>
    <n v="230"/>
  </r>
  <r>
    <x v="9"/>
    <x v="194"/>
    <x v="8"/>
    <n v="3.1763158817923402E-2"/>
    <n v="1130"/>
    <n v="36"/>
  </r>
  <r>
    <x v="9"/>
    <x v="195"/>
    <x v="8"/>
    <n v="9.0767868313680805E-2"/>
    <n v="498"/>
    <n v="45"/>
  </r>
  <r>
    <x v="9"/>
    <x v="196"/>
    <x v="8"/>
    <n v="0.15656084503609685"/>
    <n v="518"/>
    <n v="81"/>
  </r>
  <r>
    <x v="9"/>
    <x v="197"/>
    <x v="8"/>
    <n v="2.9142683879914144E-2"/>
    <n v="369"/>
    <n v="11"/>
  </r>
  <r>
    <x v="9"/>
    <x v="198"/>
    <x v="8"/>
    <n v="0.17368929176268041"/>
    <n v="423"/>
    <n v="73"/>
  </r>
  <r>
    <x v="9"/>
    <x v="199"/>
    <x v="8"/>
    <n v="8.4405722169833802E-2"/>
    <n v="413"/>
    <n v="35"/>
  </r>
  <r>
    <x v="9"/>
    <x v="200"/>
    <x v="8"/>
    <n v="0.13610492063709817"/>
    <n v="623"/>
    <n v="85"/>
  </r>
  <r>
    <x v="9"/>
    <x v="201"/>
    <x v="8"/>
    <n v="6.0246476474405043E-2"/>
    <n v="521"/>
    <n v="31"/>
  </r>
  <r>
    <x v="9"/>
    <x v="202"/>
    <x v="8"/>
    <n v="4.5504275148932231E-2"/>
    <n v="738"/>
    <n v="34"/>
  </r>
  <r>
    <x v="9"/>
    <x v="203"/>
    <x v="8"/>
    <n v="0.17707424385251402"/>
    <n v="466"/>
    <n v="83"/>
  </r>
  <r>
    <x v="9"/>
    <x v="204"/>
    <x v="8"/>
    <n v="6.2024262297357032E-3"/>
    <n v="839"/>
    <n v="5"/>
  </r>
  <r>
    <x v="9"/>
    <x v="205"/>
    <x v="8"/>
    <n v="5.341021668741968E-2"/>
    <n v="2437"/>
    <n v="130"/>
  </r>
  <r>
    <x v="9"/>
    <x v="206"/>
    <x v="8"/>
    <n v="7.1960975575336539E-2"/>
    <n v="392"/>
    <n v="28"/>
  </r>
  <r>
    <x v="9"/>
    <x v="207"/>
    <x v="8"/>
    <n v="0.12292795296752153"/>
    <n v="226"/>
    <n v="28"/>
  </r>
  <r>
    <x v="10"/>
    <x v="208"/>
    <x v="8"/>
    <n v="0.16603745219584232"/>
    <n v="767"/>
    <n v="127"/>
  </r>
  <r>
    <x v="10"/>
    <x v="209"/>
    <x v="8"/>
    <n v="8.0806647894068842E-2"/>
    <n v="55583"/>
    <n v="4491"/>
  </r>
  <r>
    <x v="10"/>
    <x v="210"/>
    <x v="8"/>
    <n v="0.1998587773841338"/>
    <n v="1510"/>
    <n v="302"/>
  </r>
  <r>
    <x v="10"/>
    <x v="211"/>
    <x v="8"/>
    <n v="5.1739438028476359E-3"/>
    <n v="886"/>
    <n v="5"/>
  </r>
  <r>
    <x v="10"/>
    <x v="212"/>
    <x v="8"/>
    <n v="7.2263733127633484E-2"/>
    <n v="1037"/>
    <n v="75"/>
  </r>
  <r>
    <x v="10"/>
    <x v="213"/>
    <x v="8"/>
    <n v="0.10170514392815999"/>
    <n v="938"/>
    <n v="95"/>
  </r>
  <r>
    <x v="10"/>
    <x v="214"/>
    <x v="8"/>
    <n v="0.18069009862867169"/>
    <n v="709"/>
    <n v="128"/>
  </r>
  <r>
    <x v="10"/>
    <x v="215"/>
    <x v="8"/>
    <n v="1.9528548433582007E-2"/>
    <n v="2473"/>
    <n v="48"/>
  </r>
  <r>
    <x v="10"/>
    <x v="216"/>
    <x v="8"/>
    <n v="0.16873725886739027"/>
    <n v="1922"/>
    <n v="324"/>
  </r>
  <r>
    <x v="10"/>
    <x v="217"/>
    <x v="8"/>
    <n v="0.14612320458542427"/>
    <n v="8732"/>
    <n v="1276"/>
  </r>
  <r>
    <x v="10"/>
    <x v="218"/>
    <x v="8"/>
    <n v="0.12865265402378165"/>
    <n v="1158"/>
    <n v="149"/>
  </r>
  <r>
    <x v="10"/>
    <x v="219"/>
    <x v="8"/>
    <n v="0.10135046356416354"/>
    <n v="2936"/>
    <n v="298"/>
  </r>
  <r>
    <x v="10"/>
    <x v="220"/>
    <x v="8"/>
    <n v="1.6574945251955021E-3"/>
    <n v="341"/>
    <n v="1"/>
  </r>
  <r>
    <x v="10"/>
    <x v="221"/>
    <x v="8"/>
    <n v="5.6396616879962828E-2"/>
    <n v="1953"/>
    <n v="110"/>
  </r>
  <r>
    <x v="10"/>
    <x v="222"/>
    <x v="8"/>
    <n v="0.13021509432550657"/>
    <n v="847"/>
    <n v="110"/>
  </r>
  <r>
    <x v="10"/>
    <x v="223"/>
    <x v="8"/>
    <n v="0.18925816373748464"/>
    <n v="1322"/>
    <n v="250"/>
  </r>
  <r>
    <x v="10"/>
    <x v="224"/>
    <x v="8"/>
    <n v="8.3664515321601199E-2"/>
    <n v="1380"/>
    <n v="115"/>
  </r>
  <r>
    <x v="10"/>
    <x v="225"/>
    <x v="8"/>
    <n v="0.10424108669632892"/>
    <n v="268"/>
    <n v="28"/>
  </r>
  <r>
    <x v="10"/>
    <x v="226"/>
    <x v="8"/>
    <n v="6.0210067250052159E-2"/>
    <n v="560"/>
    <n v="34"/>
  </r>
  <r>
    <x v="10"/>
    <x v="227"/>
    <x v="8"/>
    <n v="4.0060894325102958E-2"/>
    <n v="524"/>
    <n v="21"/>
  </r>
  <r>
    <x v="10"/>
    <x v="228"/>
    <x v="8"/>
    <n v="0.11760363981118716"/>
    <n v="523"/>
    <n v="62"/>
  </r>
  <r>
    <x v="10"/>
    <x v="229"/>
    <x v="8"/>
    <n v="6.3789936816723389E-2"/>
    <n v="524"/>
    <n v="33"/>
  </r>
  <r>
    <x v="10"/>
    <x v="230"/>
    <x v="8"/>
    <n v="5.2425464958793036E-2"/>
    <n v="227"/>
    <n v="12"/>
  </r>
  <r>
    <x v="10"/>
    <x v="231"/>
    <x v="8"/>
    <n v="5.3472647564363054E-2"/>
    <n v="494"/>
    <n v="26"/>
  </r>
  <r>
    <x v="11"/>
    <x v="232"/>
    <x v="8"/>
    <n v="0.12348645833813798"/>
    <n v="3126"/>
    <n v="386"/>
  </r>
  <r>
    <x v="11"/>
    <x v="233"/>
    <x v="8"/>
    <n v="6.8589854271366352E-2"/>
    <n v="863"/>
    <n v="59"/>
  </r>
  <r>
    <x v="11"/>
    <x v="234"/>
    <x v="8"/>
    <n v="0.1878685445094829"/>
    <n v="2249"/>
    <n v="423"/>
  </r>
  <r>
    <x v="11"/>
    <x v="235"/>
    <x v="8"/>
    <n v="6.4504476838113958E-2"/>
    <n v="3283"/>
    <n v="212"/>
  </r>
  <r>
    <x v="11"/>
    <x v="236"/>
    <x v="8"/>
    <n v="0.17515880457671226"/>
    <n v="9899"/>
    <n v="1734"/>
  </r>
  <r>
    <x v="11"/>
    <x v="237"/>
    <x v="8"/>
    <n v="0.1139260599776265"/>
    <n v="1681"/>
    <n v="192"/>
  </r>
  <r>
    <x v="11"/>
    <x v="238"/>
    <x v="8"/>
    <n v="0.15159623270587985"/>
    <n v="724"/>
    <n v="110"/>
  </r>
  <r>
    <x v="11"/>
    <x v="239"/>
    <x v="8"/>
    <n v="0.18464508606264052"/>
    <n v="1547"/>
    <n v="286"/>
  </r>
  <r>
    <x v="11"/>
    <x v="240"/>
    <x v="8"/>
    <n v="0.11508601249524529"/>
    <n v="281"/>
    <n v="32"/>
  </r>
  <r>
    <x v="11"/>
    <x v="241"/>
    <x v="8"/>
    <n v="0.13505342006098722"/>
    <n v="1054"/>
    <n v="142"/>
  </r>
  <r>
    <x v="11"/>
    <x v="242"/>
    <x v="8"/>
    <n v="2.6303080733896003E-2"/>
    <n v="689"/>
    <n v="18"/>
  </r>
  <r>
    <x v="11"/>
    <x v="243"/>
    <x v="8"/>
    <n v="8.1173790159152059E-3"/>
    <n v="427"/>
    <n v="3"/>
  </r>
  <r>
    <x v="11"/>
    <x v="244"/>
    <x v="8"/>
    <n v="2.9557261659639369E-2"/>
    <n v="300"/>
    <n v="9"/>
  </r>
  <r>
    <x v="11"/>
    <x v="245"/>
    <x v="8"/>
    <n v="1.0204434988489908E-2"/>
    <n v="351"/>
    <n v="4"/>
  </r>
  <r>
    <x v="11"/>
    <x v="246"/>
    <x v="8"/>
    <n v="0.13777856496165516"/>
    <n v="343"/>
    <n v="47"/>
  </r>
  <r>
    <x v="11"/>
    <x v="247"/>
    <x v="8"/>
    <n v="0.10086011123420165"/>
    <n v="448"/>
    <n v="45"/>
  </r>
  <r>
    <x v="11"/>
    <x v="248"/>
    <x v="8"/>
    <n v="0.11710654114188659"/>
    <n v="346"/>
    <n v="41"/>
  </r>
  <r>
    <x v="11"/>
    <x v="249"/>
    <x v="8"/>
    <n v="9.3471737253788573E-2"/>
    <n v="254"/>
    <n v="24"/>
  </r>
  <r>
    <x v="11"/>
    <x v="250"/>
    <x v="8"/>
    <n v="2.5359264138245342E-2"/>
    <n v="254"/>
    <n v="6"/>
  </r>
  <r>
    <x v="12"/>
    <x v="251"/>
    <x v="8"/>
    <n v="1.3357209507977764E-2"/>
    <n v="1768"/>
    <n v="24"/>
  </r>
  <r>
    <x v="12"/>
    <x v="252"/>
    <x v="8"/>
    <n v="7.3450661582967675E-2"/>
    <n v="1462"/>
    <n v="107"/>
  </r>
  <r>
    <x v="12"/>
    <x v="253"/>
    <x v="8"/>
    <n v="9.1075808308882511E-3"/>
    <n v="2784"/>
    <n v="25"/>
  </r>
  <r>
    <x v="12"/>
    <x v="254"/>
    <x v="8"/>
    <n v="4.5712421956490126E-2"/>
    <n v="11748"/>
    <n v="537"/>
  </r>
  <r>
    <x v="12"/>
    <x v="255"/>
    <x v="8"/>
    <n v="2.059806540674072E-2"/>
    <n v="1689"/>
    <n v="35"/>
  </r>
  <r>
    <x v="12"/>
    <x v="256"/>
    <x v="8"/>
    <n v="0.12171128943428194"/>
    <n v="2157"/>
    <n v="263"/>
  </r>
  <r>
    <x v="12"/>
    <x v="257"/>
    <x v="8"/>
    <n v="5.9577186434615785E-2"/>
    <n v="1373"/>
    <n v="82"/>
  </r>
  <r>
    <x v="12"/>
    <x v="258"/>
    <x v="8"/>
    <n v="7.7380751060938724E-2"/>
    <n v="1300"/>
    <n v="101"/>
  </r>
  <r>
    <x v="12"/>
    <x v="259"/>
    <x v="8"/>
    <n v="1.3798008445921162E-2"/>
    <n v="637"/>
    <n v="9"/>
  </r>
  <r>
    <x v="12"/>
    <x v="260"/>
    <x v="8"/>
    <n v="0.11934228090926767"/>
    <n v="643"/>
    <n v="77"/>
  </r>
  <r>
    <x v="13"/>
    <x v="261"/>
    <x v="8"/>
    <n v="5.0781379271337523E-2"/>
    <n v="1418"/>
    <n v="72"/>
  </r>
  <r>
    <x v="13"/>
    <x v="262"/>
    <x v="8"/>
    <n v="6.7172095409162288E-2"/>
    <n v="4164"/>
    <n v="280"/>
  </r>
  <r>
    <x v="13"/>
    <x v="263"/>
    <x v="8"/>
    <n v="0.10741218629353984"/>
    <n v="2354"/>
    <n v="253"/>
  </r>
  <r>
    <x v="13"/>
    <x v="264"/>
    <x v="8"/>
    <n v="7.0639111514656502E-2"/>
    <n v="14759"/>
    <n v="1043"/>
  </r>
  <r>
    <x v="13"/>
    <x v="265"/>
    <x v="8"/>
    <n v="0.1771327023852258"/>
    <n v="1412"/>
    <n v="250"/>
  </r>
  <r>
    <x v="13"/>
    <x v="266"/>
    <x v="8"/>
    <n v="0.15401670547951923"/>
    <n v="1192"/>
    <n v="184"/>
  </r>
  <r>
    <x v="13"/>
    <x v="267"/>
    <x v="8"/>
    <n v="7.3396313297319667E-3"/>
    <n v="1151"/>
    <n v="8"/>
  </r>
  <r>
    <x v="13"/>
    <x v="268"/>
    <x v="8"/>
    <n v="0.16841372174803818"/>
    <n v="1378"/>
    <n v="232"/>
  </r>
  <r>
    <x v="13"/>
    <x v="269"/>
    <x v="8"/>
    <n v="0.17675712487331571"/>
    <n v="536"/>
    <n v="95"/>
  </r>
  <r>
    <x v="14"/>
    <x v="270"/>
    <x v="8"/>
    <n v="0.17942293440737556"/>
    <n v="2034"/>
    <n v="365"/>
  </r>
  <r>
    <x v="14"/>
    <x v="271"/>
    <x v="8"/>
    <n v="0.109622693905189"/>
    <n v="7685"/>
    <n v="842"/>
  </r>
  <r>
    <x v="14"/>
    <x v="272"/>
    <x v="8"/>
    <n v="5.2024191616852435E-2"/>
    <n v="2095"/>
    <n v="109"/>
  </r>
  <r>
    <x v="14"/>
    <x v="273"/>
    <x v="8"/>
    <n v="9.207725708707637E-2"/>
    <n v="2508"/>
    <n v="231"/>
  </r>
  <r>
    <x v="14"/>
    <x v="274"/>
    <x v="8"/>
    <n v="5.5325244040792337E-2"/>
    <n v="784"/>
    <n v="43"/>
  </r>
  <r>
    <x v="14"/>
    <x v="275"/>
    <x v="8"/>
    <n v="0.12782888096229958"/>
    <n v="539"/>
    <n v="69"/>
  </r>
  <r>
    <x v="14"/>
    <x v="276"/>
    <x v="8"/>
    <n v="0.1680566726849515"/>
    <n v="771"/>
    <n v="130"/>
  </r>
  <r>
    <x v="14"/>
    <x v="277"/>
    <x v="8"/>
    <n v="3.5289167332427443E-2"/>
    <n v="612"/>
    <n v="22"/>
  </r>
  <r>
    <x v="14"/>
    <x v="278"/>
    <x v="8"/>
    <n v="1.4215341921522363E-2"/>
    <n v="472"/>
    <n v="7"/>
  </r>
  <r>
    <x v="15"/>
    <x v="279"/>
    <x v="8"/>
    <n v="5.168160310415313E-2"/>
    <n v="1976"/>
    <n v="102"/>
  </r>
  <r>
    <x v="15"/>
    <x v="280"/>
    <x v="8"/>
    <n v="0.12790328014336053"/>
    <n v="4034"/>
    <n v="516"/>
  </r>
  <r>
    <x v="15"/>
    <x v="281"/>
    <x v="8"/>
    <n v="6.4838331949771955E-2"/>
    <n v="2293"/>
    <n v="149"/>
  </r>
  <r>
    <x v="15"/>
    <x v="282"/>
    <x v="8"/>
    <n v="2.8138122906923482E-2"/>
    <n v="1581"/>
    <n v="44"/>
  </r>
  <r>
    <x v="15"/>
    <x v="283"/>
    <x v="8"/>
    <n v="0.1049436606129438"/>
    <n v="1856"/>
    <n v="195"/>
  </r>
  <r>
    <x v="15"/>
    <x v="284"/>
    <x v="8"/>
    <n v="0.13813654974632297"/>
    <n v="1598"/>
    <n v="221"/>
  </r>
  <r>
    <x v="15"/>
    <x v="285"/>
    <x v="8"/>
    <n v="0.19641005947575113"/>
    <n v="1018"/>
    <n v="200"/>
  </r>
  <r>
    <x v="15"/>
    <x v="286"/>
    <x v="8"/>
    <n v="0.1714667684357446"/>
    <n v="1062"/>
    <n v="182"/>
  </r>
  <r>
    <x v="15"/>
    <x v="287"/>
    <x v="8"/>
    <n v="0.16484087158439287"/>
    <n v="1021"/>
    <n v="168"/>
  </r>
  <r>
    <x v="15"/>
    <x v="288"/>
    <x v="8"/>
    <n v="0.19341146458330752"/>
    <n v="565"/>
    <n v="109"/>
  </r>
  <r>
    <x v="15"/>
    <x v="289"/>
    <x v="8"/>
    <n v="3.938726356337741E-4"/>
    <n v="486"/>
    <n v="0"/>
  </r>
  <r>
    <x v="16"/>
    <x v="290"/>
    <x v="8"/>
    <n v="9.1893257019922375E-2"/>
    <n v="4799"/>
    <n v="441"/>
  </r>
  <r>
    <x v="16"/>
    <x v="291"/>
    <x v="8"/>
    <n v="7.8842244024911384E-2"/>
    <n v="292"/>
    <n v="23"/>
  </r>
  <r>
    <x v="16"/>
    <x v="292"/>
    <x v="8"/>
    <n v="0.14454099684742916"/>
    <n v="842"/>
    <n v="122"/>
  </r>
  <r>
    <x v="16"/>
    <x v="293"/>
    <x v="8"/>
    <n v="4.8745008944008933E-2"/>
    <n v="869"/>
    <n v="42"/>
  </r>
  <r>
    <x v="16"/>
    <x v="294"/>
    <x v="8"/>
    <n v="0.13978158820604564"/>
    <n v="522"/>
    <n v="73"/>
  </r>
  <r>
    <x v="16"/>
    <x v="295"/>
    <x v="8"/>
    <n v="0.13060068722030496"/>
    <n v="665"/>
    <n v="87"/>
  </r>
  <r>
    <x v="16"/>
    <x v="296"/>
    <x v="8"/>
    <n v="4.5180984556523668E-2"/>
    <n v="657"/>
    <n v="30"/>
  </r>
  <r>
    <x v="16"/>
    <x v="297"/>
    <x v="8"/>
    <n v="0.14823903101163388"/>
    <n v="185"/>
    <n v="27"/>
  </r>
  <r>
    <x v="16"/>
    <x v="298"/>
    <x v="8"/>
    <n v="0.10126592799305566"/>
    <n v="190"/>
    <n v="19"/>
  </r>
  <r>
    <x v="16"/>
    <x v="299"/>
    <x v="8"/>
    <n v="0.1440907722949534"/>
    <n v="147"/>
    <n v="21"/>
  </r>
  <r>
    <x v="17"/>
    <x v="300"/>
    <x v="8"/>
    <n v="0.18129169096865119"/>
    <n v="2586"/>
    <n v="469"/>
  </r>
  <r>
    <x v="17"/>
    <x v="301"/>
    <x v="8"/>
    <n v="2.7195131038865863E-2"/>
    <n v="2429"/>
    <n v="66"/>
  </r>
  <r>
    <x v="17"/>
    <x v="302"/>
    <x v="8"/>
    <n v="3.303153187200223E-2"/>
    <n v="2342"/>
    <n v="77"/>
  </r>
  <r>
    <x v="17"/>
    <x v="303"/>
    <x v="8"/>
    <n v="0.15735968023406366"/>
    <n v="480"/>
    <n v="76"/>
  </r>
  <r>
    <x v="17"/>
    <x v="304"/>
    <x v="8"/>
    <n v="0.1557460961491095"/>
    <n v="466"/>
    <n v="73"/>
  </r>
  <r>
    <x v="17"/>
    <x v="305"/>
    <x v="8"/>
    <n v="0.11388235925065052"/>
    <n v="293"/>
    <n v="33"/>
  </r>
  <r>
    <x v="17"/>
    <x v="306"/>
    <x v="8"/>
    <n v="0.10783928408841906"/>
    <n v="266"/>
    <n v="29"/>
  </r>
  <r>
    <x v="17"/>
    <x v="307"/>
    <x v="8"/>
    <n v="0.1409427770314445"/>
    <n v="303"/>
    <n v="43"/>
  </r>
  <r>
    <x v="18"/>
    <x v="308"/>
    <x v="8"/>
    <n v="0.15196266602434189"/>
    <n v="6150"/>
    <n v="935"/>
  </r>
  <r>
    <x v="18"/>
    <x v="309"/>
    <x v="8"/>
    <n v="1.1421221389948923E-2"/>
    <n v="935"/>
    <n v="11"/>
  </r>
  <r>
    <x v="18"/>
    <x v="310"/>
    <x v="8"/>
    <n v="8.4059713682408971E-2"/>
    <n v="2962"/>
    <n v="249"/>
  </r>
  <r>
    <x v="18"/>
    <x v="311"/>
    <x v="8"/>
    <n v="7.2458071580511471E-2"/>
    <n v="1191"/>
    <n v="86"/>
  </r>
  <r>
    <x v="18"/>
    <x v="312"/>
    <x v="8"/>
    <n v="3.7646714137778758E-2"/>
    <n v="359"/>
    <n v="14"/>
  </r>
  <r>
    <x v="18"/>
    <x v="313"/>
    <x v="8"/>
    <n v="0.10464716545526685"/>
    <n v="1292"/>
    <n v="135"/>
  </r>
  <r>
    <x v="18"/>
    <x v="314"/>
    <x v="8"/>
    <n v="6.8101728454926777E-2"/>
    <n v="1393"/>
    <n v="95"/>
  </r>
  <r>
    <x v="18"/>
    <x v="315"/>
    <x v="8"/>
    <n v="8.8960591669821468E-2"/>
    <n v="487"/>
    <n v="43"/>
  </r>
  <r>
    <x v="18"/>
    <x v="316"/>
    <x v="8"/>
    <n v="0.19899287501356275"/>
    <n v="679"/>
    <n v="135"/>
  </r>
  <r>
    <x v="18"/>
    <x v="317"/>
    <x v="8"/>
    <n v="0.15805131435154804"/>
    <n v="594"/>
    <n v="94"/>
  </r>
  <r>
    <x v="19"/>
    <x v="318"/>
    <x v="8"/>
    <n v="3.0472601096253563E-2"/>
    <n v="3124"/>
    <n v="95"/>
  </r>
  <r>
    <x v="19"/>
    <x v="319"/>
    <x v="8"/>
    <n v="8.4456676261261531E-3"/>
    <n v="1960"/>
    <n v="17"/>
  </r>
  <r>
    <x v="19"/>
    <x v="320"/>
    <x v="8"/>
    <n v="0.13426384985706127"/>
    <n v="10264"/>
    <n v="1378"/>
  </r>
  <r>
    <x v="19"/>
    <x v="321"/>
    <x v="8"/>
    <n v="4.3610621045467673E-2"/>
    <n v="416"/>
    <n v="18"/>
  </r>
  <r>
    <x v="19"/>
    <x v="322"/>
    <x v="8"/>
    <n v="0.14801537486337185"/>
    <n v="962"/>
    <n v="142"/>
  </r>
  <r>
    <x v="19"/>
    <x v="323"/>
    <x v="8"/>
    <n v="7.7169352269985253E-2"/>
    <n v="597"/>
    <n v="46"/>
  </r>
  <r>
    <x v="19"/>
    <x v="324"/>
    <x v="8"/>
    <n v="0.17750973208207299"/>
    <n v="539"/>
    <n v="96"/>
  </r>
  <r>
    <x v="19"/>
    <x v="325"/>
    <x v="8"/>
    <n v="6.1433768971852445E-2"/>
    <n v="278"/>
    <n v="17"/>
  </r>
  <r>
    <x v="20"/>
    <x v="326"/>
    <x v="8"/>
    <n v="0.1188999592105231"/>
    <n v="1600"/>
    <n v="190"/>
  </r>
  <r>
    <x v="20"/>
    <x v="327"/>
    <x v="8"/>
    <n v="6.2597253097472313E-2"/>
    <n v="4529"/>
    <n v="284"/>
  </r>
  <r>
    <x v="20"/>
    <x v="328"/>
    <x v="8"/>
    <n v="5.9706995338686175E-2"/>
    <n v="5812"/>
    <n v="347"/>
  </r>
  <r>
    <x v="20"/>
    <x v="329"/>
    <x v="8"/>
    <n v="0.19607749778929484"/>
    <n v="1290"/>
    <n v="253"/>
  </r>
  <r>
    <x v="20"/>
    <x v="330"/>
    <x v="8"/>
    <n v="0.15500775255660082"/>
    <n v="361"/>
    <n v="56"/>
  </r>
  <r>
    <x v="20"/>
    <x v="331"/>
    <x v="8"/>
    <n v="0.17668036060825468"/>
    <n v="292"/>
    <n v="52"/>
  </r>
  <r>
    <x v="20"/>
    <x v="332"/>
    <x v="8"/>
    <n v="1.9682985235632236E-2"/>
    <n v="671"/>
    <n v="13"/>
  </r>
  <r>
    <x v="20"/>
    <x v="333"/>
    <x v="8"/>
    <n v="9.7918838593773708E-3"/>
    <n v="145"/>
    <n v="1"/>
  </r>
  <r>
    <x v="21"/>
    <x v="334"/>
    <x v="8"/>
    <n v="0.16360803035511398"/>
    <n v="1598"/>
    <n v="261"/>
  </r>
  <r>
    <x v="21"/>
    <x v="335"/>
    <x v="8"/>
    <n v="4.882032905729701E-2"/>
    <n v="822"/>
    <n v="40"/>
  </r>
  <r>
    <x v="21"/>
    <x v="336"/>
    <x v="8"/>
    <n v="0.12409236100589721"/>
    <n v="2023"/>
    <n v="251"/>
  </r>
  <r>
    <x v="21"/>
    <x v="337"/>
    <x v="8"/>
    <n v="7.831086176059477E-3"/>
    <n v="1475"/>
    <n v="12"/>
  </r>
  <r>
    <x v="21"/>
    <x v="338"/>
    <x v="8"/>
    <n v="0.13752292243211406"/>
    <n v="18070"/>
    <n v="2485"/>
  </r>
  <r>
    <x v="21"/>
    <x v="339"/>
    <x v="8"/>
    <n v="3.6223562445623306E-3"/>
    <n v="1734"/>
    <n v="6"/>
  </r>
  <r>
    <x v="21"/>
    <x v="340"/>
    <x v="8"/>
    <n v="0.1084953990713426"/>
    <n v="948"/>
    <n v="103"/>
  </r>
  <r>
    <x v="21"/>
    <x v="341"/>
    <x v="8"/>
    <n v="0.11497959761363885"/>
    <n v="380"/>
    <n v="44"/>
  </r>
  <r>
    <x v="21"/>
    <x v="342"/>
    <x v="8"/>
    <n v="0.19704353894192891"/>
    <n v="860"/>
    <n v="169"/>
  </r>
  <r>
    <x v="22"/>
    <x v="343"/>
    <x v="8"/>
    <n v="1.7945941361383343E-2"/>
    <n v="112"/>
    <n v="2"/>
  </r>
  <r>
    <x v="22"/>
    <x v="344"/>
    <x v="8"/>
    <n v="0.18661239614475406"/>
    <n v="11488"/>
    <n v="2144"/>
  </r>
  <r>
    <x v="22"/>
    <x v="345"/>
    <x v="8"/>
    <n v="2.2558546925184022E-2"/>
    <n v="2193"/>
    <n v="49"/>
  </r>
  <r>
    <x v="22"/>
    <x v="346"/>
    <x v="8"/>
    <n v="3.0923567801315867E-2"/>
    <n v="1216"/>
    <n v="38"/>
  </r>
  <r>
    <x v="22"/>
    <x v="347"/>
    <x v="8"/>
    <n v="0.1176059564213793"/>
    <n v="2644"/>
    <n v="311"/>
  </r>
  <r>
    <x v="22"/>
    <x v="348"/>
    <x v="8"/>
    <n v="2.9071221785477476E-2"/>
    <n v="477"/>
    <n v="14"/>
  </r>
  <r>
    <x v="22"/>
    <x v="349"/>
    <x v="8"/>
    <n v="0.12684944300301795"/>
    <n v="1670"/>
    <n v="212"/>
  </r>
  <r>
    <x v="22"/>
    <x v="350"/>
    <x v="8"/>
    <n v="6.6084439823842447E-2"/>
    <n v="682"/>
    <n v="45"/>
  </r>
  <r>
    <x v="22"/>
    <x v="351"/>
    <x v="8"/>
    <n v="8.7419285659899856E-2"/>
    <n v="2127"/>
    <n v="186"/>
  </r>
  <r>
    <x v="22"/>
    <x v="352"/>
    <x v="8"/>
    <n v="0.12009426918262052"/>
    <n v="756"/>
    <n v="91"/>
  </r>
  <r>
    <x v="22"/>
    <x v="353"/>
    <x v="8"/>
    <n v="8.0283568005827435E-2"/>
    <n v="1674"/>
    <n v="134"/>
  </r>
  <r>
    <x v="22"/>
    <x v="354"/>
    <x v="8"/>
    <n v="0.13507898147515671"/>
    <n v="499"/>
    <n v="67"/>
  </r>
  <r>
    <x v="22"/>
    <x v="355"/>
    <x v="8"/>
    <n v="0.15793994957701812"/>
    <n v="440"/>
    <n v="69"/>
  </r>
  <r>
    <x v="23"/>
    <x v="356"/>
    <x v="8"/>
    <n v="9.4850320711055772E-2"/>
    <n v="144933"/>
    <n v="13747"/>
  </r>
  <r>
    <x v="23"/>
    <x v="357"/>
    <x v="8"/>
    <n v="7.9916727526088319E-2"/>
    <n v="1366"/>
    <n v="109"/>
  </r>
  <r>
    <x v="23"/>
    <x v="358"/>
    <x v="8"/>
    <n v="0.19426162520502221"/>
    <n v="5999"/>
    <n v="1165"/>
  </r>
  <r>
    <x v="23"/>
    <x v="359"/>
    <x v="8"/>
    <n v="0.16419405595116551"/>
    <n v="1040"/>
    <n v="171"/>
  </r>
  <r>
    <x v="23"/>
    <x v="360"/>
    <x v="8"/>
    <n v="7.9233316762579841E-3"/>
    <n v="3472"/>
    <n v="28"/>
  </r>
  <r>
    <x v="23"/>
    <x v="361"/>
    <x v="8"/>
    <n v="7.5987708048703861E-2"/>
    <n v="5281"/>
    <n v="401"/>
  </r>
  <r>
    <x v="23"/>
    <x v="362"/>
    <x v="8"/>
    <n v="3.0966886221145386E-2"/>
    <n v="3188"/>
    <n v="99"/>
  </r>
  <r>
    <x v="23"/>
    <x v="363"/>
    <x v="8"/>
    <n v="0.18657400106504141"/>
    <n v="968"/>
    <n v="181"/>
  </r>
  <r>
    <x v="23"/>
    <x v="364"/>
    <x v="8"/>
    <n v="0.10167396413363367"/>
    <n v="2206"/>
    <n v="224"/>
  </r>
  <r>
    <x v="23"/>
    <x v="365"/>
    <x v="8"/>
    <n v="4.5902909563097088E-2"/>
    <n v="496"/>
    <n v="23"/>
  </r>
  <r>
    <x v="23"/>
    <x v="366"/>
    <x v="8"/>
    <n v="9.3058733318449785E-2"/>
    <n v="955"/>
    <n v="89"/>
  </r>
  <r>
    <x v="23"/>
    <x v="367"/>
    <x v="8"/>
    <n v="0.1861286396117362"/>
    <n v="1311"/>
    <n v="244"/>
  </r>
  <r>
    <x v="23"/>
    <x v="368"/>
    <x v="8"/>
    <n v="0.11735888341237583"/>
    <n v="540"/>
    <n v="63"/>
  </r>
  <r>
    <x v="23"/>
    <x v="369"/>
    <x v="8"/>
    <n v="0.14449729925196286"/>
    <n v="1870"/>
    <n v="270"/>
  </r>
  <r>
    <x v="23"/>
    <x v="370"/>
    <x v="8"/>
    <n v="0.16690251805882711"/>
    <n v="2046"/>
    <n v="341"/>
  </r>
  <r>
    <x v="23"/>
    <x v="371"/>
    <x v="8"/>
    <n v="0.10638595033633158"/>
    <n v="2237"/>
    <n v="238"/>
  </r>
  <r>
    <x v="24"/>
    <x v="372"/>
    <x v="8"/>
    <n v="0.19151080256379827"/>
    <n v="12494"/>
    <n v="2393"/>
  </r>
  <r>
    <x v="24"/>
    <x v="373"/>
    <x v="8"/>
    <n v="5.8731367711434702E-2"/>
    <n v="356"/>
    <n v="21"/>
  </r>
  <r>
    <x v="24"/>
    <x v="374"/>
    <x v="8"/>
    <n v="4.1351351410449572E-2"/>
    <n v="1370"/>
    <n v="57"/>
  </r>
  <r>
    <x v="24"/>
    <x v="375"/>
    <x v="8"/>
    <n v="2.8310424533967794E-2"/>
    <n v="1172"/>
    <n v="33"/>
  </r>
  <r>
    <x v="24"/>
    <x v="376"/>
    <x v="8"/>
    <n v="2.4086161335321155E-2"/>
    <n v="1166"/>
    <n v="28"/>
  </r>
  <r>
    <x v="24"/>
    <x v="377"/>
    <x v="8"/>
    <n v="0.1832487496159908"/>
    <n v="864"/>
    <n v="158"/>
  </r>
  <r>
    <x v="24"/>
    <x v="378"/>
    <x v="8"/>
    <n v="5.8073686406045759E-2"/>
    <n v="358"/>
    <n v="21"/>
  </r>
  <r>
    <x v="24"/>
    <x v="379"/>
    <x v="8"/>
    <n v="0.12669593215457506"/>
    <n v="798"/>
    <n v="101"/>
  </r>
  <r>
    <x v="24"/>
    <x v="380"/>
    <x v="8"/>
    <n v="8.336566957994021E-2"/>
    <n v="265"/>
    <n v="22"/>
  </r>
  <r>
    <x v="24"/>
    <x v="381"/>
    <x v="8"/>
    <n v="0.10791176137229402"/>
    <n v="204"/>
    <n v="22"/>
  </r>
  <r>
    <x v="25"/>
    <x v="382"/>
    <x v="8"/>
    <n v="8.4707014893337748E-2"/>
    <n v="19334"/>
    <n v="1638"/>
  </r>
  <r>
    <x v="26"/>
    <x v="383"/>
    <x v="8"/>
    <n v="7.715012199959935E-2"/>
    <n v="1156"/>
    <n v="89"/>
  </r>
  <r>
    <x v="26"/>
    <x v="384"/>
    <x v="8"/>
    <n v="9.043891652726431E-2"/>
    <n v="2446"/>
    <n v="221"/>
  </r>
  <r>
    <x v="26"/>
    <x v="385"/>
    <x v="8"/>
    <n v="8.5497483372247284E-3"/>
    <n v="14272"/>
    <n v="122"/>
  </r>
  <r>
    <x v="26"/>
    <x v="386"/>
    <x v="8"/>
    <n v="1.1067741198929949E-3"/>
    <n v="730"/>
    <n v="1"/>
  </r>
  <r>
    <x v="26"/>
    <x v="387"/>
    <x v="8"/>
    <n v="0.19124641737739234"/>
    <n v="820"/>
    <n v="157"/>
  </r>
  <r>
    <x v="26"/>
    <x v="388"/>
    <x v="8"/>
    <n v="0.13769462254521719"/>
    <n v="486"/>
    <n v="67"/>
  </r>
  <r>
    <x v="27"/>
    <x v="389"/>
    <x v="8"/>
    <n v="6.2963131738670103E-2"/>
    <n v="948"/>
    <n v="60"/>
  </r>
  <r>
    <x v="27"/>
    <x v="390"/>
    <x v="8"/>
    <n v="0.13516240655773457"/>
    <n v="362"/>
    <n v="49"/>
  </r>
  <r>
    <x v="27"/>
    <x v="391"/>
    <x v="8"/>
    <n v="4.4378707657657036E-2"/>
    <n v="944"/>
    <n v="42"/>
  </r>
  <r>
    <x v="27"/>
    <x v="392"/>
    <x v="8"/>
    <n v="8.459858391025972E-2"/>
    <n v="460"/>
    <n v="39"/>
  </r>
  <r>
    <x v="27"/>
    <x v="393"/>
    <x v="8"/>
    <n v="7.2520713551783841E-2"/>
    <n v="11530"/>
    <n v="836"/>
  </r>
  <r>
    <x v="27"/>
    <x v="394"/>
    <x v="8"/>
    <n v="7.5845045882816847E-2"/>
    <n v="2181"/>
    <n v="165"/>
  </r>
  <r>
    <x v="27"/>
    <x v="395"/>
    <x v="8"/>
    <n v="0.19923570470493143"/>
    <n v="1464"/>
    <n v="292"/>
  </r>
  <r>
    <x v="27"/>
    <x v="396"/>
    <x v="8"/>
    <n v="4.6278451118541876E-2"/>
    <n v="2182"/>
    <n v="101"/>
  </r>
  <r>
    <x v="27"/>
    <x v="397"/>
    <x v="8"/>
    <n v="0.11473445305241801"/>
    <n v="2989"/>
    <n v="343"/>
  </r>
  <r>
    <x v="27"/>
    <x v="398"/>
    <x v="8"/>
    <n v="4.5061604039044578E-2"/>
    <n v="978"/>
    <n v="44"/>
  </r>
  <r>
    <x v="27"/>
    <x v="399"/>
    <x v="8"/>
    <n v="0.11246488180920522"/>
    <n v="897"/>
    <n v="101"/>
  </r>
  <r>
    <x v="27"/>
    <x v="400"/>
    <x v="8"/>
    <n v="8.0991589319428167E-2"/>
    <n v="1608"/>
    <n v="130"/>
  </r>
  <r>
    <x v="27"/>
    <x v="401"/>
    <x v="8"/>
    <n v="1.1115772654186907E-2"/>
    <n v="402"/>
    <n v="4"/>
  </r>
  <r>
    <x v="27"/>
    <x v="402"/>
    <x v="8"/>
    <n v="2.2789604944503772E-2"/>
    <n v="564"/>
    <n v="13"/>
  </r>
  <r>
    <x v="28"/>
    <x v="403"/>
    <x v="8"/>
    <n v="0.10314522966060582"/>
    <n v="1538"/>
    <n v="159"/>
  </r>
  <r>
    <x v="28"/>
    <x v="404"/>
    <x v="8"/>
    <n v="1.9476623495346471E-2"/>
    <n v="6329"/>
    <n v="123"/>
  </r>
  <r>
    <x v="28"/>
    <x v="405"/>
    <x v="8"/>
    <n v="8.0057029381703337E-2"/>
    <n v="509"/>
    <n v="41"/>
  </r>
  <r>
    <x v="28"/>
    <x v="406"/>
    <x v="8"/>
    <n v="0.17666996957732783"/>
    <n v="2203"/>
    <n v="389"/>
  </r>
  <r>
    <x v="28"/>
    <x v="407"/>
    <x v="8"/>
    <n v="0.12653852277542038"/>
    <n v="539"/>
    <n v="68"/>
  </r>
  <r>
    <x v="28"/>
    <x v="408"/>
    <x v="8"/>
    <n v="3.049199271877634E-3"/>
    <n v="692"/>
    <n v="2"/>
  </r>
  <r>
    <x v="28"/>
    <x v="409"/>
    <x v="8"/>
    <n v="8.751810450149905E-2"/>
    <n v="156"/>
    <n v="14"/>
  </r>
  <r>
    <x v="28"/>
    <x v="410"/>
    <x v="8"/>
    <n v="0.19459384345601727"/>
    <n v="553"/>
    <n v="108"/>
  </r>
  <r>
    <x v="29"/>
    <x v="411"/>
    <x v="8"/>
    <n v="3.3846514775323348E-2"/>
    <n v="6420"/>
    <n v="217"/>
  </r>
  <r>
    <x v="29"/>
    <x v="412"/>
    <x v="8"/>
    <n v="6.426729485307979E-2"/>
    <n v="632"/>
    <n v="41"/>
  </r>
  <r>
    <x v="29"/>
    <x v="413"/>
    <x v="8"/>
    <n v="9.5292907927501766E-2"/>
    <n v="469"/>
    <n v="45"/>
  </r>
  <r>
    <x v="29"/>
    <x v="414"/>
    <x v="8"/>
    <n v="8.6513418110987964E-2"/>
    <n v="1615"/>
    <n v="140"/>
  </r>
  <r>
    <x v="29"/>
    <x v="415"/>
    <x v="8"/>
    <n v="9.9862827619889682E-2"/>
    <n v="659"/>
    <n v="66"/>
  </r>
  <r>
    <x v="29"/>
    <x v="416"/>
    <x v="8"/>
    <n v="7.2416688197980569E-2"/>
    <n v="398"/>
    <n v="29"/>
  </r>
  <r>
    <x v="29"/>
    <x v="417"/>
    <x v="8"/>
    <n v="1.8090146182565305E-2"/>
    <n v="1251"/>
    <n v="23"/>
  </r>
  <r>
    <x v="29"/>
    <x v="418"/>
    <x v="8"/>
    <n v="9.6676888033135858E-2"/>
    <n v="362"/>
    <n v="35"/>
  </r>
  <r>
    <x v="29"/>
    <x v="419"/>
    <x v="8"/>
    <n v="5.9309119761472108E-2"/>
    <n v="575"/>
    <n v="34"/>
  </r>
  <r>
    <x v="29"/>
    <x v="420"/>
    <x v="8"/>
    <n v="0.14344228066734085"/>
    <n v="208"/>
    <n v="30"/>
  </r>
  <r>
    <x v="29"/>
    <x v="421"/>
    <x v="8"/>
    <n v="0.19874642927244748"/>
    <n v="1374"/>
    <n v="273"/>
  </r>
  <r>
    <x v="30"/>
    <x v="422"/>
    <x v="8"/>
    <n v="0.11015867286449282"/>
    <n v="29180"/>
    <n v="3214"/>
  </r>
  <r>
    <x v="30"/>
    <x v="423"/>
    <x v="8"/>
    <n v="1.8959465270117451E-2"/>
    <n v="1623"/>
    <n v="31"/>
  </r>
  <r>
    <x v="30"/>
    <x v="424"/>
    <x v="8"/>
    <n v="9.4289036653209656E-3"/>
    <n v="916"/>
    <n v="9"/>
  </r>
  <r>
    <x v="30"/>
    <x v="425"/>
    <x v="8"/>
    <n v="0.13484351827509411"/>
    <n v="143"/>
    <n v="19"/>
  </r>
  <r>
    <x v="30"/>
    <x v="426"/>
    <x v="8"/>
    <n v="1.816622871564615E-2"/>
    <n v="444"/>
    <n v="8"/>
  </r>
  <r>
    <x v="30"/>
    <x v="427"/>
    <x v="8"/>
    <n v="0.16209921147423886"/>
    <n v="1987"/>
    <n v="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475" firstHeaderRow="1" firstDataRow="2" firstDataCol="1"/>
  <pivotFields count="6">
    <pivotField axis="axisRow" showAll="0">
      <items count="42">
        <item m="1" x="32"/>
        <item m="1" x="39"/>
        <item x="24"/>
        <item x="10"/>
        <item x="30"/>
        <item x="16"/>
        <item x="18"/>
        <item x="23"/>
        <item m="1" x="35"/>
        <item m="1" x="36"/>
        <item m="1" x="34"/>
        <item m="1" x="38"/>
        <item x="6"/>
        <item x="19"/>
        <item x="20"/>
        <item m="1" x="33"/>
        <item x="7"/>
        <item x="26"/>
        <item x="25"/>
        <item x="12"/>
        <item x="8"/>
        <item x="5"/>
        <item m="1" x="40"/>
        <item x="27"/>
        <item x="1"/>
        <item x="15"/>
        <item x="2"/>
        <item x="0"/>
        <item x="22"/>
        <item x="13"/>
        <item x="21"/>
        <item m="1" x="31"/>
        <item m="1" x="37"/>
        <item x="3"/>
        <item x="4"/>
        <item x="14"/>
        <item x="29"/>
        <item x="9"/>
        <item x="28"/>
        <item x="11"/>
        <item x="17"/>
        <item t="default"/>
      </items>
    </pivotField>
    <pivotField axis="axisRow" showAll="0">
      <items count="495">
        <item x="101"/>
        <item x="128"/>
        <item x="295"/>
        <item x="340"/>
        <item x="318"/>
        <item x="343"/>
        <item x="386"/>
        <item x="64"/>
        <item x="331"/>
        <item x="0"/>
        <item x="225"/>
        <item x="372"/>
        <item x="208"/>
        <item x="334"/>
        <item x="274"/>
        <item x="179"/>
        <item x="144"/>
        <item x="70"/>
        <item x="398"/>
        <item x="285"/>
        <item x="12"/>
        <item x="13"/>
        <item x="129"/>
        <item x="266"/>
        <item x="403"/>
        <item x="65"/>
        <item x="87"/>
        <item x="362"/>
        <item x="426"/>
        <item x="1"/>
        <item x="341"/>
        <item x="82"/>
        <item x="209"/>
        <item x="126"/>
        <item x="396"/>
        <item x="130"/>
        <item x="387"/>
        <item x="279"/>
        <item x="28"/>
        <item x="24"/>
        <item x="116"/>
        <item x="176"/>
        <item x="121"/>
        <item x="102"/>
        <item x="50"/>
        <item x="103"/>
        <item x="388"/>
        <item x="321"/>
        <item x="104"/>
        <item x="232"/>
        <item x="290"/>
        <item x="296"/>
        <item x="29"/>
        <item x="38"/>
        <item x="205"/>
        <item x="306"/>
        <item x="115"/>
        <item x="157"/>
        <item x="335"/>
        <item x="251"/>
        <item x="124"/>
        <item x="199"/>
        <item x="404"/>
        <item x="299"/>
        <item x="229"/>
        <item x="194"/>
        <item x="166"/>
        <item x="280"/>
        <item x="270"/>
        <item x="58"/>
        <item x="351"/>
        <item x="355"/>
        <item x="418"/>
        <item x="158"/>
        <item x="278"/>
        <item x="57"/>
        <item x="14"/>
        <item x="344"/>
        <item x="389"/>
        <item x="345"/>
        <item x="105"/>
        <item m="1" x="458"/>
        <item x="267"/>
        <item x="369"/>
        <item x="106"/>
        <item x="30"/>
        <item x="304"/>
        <item x="143"/>
        <item x="308"/>
        <item x="79"/>
        <item x="300"/>
        <item x="383"/>
        <item x="231"/>
        <item x="252"/>
        <item x="411"/>
        <item x="373"/>
        <item x="200"/>
        <item x="377"/>
        <item x="150"/>
        <item x="364"/>
        <item x="89"/>
        <item x="370"/>
        <item x="286"/>
        <item x="84"/>
        <item x="71"/>
        <item x="368"/>
        <item x="384"/>
        <item x="15"/>
        <item x="180"/>
        <item x="51"/>
        <item x="182"/>
        <item x="181"/>
        <item x="390"/>
        <item x="336"/>
        <item x="2"/>
        <item x="81"/>
        <item x="31"/>
        <item x="309"/>
        <item x="356"/>
        <item x="261"/>
        <item x="226"/>
        <item x="98"/>
        <item x="405"/>
        <item x="348"/>
        <item x="202"/>
        <item x="62"/>
        <item x="316"/>
        <item x="131"/>
        <item x="95"/>
        <item x="42"/>
        <item x="204"/>
        <item x="159"/>
        <item x="233"/>
        <item x="227"/>
        <item x="66"/>
        <item x="83"/>
        <item x="41"/>
        <item x="85"/>
        <item x="305"/>
        <item x="293"/>
        <item x="190"/>
        <item x="350"/>
        <item x="125"/>
        <item x="342"/>
        <item x="234"/>
        <item x="69"/>
        <item x="319"/>
        <item x="156"/>
        <item x="281"/>
        <item x="145"/>
        <item x="322"/>
        <item x="107"/>
        <item x="374"/>
        <item x="197"/>
        <item x="352"/>
        <item x="3"/>
        <item x="210"/>
        <item x="151"/>
        <item x="10"/>
        <item x="191"/>
        <item x="211"/>
        <item x="230"/>
        <item x="420"/>
        <item x="206"/>
        <item x="72"/>
        <item x="132"/>
        <item x="99"/>
        <item x="326"/>
        <item x="207"/>
        <item x="183"/>
        <item x="412"/>
        <item x="291"/>
        <item x="108"/>
        <item x="109"/>
        <item x="310"/>
        <item x="311"/>
        <item x="282"/>
        <item x="243"/>
        <item x="4"/>
        <item x="357"/>
        <item x="303"/>
        <item x="228"/>
        <item x="260"/>
        <item x="292"/>
        <item x="288"/>
        <item x="283"/>
        <item x="312"/>
        <item x="315"/>
        <item x="257"/>
        <item x="174"/>
        <item x="410"/>
        <item x="32"/>
        <item x="119"/>
        <item x="110"/>
        <item x="399"/>
        <item x="167"/>
        <item x="363"/>
        <item x="268"/>
        <item x="153"/>
        <item x="16"/>
        <item x="195"/>
        <item x="25"/>
        <item x="160"/>
        <item x="100"/>
        <item x="349"/>
        <item x="17"/>
        <item x="171"/>
        <item x="18"/>
        <item x="289"/>
        <item x="173"/>
        <item x="358"/>
        <item x="235"/>
        <item x="236"/>
        <item x="203"/>
        <item x="161"/>
        <item x="8"/>
        <item x="146"/>
        <item x="320"/>
        <item x="241"/>
        <item x="419"/>
        <item x="33"/>
        <item x="277"/>
        <item x="423"/>
        <item x="5"/>
        <item x="184"/>
        <item x="133"/>
        <item x="52"/>
        <item x="237"/>
        <item x="416"/>
        <item x="239"/>
        <item x="413"/>
        <item x="90"/>
        <item x="192"/>
        <item x="333"/>
        <item x="73"/>
        <item x="381"/>
        <item x="259"/>
        <item x="152"/>
        <item x="253"/>
        <item x="287"/>
        <item x="325"/>
        <item x="74"/>
        <item x="327"/>
        <item x="212"/>
        <item x="91"/>
        <item x="254"/>
        <item x="34"/>
        <item x="48"/>
        <item x="26"/>
        <item x="245"/>
        <item x="162"/>
        <item x="298"/>
        <item x="354"/>
        <item x="47"/>
        <item x="111"/>
        <item x="6"/>
        <item x="328"/>
        <item x="80"/>
        <item x="223"/>
        <item x="59"/>
        <item x="23"/>
        <item x="359"/>
        <item x="163"/>
        <item x="216"/>
        <item x="271"/>
        <item x="361"/>
        <item x="114"/>
        <item x="112"/>
        <item x="86"/>
        <item x="134"/>
        <item x="406"/>
        <item x="96"/>
        <item x="19"/>
        <item x="323"/>
        <item x="425"/>
        <item x="421"/>
        <item x="45"/>
        <item x="68"/>
        <item x="317"/>
        <item x="391"/>
        <item x="168"/>
        <item x="272"/>
        <item x="407"/>
        <item x="178"/>
        <item x="269"/>
        <item x="149"/>
        <item x="11"/>
        <item x="417"/>
        <item x="427"/>
        <item x="213"/>
        <item x="214"/>
        <item x="44"/>
        <item x="193"/>
        <item x="135"/>
        <item x="215"/>
        <item x="250"/>
        <item x="175"/>
        <item x="20"/>
        <item x="136"/>
        <item x="365"/>
        <item x="201"/>
        <item x="35"/>
        <item x="414"/>
        <item x="366"/>
        <item x="371"/>
        <item x="255"/>
        <item x="385"/>
        <item x="346"/>
        <item x="92"/>
        <item x="249"/>
        <item x="172"/>
        <item x="382"/>
        <item x="185"/>
        <item x="147"/>
        <item x="137"/>
        <item x="186"/>
        <item x="258"/>
        <item x="265"/>
        <item x="392"/>
        <item x="164"/>
        <item x="88"/>
        <item x="196"/>
        <item x="397"/>
        <item x="60"/>
        <item x="9"/>
        <item x="240"/>
        <item x="313"/>
        <item x="93"/>
        <item x="301"/>
        <item x="165"/>
        <item x="155"/>
        <item x="378"/>
        <item x="170"/>
        <item x="275"/>
        <item x="276"/>
        <item x="127"/>
        <item x="217"/>
        <item x="422"/>
        <item x="49"/>
        <item x="284"/>
        <item x="402"/>
        <item x="353"/>
        <item x="120"/>
        <item x="302"/>
        <item x="154"/>
        <item x="393"/>
        <item x="329"/>
        <item x="409"/>
        <item x="376"/>
        <item x="218"/>
        <item x="43"/>
        <item x="401"/>
        <item x="187"/>
        <item x="314"/>
        <item x="394"/>
        <item x="94"/>
        <item x="138"/>
        <item x="117"/>
        <item x="142"/>
        <item x="22"/>
        <item x="273"/>
        <item x="219"/>
        <item x="307"/>
        <item x="21"/>
        <item x="27"/>
        <item x="75"/>
        <item x="408"/>
        <item x="324"/>
        <item x="224"/>
        <item x="7"/>
        <item x="39"/>
        <item x="53"/>
        <item x="400"/>
        <item x="54"/>
        <item x="139"/>
        <item x="256"/>
        <item x="113"/>
        <item x="375"/>
        <item x="188"/>
        <item x="367"/>
        <item x="262"/>
        <item x="63"/>
        <item x="297"/>
        <item x="140"/>
        <item x="169"/>
        <item x="198"/>
        <item x="76"/>
        <item x="330"/>
        <item x="148"/>
        <item x="294"/>
        <item x="244"/>
        <item x="337"/>
        <item x="332"/>
        <item x="77"/>
        <item x="46"/>
        <item x="55"/>
        <item x="339"/>
        <item x="248"/>
        <item x="347"/>
        <item x="395"/>
        <item x="220"/>
        <item x="221"/>
        <item x="177"/>
        <item x="222"/>
        <item x="424"/>
        <item x="78"/>
        <item x="40"/>
        <item x="379"/>
        <item x="263"/>
        <item x="415"/>
        <item x="36"/>
        <item x="37"/>
        <item x="141"/>
        <item x="380"/>
        <item x="189"/>
        <item x="238"/>
        <item x="246"/>
        <item x="247"/>
        <item x="97"/>
        <item x="61"/>
        <item x="56"/>
        <item x="122"/>
        <item x="264"/>
        <item x="118"/>
        <item x="123"/>
        <item x="242"/>
        <item x="360"/>
        <item x="67"/>
        <item x="338"/>
        <item m="1" x="439"/>
        <item x="428"/>
        <item m="1" x="449"/>
        <item x="429"/>
        <item x="430"/>
        <item x="431"/>
        <item x="432"/>
        <item x="433"/>
        <item x="434"/>
        <item x="435"/>
        <item x="436"/>
        <item m="1" x="440"/>
        <item x="437"/>
        <item x="438"/>
        <item m="1" x="447"/>
        <item m="1" x="468"/>
        <item m="1" x="455"/>
        <item m="1" x="477"/>
        <item m="1" x="479"/>
        <item m="1" x="484"/>
        <item m="1" x="485"/>
        <item m="1" x="491"/>
        <item m="1" x="454"/>
        <item m="1" x="452"/>
        <item m="1" x="469"/>
        <item m="1" x="487"/>
        <item m="1" x="464"/>
        <item m="1" x="471"/>
        <item m="1" x="463"/>
        <item m="1" x="474"/>
        <item m="1" x="483"/>
        <item m="1" x="460"/>
        <item m="1" x="492"/>
        <item m="1" x="441"/>
        <item m="1" x="480"/>
        <item m="1" x="450"/>
        <item m="1" x="466"/>
        <item m="1" x="445"/>
        <item m="1" x="476"/>
        <item m="1" x="486"/>
        <item m="1" x="457"/>
        <item m="1" x="481"/>
        <item m="1" x="448"/>
        <item m="1" x="478"/>
        <item m="1" x="470"/>
        <item m="1" x="473"/>
        <item m="1" x="488"/>
        <item m="1" x="459"/>
        <item m="1" x="442"/>
        <item m="1" x="462"/>
        <item m="1" x="451"/>
        <item m="1" x="467"/>
        <item m="1" x="465"/>
        <item m="1" x="453"/>
        <item m="1" x="444"/>
        <item m="1" x="493"/>
        <item m="1" x="472"/>
        <item m="1" x="456"/>
        <item m="1" x="443"/>
        <item m="1" x="446"/>
        <item m="1" x="461"/>
        <item m="1" x="489"/>
        <item m="1" x="482"/>
        <item m="1" x="490"/>
        <item m="1" x="475"/>
        <item t="default"/>
      </items>
    </pivotField>
    <pivotField axis="axisCol" showAll="0">
      <items count="16">
        <item x="4"/>
        <item x="5"/>
        <item x="2"/>
        <item x="7"/>
        <item x="8"/>
        <item m="1" x="9"/>
        <item x="6"/>
        <item x="3"/>
        <item x="1"/>
        <item x="0"/>
        <item m="1" x="12"/>
        <item m="1" x="13"/>
        <item m="1" x="11"/>
        <item m="1" x="10"/>
        <item m="1" x="14"/>
        <item t="default"/>
      </items>
    </pivotField>
    <pivotField showAll="0"/>
    <pivotField showAll="0"/>
    <pivotField dataField="1" showAll="0"/>
  </pivotFields>
  <rowFields count="2">
    <field x="0"/>
    <field x="1"/>
  </rowFields>
  <rowItems count="471">
    <i>
      <x v="2"/>
    </i>
    <i r="1">
      <x v="11"/>
    </i>
    <i r="1">
      <x v="95"/>
    </i>
    <i r="1">
      <x v="97"/>
    </i>
    <i r="1">
      <x v="152"/>
    </i>
    <i r="1">
      <x v="235"/>
    </i>
    <i r="1">
      <x v="331"/>
    </i>
    <i r="1">
      <x v="348"/>
    </i>
    <i r="1">
      <x v="377"/>
    </i>
    <i r="1">
      <x v="407"/>
    </i>
    <i r="1">
      <x v="413"/>
    </i>
    <i>
      <x v="3"/>
    </i>
    <i r="1">
      <x v="10"/>
    </i>
    <i r="1">
      <x v="12"/>
    </i>
    <i r="1">
      <x v="32"/>
    </i>
    <i r="1">
      <x v="64"/>
    </i>
    <i r="1">
      <x v="92"/>
    </i>
    <i r="1">
      <x v="120"/>
    </i>
    <i r="1">
      <x v="133"/>
    </i>
    <i r="1">
      <x v="156"/>
    </i>
    <i r="1">
      <x v="160"/>
    </i>
    <i r="1">
      <x v="161"/>
    </i>
    <i r="1">
      <x v="181"/>
    </i>
    <i r="1">
      <x v="243"/>
    </i>
    <i r="1">
      <x v="258"/>
    </i>
    <i r="1">
      <x v="263"/>
    </i>
    <i r="1">
      <x v="289"/>
    </i>
    <i r="1">
      <x v="290"/>
    </i>
    <i r="1">
      <x v="294"/>
    </i>
    <i r="1">
      <x v="336"/>
    </i>
    <i r="1">
      <x v="349"/>
    </i>
    <i r="1">
      <x v="361"/>
    </i>
    <i r="1">
      <x v="368"/>
    </i>
    <i r="1">
      <x v="400"/>
    </i>
    <i r="1">
      <x v="401"/>
    </i>
    <i r="1">
      <x v="403"/>
    </i>
    <i r="1">
      <x v="435"/>
    </i>
    <i r="1">
      <x v="436"/>
    </i>
    <i>
      <x v="4"/>
    </i>
    <i r="1">
      <x v="28"/>
    </i>
    <i r="1">
      <x v="222"/>
    </i>
    <i r="1">
      <x v="274"/>
    </i>
    <i r="1">
      <x v="288"/>
    </i>
    <i r="1">
      <x v="337"/>
    </i>
    <i r="1">
      <x v="404"/>
    </i>
    <i r="1">
      <x v="442"/>
    </i>
    <i>
      <x v="5"/>
    </i>
    <i r="1">
      <x v="2"/>
    </i>
    <i r="1">
      <x v="50"/>
    </i>
    <i r="1">
      <x v="51"/>
    </i>
    <i r="1">
      <x v="63"/>
    </i>
    <i r="1">
      <x v="139"/>
    </i>
    <i r="1">
      <x v="171"/>
    </i>
    <i r="1">
      <x v="183"/>
    </i>
    <i r="1">
      <x v="251"/>
    </i>
    <i r="1">
      <x v="382"/>
    </i>
    <i r="1">
      <x v="389"/>
    </i>
    <i>
      <x v="6"/>
    </i>
    <i r="1">
      <x v="88"/>
    </i>
    <i r="1">
      <x v="117"/>
    </i>
    <i r="1">
      <x v="126"/>
    </i>
    <i r="1">
      <x v="174"/>
    </i>
    <i r="1">
      <x v="175"/>
    </i>
    <i r="1">
      <x v="186"/>
    </i>
    <i r="1">
      <x v="187"/>
    </i>
    <i r="1">
      <x v="278"/>
    </i>
    <i r="1">
      <x v="326"/>
    </i>
    <i r="1">
      <x v="353"/>
    </i>
    <i>
      <x v="7"/>
    </i>
    <i r="1">
      <x v="27"/>
    </i>
    <i r="1">
      <x v="83"/>
    </i>
    <i r="1">
      <x v="99"/>
    </i>
    <i r="1">
      <x v="101"/>
    </i>
    <i r="1">
      <x v="105"/>
    </i>
    <i r="1">
      <x v="118"/>
    </i>
    <i r="1">
      <x v="179"/>
    </i>
    <i r="1">
      <x v="196"/>
    </i>
    <i r="1">
      <x v="210"/>
    </i>
    <i r="1">
      <x v="261"/>
    </i>
    <i r="1">
      <x v="265"/>
    </i>
    <i r="1">
      <x v="299"/>
    </i>
    <i r="1">
      <x v="303"/>
    </i>
    <i r="1">
      <x v="304"/>
    </i>
    <i r="1">
      <x v="379"/>
    </i>
    <i r="1">
      <x v="426"/>
    </i>
    <i r="1">
      <x v="441"/>
    </i>
    <i>
      <x v="12"/>
    </i>
    <i r="1">
      <x/>
    </i>
    <i r="1">
      <x v="33"/>
    </i>
    <i r="1">
      <x v="40"/>
    </i>
    <i r="1">
      <x v="42"/>
    </i>
    <i r="1">
      <x v="43"/>
    </i>
    <i r="1">
      <x v="45"/>
    </i>
    <i r="1">
      <x v="48"/>
    </i>
    <i r="1">
      <x v="56"/>
    </i>
    <i r="1">
      <x v="60"/>
    </i>
    <i r="1">
      <x v="80"/>
    </i>
    <i r="1">
      <x v="84"/>
    </i>
    <i r="1">
      <x v="142"/>
    </i>
    <i r="1">
      <x v="151"/>
    </i>
    <i r="1">
      <x v="172"/>
    </i>
    <i r="1">
      <x v="173"/>
    </i>
    <i r="1">
      <x v="192"/>
    </i>
    <i r="1">
      <x v="193"/>
    </i>
    <i r="1">
      <x v="254"/>
    </i>
    <i r="1">
      <x v="266"/>
    </i>
    <i r="1">
      <x v="267"/>
    </i>
    <i r="1">
      <x v="335"/>
    </i>
    <i r="1">
      <x v="342"/>
    </i>
    <i r="1">
      <x v="357"/>
    </i>
    <i r="1">
      <x v="376"/>
    </i>
    <i r="1">
      <x v="421"/>
    </i>
    <i r="1">
      <x v="423"/>
    </i>
    <i r="1">
      <x v="424"/>
    </i>
    <i r="1">
      <x v="432"/>
    </i>
    <i r="1">
      <x v="433"/>
    </i>
    <i r="1">
      <x v="434"/>
    </i>
    <i>
      <x v="13"/>
    </i>
    <i r="1">
      <x v="4"/>
    </i>
    <i r="1">
      <x v="47"/>
    </i>
    <i r="1">
      <x v="146"/>
    </i>
    <i r="1">
      <x v="150"/>
    </i>
    <i r="1">
      <x v="217"/>
    </i>
    <i r="1">
      <x v="240"/>
    </i>
    <i r="1">
      <x v="273"/>
    </i>
    <i r="1">
      <x v="367"/>
    </i>
    <i>
      <x v="14"/>
    </i>
    <i r="1">
      <x v="8"/>
    </i>
    <i r="1">
      <x v="167"/>
    </i>
    <i r="1">
      <x v="233"/>
    </i>
    <i r="1">
      <x v="242"/>
    </i>
    <i r="1">
      <x v="256"/>
    </i>
    <i r="1">
      <x v="346"/>
    </i>
    <i r="1">
      <x v="387"/>
    </i>
    <i r="1">
      <x v="392"/>
    </i>
    <i>
      <x v="16"/>
    </i>
    <i r="1">
      <x v="1"/>
    </i>
    <i r="1">
      <x v="16"/>
    </i>
    <i r="1">
      <x v="22"/>
    </i>
    <i r="1">
      <x v="35"/>
    </i>
    <i r="1">
      <x v="87"/>
    </i>
    <i r="1">
      <x v="98"/>
    </i>
    <i r="1">
      <x v="127"/>
    </i>
    <i r="1">
      <x v="147"/>
    </i>
    <i r="1">
      <x v="149"/>
    </i>
    <i r="1">
      <x v="157"/>
    </i>
    <i r="1">
      <x v="165"/>
    </i>
    <i r="1">
      <x v="198"/>
    </i>
    <i r="1">
      <x v="216"/>
    </i>
    <i r="1">
      <x v="225"/>
    </i>
    <i r="1">
      <x v="237"/>
    </i>
    <i r="1">
      <x v="269"/>
    </i>
    <i r="1">
      <x v="285"/>
    </i>
    <i r="1">
      <x v="293"/>
    </i>
    <i r="1">
      <x v="298"/>
    </i>
    <i r="1">
      <x v="313"/>
    </i>
    <i r="1">
      <x v="314"/>
    </i>
    <i r="1">
      <x v="330"/>
    </i>
    <i r="1">
      <x v="344"/>
    </i>
    <i r="1">
      <x v="356"/>
    </i>
    <i r="1">
      <x v="358"/>
    </i>
    <i r="1">
      <x v="374"/>
    </i>
    <i r="1">
      <x v="383"/>
    </i>
    <i r="1">
      <x v="388"/>
    </i>
    <i r="1">
      <x v="412"/>
    </i>
    <i>
      <x v="17"/>
    </i>
    <i r="1">
      <x v="6"/>
    </i>
    <i r="1">
      <x v="36"/>
    </i>
    <i r="1">
      <x v="46"/>
    </i>
    <i r="1">
      <x v="91"/>
    </i>
    <i r="1">
      <x v="106"/>
    </i>
    <i r="1">
      <x v="306"/>
    </i>
    <i>
      <x v="18"/>
    </i>
    <i r="1">
      <x v="311"/>
    </i>
    <i>
      <x v="19"/>
    </i>
    <i r="1">
      <x v="59"/>
    </i>
    <i r="1">
      <x v="93"/>
    </i>
    <i r="1">
      <x v="182"/>
    </i>
    <i r="1">
      <x v="188"/>
    </i>
    <i r="1">
      <x v="236"/>
    </i>
    <i r="1">
      <x v="238"/>
    </i>
    <i r="1">
      <x v="245"/>
    </i>
    <i r="1">
      <x v="305"/>
    </i>
    <i r="1">
      <x v="316"/>
    </i>
    <i r="1">
      <x v="375"/>
    </i>
    <i>
      <x v="20"/>
    </i>
    <i r="1">
      <x v="15"/>
    </i>
    <i r="1">
      <x v="41"/>
    </i>
    <i r="1">
      <x v="57"/>
    </i>
    <i r="1">
      <x v="66"/>
    </i>
    <i r="1">
      <x v="73"/>
    </i>
    <i r="1">
      <x v="131"/>
    </i>
    <i r="1">
      <x v="189"/>
    </i>
    <i r="1">
      <x v="195"/>
    </i>
    <i r="1">
      <x v="202"/>
    </i>
    <i r="1">
      <x v="206"/>
    </i>
    <i r="1">
      <x v="209"/>
    </i>
    <i r="1">
      <x v="214"/>
    </i>
    <i r="1">
      <x v="250"/>
    </i>
    <i r="1">
      <x v="262"/>
    </i>
    <i r="1">
      <x v="280"/>
    </i>
    <i r="1">
      <x v="283"/>
    </i>
    <i r="1">
      <x v="296"/>
    </i>
    <i r="1">
      <x v="310"/>
    </i>
    <i r="1">
      <x v="319"/>
    </i>
    <i r="1">
      <x v="329"/>
    </i>
    <i r="1">
      <x v="332"/>
    </i>
    <i r="1">
      <x v="384"/>
    </i>
    <i r="1">
      <x v="402"/>
    </i>
    <i>
      <x v="21"/>
    </i>
    <i r="1">
      <x v="26"/>
    </i>
    <i r="1">
      <x v="100"/>
    </i>
    <i r="1">
      <x v="121"/>
    </i>
    <i r="1">
      <x v="128"/>
    </i>
    <i r="1">
      <x v="166"/>
    </i>
    <i r="1">
      <x v="203"/>
    </i>
    <i r="1">
      <x v="231"/>
    </i>
    <i r="1">
      <x v="244"/>
    </i>
    <i r="1">
      <x v="271"/>
    </i>
    <i r="1">
      <x v="308"/>
    </i>
    <i r="1">
      <x v="320"/>
    </i>
    <i r="1">
      <x v="327"/>
    </i>
    <i r="1">
      <x v="355"/>
    </i>
    <i r="1">
      <x v="418"/>
    </i>
    <i>
      <x v="23"/>
    </i>
    <i r="1">
      <x v="18"/>
    </i>
    <i r="1">
      <x v="34"/>
    </i>
    <i r="1">
      <x v="78"/>
    </i>
    <i r="1">
      <x v="112"/>
    </i>
    <i r="1">
      <x v="194"/>
    </i>
    <i r="1">
      <x v="279"/>
    </i>
    <i r="1">
      <x v="318"/>
    </i>
    <i r="1">
      <x v="322"/>
    </i>
    <i r="1">
      <x v="340"/>
    </i>
    <i r="1">
      <x v="345"/>
    </i>
    <i r="1">
      <x v="351"/>
    </i>
    <i r="1">
      <x v="354"/>
    </i>
    <i r="1">
      <x v="372"/>
    </i>
    <i r="1">
      <x v="399"/>
    </i>
    <i>
      <x v="24"/>
    </i>
    <i r="1">
      <x v="20"/>
    </i>
    <i r="1">
      <x v="21"/>
    </i>
    <i r="1">
      <x v="39"/>
    </i>
    <i r="1">
      <x v="76"/>
    </i>
    <i r="1">
      <x v="107"/>
    </i>
    <i r="1">
      <x v="199"/>
    </i>
    <i r="1">
      <x v="201"/>
    </i>
    <i r="1">
      <x v="205"/>
    </i>
    <i r="1">
      <x v="207"/>
    </i>
    <i r="1">
      <x v="248"/>
    </i>
    <i r="1">
      <x v="260"/>
    </i>
    <i r="1">
      <x v="272"/>
    </i>
    <i r="1">
      <x v="297"/>
    </i>
    <i r="1">
      <x v="359"/>
    </i>
    <i r="1">
      <x v="363"/>
    </i>
    <i r="1">
      <x v="364"/>
    </i>
    <i>
      <x v="25"/>
    </i>
    <i r="1">
      <x v="19"/>
    </i>
    <i r="1">
      <x v="37"/>
    </i>
    <i r="1">
      <x v="67"/>
    </i>
    <i r="1">
      <x v="102"/>
    </i>
    <i r="1">
      <x v="148"/>
    </i>
    <i r="1">
      <x v="176"/>
    </i>
    <i r="1">
      <x v="184"/>
    </i>
    <i r="1">
      <x v="185"/>
    </i>
    <i r="1">
      <x v="208"/>
    </i>
    <i r="1">
      <x v="239"/>
    </i>
    <i r="1">
      <x v="339"/>
    </i>
    <i r="1">
      <x v="437"/>
    </i>
    <i r="1">
      <x v="438"/>
    </i>
    <i>
      <x v="26"/>
    </i>
    <i r="1">
      <x v="38"/>
    </i>
    <i r="1">
      <x v="52"/>
    </i>
    <i r="1">
      <x v="53"/>
    </i>
    <i r="1">
      <x v="85"/>
    </i>
    <i r="1">
      <x v="116"/>
    </i>
    <i r="1">
      <x v="129"/>
    </i>
    <i r="1">
      <x v="136"/>
    </i>
    <i r="1">
      <x v="191"/>
    </i>
    <i r="1">
      <x v="220"/>
    </i>
    <i r="1">
      <x v="246"/>
    </i>
    <i r="1">
      <x v="247"/>
    </i>
    <i r="1">
      <x v="253"/>
    </i>
    <i r="1">
      <x v="276"/>
    </i>
    <i r="1">
      <x v="291"/>
    </i>
    <i r="1">
      <x v="301"/>
    </i>
    <i r="1">
      <x v="338"/>
    </i>
    <i r="1">
      <x v="350"/>
    </i>
    <i r="1">
      <x v="370"/>
    </i>
    <i r="1">
      <x v="394"/>
    </i>
    <i r="1">
      <x v="406"/>
    </i>
    <i r="1">
      <x v="410"/>
    </i>
    <i r="1">
      <x v="411"/>
    </i>
    <i r="1">
      <x v="430"/>
    </i>
    <i>
      <x v="27"/>
    </i>
    <i r="1">
      <x v="9"/>
    </i>
    <i r="1">
      <x v="29"/>
    </i>
    <i r="1">
      <x v="114"/>
    </i>
    <i r="1">
      <x v="155"/>
    </i>
    <i r="1">
      <x v="158"/>
    </i>
    <i r="1">
      <x v="178"/>
    </i>
    <i r="1">
      <x v="215"/>
    </i>
    <i r="1">
      <x v="223"/>
    </i>
    <i r="1">
      <x v="255"/>
    </i>
    <i r="1">
      <x v="286"/>
    </i>
    <i r="1">
      <x v="324"/>
    </i>
    <i r="1">
      <x v="369"/>
    </i>
    <i>
      <x v="28"/>
    </i>
    <i r="1">
      <x v="5"/>
    </i>
    <i r="1">
      <x v="70"/>
    </i>
    <i r="1">
      <x v="71"/>
    </i>
    <i r="1">
      <x v="77"/>
    </i>
    <i r="1">
      <x v="79"/>
    </i>
    <i r="1">
      <x v="123"/>
    </i>
    <i r="1">
      <x v="141"/>
    </i>
    <i r="1">
      <x v="154"/>
    </i>
    <i r="1">
      <x v="204"/>
    </i>
    <i r="1">
      <x v="252"/>
    </i>
    <i r="1">
      <x v="307"/>
    </i>
    <i r="1">
      <x v="341"/>
    </i>
    <i r="1">
      <x v="398"/>
    </i>
    <i>
      <x v="29"/>
    </i>
    <i r="1">
      <x v="23"/>
    </i>
    <i r="1">
      <x v="82"/>
    </i>
    <i r="1">
      <x v="119"/>
    </i>
    <i r="1">
      <x v="197"/>
    </i>
    <i r="1">
      <x v="284"/>
    </i>
    <i r="1">
      <x v="317"/>
    </i>
    <i r="1">
      <x v="380"/>
    </i>
    <i r="1">
      <x v="408"/>
    </i>
    <i r="1">
      <x v="422"/>
    </i>
    <i>
      <x v="30"/>
    </i>
    <i r="1">
      <x v="3"/>
    </i>
    <i r="1">
      <x v="13"/>
    </i>
    <i r="1">
      <x v="30"/>
    </i>
    <i r="1">
      <x v="58"/>
    </i>
    <i r="1">
      <x v="113"/>
    </i>
    <i r="1">
      <x v="143"/>
    </i>
    <i r="1">
      <x v="391"/>
    </i>
    <i r="1">
      <x v="396"/>
    </i>
    <i r="1">
      <x v="428"/>
    </i>
    <i r="1">
      <x v="439"/>
    </i>
    <i>
      <x v="33"/>
    </i>
    <i r="1">
      <x v="7"/>
    </i>
    <i r="1">
      <x v="25"/>
    </i>
    <i r="1">
      <x v="44"/>
    </i>
    <i r="1">
      <x v="69"/>
    </i>
    <i r="1">
      <x v="75"/>
    </i>
    <i r="1">
      <x v="109"/>
    </i>
    <i r="1">
      <x v="125"/>
    </i>
    <i r="1">
      <x v="134"/>
    </i>
    <i r="1">
      <x v="145"/>
    </i>
    <i r="1">
      <x v="226"/>
    </i>
    <i r="1">
      <x v="259"/>
    </i>
    <i r="1">
      <x v="277"/>
    </i>
    <i r="1">
      <x v="323"/>
    </i>
    <i r="1">
      <x v="371"/>
    </i>
    <i r="1">
      <x v="373"/>
    </i>
    <i r="1">
      <x v="381"/>
    </i>
    <i r="1">
      <x v="395"/>
    </i>
    <i r="1">
      <x v="419"/>
    </i>
    <i r="1">
      <x v="420"/>
    </i>
    <i r="1">
      <x v="427"/>
    </i>
    <i>
      <x v="34"/>
    </i>
    <i r="1">
      <x v="17"/>
    </i>
    <i r="1">
      <x v="31"/>
    </i>
    <i r="1">
      <x v="89"/>
    </i>
    <i r="1">
      <x v="103"/>
    </i>
    <i r="1">
      <x v="104"/>
    </i>
    <i r="1">
      <x v="115"/>
    </i>
    <i r="1">
      <x v="135"/>
    </i>
    <i r="1">
      <x v="137"/>
    </i>
    <i r="1">
      <x v="164"/>
    </i>
    <i r="1">
      <x v="234"/>
    </i>
    <i r="1">
      <x v="241"/>
    </i>
    <i r="1">
      <x v="257"/>
    </i>
    <i r="1">
      <x v="268"/>
    </i>
    <i r="1">
      <x v="365"/>
    </i>
    <i r="1">
      <x v="386"/>
    </i>
    <i r="1">
      <x v="393"/>
    </i>
    <i r="1">
      <x v="405"/>
    </i>
    <i>
      <x v="35"/>
    </i>
    <i r="1">
      <x v="14"/>
    </i>
    <i r="1">
      <x v="68"/>
    </i>
    <i r="1">
      <x v="74"/>
    </i>
    <i r="1">
      <x v="221"/>
    </i>
    <i r="1">
      <x v="264"/>
    </i>
    <i r="1">
      <x v="281"/>
    </i>
    <i r="1">
      <x v="333"/>
    </i>
    <i r="1">
      <x v="334"/>
    </i>
    <i r="1">
      <x v="360"/>
    </i>
    <i>
      <x v="36"/>
    </i>
    <i r="1">
      <x v="72"/>
    </i>
    <i r="1">
      <x v="94"/>
    </i>
    <i r="1">
      <x v="162"/>
    </i>
    <i r="1">
      <x v="170"/>
    </i>
    <i r="1">
      <x v="219"/>
    </i>
    <i r="1">
      <x v="228"/>
    </i>
    <i r="1">
      <x v="230"/>
    </i>
    <i r="1">
      <x v="275"/>
    </i>
    <i r="1">
      <x v="287"/>
    </i>
    <i r="1">
      <x v="302"/>
    </i>
    <i r="1">
      <x v="409"/>
    </i>
    <i>
      <x v="37"/>
    </i>
    <i r="1">
      <x v="54"/>
    </i>
    <i r="1">
      <x v="61"/>
    </i>
    <i r="1">
      <x v="65"/>
    </i>
    <i r="1">
      <x v="96"/>
    </i>
    <i r="1">
      <x v="108"/>
    </i>
    <i r="1">
      <x v="110"/>
    </i>
    <i r="1">
      <x v="111"/>
    </i>
    <i r="1">
      <x v="124"/>
    </i>
    <i r="1">
      <x v="130"/>
    </i>
    <i r="1">
      <x v="140"/>
    </i>
    <i r="1">
      <x v="153"/>
    </i>
    <i r="1">
      <x v="159"/>
    </i>
    <i r="1">
      <x v="163"/>
    </i>
    <i r="1">
      <x v="168"/>
    </i>
    <i r="1">
      <x v="169"/>
    </i>
    <i r="1">
      <x v="200"/>
    </i>
    <i r="1">
      <x v="213"/>
    </i>
    <i r="1">
      <x v="224"/>
    </i>
    <i r="1">
      <x v="232"/>
    </i>
    <i r="1">
      <x v="292"/>
    </i>
    <i r="1">
      <x v="300"/>
    </i>
    <i r="1">
      <x v="312"/>
    </i>
    <i r="1">
      <x v="315"/>
    </i>
    <i r="1">
      <x v="321"/>
    </i>
    <i r="1">
      <x v="352"/>
    </i>
    <i r="1">
      <x v="378"/>
    </i>
    <i r="1">
      <x v="385"/>
    </i>
    <i r="1">
      <x v="414"/>
    </i>
    <i>
      <x v="38"/>
    </i>
    <i r="1">
      <x v="24"/>
    </i>
    <i r="1">
      <x v="62"/>
    </i>
    <i r="1">
      <x v="122"/>
    </i>
    <i r="1">
      <x v="190"/>
    </i>
    <i r="1">
      <x v="270"/>
    </i>
    <i r="1">
      <x v="282"/>
    </i>
    <i r="1">
      <x v="347"/>
    </i>
    <i r="1">
      <x v="366"/>
    </i>
    <i>
      <x v="39"/>
    </i>
    <i r="1">
      <x v="49"/>
    </i>
    <i r="1">
      <x v="132"/>
    </i>
    <i r="1">
      <x v="144"/>
    </i>
    <i r="1">
      <x v="177"/>
    </i>
    <i r="1">
      <x v="211"/>
    </i>
    <i r="1">
      <x v="212"/>
    </i>
    <i r="1">
      <x v="218"/>
    </i>
    <i r="1">
      <x v="227"/>
    </i>
    <i r="1">
      <x v="229"/>
    </i>
    <i r="1">
      <x v="249"/>
    </i>
    <i r="1">
      <x v="295"/>
    </i>
    <i r="1">
      <x v="309"/>
    </i>
    <i r="1">
      <x v="325"/>
    </i>
    <i r="1">
      <x v="390"/>
    </i>
    <i r="1">
      <x v="397"/>
    </i>
    <i r="1">
      <x v="415"/>
    </i>
    <i r="1">
      <x v="416"/>
    </i>
    <i r="1">
      <x v="417"/>
    </i>
    <i r="1">
      <x v="425"/>
    </i>
    <i>
      <x v="40"/>
    </i>
    <i r="1">
      <x v="55"/>
    </i>
    <i r="1">
      <x v="86"/>
    </i>
    <i r="1">
      <x v="90"/>
    </i>
    <i r="1">
      <x v="138"/>
    </i>
    <i r="1">
      <x v="180"/>
    </i>
    <i r="1">
      <x v="328"/>
    </i>
    <i r="1">
      <x v="343"/>
    </i>
    <i r="1">
      <x v="362"/>
    </i>
    <i t="grand">
      <x/>
    </i>
  </rowItems>
  <colFields count="1">
    <field x="2"/>
  </colFields>
  <colItems count="10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 t="grand">
      <x/>
    </i>
  </colItems>
  <dataFields count="1">
    <dataField name="Sum of VaccineNee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36" firstHeaderRow="1" firstDataRow="2" firstDataCol="1"/>
  <pivotFields count="6">
    <pivotField axis="axisRow" showAll="0">
      <items count="42">
        <item m="1" x="32"/>
        <item m="1" x="39"/>
        <item x="24"/>
        <item x="10"/>
        <item x="30"/>
        <item x="16"/>
        <item x="18"/>
        <item x="23"/>
        <item m="1" x="35"/>
        <item m="1" x="36"/>
        <item m="1" x="34"/>
        <item m="1" x="38"/>
        <item x="6"/>
        <item x="19"/>
        <item x="20"/>
        <item m="1" x="33"/>
        <item x="7"/>
        <item x="26"/>
        <item x="25"/>
        <item x="12"/>
        <item x="8"/>
        <item x="5"/>
        <item m="1" x="40"/>
        <item x="27"/>
        <item x="1"/>
        <item x="15"/>
        <item x="2"/>
        <item x="0"/>
        <item x="22"/>
        <item x="13"/>
        <item x="21"/>
        <item m="1" x="31"/>
        <item m="1" x="37"/>
        <item x="3"/>
        <item x="4"/>
        <item x="14"/>
        <item x="29"/>
        <item x="9"/>
        <item x="28"/>
        <item x="11"/>
        <item x="17"/>
        <item t="default"/>
      </items>
    </pivotField>
    <pivotField showAll="0"/>
    <pivotField axis="axisCol" showAll="0">
      <items count="16">
        <item x="4"/>
        <item x="5"/>
        <item x="2"/>
        <item x="7"/>
        <item x="8"/>
        <item m="1" x="9"/>
        <item x="6"/>
        <item x="3"/>
        <item x="1"/>
        <item x="0"/>
        <item m="1" x="12"/>
        <item m="1" x="13"/>
        <item m="1" x="11"/>
        <item m="1" x="10"/>
        <item m="1" x="14"/>
        <item t="default"/>
      </items>
    </pivotField>
    <pivotField showAll="0"/>
    <pivotField showAll="0"/>
    <pivotField dataField="1" showAll="0"/>
  </pivotFields>
  <rowFields count="1">
    <field x="0"/>
  </rowFields>
  <rowItems count="32">
    <i>
      <x v="2"/>
    </i>
    <i>
      <x v="3"/>
    </i>
    <i>
      <x v="4"/>
    </i>
    <i>
      <x v="5"/>
    </i>
    <i>
      <x v="6"/>
    </i>
    <i>
      <x v="7"/>
    </i>
    <i>
      <x v="12"/>
    </i>
    <i>
      <x v="13"/>
    </i>
    <i>
      <x v="14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2"/>
  </colFields>
  <colItems count="10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 t="grand">
      <x/>
    </i>
  </colItems>
  <dataFields count="1">
    <dataField name="Sum of VaccineNeed" fld="5" showDataAs="percentOfCol" baseField="0" baseItem="3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districtPivot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22" firstHeaderRow="1" firstDataRow="2" firstDataCol="1"/>
  <pivotFields count="6">
    <pivotField axis="axisRow" showAll="0">
      <items count="42">
        <item h="1" m="1" x="32"/>
        <item h="1" m="1" x="39"/>
        <item h="1" x="24"/>
        <item h="1" x="10"/>
        <item h="1" x="30"/>
        <item h="1" x="16"/>
        <item h="1" x="18"/>
        <item h="1" x="23"/>
        <item h="1" m="1" x="35"/>
        <item h="1" m="1" x="36"/>
        <item h="1" m="1" x="34"/>
        <item h="1" m="1" x="38"/>
        <item h="1" x="6"/>
        <item h="1" x="19"/>
        <item h="1" x="20"/>
        <item h="1" m="1" x="33"/>
        <item h="1" x="7"/>
        <item h="1" x="26"/>
        <item h="1" x="25"/>
        <item h="1" x="12"/>
        <item h="1" x="8"/>
        <item h="1" x="5"/>
        <item h="1" m="1" x="40"/>
        <item h="1" x="27"/>
        <item x="1"/>
        <item h="1" x="15"/>
        <item h="1" x="2"/>
        <item h="1" x="0"/>
        <item h="1" x="22"/>
        <item h="1" x="13"/>
        <item h="1" x="21"/>
        <item h="1" m="1" x="31"/>
        <item h="1" m="1" x="37"/>
        <item h="1" x="3"/>
        <item h="1" x="4"/>
        <item h="1" x="14"/>
        <item h="1" x="29"/>
        <item h="1" x="9"/>
        <item h="1" x="28"/>
        <item h="1" x="11"/>
        <item h="1" x="17"/>
        <item t="default"/>
      </items>
    </pivotField>
    <pivotField axis="axisRow" showAll="0">
      <items count="495">
        <item x="101"/>
        <item x="128"/>
        <item x="295"/>
        <item x="340"/>
        <item x="318"/>
        <item x="343"/>
        <item x="386"/>
        <item x="64"/>
        <item x="331"/>
        <item x="0"/>
        <item x="225"/>
        <item x="372"/>
        <item x="208"/>
        <item x="334"/>
        <item x="274"/>
        <item x="179"/>
        <item x="144"/>
        <item x="70"/>
        <item x="398"/>
        <item x="285"/>
        <item x="12"/>
        <item x="13"/>
        <item x="129"/>
        <item x="266"/>
        <item x="403"/>
        <item x="65"/>
        <item x="87"/>
        <item x="362"/>
        <item x="426"/>
        <item x="1"/>
        <item x="341"/>
        <item x="82"/>
        <item x="209"/>
        <item x="126"/>
        <item x="396"/>
        <item x="130"/>
        <item x="387"/>
        <item x="279"/>
        <item x="28"/>
        <item x="24"/>
        <item x="116"/>
        <item x="176"/>
        <item x="121"/>
        <item x="102"/>
        <item x="50"/>
        <item x="103"/>
        <item x="388"/>
        <item x="321"/>
        <item x="104"/>
        <item x="232"/>
        <item x="290"/>
        <item x="296"/>
        <item x="29"/>
        <item x="38"/>
        <item x="205"/>
        <item x="306"/>
        <item x="115"/>
        <item x="157"/>
        <item x="335"/>
        <item x="251"/>
        <item x="124"/>
        <item x="199"/>
        <item x="404"/>
        <item x="299"/>
        <item x="229"/>
        <item x="194"/>
        <item x="166"/>
        <item x="280"/>
        <item x="270"/>
        <item x="58"/>
        <item x="351"/>
        <item x="355"/>
        <item x="418"/>
        <item x="158"/>
        <item x="278"/>
        <item x="57"/>
        <item x="14"/>
        <item x="344"/>
        <item x="389"/>
        <item x="345"/>
        <item x="105"/>
        <item m="1" x="458"/>
        <item x="267"/>
        <item x="369"/>
        <item x="106"/>
        <item x="30"/>
        <item x="304"/>
        <item x="143"/>
        <item x="308"/>
        <item x="79"/>
        <item x="300"/>
        <item x="383"/>
        <item x="231"/>
        <item x="252"/>
        <item x="411"/>
        <item x="373"/>
        <item x="200"/>
        <item x="377"/>
        <item x="150"/>
        <item x="364"/>
        <item x="89"/>
        <item x="370"/>
        <item x="286"/>
        <item x="84"/>
        <item x="71"/>
        <item x="368"/>
        <item x="384"/>
        <item x="15"/>
        <item x="180"/>
        <item x="51"/>
        <item x="182"/>
        <item x="181"/>
        <item x="390"/>
        <item x="336"/>
        <item x="2"/>
        <item x="81"/>
        <item x="31"/>
        <item x="309"/>
        <item x="356"/>
        <item x="261"/>
        <item x="226"/>
        <item x="98"/>
        <item x="405"/>
        <item x="348"/>
        <item x="202"/>
        <item x="62"/>
        <item x="316"/>
        <item x="131"/>
        <item x="95"/>
        <item x="42"/>
        <item x="204"/>
        <item x="159"/>
        <item x="233"/>
        <item x="227"/>
        <item x="66"/>
        <item x="83"/>
        <item x="41"/>
        <item x="85"/>
        <item x="305"/>
        <item x="293"/>
        <item x="190"/>
        <item x="350"/>
        <item x="125"/>
        <item x="342"/>
        <item x="234"/>
        <item x="69"/>
        <item x="319"/>
        <item x="156"/>
        <item x="281"/>
        <item x="145"/>
        <item x="322"/>
        <item x="107"/>
        <item x="374"/>
        <item x="197"/>
        <item x="352"/>
        <item x="3"/>
        <item x="210"/>
        <item x="151"/>
        <item x="10"/>
        <item x="191"/>
        <item x="211"/>
        <item x="230"/>
        <item x="420"/>
        <item x="206"/>
        <item x="72"/>
        <item x="132"/>
        <item x="99"/>
        <item x="326"/>
        <item x="207"/>
        <item x="183"/>
        <item x="412"/>
        <item x="291"/>
        <item x="108"/>
        <item x="109"/>
        <item x="310"/>
        <item x="311"/>
        <item x="282"/>
        <item x="243"/>
        <item x="4"/>
        <item x="357"/>
        <item x="303"/>
        <item x="228"/>
        <item x="260"/>
        <item x="292"/>
        <item x="288"/>
        <item x="283"/>
        <item x="312"/>
        <item x="315"/>
        <item x="257"/>
        <item x="174"/>
        <item x="410"/>
        <item x="32"/>
        <item x="119"/>
        <item x="110"/>
        <item x="399"/>
        <item x="167"/>
        <item x="363"/>
        <item x="268"/>
        <item x="153"/>
        <item x="16"/>
        <item x="195"/>
        <item x="25"/>
        <item x="160"/>
        <item x="100"/>
        <item x="349"/>
        <item x="17"/>
        <item x="171"/>
        <item x="18"/>
        <item x="289"/>
        <item x="173"/>
        <item x="358"/>
        <item x="235"/>
        <item x="236"/>
        <item x="203"/>
        <item x="161"/>
        <item x="8"/>
        <item x="146"/>
        <item x="320"/>
        <item x="241"/>
        <item x="419"/>
        <item x="33"/>
        <item x="277"/>
        <item x="423"/>
        <item x="5"/>
        <item x="184"/>
        <item x="133"/>
        <item x="52"/>
        <item x="237"/>
        <item x="416"/>
        <item x="239"/>
        <item x="413"/>
        <item x="90"/>
        <item x="192"/>
        <item x="333"/>
        <item x="73"/>
        <item x="381"/>
        <item x="259"/>
        <item x="152"/>
        <item x="253"/>
        <item x="287"/>
        <item x="325"/>
        <item x="74"/>
        <item x="327"/>
        <item x="212"/>
        <item x="91"/>
        <item x="254"/>
        <item x="34"/>
        <item x="48"/>
        <item x="26"/>
        <item x="245"/>
        <item x="162"/>
        <item x="298"/>
        <item x="354"/>
        <item x="47"/>
        <item x="111"/>
        <item x="6"/>
        <item x="328"/>
        <item x="80"/>
        <item x="223"/>
        <item x="59"/>
        <item x="23"/>
        <item x="359"/>
        <item x="163"/>
        <item x="216"/>
        <item x="271"/>
        <item x="361"/>
        <item x="114"/>
        <item x="112"/>
        <item x="86"/>
        <item x="134"/>
        <item x="406"/>
        <item x="96"/>
        <item x="19"/>
        <item x="323"/>
        <item x="425"/>
        <item x="421"/>
        <item x="45"/>
        <item x="68"/>
        <item x="317"/>
        <item x="391"/>
        <item x="168"/>
        <item x="272"/>
        <item x="407"/>
        <item x="178"/>
        <item x="269"/>
        <item x="149"/>
        <item x="11"/>
        <item x="417"/>
        <item x="427"/>
        <item x="213"/>
        <item x="214"/>
        <item x="44"/>
        <item x="193"/>
        <item x="135"/>
        <item x="215"/>
        <item x="250"/>
        <item x="175"/>
        <item x="20"/>
        <item x="136"/>
        <item x="365"/>
        <item x="201"/>
        <item x="35"/>
        <item x="414"/>
        <item x="366"/>
        <item x="371"/>
        <item x="255"/>
        <item x="385"/>
        <item x="346"/>
        <item x="92"/>
        <item x="249"/>
        <item x="172"/>
        <item x="382"/>
        <item x="185"/>
        <item x="147"/>
        <item x="137"/>
        <item x="186"/>
        <item x="258"/>
        <item x="265"/>
        <item x="392"/>
        <item x="164"/>
        <item x="88"/>
        <item x="196"/>
        <item x="397"/>
        <item x="60"/>
        <item x="9"/>
        <item x="240"/>
        <item x="313"/>
        <item x="93"/>
        <item x="301"/>
        <item x="165"/>
        <item x="155"/>
        <item x="378"/>
        <item x="170"/>
        <item x="275"/>
        <item x="276"/>
        <item x="127"/>
        <item x="217"/>
        <item x="422"/>
        <item x="49"/>
        <item x="284"/>
        <item x="402"/>
        <item x="353"/>
        <item x="120"/>
        <item x="302"/>
        <item x="154"/>
        <item x="393"/>
        <item x="329"/>
        <item x="409"/>
        <item x="376"/>
        <item x="218"/>
        <item x="43"/>
        <item x="401"/>
        <item x="187"/>
        <item x="314"/>
        <item x="394"/>
        <item x="94"/>
        <item x="138"/>
        <item x="117"/>
        <item x="142"/>
        <item x="22"/>
        <item x="273"/>
        <item x="219"/>
        <item x="307"/>
        <item x="21"/>
        <item x="27"/>
        <item x="75"/>
        <item x="408"/>
        <item x="324"/>
        <item x="224"/>
        <item x="7"/>
        <item x="39"/>
        <item x="53"/>
        <item x="400"/>
        <item x="54"/>
        <item x="139"/>
        <item x="256"/>
        <item x="113"/>
        <item x="375"/>
        <item x="188"/>
        <item x="367"/>
        <item x="262"/>
        <item x="63"/>
        <item x="297"/>
        <item x="140"/>
        <item x="169"/>
        <item x="198"/>
        <item x="76"/>
        <item x="330"/>
        <item x="148"/>
        <item x="294"/>
        <item x="244"/>
        <item x="337"/>
        <item x="332"/>
        <item x="77"/>
        <item x="46"/>
        <item x="55"/>
        <item x="339"/>
        <item x="248"/>
        <item x="347"/>
        <item x="395"/>
        <item x="220"/>
        <item x="221"/>
        <item x="177"/>
        <item x="222"/>
        <item x="424"/>
        <item x="78"/>
        <item x="40"/>
        <item x="379"/>
        <item x="263"/>
        <item x="415"/>
        <item x="36"/>
        <item x="37"/>
        <item x="141"/>
        <item x="380"/>
        <item x="189"/>
        <item x="238"/>
        <item x="246"/>
        <item x="247"/>
        <item x="97"/>
        <item x="61"/>
        <item x="56"/>
        <item x="122"/>
        <item x="264"/>
        <item x="118"/>
        <item x="123"/>
        <item x="242"/>
        <item x="360"/>
        <item x="67"/>
        <item x="338"/>
        <item m="1" x="439"/>
        <item x="428"/>
        <item m="1" x="449"/>
        <item x="429"/>
        <item x="430"/>
        <item x="431"/>
        <item x="432"/>
        <item x="433"/>
        <item x="434"/>
        <item x="435"/>
        <item x="436"/>
        <item m="1" x="440"/>
        <item x="437"/>
        <item x="438"/>
        <item m="1" x="447"/>
        <item m="1" x="468"/>
        <item m="1" x="455"/>
        <item m="1" x="477"/>
        <item m="1" x="479"/>
        <item m="1" x="484"/>
        <item m="1" x="485"/>
        <item m="1" x="491"/>
        <item m="1" x="454"/>
        <item m="1" x="452"/>
        <item m="1" x="469"/>
        <item m="1" x="487"/>
        <item m="1" x="464"/>
        <item m="1" x="471"/>
        <item m="1" x="463"/>
        <item m="1" x="474"/>
        <item m="1" x="483"/>
        <item m="1" x="460"/>
        <item m="1" x="492"/>
        <item m="1" x="441"/>
        <item m="1" x="480"/>
        <item m="1" x="450"/>
        <item m="1" x="466"/>
        <item m="1" x="445"/>
        <item m="1" x="476"/>
        <item m="1" x="486"/>
        <item m="1" x="457"/>
        <item m="1" x="481"/>
        <item m="1" x="448"/>
        <item m="1" x="478"/>
        <item m="1" x="470"/>
        <item m="1" x="473"/>
        <item m="1" x="488"/>
        <item m="1" x="459"/>
        <item m="1" x="442"/>
        <item m="1" x="462"/>
        <item m="1" x="451"/>
        <item m="1" x="467"/>
        <item m="1" x="465"/>
        <item m="1" x="453"/>
        <item m="1" x="444"/>
        <item m="1" x="493"/>
        <item m="1" x="472"/>
        <item m="1" x="456"/>
        <item m="1" x="443"/>
        <item m="1" x="446"/>
        <item m="1" x="461"/>
        <item m="1" x="489"/>
        <item m="1" x="482"/>
        <item m="1" x="490"/>
        <item m="1" x="475"/>
        <item t="default"/>
      </items>
    </pivotField>
    <pivotField axis="axisCol" showAll="0">
      <items count="16">
        <item x="4"/>
        <item x="5"/>
        <item x="2"/>
        <item x="7"/>
        <item x="8"/>
        <item m="1" x="9"/>
        <item x="6"/>
        <item x="3"/>
        <item x="1"/>
        <item x="0"/>
        <item m="1" x="12"/>
        <item m="1" x="13"/>
        <item m="1" x="11"/>
        <item m="1" x="10"/>
        <item m="1" x="14"/>
        <item t="default"/>
      </items>
    </pivotField>
    <pivotField showAll="0"/>
    <pivotField showAll="0"/>
    <pivotField dataField="1" showAll="0"/>
  </pivotFields>
  <rowFields count="2">
    <field x="0"/>
    <field x="1"/>
  </rowFields>
  <rowItems count="18">
    <i>
      <x v="24"/>
    </i>
    <i r="1">
      <x v="20"/>
    </i>
    <i r="1">
      <x v="21"/>
    </i>
    <i r="1">
      <x v="39"/>
    </i>
    <i r="1">
      <x v="76"/>
    </i>
    <i r="1">
      <x v="107"/>
    </i>
    <i r="1">
      <x v="199"/>
    </i>
    <i r="1">
      <x v="201"/>
    </i>
    <i r="1">
      <x v="205"/>
    </i>
    <i r="1">
      <x v="207"/>
    </i>
    <i r="1">
      <x v="248"/>
    </i>
    <i r="1">
      <x v="260"/>
    </i>
    <i r="1">
      <x v="272"/>
    </i>
    <i r="1">
      <x v="297"/>
    </i>
    <i r="1">
      <x v="359"/>
    </i>
    <i r="1">
      <x v="363"/>
    </i>
    <i r="1">
      <x v="364"/>
    </i>
    <i t="grand">
      <x/>
    </i>
  </rowItems>
  <colFields count="1">
    <field x="2"/>
  </colFields>
  <colItems count="10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 t="grand">
      <x/>
    </i>
  </colItems>
  <dataFields count="1">
    <dataField name="Sum of VaccineNeed" fld="5" baseField="0" baseItem="134" numFmtId="10">
      <extLst>
        <ext xmlns:x14="http://schemas.microsoft.com/office/spreadsheetml/2009/9/main" uri="{E15A36E0-9728-4e99-A89B-3F7291B0FE68}">
          <x14:dataField pivotShowAs="percentOfParent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acNeed" displayName="vacNeed" ref="A1:F3853" totalsRowShown="0">
  <autoFilter ref="A1:F3853" xr:uid="{D98BC45F-3E04-41D3-88BD-B7D60134BD91}"/>
  <sortState xmlns:xlrd2="http://schemas.microsoft.com/office/spreadsheetml/2017/richdata2" ref="A2:F3844">
    <sortCondition ref="A2:A3844"/>
    <sortCondition ref="B2:B3844"/>
  </sortState>
  <tableColumns count="6">
    <tableColumn id="1" xr3:uid="{00000000-0010-0000-0000-000001000000}" name="Province"/>
    <tableColumn id="2" xr3:uid="{00000000-0010-0000-0000-000002000000}" name="District"/>
    <tableColumn id="3" xr3:uid="{00000000-0010-0000-0000-000003000000}" name="Class"/>
    <tableColumn id="4" xr3:uid="{00000000-0010-0000-0000-000004000000}" name="percent" dataDxfId="1"/>
    <tableColumn id="5" xr3:uid="{00000000-0010-0000-0000-000005000000}" name="Population" dataDxfId="0"/>
    <tableColumn id="6" xr3:uid="{00000000-0010-0000-0000-000006000000}" name="VaccineNee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F8" totalsRowShown="0">
  <autoFilter ref="A1:F8" xr:uid="{00000000-0009-0000-0100-000002000000}"/>
  <tableColumns count="6">
    <tableColumn id="1" xr3:uid="{00000000-0010-0000-0100-000001000000}" name="0"/>
    <tableColumn id="2" xr3:uid="{00000000-0010-0000-0100-000002000000}" name="id"/>
    <tableColumn id="3" xr3:uid="{00000000-0010-0000-0100-000003000000}" name="age"/>
    <tableColumn id="4" xr3:uid="{00000000-0010-0000-0100-000004000000}" name="sex"/>
    <tableColumn id="5" xr3:uid="{00000000-0010-0000-0100-000005000000}" name="occupation"/>
    <tableColumn id="6" xr3:uid="{00000000-0010-0000-0100-000006000000}" name="pregna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1:F2" totalsRowShown="0">
  <autoFilter ref="A1:F2" xr:uid="{00000000-0009-0000-0100-000003000000}"/>
  <tableColumns count="6">
    <tableColumn id="1" xr3:uid="{00000000-0010-0000-0200-000001000000}" name="Province"/>
    <tableColumn id="2" xr3:uid="{00000000-0010-0000-0200-000002000000}" name="District"/>
    <tableColumn id="3" xr3:uid="{00000000-0010-0000-0200-000003000000}" name="Class"/>
    <tableColumn id="4" xr3:uid="{00000000-0010-0000-0200-000004000000}" name="percent"/>
    <tableColumn id="5" xr3:uid="{00000000-0010-0000-0200-000005000000}" name="Population"/>
    <tableColumn id="6" xr3:uid="{00000000-0010-0000-0200-000006000000}" name="VaccineNe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I429"/>
  <sheetViews>
    <sheetView workbookViewId="0">
      <selection activeCell="I14" sqref="I14"/>
    </sheetView>
  </sheetViews>
  <sheetFormatPr defaultRowHeight="15"/>
  <cols>
    <col min="1" max="1" width="14" customWidth="1"/>
    <col min="2" max="2" width="17.140625" customWidth="1"/>
    <col min="5" max="5" width="17.140625" customWidth="1"/>
  </cols>
  <sheetData>
    <row r="1" spans="1:34">
      <c r="A1" t="s">
        <v>4</v>
      </c>
      <c r="B1" t="s">
        <v>27</v>
      </c>
      <c r="C1" t="s">
        <v>17</v>
      </c>
      <c r="D1" t="s">
        <v>6</v>
      </c>
      <c r="E1" s="1"/>
      <c r="F1" t="s">
        <v>413</v>
      </c>
      <c r="G1" t="s">
        <v>413</v>
      </c>
      <c r="H1" t="s">
        <v>415</v>
      </c>
      <c r="I1" t="s">
        <v>419</v>
      </c>
      <c r="J1" t="s">
        <v>416</v>
      </c>
      <c r="K1" t="s">
        <v>424</v>
      </c>
      <c r="L1" t="s">
        <v>420</v>
      </c>
      <c r="M1" t="s">
        <v>418</v>
      </c>
      <c r="N1" t="s">
        <v>417</v>
      </c>
      <c r="O1" t="s">
        <v>421</v>
      </c>
      <c r="P1" t="s">
        <v>422</v>
      </c>
    </row>
    <row r="2" spans="1:34">
      <c r="A2" t="s">
        <v>5</v>
      </c>
      <c r="B2" t="s">
        <v>39</v>
      </c>
      <c r="C2" t="s">
        <v>413</v>
      </c>
      <c r="D2" t="s">
        <v>413</v>
      </c>
      <c r="F2" t="s">
        <v>242</v>
      </c>
      <c r="G2" t="s">
        <v>244</v>
      </c>
      <c r="H2" t="s">
        <v>242</v>
      </c>
      <c r="I2" t="s">
        <v>260</v>
      </c>
      <c r="J2" t="s">
        <v>264</v>
      </c>
      <c r="K2" t="s">
        <v>267</v>
      </c>
      <c r="L2" t="s">
        <v>261</v>
      </c>
      <c r="M2" t="s">
        <v>262</v>
      </c>
      <c r="N2" t="s">
        <v>245</v>
      </c>
      <c r="O2" t="s">
        <v>246</v>
      </c>
      <c r="P2" t="s">
        <v>265</v>
      </c>
      <c r="Q2" t="s">
        <v>263</v>
      </c>
      <c r="R2" t="s">
        <v>247</v>
      </c>
      <c r="S2" t="s">
        <v>258</v>
      </c>
      <c r="T2" t="s">
        <v>251</v>
      </c>
      <c r="U2" t="s">
        <v>248</v>
      </c>
      <c r="V2" t="s">
        <v>249</v>
      </c>
      <c r="W2" t="s">
        <v>250</v>
      </c>
      <c r="X2" t="s">
        <v>252</v>
      </c>
      <c r="Y2" t="s">
        <v>253</v>
      </c>
      <c r="Z2" t="s">
        <v>254</v>
      </c>
      <c r="AA2" t="s">
        <v>259</v>
      </c>
      <c r="AB2" t="s">
        <v>255</v>
      </c>
      <c r="AC2" t="s">
        <v>256</v>
      </c>
      <c r="AD2" t="s">
        <v>257</v>
      </c>
    </row>
    <row r="3" spans="1:34">
      <c r="A3" t="s">
        <v>6</v>
      </c>
      <c r="B3" t="s">
        <v>56</v>
      </c>
      <c r="C3" t="s">
        <v>413</v>
      </c>
      <c r="D3" t="s">
        <v>415</v>
      </c>
      <c r="F3" t="s">
        <v>429</v>
      </c>
      <c r="G3" t="s">
        <v>471</v>
      </c>
      <c r="H3" t="s">
        <v>468</v>
      </c>
      <c r="I3" t="s">
        <v>470</v>
      </c>
      <c r="J3" t="s">
        <v>472</v>
      </c>
      <c r="K3" t="s">
        <v>467</v>
      </c>
      <c r="L3" t="s">
        <v>469</v>
      </c>
    </row>
    <row r="4" spans="1:34">
      <c r="B4" t="s">
        <v>1008</v>
      </c>
      <c r="C4" t="s">
        <v>413</v>
      </c>
      <c r="D4" t="s">
        <v>419</v>
      </c>
      <c r="F4" t="s">
        <v>328</v>
      </c>
      <c r="G4" t="s">
        <v>328</v>
      </c>
      <c r="H4" t="s">
        <v>335</v>
      </c>
      <c r="I4" t="s">
        <v>334</v>
      </c>
      <c r="J4" t="s">
        <v>339</v>
      </c>
      <c r="K4" t="s">
        <v>332</v>
      </c>
      <c r="L4" t="s">
        <v>330</v>
      </c>
      <c r="M4" t="s">
        <v>331</v>
      </c>
      <c r="N4" t="s">
        <v>337</v>
      </c>
      <c r="O4" t="s">
        <v>336</v>
      </c>
      <c r="P4" t="s">
        <v>333</v>
      </c>
    </row>
    <row r="5" spans="1:34">
      <c r="B5" t="s">
        <v>1009</v>
      </c>
      <c r="C5" t="s">
        <v>413</v>
      </c>
      <c r="D5" t="s">
        <v>416</v>
      </c>
      <c r="F5" t="s">
        <v>1008</v>
      </c>
      <c r="G5" t="s">
        <v>96</v>
      </c>
      <c r="H5" t="s">
        <v>81</v>
      </c>
      <c r="I5" t="s">
        <v>95</v>
      </c>
      <c r="J5" t="s">
        <v>89</v>
      </c>
      <c r="K5" t="s">
        <v>88</v>
      </c>
      <c r="L5" t="s">
        <v>82</v>
      </c>
      <c r="M5" t="s">
        <v>93</v>
      </c>
      <c r="N5" t="s">
        <v>97</v>
      </c>
      <c r="O5" t="s">
        <v>101</v>
      </c>
      <c r="P5" t="s">
        <v>83</v>
      </c>
      <c r="Q5" t="s">
        <v>90</v>
      </c>
      <c r="R5" t="s">
        <v>99</v>
      </c>
      <c r="S5" t="s">
        <v>91</v>
      </c>
      <c r="T5" t="s">
        <v>84</v>
      </c>
      <c r="U5" t="s">
        <v>85</v>
      </c>
      <c r="V5" t="s">
        <v>94</v>
      </c>
      <c r="W5" t="s">
        <v>86</v>
      </c>
      <c r="X5" t="s">
        <v>92</v>
      </c>
      <c r="Y5" t="s">
        <v>87</v>
      </c>
      <c r="Z5" t="s">
        <v>98</v>
      </c>
    </row>
    <row r="6" spans="1:34">
      <c r="B6" t="s">
        <v>118</v>
      </c>
      <c r="C6" t="s">
        <v>413</v>
      </c>
      <c r="D6" t="s">
        <v>424</v>
      </c>
      <c r="F6" t="s">
        <v>1009</v>
      </c>
      <c r="G6" t="s">
        <v>102</v>
      </c>
      <c r="H6" t="s">
        <v>114</v>
      </c>
      <c r="I6" t="s">
        <v>111</v>
      </c>
      <c r="J6" t="s">
        <v>116</v>
      </c>
      <c r="K6" t="s">
        <v>103</v>
      </c>
      <c r="L6" t="s">
        <v>113</v>
      </c>
      <c r="M6" t="s">
        <v>115</v>
      </c>
      <c r="N6" t="s">
        <v>117</v>
      </c>
      <c r="O6" t="s">
        <v>104</v>
      </c>
      <c r="P6" t="s">
        <v>105</v>
      </c>
      <c r="Q6" t="s">
        <v>106</v>
      </c>
      <c r="R6" t="s">
        <v>112</v>
      </c>
      <c r="S6" t="s">
        <v>119</v>
      </c>
      <c r="T6" t="s">
        <v>107</v>
      </c>
      <c r="U6" t="s">
        <v>108</v>
      </c>
      <c r="V6" t="s">
        <v>109</v>
      </c>
      <c r="W6" t="s">
        <v>110</v>
      </c>
    </row>
    <row r="7" spans="1:34">
      <c r="B7" t="s">
        <v>132</v>
      </c>
      <c r="C7" t="s">
        <v>413</v>
      </c>
      <c r="D7" t="s">
        <v>420</v>
      </c>
      <c r="F7" t="s">
        <v>347</v>
      </c>
      <c r="G7" t="s">
        <v>347</v>
      </c>
      <c r="H7" t="s">
        <v>349</v>
      </c>
      <c r="I7" t="s">
        <v>356</v>
      </c>
      <c r="J7" t="s">
        <v>350</v>
      </c>
      <c r="K7" t="s">
        <v>351</v>
      </c>
      <c r="L7" t="s">
        <v>352</v>
      </c>
      <c r="M7" t="s">
        <v>355</v>
      </c>
      <c r="N7" t="s">
        <v>358</v>
      </c>
      <c r="O7" t="s">
        <v>353</v>
      </c>
      <c r="P7" t="s">
        <v>354</v>
      </c>
    </row>
    <row r="8" spans="1:34">
      <c r="B8" t="s">
        <v>160</v>
      </c>
      <c r="C8" t="s">
        <v>413</v>
      </c>
      <c r="D8" t="s">
        <v>418</v>
      </c>
      <c r="F8" t="s">
        <v>397</v>
      </c>
      <c r="G8" t="s">
        <v>404</v>
      </c>
      <c r="H8" t="s">
        <v>411</v>
      </c>
      <c r="I8" t="s">
        <v>406</v>
      </c>
      <c r="J8" t="s">
        <v>412</v>
      </c>
      <c r="K8" t="s">
        <v>410</v>
      </c>
      <c r="L8" t="s">
        <v>397</v>
      </c>
      <c r="M8" t="s">
        <v>399</v>
      </c>
      <c r="N8" t="s">
        <v>405</v>
      </c>
      <c r="O8" t="s">
        <v>400</v>
      </c>
      <c r="P8" t="s">
        <v>401</v>
      </c>
      <c r="Q8" t="s">
        <v>403</v>
      </c>
      <c r="R8" t="s">
        <v>407</v>
      </c>
      <c r="S8" t="s">
        <v>408</v>
      </c>
      <c r="T8" t="s">
        <v>414</v>
      </c>
      <c r="U8" t="s">
        <v>409</v>
      </c>
      <c r="V8" t="s">
        <v>402</v>
      </c>
    </row>
    <row r="9" spans="1:34">
      <c r="B9" t="s">
        <v>190</v>
      </c>
      <c r="C9" t="s">
        <v>413</v>
      </c>
      <c r="D9" t="s">
        <v>417</v>
      </c>
      <c r="F9" t="s">
        <v>1010</v>
      </c>
      <c r="G9" t="s">
        <v>312</v>
      </c>
      <c r="H9" t="s">
        <v>308</v>
      </c>
      <c r="I9" t="s">
        <v>317</v>
      </c>
      <c r="J9" t="s">
        <v>315</v>
      </c>
      <c r="K9" t="s">
        <v>309</v>
      </c>
      <c r="L9" t="s">
        <v>310</v>
      </c>
      <c r="M9" t="s">
        <v>313</v>
      </c>
      <c r="N9" t="s">
        <v>314</v>
      </c>
      <c r="O9" t="s">
        <v>311</v>
      </c>
    </row>
    <row r="10" spans="1:34">
      <c r="B10" t="s">
        <v>1012</v>
      </c>
      <c r="C10" t="s">
        <v>413</v>
      </c>
      <c r="D10" t="s">
        <v>421</v>
      </c>
      <c r="F10" t="s">
        <v>1011</v>
      </c>
      <c r="G10" t="s">
        <v>463</v>
      </c>
      <c r="H10" t="s">
        <v>456</v>
      </c>
      <c r="I10" t="s">
        <v>465</v>
      </c>
      <c r="J10" t="s">
        <v>457</v>
      </c>
      <c r="K10" t="s">
        <v>464</v>
      </c>
      <c r="L10" t="s">
        <v>461</v>
      </c>
      <c r="M10" t="s">
        <v>458</v>
      </c>
      <c r="N10" t="s">
        <v>466</v>
      </c>
      <c r="O10" t="s">
        <v>462</v>
      </c>
      <c r="P10" t="s">
        <v>459</v>
      </c>
      <c r="Q10" t="s">
        <v>460</v>
      </c>
    </row>
    <row r="11" spans="1:34">
      <c r="B11" t="s">
        <v>242</v>
      </c>
      <c r="C11" t="s">
        <v>413</v>
      </c>
      <c r="D11" t="s">
        <v>422</v>
      </c>
      <c r="F11" t="s">
        <v>1012</v>
      </c>
      <c r="G11" t="s">
        <v>240</v>
      </c>
      <c r="H11" t="s">
        <v>234</v>
      </c>
      <c r="I11" t="s">
        <v>229</v>
      </c>
      <c r="J11" t="s">
        <v>235</v>
      </c>
      <c r="K11" t="s">
        <v>215</v>
      </c>
      <c r="L11" t="s">
        <v>217</v>
      </c>
      <c r="M11" t="s">
        <v>216</v>
      </c>
      <c r="N11" t="s">
        <v>237</v>
      </c>
      <c r="O11" t="s">
        <v>239</v>
      </c>
      <c r="P11" t="s">
        <v>225</v>
      </c>
      <c r="Q11" t="s">
        <v>232</v>
      </c>
      <c r="R11" t="s">
        <v>226</v>
      </c>
      <c r="S11" t="s">
        <v>241</v>
      </c>
      <c r="T11" t="s">
        <v>243</v>
      </c>
      <c r="U11" t="s">
        <v>218</v>
      </c>
      <c r="V11" t="s">
        <v>230</v>
      </c>
      <c r="W11" t="s">
        <v>238</v>
      </c>
      <c r="X11" t="s">
        <v>219</v>
      </c>
      <c r="Y11" t="s">
        <v>227</v>
      </c>
      <c r="Z11" t="s">
        <v>228</v>
      </c>
      <c r="AA11" t="s">
        <v>236</v>
      </c>
      <c r="AB11" t="s">
        <v>220</v>
      </c>
      <c r="AC11" t="s">
        <v>221</v>
      </c>
      <c r="AD11" t="s">
        <v>231</v>
      </c>
      <c r="AE11" t="s">
        <v>222</v>
      </c>
      <c r="AF11" t="s">
        <v>223</v>
      </c>
      <c r="AG11" t="s">
        <v>233</v>
      </c>
      <c r="AH11" t="s">
        <v>224</v>
      </c>
    </row>
    <row r="12" spans="1:34">
      <c r="B12" t="s">
        <v>1014</v>
      </c>
      <c r="C12" t="s">
        <v>242</v>
      </c>
      <c r="D12" t="s">
        <v>244</v>
      </c>
      <c r="F12" t="s">
        <v>1013</v>
      </c>
      <c r="G12" t="s">
        <v>447</v>
      </c>
      <c r="H12" t="s">
        <v>448</v>
      </c>
      <c r="I12" t="s">
        <v>449</v>
      </c>
      <c r="J12" t="s">
        <v>455</v>
      </c>
      <c r="K12" t="s">
        <v>450</v>
      </c>
      <c r="L12" t="s">
        <v>451</v>
      </c>
      <c r="M12" t="s">
        <v>453</v>
      </c>
      <c r="N12" t="s">
        <v>452</v>
      </c>
    </row>
    <row r="13" spans="1:34">
      <c r="B13" t="s">
        <v>286</v>
      </c>
      <c r="C13" t="s">
        <v>242</v>
      </c>
      <c r="D13" t="s">
        <v>242</v>
      </c>
      <c r="F13" t="s">
        <v>132</v>
      </c>
      <c r="G13" t="s">
        <v>149</v>
      </c>
      <c r="H13" t="s">
        <v>154</v>
      </c>
      <c r="I13" t="s">
        <v>135</v>
      </c>
      <c r="J13" t="s">
        <v>136</v>
      </c>
      <c r="K13" t="s">
        <v>137</v>
      </c>
      <c r="L13" t="s">
        <v>134</v>
      </c>
      <c r="M13" t="s">
        <v>159</v>
      </c>
      <c r="N13" t="s">
        <v>148</v>
      </c>
      <c r="O13" t="s">
        <v>157</v>
      </c>
      <c r="P13" t="s">
        <v>138</v>
      </c>
      <c r="Q13" t="s">
        <v>139</v>
      </c>
      <c r="R13" t="s">
        <v>158</v>
      </c>
      <c r="S13" t="s">
        <v>140</v>
      </c>
      <c r="T13" t="s">
        <v>141</v>
      </c>
      <c r="U13" t="s">
        <v>142</v>
      </c>
      <c r="V13" t="s">
        <v>152</v>
      </c>
      <c r="W13" t="s">
        <v>143</v>
      </c>
      <c r="X13" t="s">
        <v>144</v>
      </c>
      <c r="Y13" t="s">
        <v>147</v>
      </c>
      <c r="Z13" t="s">
        <v>145</v>
      </c>
      <c r="AA13" t="s">
        <v>161</v>
      </c>
      <c r="AB13" t="s">
        <v>153</v>
      </c>
      <c r="AC13" t="s">
        <v>150</v>
      </c>
      <c r="AD13" t="s">
        <v>146</v>
      </c>
      <c r="AE13" t="s">
        <v>155</v>
      </c>
      <c r="AF13" t="s">
        <v>151</v>
      </c>
      <c r="AG13" t="s">
        <v>156</v>
      </c>
    </row>
    <row r="14" spans="1:34">
      <c r="B14" t="s">
        <v>297</v>
      </c>
      <c r="C14" t="s">
        <v>242</v>
      </c>
      <c r="D14" t="s">
        <v>260</v>
      </c>
      <c r="F14" t="s">
        <v>357</v>
      </c>
      <c r="G14" t="s">
        <v>359</v>
      </c>
      <c r="H14" t="s">
        <v>361</v>
      </c>
      <c r="I14" t="s">
        <v>360</v>
      </c>
      <c r="J14" t="s">
        <v>362</v>
      </c>
      <c r="K14" t="s">
        <v>357</v>
      </c>
      <c r="L14" t="s">
        <v>366</v>
      </c>
      <c r="M14" t="s">
        <v>363</v>
      </c>
      <c r="N14" t="s">
        <v>364</v>
      </c>
    </row>
    <row r="15" spans="1:34">
      <c r="B15" t="s">
        <v>1010</v>
      </c>
      <c r="C15" t="s">
        <v>242</v>
      </c>
      <c r="D15" t="s">
        <v>264</v>
      </c>
      <c r="F15" t="s">
        <v>365</v>
      </c>
      <c r="G15" t="s">
        <v>371</v>
      </c>
      <c r="H15" t="s">
        <v>367</v>
      </c>
      <c r="I15" t="s">
        <v>374</v>
      </c>
      <c r="J15" t="s">
        <v>365</v>
      </c>
      <c r="K15" t="s">
        <v>368</v>
      </c>
      <c r="L15" t="s">
        <v>369</v>
      </c>
      <c r="M15" t="s">
        <v>370</v>
      </c>
      <c r="N15" t="s">
        <v>372</v>
      </c>
    </row>
    <row r="16" spans="1:34">
      <c r="B16" t="s">
        <v>316</v>
      </c>
      <c r="C16" t="s">
        <v>242</v>
      </c>
      <c r="D16" t="s">
        <v>267</v>
      </c>
      <c r="F16" t="s">
        <v>1014</v>
      </c>
      <c r="G16" t="s">
        <v>268</v>
      </c>
      <c r="H16" t="s">
        <v>269</v>
      </c>
      <c r="I16" t="s">
        <v>270</v>
      </c>
      <c r="J16" t="s">
        <v>279</v>
      </c>
      <c r="K16" t="s">
        <v>271</v>
      </c>
      <c r="L16" t="s">
        <v>272</v>
      </c>
      <c r="M16" t="s">
        <v>277</v>
      </c>
      <c r="N16" t="s">
        <v>273</v>
      </c>
      <c r="O16" t="s">
        <v>275</v>
      </c>
      <c r="P16" t="s">
        <v>281</v>
      </c>
      <c r="Q16" t="s">
        <v>287</v>
      </c>
      <c r="R16" t="s">
        <v>285</v>
      </c>
      <c r="S16" t="s">
        <v>276</v>
      </c>
      <c r="T16" t="s">
        <v>280</v>
      </c>
      <c r="U16" t="s">
        <v>284</v>
      </c>
      <c r="V16" t="s">
        <v>274</v>
      </c>
      <c r="W16" t="s">
        <v>282</v>
      </c>
      <c r="X16" t="s">
        <v>283</v>
      </c>
      <c r="Y16" t="s">
        <v>278</v>
      </c>
    </row>
    <row r="17" spans="2:35">
      <c r="B17" t="s">
        <v>328</v>
      </c>
      <c r="C17" t="s">
        <v>242</v>
      </c>
      <c r="D17" t="s">
        <v>261</v>
      </c>
      <c r="F17" t="s">
        <v>160</v>
      </c>
      <c r="G17" t="s">
        <v>178</v>
      </c>
      <c r="H17" t="s">
        <v>163</v>
      </c>
      <c r="I17" t="s">
        <v>164</v>
      </c>
      <c r="J17" t="s">
        <v>162</v>
      </c>
      <c r="K17" t="s">
        <v>177</v>
      </c>
      <c r="L17" t="s">
        <v>184</v>
      </c>
      <c r="M17" t="s">
        <v>165</v>
      </c>
      <c r="N17" t="s">
        <v>191</v>
      </c>
      <c r="O17" t="s">
        <v>179</v>
      </c>
      <c r="P17" t="s">
        <v>185</v>
      </c>
      <c r="Q17" t="s">
        <v>166</v>
      </c>
      <c r="R17" t="s">
        <v>187</v>
      </c>
      <c r="S17" t="s">
        <v>180</v>
      </c>
      <c r="T17" t="s">
        <v>167</v>
      </c>
      <c r="U17" t="s">
        <v>186</v>
      </c>
      <c r="V17" t="s">
        <v>168</v>
      </c>
      <c r="W17" t="s">
        <v>183</v>
      </c>
      <c r="X17" t="s">
        <v>169</v>
      </c>
      <c r="Y17" t="s">
        <v>170</v>
      </c>
      <c r="Z17" t="s">
        <v>181</v>
      </c>
      <c r="AA17" t="s">
        <v>171</v>
      </c>
      <c r="AB17" t="s">
        <v>189</v>
      </c>
      <c r="AC17" t="s">
        <v>188</v>
      </c>
      <c r="AD17" t="s">
        <v>172</v>
      </c>
      <c r="AE17" t="s">
        <v>176</v>
      </c>
      <c r="AF17" t="s">
        <v>173</v>
      </c>
      <c r="AG17" t="s">
        <v>174</v>
      </c>
      <c r="AH17" t="s">
        <v>182</v>
      </c>
      <c r="AI17" t="s">
        <v>175</v>
      </c>
    </row>
    <row r="18" spans="2:35">
      <c r="B18" t="s">
        <v>1015</v>
      </c>
      <c r="C18" t="s">
        <v>242</v>
      </c>
      <c r="D18" t="s">
        <v>262</v>
      </c>
      <c r="F18" t="s">
        <v>425</v>
      </c>
      <c r="G18" t="s">
        <v>429</v>
      </c>
      <c r="H18" t="s">
        <v>428</v>
      </c>
      <c r="I18" t="s">
        <v>431</v>
      </c>
      <c r="J18" t="s">
        <v>426</v>
      </c>
      <c r="K18" t="s">
        <v>427</v>
      </c>
      <c r="L18" t="s">
        <v>425</v>
      </c>
    </row>
    <row r="19" spans="2:35">
      <c r="B19" t="s">
        <v>347</v>
      </c>
      <c r="C19" t="s">
        <v>242</v>
      </c>
      <c r="D19" t="s">
        <v>245</v>
      </c>
      <c r="F19" t="s">
        <v>423</v>
      </c>
      <c r="G19" t="s">
        <v>423</v>
      </c>
    </row>
    <row r="20" spans="2:35">
      <c r="B20" t="s">
        <v>357</v>
      </c>
      <c r="C20" t="s">
        <v>242</v>
      </c>
      <c r="D20" t="s">
        <v>246</v>
      </c>
      <c r="F20" t="s">
        <v>286</v>
      </c>
      <c r="G20" t="s">
        <v>288</v>
      </c>
      <c r="H20" t="s">
        <v>289</v>
      </c>
      <c r="I20" t="s">
        <v>298</v>
      </c>
      <c r="J20" t="s">
        <v>294</v>
      </c>
      <c r="K20" t="s">
        <v>296</v>
      </c>
      <c r="L20" t="s">
        <v>290</v>
      </c>
      <c r="M20" t="s">
        <v>291</v>
      </c>
      <c r="N20" t="s">
        <v>292</v>
      </c>
      <c r="O20" t="s">
        <v>295</v>
      </c>
      <c r="P20" t="s">
        <v>293</v>
      </c>
    </row>
    <row r="21" spans="2:35">
      <c r="B21" t="s">
        <v>365</v>
      </c>
      <c r="C21" t="s">
        <v>242</v>
      </c>
      <c r="D21" t="s">
        <v>265</v>
      </c>
      <c r="F21" t="s">
        <v>190</v>
      </c>
      <c r="G21" t="s">
        <v>214</v>
      </c>
      <c r="H21" t="s">
        <v>210</v>
      </c>
      <c r="I21" t="s">
        <v>192</v>
      </c>
      <c r="J21" t="s">
        <v>200</v>
      </c>
      <c r="K21" t="s">
        <v>193</v>
      </c>
      <c r="L21" t="s">
        <v>194</v>
      </c>
      <c r="M21" t="s">
        <v>208</v>
      </c>
      <c r="N21" t="s">
        <v>201</v>
      </c>
      <c r="O21" t="s">
        <v>195</v>
      </c>
      <c r="P21" t="s">
        <v>205</v>
      </c>
      <c r="Q21" t="s">
        <v>207</v>
      </c>
      <c r="R21" t="s">
        <v>196</v>
      </c>
      <c r="S21" t="s">
        <v>197</v>
      </c>
      <c r="T21" t="s">
        <v>198</v>
      </c>
      <c r="U21" t="s">
        <v>202</v>
      </c>
      <c r="V21" t="s">
        <v>212</v>
      </c>
      <c r="W21" t="s">
        <v>209</v>
      </c>
      <c r="X21" t="s">
        <v>206</v>
      </c>
      <c r="Y21" t="s">
        <v>190</v>
      </c>
      <c r="Z21" t="s">
        <v>199</v>
      </c>
      <c r="AA21" t="s">
        <v>204</v>
      </c>
      <c r="AB21" t="s">
        <v>203</v>
      </c>
      <c r="AC21" t="s">
        <v>211</v>
      </c>
    </row>
    <row r="22" spans="2:35">
      <c r="B22" t="s">
        <v>373</v>
      </c>
      <c r="C22" t="s">
        <v>242</v>
      </c>
      <c r="D22" t="s">
        <v>263</v>
      </c>
      <c r="F22" t="s">
        <v>118</v>
      </c>
      <c r="G22" t="s">
        <v>120</v>
      </c>
      <c r="H22" t="s">
        <v>121</v>
      </c>
      <c r="I22" t="s">
        <v>130</v>
      </c>
      <c r="J22" t="s">
        <v>127</v>
      </c>
      <c r="K22" t="s">
        <v>131</v>
      </c>
      <c r="L22" t="s">
        <v>133</v>
      </c>
      <c r="M22" t="s">
        <v>122</v>
      </c>
      <c r="N22" t="s">
        <v>123</v>
      </c>
      <c r="O22" t="s">
        <v>128</v>
      </c>
      <c r="P22" t="s">
        <v>124</v>
      </c>
      <c r="Q22" t="s">
        <v>118</v>
      </c>
      <c r="R22" t="s">
        <v>125</v>
      </c>
      <c r="S22" t="s">
        <v>126</v>
      </c>
      <c r="T22" t="s">
        <v>129</v>
      </c>
    </row>
    <row r="23" spans="2:35">
      <c r="B23" t="s">
        <v>383</v>
      </c>
      <c r="C23" t="s">
        <v>242</v>
      </c>
      <c r="D23" t="s">
        <v>247</v>
      </c>
      <c r="F23" t="s">
        <v>1015</v>
      </c>
      <c r="G23" t="s">
        <v>346</v>
      </c>
      <c r="H23" t="s">
        <v>344</v>
      </c>
      <c r="I23" t="s">
        <v>340</v>
      </c>
      <c r="J23" t="s">
        <v>345</v>
      </c>
      <c r="K23" t="s">
        <v>343</v>
      </c>
      <c r="L23" t="s">
        <v>341</v>
      </c>
      <c r="M23" t="s">
        <v>342</v>
      </c>
      <c r="N23" t="s">
        <v>348</v>
      </c>
    </row>
    <row r="24" spans="2:35">
      <c r="B24" t="s">
        <v>397</v>
      </c>
      <c r="C24" t="s">
        <v>242</v>
      </c>
      <c r="D24" t="s">
        <v>258</v>
      </c>
      <c r="F24" t="s">
        <v>430</v>
      </c>
      <c r="G24" t="s">
        <v>441</v>
      </c>
      <c r="H24" t="s">
        <v>439</v>
      </c>
      <c r="I24" t="s">
        <v>432</v>
      </c>
      <c r="J24" t="s">
        <v>433</v>
      </c>
      <c r="K24" t="s">
        <v>442</v>
      </c>
      <c r="L24" t="s">
        <v>434</v>
      </c>
      <c r="M24" t="s">
        <v>435</v>
      </c>
      <c r="N24" t="s">
        <v>440</v>
      </c>
      <c r="O24" t="s">
        <v>446</v>
      </c>
      <c r="P24" t="s">
        <v>436</v>
      </c>
      <c r="Q24" t="s">
        <v>444</v>
      </c>
      <c r="R24" t="s">
        <v>437</v>
      </c>
      <c r="S24" t="s">
        <v>443</v>
      </c>
      <c r="T24" t="s">
        <v>438</v>
      </c>
    </row>
    <row r="25" spans="2:35">
      <c r="B25" t="s">
        <v>413</v>
      </c>
      <c r="C25" t="s">
        <v>242</v>
      </c>
      <c r="D25" t="s">
        <v>251</v>
      </c>
      <c r="F25" t="s">
        <v>39</v>
      </c>
      <c r="G25" t="s">
        <v>53</v>
      </c>
      <c r="H25" t="s">
        <v>41</v>
      </c>
      <c r="I25" t="s">
        <v>42</v>
      </c>
      <c r="J25" t="s">
        <v>43</v>
      </c>
      <c r="K25" t="s">
        <v>44</v>
      </c>
      <c r="L25" t="s">
        <v>45</v>
      </c>
      <c r="M25" t="s">
        <v>54</v>
      </c>
      <c r="N25" t="s">
        <v>46</v>
      </c>
      <c r="O25" t="s">
        <v>47</v>
      </c>
      <c r="P25" t="s">
        <v>55</v>
      </c>
      <c r="Q25" t="s">
        <v>52</v>
      </c>
      <c r="R25" t="s">
        <v>48</v>
      </c>
      <c r="S25" t="s">
        <v>49</v>
      </c>
      <c r="T25" t="s">
        <v>51</v>
      </c>
      <c r="U25" t="s">
        <v>50</v>
      </c>
      <c r="V25" t="s">
        <v>57</v>
      </c>
    </row>
    <row r="26" spans="2:35">
      <c r="B26" t="s">
        <v>423</v>
      </c>
      <c r="C26" t="s">
        <v>242</v>
      </c>
      <c r="D26" t="s">
        <v>248</v>
      </c>
      <c r="F26" t="s">
        <v>316</v>
      </c>
      <c r="G26" t="s">
        <v>324</v>
      </c>
      <c r="H26" t="s">
        <v>318</v>
      </c>
      <c r="I26" t="s">
        <v>319</v>
      </c>
      <c r="J26" t="s">
        <v>325</v>
      </c>
      <c r="K26" t="s">
        <v>320</v>
      </c>
      <c r="L26" t="s">
        <v>321</v>
      </c>
      <c r="M26" t="s">
        <v>327</v>
      </c>
      <c r="N26" t="s">
        <v>322</v>
      </c>
      <c r="O26" t="s">
        <v>329</v>
      </c>
      <c r="P26" t="s">
        <v>326</v>
      </c>
      <c r="Q26" t="s">
        <v>323</v>
      </c>
    </row>
    <row r="27" spans="2:35">
      <c r="B27" t="s">
        <v>425</v>
      </c>
      <c r="C27" t="s">
        <v>242</v>
      </c>
      <c r="D27" t="s">
        <v>249</v>
      </c>
      <c r="F27" t="s">
        <v>56</v>
      </c>
      <c r="G27" t="s">
        <v>58</v>
      </c>
      <c r="H27" t="s">
        <v>59</v>
      </c>
      <c r="I27" t="s">
        <v>68</v>
      </c>
      <c r="J27" t="s">
        <v>60</v>
      </c>
      <c r="K27" t="s">
        <v>61</v>
      </c>
      <c r="L27" t="s">
        <v>72</v>
      </c>
      <c r="M27" t="s">
        <v>71</v>
      </c>
      <c r="N27" t="s">
        <v>62</v>
      </c>
      <c r="O27" t="s">
        <v>63</v>
      </c>
      <c r="P27" t="s">
        <v>64</v>
      </c>
      <c r="Q27" t="s">
        <v>78</v>
      </c>
      <c r="R27" t="s">
        <v>77</v>
      </c>
      <c r="S27" t="s">
        <v>75</v>
      </c>
      <c r="T27" t="s">
        <v>74</v>
      </c>
      <c r="U27" t="s">
        <v>65</v>
      </c>
      <c r="V27" t="s">
        <v>80</v>
      </c>
      <c r="W27" t="s">
        <v>73</v>
      </c>
      <c r="X27" t="s">
        <v>69</v>
      </c>
      <c r="Y27" t="s">
        <v>76</v>
      </c>
      <c r="Z27" t="s">
        <v>70</v>
      </c>
      <c r="AA27" t="s">
        <v>66</v>
      </c>
      <c r="AB27" t="s">
        <v>67</v>
      </c>
    </row>
    <row r="28" spans="2:35">
      <c r="B28" t="s">
        <v>430</v>
      </c>
      <c r="C28" t="s">
        <v>242</v>
      </c>
      <c r="D28" t="s">
        <v>250</v>
      </c>
      <c r="F28" t="s">
        <v>27</v>
      </c>
      <c r="G28" t="s">
        <v>28</v>
      </c>
      <c r="H28" t="s">
        <v>29</v>
      </c>
      <c r="I28" t="s">
        <v>30</v>
      </c>
      <c r="J28" t="s">
        <v>31</v>
      </c>
      <c r="K28" t="s">
        <v>38</v>
      </c>
      <c r="L28" t="s">
        <v>32</v>
      </c>
      <c r="M28" t="s">
        <v>36</v>
      </c>
      <c r="N28" t="s">
        <v>33</v>
      </c>
      <c r="O28" t="s">
        <v>34</v>
      </c>
      <c r="P28" t="s">
        <v>40</v>
      </c>
      <c r="Q28" t="s">
        <v>37</v>
      </c>
      <c r="R28" t="s">
        <v>35</v>
      </c>
    </row>
    <row r="29" spans="2:35">
      <c r="B29" t="s">
        <v>1013</v>
      </c>
      <c r="C29" t="s">
        <v>242</v>
      </c>
      <c r="D29" t="s">
        <v>252</v>
      </c>
      <c r="F29" t="s">
        <v>383</v>
      </c>
      <c r="G29" t="s">
        <v>385</v>
      </c>
      <c r="H29" t="s">
        <v>393</v>
      </c>
      <c r="I29" t="s">
        <v>398</v>
      </c>
      <c r="J29" t="s">
        <v>386</v>
      </c>
      <c r="K29" t="s">
        <v>387</v>
      </c>
      <c r="L29" t="s">
        <v>390</v>
      </c>
      <c r="M29" t="s">
        <v>392</v>
      </c>
      <c r="N29" t="s">
        <v>394</v>
      </c>
      <c r="O29" t="s">
        <v>391</v>
      </c>
      <c r="P29" t="s">
        <v>396</v>
      </c>
      <c r="Q29" t="s">
        <v>388</v>
      </c>
      <c r="R29" t="s">
        <v>395</v>
      </c>
      <c r="S29" t="s">
        <v>389</v>
      </c>
    </row>
    <row r="30" spans="2:35">
      <c r="B30" t="s">
        <v>1011</v>
      </c>
      <c r="C30" t="s">
        <v>242</v>
      </c>
      <c r="D30" t="s">
        <v>253</v>
      </c>
      <c r="F30" t="s">
        <v>297</v>
      </c>
      <c r="G30" t="s">
        <v>303</v>
      </c>
      <c r="H30" t="s">
        <v>304</v>
      </c>
      <c r="I30" t="s">
        <v>299</v>
      </c>
      <c r="J30" t="s">
        <v>305</v>
      </c>
      <c r="K30" t="s">
        <v>307</v>
      </c>
      <c r="L30" t="s">
        <v>302</v>
      </c>
      <c r="M30" t="s">
        <v>300</v>
      </c>
      <c r="N30" t="s">
        <v>301</v>
      </c>
      <c r="O30" t="s">
        <v>297</v>
      </c>
    </row>
    <row r="31" spans="2:35">
      <c r="B31" t="s">
        <v>429</v>
      </c>
      <c r="C31" t="s">
        <v>242</v>
      </c>
      <c r="D31" t="s">
        <v>254</v>
      </c>
      <c r="F31" t="s">
        <v>373</v>
      </c>
      <c r="G31" t="s">
        <v>380</v>
      </c>
      <c r="H31" t="s">
        <v>375</v>
      </c>
      <c r="I31" t="s">
        <v>381</v>
      </c>
      <c r="J31" t="s">
        <v>376</v>
      </c>
      <c r="K31" t="s">
        <v>377</v>
      </c>
      <c r="L31" t="s">
        <v>382</v>
      </c>
      <c r="M31" t="s">
        <v>378</v>
      </c>
      <c r="N31" t="s">
        <v>379</v>
      </c>
      <c r="O31" t="s">
        <v>373</v>
      </c>
    </row>
    <row r="32" spans="2:35">
      <c r="C32" t="s">
        <v>242</v>
      </c>
      <c r="D32" t="s">
        <v>259</v>
      </c>
    </row>
    <row r="33" spans="3:4">
      <c r="C33" t="s">
        <v>242</v>
      </c>
      <c r="D33" t="s">
        <v>255</v>
      </c>
    </row>
    <row r="34" spans="3:4">
      <c r="C34" t="s">
        <v>242</v>
      </c>
      <c r="D34" t="s">
        <v>256</v>
      </c>
    </row>
    <row r="35" spans="3:4">
      <c r="C35" t="s">
        <v>242</v>
      </c>
      <c r="D35" t="s">
        <v>257</v>
      </c>
    </row>
    <row r="36" spans="3:4">
      <c r="C36" t="s">
        <v>429</v>
      </c>
      <c r="D36" t="s">
        <v>471</v>
      </c>
    </row>
    <row r="37" spans="3:4">
      <c r="C37" t="s">
        <v>429</v>
      </c>
      <c r="D37" t="s">
        <v>468</v>
      </c>
    </row>
    <row r="38" spans="3:4">
      <c r="C38" t="s">
        <v>429</v>
      </c>
      <c r="D38" t="s">
        <v>470</v>
      </c>
    </row>
    <row r="39" spans="3:4">
      <c r="C39" t="s">
        <v>429</v>
      </c>
      <c r="D39" t="s">
        <v>472</v>
      </c>
    </row>
    <row r="40" spans="3:4">
      <c r="C40" t="s">
        <v>429</v>
      </c>
      <c r="D40" t="s">
        <v>467</v>
      </c>
    </row>
    <row r="41" spans="3:4">
      <c r="C41" t="s">
        <v>429</v>
      </c>
      <c r="D41" t="s">
        <v>469</v>
      </c>
    </row>
    <row r="42" spans="3:4">
      <c r="C42" t="s">
        <v>328</v>
      </c>
      <c r="D42" t="s">
        <v>328</v>
      </c>
    </row>
    <row r="43" spans="3:4">
      <c r="C43" t="s">
        <v>328</v>
      </c>
      <c r="D43" t="s">
        <v>335</v>
      </c>
    </row>
    <row r="44" spans="3:4">
      <c r="C44" t="s">
        <v>328</v>
      </c>
      <c r="D44" t="s">
        <v>334</v>
      </c>
    </row>
    <row r="45" spans="3:4">
      <c r="C45" t="s">
        <v>328</v>
      </c>
      <c r="D45" t="s">
        <v>339</v>
      </c>
    </row>
    <row r="46" spans="3:4">
      <c r="C46" t="s">
        <v>328</v>
      </c>
      <c r="D46" t="s">
        <v>332</v>
      </c>
    </row>
    <row r="47" spans="3:4">
      <c r="C47" t="s">
        <v>328</v>
      </c>
      <c r="D47" t="s">
        <v>330</v>
      </c>
    </row>
    <row r="48" spans="3:4">
      <c r="C48" t="s">
        <v>328</v>
      </c>
      <c r="D48" t="s">
        <v>331</v>
      </c>
    </row>
    <row r="49" spans="3:4">
      <c r="C49" t="s">
        <v>328</v>
      </c>
      <c r="D49" t="s">
        <v>337</v>
      </c>
    </row>
    <row r="50" spans="3:4">
      <c r="C50" t="s">
        <v>328</v>
      </c>
      <c r="D50" t="s">
        <v>336</v>
      </c>
    </row>
    <row r="51" spans="3:4">
      <c r="C51" t="s">
        <v>328</v>
      </c>
      <c r="D51" t="s">
        <v>333</v>
      </c>
    </row>
    <row r="52" spans="3:4">
      <c r="C52" t="s">
        <v>79</v>
      </c>
      <c r="D52" t="s">
        <v>96</v>
      </c>
    </row>
    <row r="53" spans="3:4">
      <c r="C53" t="s">
        <v>79</v>
      </c>
      <c r="D53" t="s">
        <v>81</v>
      </c>
    </row>
    <row r="54" spans="3:4">
      <c r="C54" t="s">
        <v>79</v>
      </c>
      <c r="D54" t="s">
        <v>95</v>
      </c>
    </row>
    <row r="55" spans="3:4">
      <c r="C55" t="s">
        <v>79</v>
      </c>
      <c r="D55" t="s">
        <v>89</v>
      </c>
    </row>
    <row r="56" spans="3:4">
      <c r="C56" t="s">
        <v>79</v>
      </c>
      <c r="D56" t="s">
        <v>88</v>
      </c>
    </row>
    <row r="57" spans="3:4">
      <c r="C57" t="s">
        <v>79</v>
      </c>
      <c r="D57" t="s">
        <v>82</v>
      </c>
    </row>
    <row r="58" spans="3:4">
      <c r="C58" t="s">
        <v>79</v>
      </c>
      <c r="D58" t="s">
        <v>93</v>
      </c>
    </row>
    <row r="59" spans="3:4">
      <c r="C59" t="s">
        <v>79</v>
      </c>
      <c r="D59" t="s">
        <v>97</v>
      </c>
    </row>
    <row r="60" spans="3:4">
      <c r="C60" t="s">
        <v>79</v>
      </c>
      <c r="D60" t="s">
        <v>101</v>
      </c>
    </row>
    <row r="61" spans="3:4">
      <c r="C61" t="s">
        <v>79</v>
      </c>
      <c r="D61" t="s">
        <v>83</v>
      </c>
    </row>
    <row r="62" spans="3:4">
      <c r="C62" t="s">
        <v>79</v>
      </c>
      <c r="D62" t="s">
        <v>90</v>
      </c>
    </row>
    <row r="63" spans="3:4">
      <c r="C63" t="s">
        <v>79</v>
      </c>
      <c r="D63" t="s">
        <v>99</v>
      </c>
    </row>
    <row r="64" spans="3:4">
      <c r="C64" t="s">
        <v>79</v>
      </c>
      <c r="D64" t="s">
        <v>91</v>
      </c>
    </row>
    <row r="65" spans="3:4">
      <c r="C65" t="s">
        <v>79</v>
      </c>
      <c r="D65" t="s">
        <v>84</v>
      </c>
    </row>
    <row r="66" spans="3:4">
      <c r="C66" t="s">
        <v>79</v>
      </c>
      <c r="D66" t="s">
        <v>85</v>
      </c>
    </row>
    <row r="67" spans="3:4">
      <c r="C67" t="s">
        <v>79</v>
      </c>
      <c r="D67" t="s">
        <v>94</v>
      </c>
    </row>
    <row r="68" spans="3:4">
      <c r="C68" t="s">
        <v>79</v>
      </c>
      <c r="D68" t="s">
        <v>86</v>
      </c>
    </row>
    <row r="69" spans="3:4">
      <c r="C69" t="s">
        <v>79</v>
      </c>
      <c r="D69" t="s">
        <v>92</v>
      </c>
    </row>
    <row r="70" spans="3:4">
      <c r="C70" t="s">
        <v>79</v>
      </c>
      <c r="D70" t="s">
        <v>87</v>
      </c>
    </row>
    <row r="71" spans="3:4">
      <c r="C71" t="s">
        <v>79</v>
      </c>
      <c r="D71" t="s">
        <v>98</v>
      </c>
    </row>
    <row r="72" spans="3:4">
      <c r="C72" t="s">
        <v>100</v>
      </c>
      <c r="D72" t="s">
        <v>102</v>
      </c>
    </row>
    <row r="73" spans="3:4">
      <c r="C73" t="s">
        <v>100</v>
      </c>
      <c r="D73" t="s">
        <v>114</v>
      </c>
    </row>
    <row r="74" spans="3:4">
      <c r="C74" t="s">
        <v>100</v>
      </c>
      <c r="D74" t="s">
        <v>111</v>
      </c>
    </row>
    <row r="75" spans="3:4">
      <c r="C75" t="s">
        <v>100</v>
      </c>
      <c r="D75" t="s">
        <v>116</v>
      </c>
    </row>
    <row r="76" spans="3:4">
      <c r="C76" t="s">
        <v>100</v>
      </c>
      <c r="D76" t="s">
        <v>103</v>
      </c>
    </row>
    <row r="77" spans="3:4">
      <c r="C77" t="s">
        <v>100</v>
      </c>
      <c r="D77" t="s">
        <v>113</v>
      </c>
    </row>
    <row r="78" spans="3:4">
      <c r="C78" t="s">
        <v>100</v>
      </c>
      <c r="D78" t="s">
        <v>115</v>
      </c>
    </row>
    <row r="79" spans="3:4">
      <c r="C79" t="s">
        <v>100</v>
      </c>
      <c r="D79" t="s">
        <v>117</v>
      </c>
    </row>
    <row r="80" spans="3:4">
      <c r="C80" t="s">
        <v>100</v>
      </c>
      <c r="D80" t="s">
        <v>104</v>
      </c>
    </row>
    <row r="81" spans="3:4">
      <c r="C81" t="s">
        <v>100</v>
      </c>
      <c r="D81" t="s">
        <v>105</v>
      </c>
    </row>
    <row r="82" spans="3:4">
      <c r="C82" t="s">
        <v>100</v>
      </c>
      <c r="D82" t="s">
        <v>106</v>
      </c>
    </row>
    <row r="83" spans="3:4">
      <c r="C83" t="s">
        <v>100</v>
      </c>
      <c r="D83" t="s">
        <v>112</v>
      </c>
    </row>
    <row r="84" spans="3:4">
      <c r="C84" t="s">
        <v>100</v>
      </c>
      <c r="D84" t="s">
        <v>119</v>
      </c>
    </row>
    <row r="85" spans="3:4">
      <c r="C85" t="s">
        <v>100</v>
      </c>
      <c r="D85" t="s">
        <v>107</v>
      </c>
    </row>
    <row r="86" spans="3:4">
      <c r="C86" t="s">
        <v>100</v>
      </c>
      <c r="D86" t="s">
        <v>108</v>
      </c>
    </row>
    <row r="87" spans="3:4">
      <c r="C87" t="s">
        <v>100</v>
      </c>
      <c r="D87" t="s">
        <v>109</v>
      </c>
    </row>
    <row r="88" spans="3:4">
      <c r="C88" t="s">
        <v>100</v>
      </c>
      <c r="D88" t="s">
        <v>110</v>
      </c>
    </row>
    <row r="89" spans="3:4">
      <c r="C89" t="s">
        <v>347</v>
      </c>
      <c r="D89" t="s">
        <v>347</v>
      </c>
    </row>
    <row r="90" spans="3:4">
      <c r="C90" t="s">
        <v>347</v>
      </c>
      <c r="D90" t="s">
        <v>349</v>
      </c>
    </row>
    <row r="91" spans="3:4">
      <c r="C91" t="s">
        <v>347</v>
      </c>
      <c r="D91" t="s">
        <v>356</v>
      </c>
    </row>
    <row r="92" spans="3:4">
      <c r="C92" t="s">
        <v>347</v>
      </c>
      <c r="D92" t="s">
        <v>350</v>
      </c>
    </row>
    <row r="93" spans="3:4">
      <c r="C93" t="s">
        <v>347</v>
      </c>
      <c r="D93" t="s">
        <v>351</v>
      </c>
    </row>
    <row r="94" spans="3:4">
      <c r="C94" t="s">
        <v>347</v>
      </c>
      <c r="D94" t="s">
        <v>352</v>
      </c>
    </row>
    <row r="95" spans="3:4">
      <c r="C95" t="s">
        <v>347</v>
      </c>
      <c r="D95" t="s">
        <v>355</v>
      </c>
    </row>
    <row r="96" spans="3:4">
      <c r="C96" t="s">
        <v>347</v>
      </c>
      <c r="D96" t="s">
        <v>358</v>
      </c>
    </row>
    <row r="97" spans="3:4">
      <c r="C97" t="s">
        <v>347</v>
      </c>
      <c r="D97" t="s">
        <v>353</v>
      </c>
    </row>
    <row r="98" spans="3:4">
      <c r="C98" t="s">
        <v>347</v>
      </c>
      <c r="D98" t="s">
        <v>354</v>
      </c>
    </row>
    <row r="99" spans="3:4">
      <c r="C99" t="s">
        <v>397</v>
      </c>
      <c r="D99" t="s">
        <v>404</v>
      </c>
    </row>
    <row r="100" spans="3:4">
      <c r="C100" t="s">
        <v>397</v>
      </c>
      <c r="D100" t="s">
        <v>411</v>
      </c>
    </row>
    <row r="101" spans="3:4">
      <c r="C101" t="s">
        <v>397</v>
      </c>
      <c r="D101" t="s">
        <v>406</v>
      </c>
    </row>
    <row r="102" spans="3:4">
      <c r="C102" t="s">
        <v>397</v>
      </c>
      <c r="D102" t="s">
        <v>412</v>
      </c>
    </row>
    <row r="103" spans="3:4">
      <c r="C103" t="s">
        <v>397</v>
      </c>
      <c r="D103" t="s">
        <v>410</v>
      </c>
    </row>
    <row r="104" spans="3:4">
      <c r="C104" t="s">
        <v>397</v>
      </c>
      <c r="D104" t="s">
        <v>397</v>
      </c>
    </row>
    <row r="105" spans="3:4">
      <c r="C105" t="s">
        <v>397</v>
      </c>
      <c r="D105" t="s">
        <v>399</v>
      </c>
    </row>
    <row r="106" spans="3:4">
      <c r="C106" t="s">
        <v>397</v>
      </c>
      <c r="D106" t="s">
        <v>405</v>
      </c>
    </row>
    <row r="107" spans="3:4">
      <c r="C107" t="s">
        <v>397</v>
      </c>
      <c r="D107" t="s">
        <v>400</v>
      </c>
    </row>
    <row r="108" spans="3:4">
      <c r="C108" t="s">
        <v>397</v>
      </c>
      <c r="D108" t="s">
        <v>401</v>
      </c>
    </row>
    <row r="109" spans="3:4">
      <c r="C109" t="s">
        <v>397</v>
      </c>
      <c r="D109" t="s">
        <v>403</v>
      </c>
    </row>
    <row r="110" spans="3:4">
      <c r="C110" t="s">
        <v>397</v>
      </c>
      <c r="D110" t="s">
        <v>407</v>
      </c>
    </row>
    <row r="111" spans="3:4">
      <c r="C111" t="s">
        <v>397</v>
      </c>
      <c r="D111" t="s">
        <v>408</v>
      </c>
    </row>
    <row r="112" spans="3:4">
      <c r="C112" t="s">
        <v>397</v>
      </c>
      <c r="D112" t="s">
        <v>414</v>
      </c>
    </row>
    <row r="113" spans="3:4">
      <c r="C113" t="s">
        <v>397</v>
      </c>
      <c r="D113" t="s">
        <v>409</v>
      </c>
    </row>
    <row r="114" spans="3:4">
      <c r="C114" t="s">
        <v>397</v>
      </c>
      <c r="D114" t="s">
        <v>402</v>
      </c>
    </row>
    <row r="115" spans="3:4">
      <c r="C115" t="s">
        <v>306</v>
      </c>
      <c r="D115" t="s">
        <v>312</v>
      </c>
    </row>
    <row r="116" spans="3:4">
      <c r="C116" t="s">
        <v>306</v>
      </c>
      <c r="D116" t="s">
        <v>308</v>
      </c>
    </row>
    <row r="117" spans="3:4">
      <c r="C117" t="s">
        <v>306</v>
      </c>
      <c r="D117" t="s">
        <v>317</v>
      </c>
    </row>
    <row r="118" spans="3:4">
      <c r="C118" t="s">
        <v>306</v>
      </c>
      <c r="D118" t="s">
        <v>315</v>
      </c>
    </row>
    <row r="119" spans="3:4">
      <c r="C119" t="s">
        <v>306</v>
      </c>
      <c r="D119" t="s">
        <v>309</v>
      </c>
    </row>
    <row r="120" spans="3:4">
      <c r="C120" t="s">
        <v>306</v>
      </c>
      <c r="D120" t="s">
        <v>310</v>
      </c>
    </row>
    <row r="121" spans="3:4">
      <c r="C121" t="s">
        <v>306</v>
      </c>
      <c r="D121" t="s">
        <v>313</v>
      </c>
    </row>
    <row r="122" spans="3:4">
      <c r="C122" t="s">
        <v>306</v>
      </c>
      <c r="D122" t="s">
        <v>314</v>
      </c>
    </row>
    <row r="123" spans="3:4">
      <c r="C123" t="s">
        <v>306</v>
      </c>
      <c r="D123" t="s">
        <v>311</v>
      </c>
    </row>
    <row r="124" spans="3:4">
      <c r="C124" t="s">
        <v>454</v>
      </c>
      <c r="D124" t="s">
        <v>463</v>
      </c>
    </row>
    <row r="125" spans="3:4">
      <c r="C125" t="s">
        <v>454</v>
      </c>
      <c r="D125" t="s">
        <v>456</v>
      </c>
    </row>
    <row r="126" spans="3:4">
      <c r="C126" t="s">
        <v>454</v>
      </c>
      <c r="D126" t="s">
        <v>465</v>
      </c>
    </row>
    <row r="127" spans="3:4">
      <c r="C127" t="s">
        <v>454</v>
      </c>
      <c r="D127" t="s">
        <v>457</v>
      </c>
    </row>
    <row r="128" spans="3:4">
      <c r="C128" t="s">
        <v>454</v>
      </c>
      <c r="D128" t="s">
        <v>464</v>
      </c>
    </row>
    <row r="129" spans="3:4">
      <c r="C129" t="s">
        <v>454</v>
      </c>
      <c r="D129" t="s">
        <v>461</v>
      </c>
    </row>
    <row r="130" spans="3:4">
      <c r="C130" t="s">
        <v>454</v>
      </c>
      <c r="D130" t="s">
        <v>458</v>
      </c>
    </row>
    <row r="131" spans="3:4">
      <c r="C131" t="s">
        <v>454</v>
      </c>
      <c r="D131" t="s">
        <v>466</v>
      </c>
    </row>
    <row r="132" spans="3:4">
      <c r="C132" t="s">
        <v>454</v>
      </c>
      <c r="D132" t="s">
        <v>462</v>
      </c>
    </row>
    <row r="133" spans="3:4">
      <c r="C133" t="s">
        <v>454</v>
      </c>
      <c r="D133" t="s">
        <v>459</v>
      </c>
    </row>
    <row r="134" spans="3:4">
      <c r="C134" t="s">
        <v>454</v>
      </c>
      <c r="D134" t="s">
        <v>460</v>
      </c>
    </row>
    <row r="135" spans="3:4">
      <c r="C135" t="s">
        <v>213</v>
      </c>
      <c r="D135" t="s">
        <v>240</v>
      </c>
    </row>
    <row r="136" spans="3:4">
      <c r="C136" t="s">
        <v>213</v>
      </c>
      <c r="D136" t="s">
        <v>234</v>
      </c>
    </row>
    <row r="137" spans="3:4">
      <c r="C137" t="s">
        <v>213</v>
      </c>
      <c r="D137" t="s">
        <v>229</v>
      </c>
    </row>
    <row r="138" spans="3:4">
      <c r="C138" t="s">
        <v>213</v>
      </c>
      <c r="D138" t="s">
        <v>235</v>
      </c>
    </row>
    <row r="139" spans="3:4">
      <c r="C139" t="s">
        <v>213</v>
      </c>
      <c r="D139" t="s">
        <v>215</v>
      </c>
    </row>
    <row r="140" spans="3:4">
      <c r="C140" t="s">
        <v>213</v>
      </c>
      <c r="D140" t="s">
        <v>217</v>
      </c>
    </row>
    <row r="141" spans="3:4">
      <c r="C141" t="s">
        <v>213</v>
      </c>
      <c r="D141" t="s">
        <v>216</v>
      </c>
    </row>
    <row r="142" spans="3:4">
      <c r="C142" t="s">
        <v>213</v>
      </c>
      <c r="D142" t="s">
        <v>237</v>
      </c>
    </row>
    <row r="143" spans="3:4">
      <c r="C143" t="s">
        <v>213</v>
      </c>
      <c r="D143" t="s">
        <v>239</v>
      </c>
    </row>
    <row r="144" spans="3:4">
      <c r="C144" t="s">
        <v>213</v>
      </c>
      <c r="D144" t="s">
        <v>225</v>
      </c>
    </row>
    <row r="145" spans="3:4">
      <c r="C145" t="s">
        <v>213</v>
      </c>
      <c r="D145" t="s">
        <v>232</v>
      </c>
    </row>
    <row r="146" spans="3:4">
      <c r="C146" t="s">
        <v>213</v>
      </c>
      <c r="D146" t="s">
        <v>226</v>
      </c>
    </row>
    <row r="147" spans="3:4">
      <c r="C147" t="s">
        <v>213</v>
      </c>
      <c r="D147" t="s">
        <v>241</v>
      </c>
    </row>
    <row r="148" spans="3:4">
      <c r="C148" t="s">
        <v>213</v>
      </c>
      <c r="D148" t="s">
        <v>243</v>
      </c>
    </row>
    <row r="149" spans="3:4">
      <c r="C149" t="s">
        <v>213</v>
      </c>
      <c r="D149" t="s">
        <v>218</v>
      </c>
    </row>
    <row r="150" spans="3:4">
      <c r="C150" t="s">
        <v>213</v>
      </c>
      <c r="D150" t="s">
        <v>230</v>
      </c>
    </row>
    <row r="151" spans="3:4">
      <c r="C151" t="s">
        <v>213</v>
      </c>
      <c r="D151" t="s">
        <v>238</v>
      </c>
    </row>
    <row r="152" spans="3:4">
      <c r="C152" t="s">
        <v>213</v>
      </c>
      <c r="D152" t="s">
        <v>219</v>
      </c>
    </row>
    <row r="153" spans="3:4">
      <c r="C153" t="s">
        <v>213</v>
      </c>
      <c r="D153" t="s">
        <v>227</v>
      </c>
    </row>
    <row r="154" spans="3:4">
      <c r="C154" t="s">
        <v>213</v>
      </c>
      <c r="D154" t="s">
        <v>228</v>
      </c>
    </row>
    <row r="155" spans="3:4">
      <c r="C155" t="s">
        <v>213</v>
      </c>
      <c r="D155" t="s">
        <v>236</v>
      </c>
    </row>
    <row r="156" spans="3:4">
      <c r="C156" t="s">
        <v>213</v>
      </c>
      <c r="D156" t="s">
        <v>220</v>
      </c>
    </row>
    <row r="157" spans="3:4">
      <c r="C157" t="s">
        <v>213</v>
      </c>
      <c r="D157" t="s">
        <v>221</v>
      </c>
    </row>
    <row r="158" spans="3:4">
      <c r="C158" t="s">
        <v>213</v>
      </c>
      <c r="D158" t="s">
        <v>231</v>
      </c>
    </row>
    <row r="159" spans="3:4">
      <c r="C159" t="s">
        <v>213</v>
      </c>
      <c r="D159" t="s">
        <v>222</v>
      </c>
    </row>
    <row r="160" spans="3:4">
      <c r="C160" t="s">
        <v>213</v>
      </c>
      <c r="D160" t="s">
        <v>223</v>
      </c>
    </row>
    <row r="161" spans="3:4">
      <c r="C161" t="s">
        <v>213</v>
      </c>
      <c r="D161" t="s">
        <v>233</v>
      </c>
    </row>
    <row r="162" spans="3:4">
      <c r="C162" t="s">
        <v>213</v>
      </c>
      <c r="D162" t="s">
        <v>224</v>
      </c>
    </row>
    <row r="163" spans="3:4">
      <c r="C163" t="s">
        <v>445</v>
      </c>
      <c r="D163" t="s">
        <v>447</v>
      </c>
    </row>
    <row r="164" spans="3:4">
      <c r="C164" t="s">
        <v>445</v>
      </c>
      <c r="D164" t="s">
        <v>448</v>
      </c>
    </row>
    <row r="165" spans="3:4">
      <c r="C165" t="s">
        <v>445</v>
      </c>
      <c r="D165" t="s">
        <v>449</v>
      </c>
    </row>
    <row r="166" spans="3:4">
      <c r="C166" t="s">
        <v>445</v>
      </c>
      <c r="D166" t="s">
        <v>455</v>
      </c>
    </row>
    <row r="167" spans="3:4">
      <c r="C167" t="s">
        <v>445</v>
      </c>
      <c r="D167" t="s">
        <v>450</v>
      </c>
    </row>
    <row r="168" spans="3:4">
      <c r="C168" t="s">
        <v>445</v>
      </c>
      <c r="D168" t="s">
        <v>451</v>
      </c>
    </row>
    <row r="169" spans="3:4">
      <c r="C169" t="s">
        <v>445</v>
      </c>
      <c r="D169" t="s">
        <v>453</v>
      </c>
    </row>
    <row r="170" spans="3:4">
      <c r="C170" t="s">
        <v>445</v>
      </c>
      <c r="D170" t="s">
        <v>452</v>
      </c>
    </row>
    <row r="171" spans="3:4">
      <c r="C171" t="s">
        <v>132</v>
      </c>
      <c r="D171" t="s">
        <v>149</v>
      </c>
    </row>
    <row r="172" spans="3:4">
      <c r="C172" t="s">
        <v>132</v>
      </c>
      <c r="D172" t="s">
        <v>154</v>
      </c>
    </row>
    <row r="173" spans="3:4">
      <c r="C173" t="s">
        <v>132</v>
      </c>
      <c r="D173" t="s">
        <v>135</v>
      </c>
    </row>
    <row r="174" spans="3:4">
      <c r="C174" t="s">
        <v>132</v>
      </c>
      <c r="D174" t="s">
        <v>136</v>
      </c>
    </row>
    <row r="175" spans="3:4">
      <c r="C175" t="s">
        <v>132</v>
      </c>
      <c r="D175" t="s">
        <v>137</v>
      </c>
    </row>
    <row r="176" spans="3:4">
      <c r="C176" t="s">
        <v>132</v>
      </c>
      <c r="D176" t="s">
        <v>134</v>
      </c>
    </row>
    <row r="177" spans="3:4">
      <c r="C177" t="s">
        <v>132</v>
      </c>
      <c r="D177" t="s">
        <v>159</v>
      </c>
    </row>
    <row r="178" spans="3:4">
      <c r="C178" t="s">
        <v>132</v>
      </c>
      <c r="D178" t="s">
        <v>148</v>
      </c>
    </row>
    <row r="179" spans="3:4">
      <c r="C179" t="s">
        <v>132</v>
      </c>
      <c r="D179" t="s">
        <v>157</v>
      </c>
    </row>
    <row r="180" spans="3:4">
      <c r="C180" t="s">
        <v>132</v>
      </c>
      <c r="D180" t="s">
        <v>138</v>
      </c>
    </row>
    <row r="181" spans="3:4">
      <c r="C181" t="s">
        <v>132</v>
      </c>
      <c r="D181" t="s">
        <v>139</v>
      </c>
    </row>
    <row r="182" spans="3:4">
      <c r="C182" t="s">
        <v>132</v>
      </c>
      <c r="D182" t="s">
        <v>158</v>
      </c>
    </row>
    <row r="183" spans="3:4">
      <c r="C183" t="s">
        <v>132</v>
      </c>
      <c r="D183" t="s">
        <v>140</v>
      </c>
    </row>
    <row r="184" spans="3:4">
      <c r="C184" t="s">
        <v>132</v>
      </c>
      <c r="D184" t="s">
        <v>141</v>
      </c>
    </row>
    <row r="185" spans="3:4">
      <c r="C185" t="s">
        <v>132</v>
      </c>
      <c r="D185" t="s">
        <v>142</v>
      </c>
    </row>
    <row r="186" spans="3:4">
      <c r="C186" t="s">
        <v>132</v>
      </c>
      <c r="D186" t="s">
        <v>152</v>
      </c>
    </row>
    <row r="187" spans="3:4">
      <c r="C187" t="s">
        <v>132</v>
      </c>
      <c r="D187" t="s">
        <v>143</v>
      </c>
    </row>
    <row r="188" spans="3:4">
      <c r="C188" t="s">
        <v>132</v>
      </c>
      <c r="D188" t="s">
        <v>144</v>
      </c>
    </row>
    <row r="189" spans="3:4">
      <c r="C189" t="s">
        <v>132</v>
      </c>
      <c r="D189" t="s">
        <v>147</v>
      </c>
    </row>
    <row r="190" spans="3:4">
      <c r="C190" t="s">
        <v>132</v>
      </c>
      <c r="D190" t="s">
        <v>145</v>
      </c>
    </row>
    <row r="191" spans="3:4">
      <c r="C191" t="s">
        <v>132</v>
      </c>
      <c r="D191" t="s">
        <v>161</v>
      </c>
    </row>
    <row r="192" spans="3:4">
      <c r="C192" t="s">
        <v>132</v>
      </c>
      <c r="D192" t="s">
        <v>153</v>
      </c>
    </row>
    <row r="193" spans="3:4">
      <c r="C193" t="s">
        <v>132</v>
      </c>
      <c r="D193" t="s">
        <v>150</v>
      </c>
    </row>
    <row r="194" spans="3:4">
      <c r="C194" t="s">
        <v>132</v>
      </c>
      <c r="D194" t="s">
        <v>146</v>
      </c>
    </row>
    <row r="195" spans="3:4">
      <c r="C195" t="s">
        <v>132</v>
      </c>
      <c r="D195" t="s">
        <v>155</v>
      </c>
    </row>
    <row r="196" spans="3:4">
      <c r="C196" t="s">
        <v>132</v>
      </c>
      <c r="D196" t="s">
        <v>151</v>
      </c>
    </row>
    <row r="197" spans="3:4">
      <c r="C197" t="s">
        <v>132</v>
      </c>
      <c r="D197" t="s">
        <v>156</v>
      </c>
    </row>
    <row r="198" spans="3:4">
      <c r="C198" t="s">
        <v>357</v>
      </c>
      <c r="D198" t="s">
        <v>359</v>
      </c>
    </row>
    <row r="199" spans="3:4">
      <c r="C199" t="s">
        <v>357</v>
      </c>
      <c r="D199" t="s">
        <v>361</v>
      </c>
    </row>
    <row r="200" spans="3:4">
      <c r="C200" t="s">
        <v>357</v>
      </c>
      <c r="D200" t="s">
        <v>360</v>
      </c>
    </row>
    <row r="201" spans="3:4">
      <c r="C201" t="s">
        <v>357</v>
      </c>
      <c r="D201" t="s">
        <v>362</v>
      </c>
    </row>
    <row r="202" spans="3:4">
      <c r="C202" t="s">
        <v>357</v>
      </c>
      <c r="D202" t="s">
        <v>357</v>
      </c>
    </row>
    <row r="203" spans="3:4">
      <c r="C203" t="s">
        <v>357</v>
      </c>
      <c r="D203" t="s">
        <v>366</v>
      </c>
    </row>
    <row r="204" spans="3:4">
      <c r="C204" t="s">
        <v>357</v>
      </c>
      <c r="D204" t="s">
        <v>363</v>
      </c>
    </row>
    <row r="205" spans="3:4">
      <c r="C205" t="s">
        <v>357</v>
      </c>
      <c r="D205" t="s">
        <v>364</v>
      </c>
    </row>
    <row r="206" spans="3:4">
      <c r="C206" t="s">
        <v>365</v>
      </c>
      <c r="D206" t="s">
        <v>371</v>
      </c>
    </row>
    <row r="207" spans="3:4">
      <c r="C207" t="s">
        <v>365</v>
      </c>
      <c r="D207" t="s">
        <v>367</v>
      </c>
    </row>
    <row r="208" spans="3:4">
      <c r="C208" t="s">
        <v>365</v>
      </c>
      <c r="D208" t="s">
        <v>374</v>
      </c>
    </row>
    <row r="209" spans="3:4">
      <c r="C209" t="s">
        <v>365</v>
      </c>
      <c r="D209" t="s">
        <v>365</v>
      </c>
    </row>
    <row r="210" spans="3:4">
      <c r="C210" t="s">
        <v>365</v>
      </c>
      <c r="D210" t="s">
        <v>368</v>
      </c>
    </row>
    <row r="211" spans="3:4">
      <c r="C211" t="s">
        <v>365</v>
      </c>
      <c r="D211" t="s">
        <v>369</v>
      </c>
    </row>
    <row r="212" spans="3:4">
      <c r="C212" t="s">
        <v>365</v>
      </c>
      <c r="D212" t="s">
        <v>370</v>
      </c>
    </row>
    <row r="213" spans="3:4">
      <c r="C213" t="s">
        <v>365</v>
      </c>
      <c r="D213" t="s">
        <v>372</v>
      </c>
    </row>
    <row r="214" spans="3:4">
      <c r="C214" t="s">
        <v>266</v>
      </c>
      <c r="D214" t="s">
        <v>268</v>
      </c>
    </row>
    <row r="215" spans="3:4">
      <c r="C215" t="s">
        <v>266</v>
      </c>
      <c r="D215" t="s">
        <v>269</v>
      </c>
    </row>
    <row r="216" spans="3:4">
      <c r="C216" t="s">
        <v>266</v>
      </c>
      <c r="D216" t="s">
        <v>270</v>
      </c>
    </row>
    <row r="217" spans="3:4">
      <c r="C217" t="s">
        <v>266</v>
      </c>
      <c r="D217" t="s">
        <v>279</v>
      </c>
    </row>
    <row r="218" spans="3:4">
      <c r="C218" t="s">
        <v>266</v>
      </c>
      <c r="D218" t="s">
        <v>271</v>
      </c>
    </row>
    <row r="219" spans="3:4">
      <c r="C219" t="s">
        <v>266</v>
      </c>
      <c r="D219" t="s">
        <v>272</v>
      </c>
    </row>
    <row r="220" spans="3:4">
      <c r="C220" t="s">
        <v>266</v>
      </c>
      <c r="D220" t="s">
        <v>277</v>
      </c>
    </row>
    <row r="221" spans="3:4">
      <c r="C221" t="s">
        <v>266</v>
      </c>
      <c r="D221" t="s">
        <v>273</v>
      </c>
    </row>
    <row r="222" spans="3:4">
      <c r="C222" t="s">
        <v>266</v>
      </c>
      <c r="D222" t="s">
        <v>275</v>
      </c>
    </row>
    <row r="223" spans="3:4">
      <c r="C223" t="s">
        <v>266</v>
      </c>
      <c r="D223" t="s">
        <v>281</v>
      </c>
    </row>
    <row r="224" spans="3:4">
      <c r="C224" t="s">
        <v>266</v>
      </c>
      <c r="D224" t="s">
        <v>287</v>
      </c>
    </row>
    <row r="225" spans="3:4">
      <c r="C225" t="s">
        <v>266</v>
      </c>
      <c r="D225" t="s">
        <v>285</v>
      </c>
    </row>
    <row r="226" spans="3:4">
      <c r="C226" t="s">
        <v>266</v>
      </c>
      <c r="D226" t="s">
        <v>276</v>
      </c>
    </row>
    <row r="227" spans="3:4">
      <c r="C227" t="s">
        <v>266</v>
      </c>
      <c r="D227" t="s">
        <v>280</v>
      </c>
    </row>
    <row r="228" spans="3:4">
      <c r="C228" t="s">
        <v>266</v>
      </c>
      <c r="D228" t="s">
        <v>284</v>
      </c>
    </row>
    <row r="229" spans="3:4">
      <c r="C229" t="s">
        <v>266</v>
      </c>
      <c r="D229" t="s">
        <v>274</v>
      </c>
    </row>
    <row r="230" spans="3:4">
      <c r="C230" t="s">
        <v>266</v>
      </c>
      <c r="D230" t="s">
        <v>282</v>
      </c>
    </row>
    <row r="231" spans="3:4">
      <c r="C231" t="s">
        <v>266</v>
      </c>
      <c r="D231" t="s">
        <v>283</v>
      </c>
    </row>
    <row r="232" spans="3:4">
      <c r="C232" t="s">
        <v>266</v>
      </c>
      <c r="D232" t="s">
        <v>278</v>
      </c>
    </row>
    <row r="233" spans="3:4">
      <c r="C233" t="s">
        <v>160</v>
      </c>
      <c r="D233" t="s">
        <v>178</v>
      </c>
    </row>
    <row r="234" spans="3:4">
      <c r="C234" t="s">
        <v>160</v>
      </c>
      <c r="D234" t="s">
        <v>163</v>
      </c>
    </row>
    <row r="235" spans="3:4">
      <c r="C235" t="s">
        <v>160</v>
      </c>
      <c r="D235" t="s">
        <v>164</v>
      </c>
    </row>
    <row r="236" spans="3:4">
      <c r="C236" t="s">
        <v>160</v>
      </c>
      <c r="D236" t="s">
        <v>162</v>
      </c>
    </row>
    <row r="237" spans="3:4">
      <c r="C237" t="s">
        <v>160</v>
      </c>
      <c r="D237" t="s">
        <v>177</v>
      </c>
    </row>
    <row r="238" spans="3:4">
      <c r="C238" t="s">
        <v>160</v>
      </c>
      <c r="D238" t="s">
        <v>184</v>
      </c>
    </row>
    <row r="239" spans="3:4">
      <c r="C239" t="s">
        <v>160</v>
      </c>
      <c r="D239" t="s">
        <v>165</v>
      </c>
    </row>
    <row r="240" spans="3:4">
      <c r="C240" t="s">
        <v>160</v>
      </c>
      <c r="D240" t="s">
        <v>191</v>
      </c>
    </row>
    <row r="241" spans="3:4">
      <c r="C241" t="s">
        <v>160</v>
      </c>
      <c r="D241" t="s">
        <v>179</v>
      </c>
    </row>
    <row r="242" spans="3:4">
      <c r="C242" t="s">
        <v>160</v>
      </c>
      <c r="D242" t="s">
        <v>185</v>
      </c>
    </row>
    <row r="243" spans="3:4">
      <c r="C243" t="s">
        <v>160</v>
      </c>
      <c r="D243" t="s">
        <v>166</v>
      </c>
    </row>
    <row r="244" spans="3:4">
      <c r="C244" t="s">
        <v>160</v>
      </c>
      <c r="D244" t="s">
        <v>187</v>
      </c>
    </row>
    <row r="245" spans="3:4">
      <c r="C245" t="s">
        <v>160</v>
      </c>
      <c r="D245" t="s">
        <v>180</v>
      </c>
    </row>
    <row r="246" spans="3:4">
      <c r="C246" t="s">
        <v>160</v>
      </c>
      <c r="D246" t="s">
        <v>167</v>
      </c>
    </row>
    <row r="247" spans="3:4">
      <c r="C247" t="s">
        <v>160</v>
      </c>
      <c r="D247" t="s">
        <v>186</v>
      </c>
    </row>
    <row r="248" spans="3:4">
      <c r="C248" t="s">
        <v>160</v>
      </c>
      <c r="D248" t="s">
        <v>168</v>
      </c>
    </row>
    <row r="249" spans="3:4">
      <c r="C249" t="s">
        <v>160</v>
      </c>
      <c r="D249" t="s">
        <v>183</v>
      </c>
    </row>
    <row r="250" spans="3:4">
      <c r="C250" t="s">
        <v>160</v>
      </c>
      <c r="D250" t="s">
        <v>169</v>
      </c>
    </row>
    <row r="251" spans="3:4">
      <c r="C251" t="s">
        <v>160</v>
      </c>
      <c r="D251" t="s">
        <v>170</v>
      </c>
    </row>
    <row r="252" spans="3:4">
      <c r="C252" t="s">
        <v>160</v>
      </c>
      <c r="D252" t="s">
        <v>181</v>
      </c>
    </row>
    <row r="253" spans="3:4">
      <c r="C253" t="s">
        <v>160</v>
      </c>
      <c r="D253" t="s">
        <v>171</v>
      </c>
    </row>
    <row r="254" spans="3:4">
      <c r="C254" t="s">
        <v>160</v>
      </c>
      <c r="D254" t="s">
        <v>189</v>
      </c>
    </row>
    <row r="255" spans="3:4">
      <c r="C255" t="s">
        <v>160</v>
      </c>
      <c r="D255" t="s">
        <v>188</v>
      </c>
    </row>
    <row r="256" spans="3:4">
      <c r="C256" t="s">
        <v>160</v>
      </c>
      <c r="D256" t="s">
        <v>172</v>
      </c>
    </row>
    <row r="257" spans="3:4">
      <c r="C257" t="s">
        <v>160</v>
      </c>
      <c r="D257" t="s">
        <v>176</v>
      </c>
    </row>
    <row r="258" spans="3:4">
      <c r="C258" t="s">
        <v>160</v>
      </c>
      <c r="D258" t="s">
        <v>173</v>
      </c>
    </row>
    <row r="259" spans="3:4">
      <c r="C259" t="s">
        <v>160</v>
      </c>
      <c r="D259" t="s">
        <v>174</v>
      </c>
    </row>
    <row r="260" spans="3:4">
      <c r="C260" t="s">
        <v>160</v>
      </c>
      <c r="D260" t="s">
        <v>182</v>
      </c>
    </row>
    <row r="261" spans="3:4">
      <c r="C261" t="s">
        <v>160</v>
      </c>
      <c r="D261" t="s">
        <v>175</v>
      </c>
    </row>
    <row r="262" spans="3:4">
      <c r="C262" t="s">
        <v>425</v>
      </c>
      <c r="D262" t="s">
        <v>429</v>
      </c>
    </row>
    <row r="263" spans="3:4">
      <c r="C263" t="s">
        <v>425</v>
      </c>
      <c r="D263" t="s">
        <v>428</v>
      </c>
    </row>
    <row r="264" spans="3:4">
      <c r="C264" t="s">
        <v>425</v>
      </c>
      <c r="D264" t="s">
        <v>431</v>
      </c>
    </row>
    <row r="265" spans="3:4">
      <c r="C265" t="s">
        <v>425</v>
      </c>
      <c r="D265" t="s">
        <v>426</v>
      </c>
    </row>
    <row r="266" spans="3:4">
      <c r="C266" t="s">
        <v>425</v>
      </c>
      <c r="D266" t="s">
        <v>427</v>
      </c>
    </row>
    <row r="267" spans="3:4">
      <c r="C267" t="s">
        <v>425</v>
      </c>
      <c r="D267" t="s">
        <v>425</v>
      </c>
    </row>
    <row r="268" spans="3:4">
      <c r="C268" t="s">
        <v>423</v>
      </c>
      <c r="D268" t="s">
        <v>423</v>
      </c>
    </row>
    <row r="269" spans="3:4">
      <c r="C269" t="s">
        <v>286</v>
      </c>
      <c r="D269" t="s">
        <v>288</v>
      </c>
    </row>
    <row r="270" spans="3:4">
      <c r="C270" t="s">
        <v>286</v>
      </c>
      <c r="D270" t="s">
        <v>289</v>
      </c>
    </row>
    <row r="271" spans="3:4">
      <c r="C271" t="s">
        <v>286</v>
      </c>
      <c r="D271" t="s">
        <v>298</v>
      </c>
    </row>
    <row r="272" spans="3:4">
      <c r="C272" t="s">
        <v>286</v>
      </c>
      <c r="D272" t="s">
        <v>294</v>
      </c>
    </row>
    <row r="273" spans="3:4">
      <c r="C273" t="s">
        <v>286</v>
      </c>
      <c r="D273" t="s">
        <v>296</v>
      </c>
    </row>
    <row r="274" spans="3:4">
      <c r="C274" t="s">
        <v>286</v>
      </c>
      <c r="D274" t="s">
        <v>290</v>
      </c>
    </row>
    <row r="275" spans="3:4">
      <c r="C275" t="s">
        <v>286</v>
      </c>
      <c r="D275" t="s">
        <v>291</v>
      </c>
    </row>
    <row r="276" spans="3:4">
      <c r="C276" t="s">
        <v>286</v>
      </c>
      <c r="D276" t="s">
        <v>292</v>
      </c>
    </row>
    <row r="277" spans="3:4">
      <c r="C277" t="s">
        <v>286</v>
      </c>
      <c r="D277" t="s">
        <v>295</v>
      </c>
    </row>
    <row r="278" spans="3:4">
      <c r="C278" t="s">
        <v>286</v>
      </c>
      <c r="D278" t="s">
        <v>293</v>
      </c>
    </row>
    <row r="279" spans="3:4">
      <c r="C279" t="s">
        <v>190</v>
      </c>
      <c r="D279" t="s">
        <v>214</v>
      </c>
    </row>
    <row r="280" spans="3:4">
      <c r="C280" t="s">
        <v>190</v>
      </c>
      <c r="D280" t="s">
        <v>210</v>
      </c>
    </row>
    <row r="281" spans="3:4">
      <c r="C281" t="s">
        <v>190</v>
      </c>
      <c r="D281" t="s">
        <v>192</v>
      </c>
    </row>
    <row r="282" spans="3:4">
      <c r="C282" t="s">
        <v>190</v>
      </c>
      <c r="D282" t="s">
        <v>200</v>
      </c>
    </row>
    <row r="283" spans="3:4">
      <c r="C283" t="s">
        <v>190</v>
      </c>
      <c r="D283" t="s">
        <v>193</v>
      </c>
    </row>
    <row r="284" spans="3:4">
      <c r="C284" t="s">
        <v>190</v>
      </c>
      <c r="D284" t="s">
        <v>194</v>
      </c>
    </row>
    <row r="285" spans="3:4">
      <c r="C285" t="s">
        <v>190</v>
      </c>
      <c r="D285" t="s">
        <v>208</v>
      </c>
    </row>
    <row r="286" spans="3:4">
      <c r="C286" t="s">
        <v>190</v>
      </c>
      <c r="D286" t="s">
        <v>201</v>
      </c>
    </row>
    <row r="287" spans="3:4">
      <c r="C287" t="s">
        <v>190</v>
      </c>
      <c r="D287" t="s">
        <v>195</v>
      </c>
    </row>
    <row r="288" spans="3:4">
      <c r="C288" t="s">
        <v>190</v>
      </c>
      <c r="D288" t="s">
        <v>205</v>
      </c>
    </row>
    <row r="289" spans="3:4">
      <c r="C289" t="s">
        <v>190</v>
      </c>
      <c r="D289" t="s">
        <v>207</v>
      </c>
    </row>
    <row r="290" spans="3:4">
      <c r="C290" t="s">
        <v>190</v>
      </c>
      <c r="D290" t="s">
        <v>196</v>
      </c>
    </row>
    <row r="291" spans="3:4">
      <c r="C291" t="s">
        <v>190</v>
      </c>
      <c r="D291" t="s">
        <v>197</v>
      </c>
    </row>
    <row r="292" spans="3:4">
      <c r="C292" t="s">
        <v>190</v>
      </c>
      <c r="D292" t="s">
        <v>198</v>
      </c>
    </row>
    <row r="293" spans="3:4">
      <c r="C293" t="s">
        <v>190</v>
      </c>
      <c r="D293" t="s">
        <v>202</v>
      </c>
    </row>
    <row r="294" spans="3:4">
      <c r="C294" t="s">
        <v>190</v>
      </c>
      <c r="D294" t="s">
        <v>212</v>
      </c>
    </row>
    <row r="295" spans="3:4">
      <c r="C295" t="s">
        <v>190</v>
      </c>
      <c r="D295" t="s">
        <v>209</v>
      </c>
    </row>
    <row r="296" spans="3:4">
      <c r="C296" t="s">
        <v>190</v>
      </c>
      <c r="D296" t="s">
        <v>206</v>
      </c>
    </row>
    <row r="297" spans="3:4">
      <c r="C297" t="s">
        <v>190</v>
      </c>
      <c r="D297" t="s">
        <v>190</v>
      </c>
    </row>
    <row r="298" spans="3:4">
      <c r="C298" t="s">
        <v>190</v>
      </c>
      <c r="D298" t="s">
        <v>199</v>
      </c>
    </row>
    <row r="299" spans="3:4">
      <c r="C299" t="s">
        <v>190</v>
      </c>
      <c r="D299" t="s">
        <v>204</v>
      </c>
    </row>
    <row r="300" spans="3:4">
      <c r="C300" t="s">
        <v>190</v>
      </c>
      <c r="D300" t="s">
        <v>203</v>
      </c>
    </row>
    <row r="301" spans="3:4">
      <c r="C301" t="s">
        <v>190</v>
      </c>
      <c r="D301" t="s">
        <v>211</v>
      </c>
    </row>
    <row r="302" spans="3:4">
      <c r="C302" t="s">
        <v>118</v>
      </c>
      <c r="D302" t="s">
        <v>120</v>
      </c>
    </row>
    <row r="303" spans="3:4">
      <c r="C303" t="s">
        <v>118</v>
      </c>
      <c r="D303" t="s">
        <v>121</v>
      </c>
    </row>
    <row r="304" spans="3:4">
      <c r="C304" t="s">
        <v>118</v>
      </c>
      <c r="D304" t="s">
        <v>130</v>
      </c>
    </row>
    <row r="305" spans="3:4">
      <c r="C305" t="s">
        <v>118</v>
      </c>
      <c r="D305" t="s">
        <v>127</v>
      </c>
    </row>
    <row r="306" spans="3:4">
      <c r="C306" t="s">
        <v>118</v>
      </c>
      <c r="D306" t="s">
        <v>131</v>
      </c>
    </row>
    <row r="307" spans="3:4">
      <c r="C307" t="s">
        <v>118</v>
      </c>
      <c r="D307" t="s">
        <v>133</v>
      </c>
    </row>
    <row r="308" spans="3:4">
      <c r="C308" t="s">
        <v>118</v>
      </c>
      <c r="D308" t="s">
        <v>122</v>
      </c>
    </row>
    <row r="309" spans="3:4">
      <c r="C309" t="s">
        <v>118</v>
      </c>
      <c r="D309" t="s">
        <v>123</v>
      </c>
    </row>
    <row r="310" spans="3:4">
      <c r="C310" t="s">
        <v>118</v>
      </c>
      <c r="D310" t="s">
        <v>128</v>
      </c>
    </row>
    <row r="311" spans="3:4">
      <c r="C311" t="s">
        <v>118</v>
      </c>
      <c r="D311" t="s">
        <v>124</v>
      </c>
    </row>
    <row r="312" spans="3:4">
      <c r="C312" t="s">
        <v>118</v>
      </c>
      <c r="D312" t="s">
        <v>118</v>
      </c>
    </row>
    <row r="313" spans="3:4">
      <c r="C313" t="s">
        <v>118</v>
      </c>
      <c r="D313" t="s">
        <v>125</v>
      </c>
    </row>
    <row r="314" spans="3:4">
      <c r="C314" t="s">
        <v>118</v>
      </c>
      <c r="D314" t="s">
        <v>126</v>
      </c>
    </row>
    <row r="315" spans="3:4">
      <c r="C315" t="s">
        <v>118</v>
      </c>
      <c r="D315" t="s">
        <v>129</v>
      </c>
    </row>
    <row r="316" spans="3:4">
      <c r="C316" t="s">
        <v>338</v>
      </c>
      <c r="D316" t="s">
        <v>346</v>
      </c>
    </row>
    <row r="317" spans="3:4">
      <c r="C317" t="s">
        <v>338</v>
      </c>
      <c r="D317" t="s">
        <v>344</v>
      </c>
    </row>
    <row r="318" spans="3:4">
      <c r="C318" t="s">
        <v>338</v>
      </c>
      <c r="D318" t="s">
        <v>340</v>
      </c>
    </row>
    <row r="319" spans="3:4">
      <c r="C319" t="s">
        <v>338</v>
      </c>
      <c r="D319" t="s">
        <v>345</v>
      </c>
    </row>
    <row r="320" spans="3:4">
      <c r="C320" t="s">
        <v>338</v>
      </c>
      <c r="D320" t="s">
        <v>343</v>
      </c>
    </row>
    <row r="321" spans="3:4">
      <c r="C321" t="s">
        <v>338</v>
      </c>
      <c r="D321" t="s">
        <v>341</v>
      </c>
    </row>
    <row r="322" spans="3:4">
      <c r="C322" t="s">
        <v>338</v>
      </c>
      <c r="D322" t="s">
        <v>342</v>
      </c>
    </row>
    <row r="323" spans="3:4">
      <c r="C323" t="s">
        <v>338</v>
      </c>
      <c r="D323" t="s">
        <v>348</v>
      </c>
    </row>
    <row r="324" spans="3:4">
      <c r="C324" t="s">
        <v>430</v>
      </c>
      <c r="D324" t="s">
        <v>441</v>
      </c>
    </row>
    <row r="325" spans="3:4">
      <c r="C325" t="s">
        <v>430</v>
      </c>
      <c r="D325" t="s">
        <v>439</v>
      </c>
    </row>
    <row r="326" spans="3:4">
      <c r="C326" t="s">
        <v>430</v>
      </c>
      <c r="D326" t="s">
        <v>432</v>
      </c>
    </row>
    <row r="327" spans="3:4">
      <c r="C327" t="s">
        <v>430</v>
      </c>
      <c r="D327" t="s">
        <v>433</v>
      </c>
    </row>
    <row r="328" spans="3:4">
      <c r="C328" t="s">
        <v>430</v>
      </c>
      <c r="D328" t="s">
        <v>442</v>
      </c>
    </row>
    <row r="329" spans="3:4">
      <c r="C329" t="s">
        <v>430</v>
      </c>
      <c r="D329" t="s">
        <v>434</v>
      </c>
    </row>
    <row r="330" spans="3:4">
      <c r="C330" t="s">
        <v>430</v>
      </c>
      <c r="D330" t="s">
        <v>435</v>
      </c>
    </row>
    <row r="331" spans="3:4">
      <c r="C331" t="s">
        <v>430</v>
      </c>
      <c r="D331" t="s">
        <v>440</v>
      </c>
    </row>
    <row r="332" spans="3:4">
      <c r="C332" t="s">
        <v>430</v>
      </c>
      <c r="D332" t="s">
        <v>446</v>
      </c>
    </row>
    <row r="333" spans="3:4">
      <c r="C333" t="s">
        <v>430</v>
      </c>
      <c r="D333" t="s">
        <v>436</v>
      </c>
    </row>
    <row r="334" spans="3:4">
      <c r="C334" t="s">
        <v>430</v>
      </c>
      <c r="D334" t="s">
        <v>444</v>
      </c>
    </row>
    <row r="335" spans="3:4">
      <c r="C335" t="s">
        <v>430</v>
      </c>
      <c r="D335" t="s">
        <v>437</v>
      </c>
    </row>
    <row r="336" spans="3:4">
      <c r="C336" t="s">
        <v>430</v>
      </c>
      <c r="D336" t="s">
        <v>443</v>
      </c>
    </row>
    <row r="337" spans="3:4">
      <c r="C337" t="s">
        <v>430</v>
      </c>
      <c r="D337" t="s">
        <v>438</v>
      </c>
    </row>
    <row r="338" spans="3:4">
      <c r="C338" t="s">
        <v>39</v>
      </c>
      <c r="D338" t="s">
        <v>53</v>
      </c>
    </row>
    <row r="339" spans="3:4">
      <c r="C339" t="s">
        <v>39</v>
      </c>
      <c r="D339" t="s">
        <v>41</v>
      </c>
    </row>
    <row r="340" spans="3:4">
      <c r="C340" t="s">
        <v>39</v>
      </c>
      <c r="D340" t="s">
        <v>42</v>
      </c>
    </row>
    <row r="341" spans="3:4">
      <c r="C341" t="s">
        <v>39</v>
      </c>
      <c r="D341" t="s">
        <v>43</v>
      </c>
    </row>
    <row r="342" spans="3:4">
      <c r="C342" t="s">
        <v>39</v>
      </c>
      <c r="D342" t="s">
        <v>44</v>
      </c>
    </row>
    <row r="343" spans="3:4">
      <c r="C343" t="s">
        <v>39</v>
      </c>
      <c r="D343" t="s">
        <v>45</v>
      </c>
    </row>
    <row r="344" spans="3:4">
      <c r="C344" t="s">
        <v>39</v>
      </c>
      <c r="D344" t="s">
        <v>54</v>
      </c>
    </row>
    <row r="345" spans="3:4">
      <c r="C345" t="s">
        <v>39</v>
      </c>
      <c r="D345" t="s">
        <v>46</v>
      </c>
    </row>
    <row r="346" spans="3:4">
      <c r="C346" t="s">
        <v>39</v>
      </c>
      <c r="D346" t="s">
        <v>47</v>
      </c>
    </row>
    <row r="347" spans="3:4">
      <c r="C347" t="s">
        <v>39</v>
      </c>
      <c r="D347" t="s">
        <v>55</v>
      </c>
    </row>
    <row r="348" spans="3:4">
      <c r="C348" t="s">
        <v>39</v>
      </c>
      <c r="D348" t="s">
        <v>52</v>
      </c>
    </row>
    <row r="349" spans="3:4">
      <c r="C349" t="s">
        <v>39</v>
      </c>
      <c r="D349" t="s">
        <v>48</v>
      </c>
    </row>
    <row r="350" spans="3:4">
      <c r="C350" t="s">
        <v>39</v>
      </c>
      <c r="D350" t="s">
        <v>49</v>
      </c>
    </row>
    <row r="351" spans="3:4">
      <c r="C351" t="s">
        <v>39</v>
      </c>
      <c r="D351" t="s">
        <v>51</v>
      </c>
    </row>
    <row r="352" spans="3:4">
      <c r="C352" t="s">
        <v>39</v>
      </c>
      <c r="D352" t="s">
        <v>50</v>
      </c>
    </row>
    <row r="353" spans="3:4">
      <c r="C353" t="s">
        <v>39</v>
      </c>
      <c r="D353" t="s">
        <v>57</v>
      </c>
    </row>
    <row r="354" spans="3:4">
      <c r="C354" t="s">
        <v>316</v>
      </c>
      <c r="D354" t="s">
        <v>324</v>
      </c>
    </row>
    <row r="355" spans="3:4">
      <c r="C355" t="s">
        <v>316</v>
      </c>
      <c r="D355" t="s">
        <v>318</v>
      </c>
    </row>
    <row r="356" spans="3:4">
      <c r="C356" t="s">
        <v>316</v>
      </c>
      <c r="D356" t="s">
        <v>319</v>
      </c>
    </row>
    <row r="357" spans="3:4">
      <c r="C357" t="s">
        <v>316</v>
      </c>
      <c r="D357" t="s">
        <v>325</v>
      </c>
    </row>
    <row r="358" spans="3:4">
      <c r="C358" t="s">
        <v>316</v>
      </c>
      <c r="D358" t="s">
        <v>320</v>
      </c>
    </row>
    <row r="359" spans="3:4">
      <c r="C359" t="s">
        <v>316</v>
      </c>
      <c r="D359" t="s">
        <v>321</v>
      </c>
    </row>
    <row r="360" spans="3:4">
      <c r="C360" t="s">
        <v>316</v>
      </c>
      <c r="D360" t="s">
        <v>327</v>
      </c>
    </row>
    <row r="361" spans="3:4">
      <c r="C361" t="s">
        <v>316</v>
      </c>
      <c r="D361" t="s">
        <v>322</v>
      </c>
    </row>
    <row r="362" spans="3:4">
      <c r="C362" t="s">
        <v>316</v>
      </c>
      <c r="D362" t="s">
        <v>329</v>
      </c>
    </row>
    <row r="363" spans="3:4">
      <c r="C363" t="s">
        <v>316</v>
      </c>
      <c r="D363" t="s">
        <v>326</v>
      </c>
    </row>
    <row r="364" spans="3:4">
      <c r="C364" t="s">
        <v>316</v>
      </c>
      <c r="D364" t="s">
        <v>323</v>
      </c>
    </row>
    <row r="365" spans="3:4">
      <c r="C365" t="s">
        <v>56</v>
      </c>
      <c r="D365" t="s">
        <v>58</v>
      </c>
    </row>
    <row r="366" spans="3:4">
      <c r="C366" t="s">
        <v>56</v>
      </c>
      <c r="D366" t="s">
        <v>59</v>
      </c>
    </row>
    <row r="367" spans="3:4">
      <c r="C367" t="s">
        <v>56</v>
      </c>
      <c r="D367" t="s">
        <v>68</v>
      </c>
    </row>
    <row r="368" spans="3:4">
      <c r="C368" t="s">
        <v>56</v>
      </c>
      <c r="D368" t="s">
        <v>60</v>
      </c>
    </row>
    <row r="369" spans="3:4">
      <c r="C369" t="s">
        <v>56</v>
      </c>
      <c r="D369" t="s">
        <v>61</v>
      </c>
    </row>
    <row r="370" spans="3:4">
      <c r="C370" t="s">
        <v>56</v>
      </c>
      <c r="D370" t="s">
        <v>72</v>
      </c>
    </row>
    <row r="371" spans="3:4">
      <c r="C371" t="s">
        <v>56</v>
      </c>
      <c r="D371" t="s">
        <v>71</v>
      </c>
    </row>
    <row r="372" spans="3:4">
      <c r="C372" t="s">
        <v>56</v>
      </c>
      <c r="D372" t="s">
        <v>62</v>
      </c>
    </row>
    <row r="373" spans="3:4">
      <c r="C373" t="s">
        <v>56</v>
      </c>
      <c r="D373" t="s">
        <v>63</v>
      </c>
    </row>
    <row r="374" spans="3:4">
      <c r="C374" t="s">
        <v>56</v>
      </c>
      <c r="D374" t="s">
        <v>64</v>
      </c>
    </row>
    <row r="375" spans="3:4">
      <c r="C375" t="s">
        <v>56</v>
      </c>
      <c r="D375" t="s">
        <v>78</v>
      </c>
    </row>
    <row r="376" spans="3:4">
      <c r="C376" t="s">
        <v>56</v>
      </c>
      <c r="D376" t="s">
        <v>77</v>
      </c>
    </row>
    <row r="377" spans="3:4">
      <c r="C377" t="s">
        <v>56</v>
      </c>
      <c r="D377" t="s">
        <v>75</v>
      </c>
    </row>
    <row r="378" spans="3:4">
      <c r="C378" t="s">
        <v>56</v>
      </c>
      <c r="D378" t="s">
        <v>74</v>
      </c>
    </row>
    <row r="379" spans="3:4">
      <c r="C379" t="s">
        <v>56</v>
      </c>
      <c r="D379" t="s">
        <v>65</v>
      </c>
    </row>
    <row r="380" spans="3:4">
      <c r="C380" t="s">
        <v>56</v>
      </c>
      <c r="D380" t="s">
        <v>80</v>
      </c>
    </row>
    <row r="381" spans="3:4">
      <c r="C381" t="s">
        <v>56</v>
      </c>
      <c r="D381" t="s">
        <v>73</v>
      </c>
    </row>
    <row r="382" spans="3:4">
      <c r="C382" t="s">
        <v>56</v>
      </c>
      <c r="D382" t="s">
        <v>69</v>
      </c>
    </row>
    <row r="383" spans="3:4">
      <c r="C383" t="s">
        <v>56</v>
      </c>
      <c r="D383" t="s">
        <v>76</v>
      </c>
    </row>
    <row r="384" spans="3:4">
      <c r="C384" t="s">
        <v>56</v>
      </c>
      <c r="D384" t="s">
        <v>70</v>
      </c>
    </row>
    <row r="385" spans="3:4">
      <c r="C385" t="s">
        <v>56</v>
      </c>
      <c r="D385" t="s">
        <v>66</v>
      </c>
    </row>
    <row r="386" spans="3:4">
      <c r="C386" t="s">
        <v>56</v>
      </c>
      <c r="D386" t="s">
        <v>67</v>
      </c>
    </row>
    <row r="387" spans="3:4">
      <c r="C387" t="s">
        <v>27</v>
      </c>
      <c r="D387" t="s">
        <v>28</v>
      </c>
    </row>
    <row r="388" spans="3:4">
      <c r="C388" t="s">
        <v>27</v>
      </c>
      <c r="D388" t="s">
        <v>29</v>
      </c>
    </row>
    <row r="389" spans="3:4">
      <c r="C389" t="s">
        <v>27</v>
      </c>
      <c r="D389" t="s">
        <v>30</v>
      </c>
    </row>
    <row r="390" spans="3:4">
      <c r="C390" t="s">
        <v>27</v>
      </c>
      <c r="D390" t="s">
        <v>31</v>
      </c>
    </row>
    <row r="391" spans="3:4">
      <c r="C391" t="s">
        <v>27</v>
      </c>
      <c r="D391" t="s">
        <v>38</v>
      </c>
    </row>
    <row r="392" spans="3:4">
      <c r="C392" t="s">
        <v>27</v>
      </c>
      <c r="D392" t="s">
        <v>32</v>
      </c>
    </row>
    <row r="393" spans="3:4">
      <c r="C393" t="s">
        <v>27</v>
      </c>
      <c r="D393" t="s">
        <v>36</v>
      </c>
    </row>
    <row r="394" spans="3:4">
      <c r="C394" t="s">
        <v>27</v>
      </c>
      <c r="D394" t="s">
        <v>33</v>
      </c>
    </row>
    <row r="395" spans="3:4">
      <c r="C395" t="s">
        <v>27</v>
      </c>
      <c r="D395" t="s">
        <v>34</v>
      </c>
    </row>
    <row r="396" spans="3:4">
      <c r="C396" t="s">
        <v>27</v>
      </c>
      <c r="D396" t="s">
        <v>40</v>
      </c>
    </row>
    <row r="397" spans="3:4">
      <c r="C397" t="s">
        <v>27</v>
      </c>
      <c r="D397" t="s">
        <v>37</v>
      </c>
    </row>
    <row r="398" spans="3:4">
      <c r="C398" t="s">
        <v>27</v>
      </c>
      <c r="D398" t="s">
        <v>35</v>
      </c>
    </row>
    <row r="399" spans="3:4">
      <c r="C399" t="s">
        <v>383</v>
      </c>
      <c r="D399" t="s">
        <v>385</v>
      </c>
    </row>
    <row r="400" spans="3:4">
      <c r="C400" t="s">
        <v>383</v>
      </c>
      <c r="D400" t="s">
        <v>393</v>
      </c>
    </row>
    <row r="401" spans="3:4">
      <c r="C401" t="s">
        <v>383</v>
      </c>
      <c r="D401" t="s">
        <v>398</v>
      </c>
    </row>
    <row r="402" spans="3:4">
      <c r="C402" t="s">
        <v>383</v>
      </c>
      <c r="D402" t="s">
        <v>386</v>
      </c>
    </row>
    <row r="403" spans="3:4">
      <c r="C403" t="s">
        <v>383</v>
      </c>
      <c r="D403" t="s">
        <v>387</v>
      </c>
    </row>
    <row r="404" spans="3:4">
      <c r="C404" t="s">
        <v>383</v>
      </c>
      <c r="D404" t="s">
        <v>390</v>
      </c>
    </row>
    <row r="405" spans="3:4">
      <c r="C405" t="s">
        <v>383</v>
      </c>
      <c r="D405" t="s">
        <v>392</v>
      </c>
    </row>
    <row r="406" spans="3:4">
      <c r="C406" t="s">
        <v>383</v>
      </c>
      <c r="D406" t="s">
        <v>394</v>
      </c>
    </row>
    <row r="407" spans="3:4">
      <c r="C407" t="s">
        <v>383</v>
      </c>
      <c r="D407" t="s">
        <v>391</v>
      </c>
    </row>
    <row r="408" spans="3:4">
      <c r="C408" t="s">
        <v>383</v>
      </c>
      <c r="D408" t="s">
        <v>396</v>
      </c>
    </row>
    <row r="409" spans="3:4">
      <c r="C409" t="s">
        <v>383</v>
      </c>
      <c r="D409" t="s">
        <v>388</v>
      </c>
    </row>
    <row r="410" spans="3:4">
      <c r="C410" t="s">
        <v>383</v>
      </c>
      <c r="D410" t="s">
        <v>395</v>
      </c>
    </row>
    <row r="411" spans="3:4">
      <c r="C411" t="s">
        <v>383</v>
      </c>
      <c r="D411" t="s">
        <v>389</v>
      </c>
    </row>
    <row r="412" spans="3:4">
      <c r="C412" t="s">
        <v>297</v>
      </c>
      <c r="D412" t="s">
        <v>303</v>
      </c>
    </row>
    <row r="413" spans="3:4">
      <c r="C413" t="s">
        <v>297</v>
      </c>
      <c r="D413" t="s">
        <v>304</v>
      </c>
    </row>
    <row r="414" spans="3:4">
      <c r="C414" t="s">
        <v>297</v>
      </c>
      <c r="D414" t="s">
        <v>299</v>
      </c>
    </row>
    <row r="415" spans="3:4">
      <c r="C415" t="s">
        <v>297</v>
      </c>
      <c r="D415" t="s">
        <v>305</v>
      </c>
    </row>
    <row r="416" spans="3:4">
      <c r="C416" t="s">
        <v>297</v>
      </c>
      <c r="D416" t="s">
        <v>307</v>
      </c>
    </row>
    <row r="417" spans="3:4">
      <c r="C417" t="s">
        <v>297</v>
      </c>
      <c r="D417" t="s">
        <v>302</v>
      </c>
    </row>
    <row r="418" spans="3:4">
      <c r="C418" t="s">
        <v>297</v>
      </c>
      <c r="D418" t="s">
        <v>300</v>
      </c>
    </row>
    <row r="419" spans="3:4">
      <c r="C419" t="s">
        <v>297</v>
      </c>
      <c r="D419" t="s">
        <v>301</v>
      </c>
    </row>
    <row r="420" spans="3:4">
      <c r="C420" t="s">
        <v>297</v>
      </c>
      <c r="D420" t="s">
        <v>297</v>
      </c>
    </row>
    <row r="421" spans="3:4">
      <c r="C421" t="s">
        <v>373</v>
      </c>
      <c r="D421" t="s">
        <v>380</v>
      </c>
    </row>
    <row r="422" spans="3:4">
      <c r="C422" t="s">
        <v>373</v>
      </c>
      <c r="D422" t="s">
        <v>375</v>
      </c>
    </row>
    <row r="423" spans="3:4">
      <c r="C423" t="s">
        <v>373</v>
      </c>
      <c r="D423" t="s">
        <v>381</v>
      </c>
    </row>
    <row r="424" spans="3:4">
      <c r="C424" t="s">
        <v>373</v>
      </c>
      <c r="D424" t="s">
        <v>376</v>
      </c>
    </row>
    <row r="425" spans="3:4">
      <c r="C425" t="s">
        <v>373</v>
      </c>
      <c r="D425" t="s">
        <v>377</v>
      </c>
    </row>
    <row r="426" spans="3:4">
      <c r="C426" t="s">
        <v>373</v>
      </c>
      <c r="D426" t="s">
        <v>382</v>
      </c>
    </row>
    <row r="427" spans="3:4">
      <c r="C427" t="s">
        <v>373</v>
      </c>
      <c r="D427" t="s">
        <v>378</v>
      </c>
    </row>
    <row r="428" spans="3:4">
      <c r="C428" t="s">
        <v>373</v>
      </c>
      <c r="D428" t="s">
        <v>379</v>
      </c>
    </row>
    <row r="429" spans="3:4">
      <c r="C429" t="s">
        <v>373</v>
      </c>
      <c r="D429" t="s">
        <v>373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3853"/>
  <sheetViews>
    <sheetView workbookViewId="0">
      <selection activeCell="B9" sqref="B9"/>
    </sheetView>
  </sheetViews>
  <sheetFormatPr defaultRowHeight="15"/>
  <cols>
    <col min="1" max="1" width="10.85546875" customWidth="1"/>
    <col min="2" max="2" width="9.42578125" customWidth="1"/>
    <col min="3" max="3" width="11.85546875" customWidth="1"/>
    <col min="4" max="4" width="10" customWidth="1"/>
    <col min="5" max="5" width="12.85546875" customWidth="1"/>
    <col min="6" max="6" width="14.85546875" customWidth="1"/>
  </cols>
  <sheetData>
    <row r="1" spans="1:6">
      <c r="A1" t="s">
        <v>17</v>
      </c>
      <c r="B1" t="s">
        <v>6</v>
      </c>
      <c r="C1" t="s">
        <v>18</v>
      </c>
      <c r="D1" t="s">
        <v>21</v>
      </c>
      <c r="E1" t="s">
        <v>25</v>
      </c>
      <c r="F1" t="s">
        <v>26</v>
      </c>
    </row>
    <row r="2" spans="1:6">
      <c r="A2" t="s">
        <v>27</v>
      </c>
      <c r="B2" s="12" t="s">
        <v>28</v>
      </c>
      <c r="C2" s="12" t="s">
        <v>480</v>
      </c>
      <c r="D2" s="12">
        <v>0.38442950690545963</v>
      </c>
      <c r="E2" s="12">
        <v>599236</v>
      </c>
      <c r="F2" s="12">
        <v>230364</v>
      </c>
    </row>
    <row r="3" spans="1:6">
      <c r="A3" t="s">
        <v>27</v>
      </c>
      <c r="B3" s="12" t="s">
        <v>28</v>
      </c>
      <c r="C3" s="12" t="s">
        <v>479</v>
      </c>
      <c r="D3" s="12">
        <v>0.42409668310982651</v>
      </c>
      <c r="E3" s="12">
        <v>599236</v>
      </c>
      <c r="F3" s="12">
        <v>254134</v>
      </c>
    </row>
    <row r="4" spans="1:6">
      <c r="A4" t="s">
        <v>27</v>
      </c>
      <c r="B4" s="12" t="s">
        <v>28</v>
      </c>
      <c r="C4" s="12" t="s">
        <v>22</v>
      </c>
      <c r="D4" s="12">
        <v>0.11318578990581341</v>
      </c>
      <c r="E4" s="12">
        <v>599236</v>
      </c>
      <c r="F4" s="12">
        <v>67825</v>
      </c>
    </row>
    <row r="5" spans="1:6">
      <c r="A5" t="s">
        <v>27</v>
      </c>
      <c r="B5" s="12" t="s">
        <v>28</v>
      </c>
      <c r="C5" s="12" t="s">
        <v>478</v>
      </c>
      <c r="D5" s="12">
        <v>4.110066818415449E-2</v>
      </c>
      <c r="E5" s="12">
        <v>599236</v>
      </c>
      <c r="F5" s="12">
        <v>24629</v>
      </c>
    </row>
    <row r="6" spans="1:6">
      <c r="A6" t="s">
        <v>27</v>
      </c>
      <c r="B6" s="12" t="s">
        <v>28</v>
      </c>
      <c r="C6" s="12" t="s">
        <v>20</v>
      </c>
      <c r="D6" s="12">
        <v>3.7190689477935239E-2</v>
      </c>
      <c r="E6" s="12">
        <v>599236</v>
      </c>
      <c r="F6" s="12">
        <v>22286</v>
      </c>
    </row>
    <row r="7" spans="1:6">
      <c r="A7" t="s">
        <v>27</v>
      </c>
      <c r="B7" s="12" t="s">
        <v>29</v>
      </c>
      <c r="C7" s="12" t="s">
        <v>480</v>
      </c>
      <c r="D7" s="12">
        <v>0.349563359929635</v>
      </c>
      <c r="E7" s="12">
        <v>15917</v>
      </c>
      <c r="F7" s="12">
        <v>5564</v>
      </c>
    </row>
    <row r="8" spans="1:6">
      <c r="A8" t="s">
        <v>27</v>
      </c>
      <c r="B8" s="12" t="s">
        <v>29</v>
      </c>
      <c r="C8" s="12" t="s">
        <v>479</v>
      </c>
      <c r="D8" s="12">
        <v>0.38468304328705161</v>
      </c>
      <c r="E8" s="12">
        <v>15917</v>
      </c>
      <c r="F8" s="12">
        <v>6123</v>
      </c>
    </row>
    <row r="9" spans="1:6">
      <c r="A9" t="s">
        <v>27</v>
      </c>
      <c r="B9" s="12" t="s">
        <v>29</v>
      </c>
      <c r="C9" s="12" t="s">
        <v>22</v>
      </c>
      <c r="D9" s="12">
        <v>0.13061506565307532</v>
      </c>
      <c r="E9" s="12">
        <v>15917</v>
      </c>
      <c r="F9" s="12">
        <v>2079</v>
      </c>
    </row>
    <row r="10" spans="1:6">
      <c r="A10" t="s">
        <v>27</v>
      </c>
      <c r="B10" s="12" t="s">
        <v>29</v>
      </c>
      <c r="C10" s="12" t="s">
        <v>478</v>
      </c>
      <c r="D10" s="12">
        <v>6.1506565307532825E-2</v>
      </c>
      <c r="E10" s="12">
        <v>15917</v>
      </c>
      <c r="F10" s="12">
        <v>979</v>
      </c>
    </row>
    <row r="11" spans="1:6">
      <c r="A11" t="s">
        <v>27</v>
      </c>
      <c r="B11" s="12" t="s">
        <v>29</v>
      </c>
      <c r="C11" s="12" t="s">
        <v>20</v>
      </c>
      <c r="D11" s="12">
        <v>7.3946095369730472E-2</v>
      </c>
      <c r="E11" s="12">
        <v>15917</v>
      </c>
      <c r="F11" s="12">
        <v>1177</v>
      </c>
    </row>
    <row r="12" spans="1:6">
      <c r="A12" t="s">
        <v>27</v>
      </c>
      <c r="B12" s="12" t="s">
        <v>30</v>
      </c>
      <c r="C12" s="12" t="s">
        <v>480</v>
      </c>
      <c r="D12" s="12">
        <v>0.34603250668903002</v>
      </c>
      <c r="E12" s="12">
        <v>25041</v>
      </c>
      <c r="F12" s="12">
        <v>8665</v>
      </c>
    </row>
    <row r="13" spans="1:6">
      <c r="A13" t="s">
        <v>27</v>
      </c>
      <c r="B13" s="12" t="s">
        <v>30</v>
      </c>
      <c r="C13" s="12" t="s">
        <v>479</v>
      </c>
      <c r="D13" s="12">
        <v>0.37127111537079188</v>
      </c>
      <c r="E13" s="12">
        <v>25041</v>
      </c>
      <c r="F13" s="12">
        <v>9297</v>
      </c>
    </row>
    <row r="14" spans="1:6">
      <c r="A14" t="s">
        <v>27</v>
      </c>
      <c r="B14" s="12" t="s">
        <v>30</v>
      </c>
      <c r="C14" s="12" t="s">
        <v>22</v>
      </c>
      <c r="D14" s="12">
        <v>0.13202348149035581</v>
      </c>
      <c r="E14" s="12">
        <v>25041</v>
      </c>
      <c r="F14" s="12">
        <v>3306</v>
      </c>
    </row>
    <row r="15" spans="1:6">
      <c r="A15" t="s">
        <v>27</v>
      </c>
      <c r="B15" s="12" t="s">
        <v>30</v>
      </c>
      <c r="C15" s="12" t="s">
        <v>478</v>
      </c>
      <c r="D15" s="12">
        <v>7.024479853041013E-2</v>
      </c>
      <c r="E15" s="12">
        <v>25041</v>
      </c>
      <c r="F15" s="12">
        <v>1759</v>
      </c>
    </row>
    <row r="16" spans="1:6">
      <c r="A16" t="s">
        <v>27</v>
      </c>
      <c r="B16" s="12" t="s">
        <v>30</v>
      </c>
      <c r="C16" s="12" t="s">
        <v>20</v>
      </c>
      <c r="D16" s="12">
        <v>8.0547901441635719E-2</v>
      </c>
      <c r="E16" s="12">
        <v>25041</v>
      </c>
      <c r="F16" s="12">
        <v>2017</v>
      </c>
    </row>
    <row r="17" spans="1:6">
      <c r="A17" t="s">
        <v>27</v>
      </c>
      <c r="B17" s="12" t="s">
        <v>31</v>
      </c>
      <c r="C17" s="12" t="s">
        <v>480</v>
      </c>
      <c r="D17" s="12">
        <v>0.36324876001526135</v>
      </c>
      <c r="E17" s="12">
        <v>104840</v>
      </c>
      <c r="F17" s="12">
        <v>38083</v>
      </c>
    </row>
    <row r="18" spans="1:6">
      <c r="A18" t="s">
        <v>27</v>
      </c>
      <c r="B18" s="12" t="s">
        <v>31</v>
      </c>
      <c r="C18" s="12" t="s">
        <v>479</v>
      </c>
      <c r="D18" s="12">
        <v>0.39456314383822966</v>
      </c>
      <c r="E18" s="12">
        <v>104840</v>
      </c>
      <c r="F18" s="12">
        <v>41366</v>
      </c>
    </row>
    <row r="19" spans="1:6">
      <c r="A19" t="s">
        <v>27</v>
      </c>
      <c r="B19" s="12" t="s">
        <v>31</v>
      </c>
      <c r="C19" s="12" t="s">
        <v>22</v>
      </c>
      <c r="D19" s="12">
        <v>0.13076115986264786</v>
      </c>
      <c r="E19" s="12">
        <v>104840</v>
      </c>
      <c r="F19" s="12">
        <v>13709</v>
      </c>
    </row>
    <row r="20" spans="1:6">
      <c r="A20" t="s">
        <v>27</v>
      </c>
      <c r="B20" s="12" t="s">
        <v>31</v>
      </c>
      <c r="C20" s="12" t="s">
        <v>478</v>
      </c>
      <c r="D20" s="12">
        <v>5.4626096909576496E-2</v>
      </c>
      <c r="E20" s="12">
        <v>104840</v>
      </c>
      <c r="F20" s="12">
        <v>5727</v>
      </c>
    </row>
    <row r="21" spans="1:6">
      <c r="A21" t="s">
        <v>27</v>
      </c>
      <c r="B21" s="12" t="s">
        <v>31</v>
      </c>
      <c r="C21" s="12" t="s">
        <v>20</v>
      </c>
      <c r="D21" s="12">
        <v>5.6810377718428083E-2</v>
      </c>
      <c r="E21" s="12">
        <v>104840</v>
      </c>
      <c r="F21" s="12">
        <v>5956</v>
      </c>
    </row>
    <row r="22" spans="1:6">
      <c r="A22" t="s">
        <v>27</v>
      </c>
      <c r="B22" s="12" t="s">
        <v>32</v>
      </c>
      <c r="C22" s="12" t="s">
        <v>480</v>
      </c>
      <c r="D22" s="12">
        <v>0.40430512732671003</v>
      </c>
      <c r="E22" s="12">
        <v>52542</v>
      </c>
      <c r="F22" s="12">
        <v>21243</v>
      </c>
    </row>
    <row r="23" spans="1:6">
      <c r="A23" t="s">
        <v>27</v>
      </c>
      <c r="B23" s="12" t="s">
        <v>32</v>
      </c>
      <c r="C23" s="12" t="s">
        <v>479</v>
      </c>
      <c r="D23" s="12">
        <v>0.40198317536447031</v>
      </c>
      <c r="E23" s="12">
        <v>52542</v>
      </c>
      <c r="F23" s="12">
        <v>21121</v>
      </c>
    </row>
    <row r="24" spans="1:6">
      <c r="A24" t="s">
        <v>27</v>
      </c>
      <c r="B24" s="12" t="s">
        <v>32</v>
      </c>
      <c r="C24" s="12" t="s">
        <v>22</v>
      </c>
      <c r="D24" s="12">
        <v>0.10770431274028397</v>
      </c>
      <c r="E24" s="12">
        <v>52542</v>
      </c>
      <c r="F24" s="12">
        <v>5659</v>
      </c>
    </row>
    <row r="25" spans="1:6">
      <c r="A25" t="s">
        <v>27</v>
      </c>
      <c r="B25" s="12" t="s">
        <v>32</v>
      </c>
      <c r="C25" s="12" t="s">
        <v>478</v>
      </c>
      <c r="D25" s="12">
        <v>4.0862548056792659E-2</v>
      </c>
      <c r="E25" s="12">
        <v>52542</v>
      </c>
      <c r="F25" s="12">
        <v>2147</v>
      </c>
    </row>
    <row r="26" spans="1:6">
      <c r="A26" t="s">
        <v>27</v>
      </c>
      <c r="B26" s="12" t="s">
        <v>32</v>
      </c>
      <c r="C26" s="12" t="s">
        <v>20</v>
      </c>
      <c r="D26" s="12">
        <v>4.5125804118609877E-2</v>
      </c>
      <c r="E26" s="12">
        <v>52542</v>
      </c>
      <c r="F26" s="12">
        <v>2371</v>
      </c>
    </row>
    <row r="27" spans="1:6">
      <c r="A27" t="s">
        <v>27</v>
      </c>
      <c r="B27" s="12" t="s">
        <v>33</v>
      </c>
      <c r="C27" s="12" t="s">
        <v>480</v>
      </c>
      <c r="D27" s="12">
        <v>0.43224085048505961</v>
      </c>
      <c r="E27" s="12">
        <v>288212</v>
      </c>
      <c r="F27" s="12">
        <v>124577</v>
      </c>
    </row>
    <row r="28" spans="1:6">
      <c r="A28" t="s">
        <v>27</v>
      </c>
      <c r="B28" s="12" t="s">
        <v>33</v>
      </c>
      <c r="C28" s="12" t="s">
        <v>479</v>
      </c>
      <c r="D28" s="12">
        <v>0.41040969841644342</v>
      </c>
      <c r="E28" s="12">
        <v>288212</v>
      </c>
      <c r="F28" s="12">
        <v>118285</v>
      </c>
    </row>
    <row r="29" spans="1:6">
      <c r="A29" t="s">
        <v>27</v>
      </c>
      <c r="B29" s="12" t="s">
        <v>33</v>
      </c>
      <c r="C29" s="12" t="s">
        <v>22</v>
      </c>
      <c r="D29" s="12">
        <v>9.505155926887153E-2</v>
      </c>
      <c r="E29" s="12">
        <v>288212</v>
      </c>
      <c r="F29" s="12">
        <v>27395</v>
      </c>
    </row>
    <row r="30" spans="1:6">
      <c r="A30" t="s">
        <v>27</v>
      </c>
      <c r="B30" s="12" t="s">
        <v>33</v>
      </c>
      <c r="C30" s="12" t="s">
        <v>478</v>
      </c>
      <c r="D30" s="12">
        <v>3.2954908192580463E-2</v>
      </c>
      <c r="E30" s="12">
        <v>288212</v>
      </c>
      <c r="F30" s="12">
        <v>9498</v>
      </c>
    </row>
    <row r="31" spans="1:6">
      <c r="A31" t="s">
        <v>27</v>
      </c>
      <c r="B31" s="12" t="s">
        <v>33</v>
      </c>
      <c r="C31" s="12" t="s">
        <v>20</v>
      </c>
      <c r="D31" s="12">
        <v>2.9315226291757455E-2</v>
      </c>
      <c r="E31" s="12">
        <v>288212</v>
      </c>
      <c r="F31" s="12">
        <v>8449</v>
      </c>
    </row>
    <row r="32" spans="1:6">
      <c r="A32" t="s">
        <v>27</v>
      </c>
      <c r="B32" s="12" t="s">
        <v>34</v>
      </c>
      <c r="C32" s="12" t="s">
        <v>480</v>
      </c>
      <c r="D32" s="12">
        <v>0.38502846735828022</v>
      </c>
      <c r="E32" s="12">
        <v>117503</v>
      </c>
      <c r="F32" s="12">
        <v>45242</v>
      </c>
    </row>
    <row r="33" spans="1:6">
      <c r="A33" t="s">
        <v>27</v>
      </c>
      <c r="B33" s="12" t="s">
        <v>34</v>
      </c>
      <c r="C33" s="12" t="s">
        <v>479</v>
      </c>
      <c r="D33" s="12">
        <v>0.40143655906657705</v>
      </c>
      <c r="E33" s="12">
        <v>117503</v>
      </c>
      <c r="F33" s="12">
        <v>47170</v>
      </c>
    </row>
    <row r="34" spans="1:6">
      <c r="A34" t="s">
        <v>27</v>
      </c>
      <c r="B34" s="12" t="s">
        <v>34</v>
      </c>
      <c r="C34" s="12" t="s">
        <v>22</v>
      </c>
      <c r="D34" s="12">
        <v>0.11319710986102482</v>
      </c>
      <c r="E34" s="12">
        <v>117503</v>
      </c>
      <c r="F34" s="12">
        <v>13301</v>
      </c>
    </row>
    <row r="35" spans="1:6">
      <c r="A35" t="s">
        <v>27</v>
      </c>
      <c r="B35" s="12" t="s">
        <v>34</v>
      </c>
      <c r="C35" s="12" t="s">
        <v>478</v>
      </c>
      <c r="D35" s="12">
        <v>4.8628545654153511E-2</v>
      </c>
      <c r="E35" s="12">
        <v>117503</v>
      </c>
      <c r="F35" s="12">
        <v>5714</v>
      </c>
    </row>
    <row r="36" spans="1:6">
      <c r="A36" t="s">
        <v>27</v>
      </c>
      <c r="B36" s="12" t="s">
        <v>34</v>
      </c>
      <c r="C36" s="12" t="s">
        <v>20</v>
      </c>
      <c r="D36" s="12">
        <v>5.1709318059964426E-2</v>
      </c>
      <c r="E36" s="12">
        <v>117503</v>
      </c>
      <c r="F36" s="12">
        <v>6076</v>
      </c>
    </row>
    <row r="37" spans="1:6">
      <c r="A37" t="s">
        <v>27</v>
      </c>
      <c r="B37" s="12" t="s">
        <v>35</v>
      </c>
      <c r="C37" s="12" t="s">
        <v>480</v>
      </c>
      <c r="D37" s="12">
        <v>0.37862470406038057</v>
      </c>
      <c r="E37" s="12">
        <v>56177</v>
      </c>
      <c r="F37" s="12">
        <v>21270</v>
      </c>
    </row>
    <row r="38" spans="1:6">
      <c r="A38" t="s">
        <v>27</v>
      </c>
      <c r="B38" s="12" t="s">
        <v>35</v>
      </c>
      <c r="C38" s="12" t="s">
        <v>479</v>
      </c>
      <c r="D38" s="12">
        <v>0.4075155312672446</v>
      </c>
      <c r="E38" s="12">
        <v>56177</v>
      </c>
      <c r="F38" s="12">
        <v>22893</v>
      </c>
    </row>
    <row r="39" spans="1:6">
      <c r="A39" t="s">
        <v>27</v>
      </c>
      <c r="B39" s="12" t="s">
        <v>35</v>
      </c>
      <c r="C39" s="12" t="s">
        <v>22</v>
      </c>
      <c r="D39" s="12">
        <v>0.11755700731616142</v>
      </c>
      <c r="E39" s="12">
        <v>56177</v>
      </c>
      <c r="F39" s="12">
        <v>6604</v>
      </c>
    </row>
    <row r="40" spans="1:6">
      <c r="A40" t="s">
        <v>27</v>
      </c>
      <c r="B40" s="12" t="s">
        <v>35</v>
      </c>
      <c r="C40" s="12" t="s">
        <v>478</v>
      </c>
      <c r="D40" s="12">
        <v>4.7403741744842194E-2</v>
      </c>
      <c r="E40" s="12">
        <v>56177</v>
      </c>
      <c r="F40" s="12">
        <v>2663</v>
      </c>
    </row>
    <row r="41" spans="1:6">
      <c r="A41" t="s">
        <v>27</v>
      </c>
      <c r="B41" s="12" t="s">
        <v>35</v>
      </c>
      <c r="C41" s="12" t="s">
        <v>20</v>
      </c>
      <c r="D41" s="12">
        <v>4.8827812093917441E-2</v>
      </c>
      <c r="E41" s="12">
        <v>56177</v>
      </c>
      <c r="F41" s="12">
        <v>2743</v>
      </c>
    </row>
    <row r="42" spans="1:6">
      <c r="A42" t="s">
        <v>27</v>
      </c>
      <c r="B42" s="12" t="s">
        <v>36</v>
      </c>
      <c r="C42" s="12" t="s">
        <v>480</v>
      </c>
      <c r="D42" s="12">
        <v>0.3994232717636973</v>
      </c>
      <c r="E42" s="12">
        <v>64155</v>
      </c>
      <c r="F42" s="12">
        <v>25625</v>
      </c>
    </row>
    <row r="43" spans="1:6">
      <c r="A43" t="s">
        <v>27</v>
      </c>
      <c r="B43" s="12" t="s">
        <v>36</v>
      </c>
      <c r="C43" s="12" t="s">
        <v>479</v>
      </c>
      <c r="D43" s="12">
        <v>0.40173018470890809</v>
      </c>
      <c r="E43" s="12">
        <v>64155</v>
      </c>
      <c r="F43" s="12">
        <v>25773</v>
      </c>
    </row>
    <row r="44" spans="1:6">
      <c r="A44" t="s">
        <v>27</v>
      </c>
      <c r="B44" s="12" t="s">
        <v>36</v>
      </c>
      <c r="C44" s="12" t="s">
        <v>22</v>
      </c>
      <c r="D44" s="12">
        <v>0.10851843192268724</v>
      </c>
      <c r="E44" s="12">
        <v>64155</v>
      </c>
      <c r="F44" s="12">
        <v>6962</v>
      </c>
    </row>
    <row r="45" spans="1:6">
      <c r="A45" t="s">
        <v>27</v>
      </c>
      <c r="B45" s="12" t="s">
        <v>36</v>
      </c>
      <c r="C45" s="12" t="s">
        <v>478</v>
      </c>
      <c r="D45" s="12">
        <v>4.4127503701971785E-2</v>
      </c>
      <c r="E45" s="12">
        <v>64155</v>
      </c>
      <c r="F45" s="12">
        <v>2831</v>
      </c>
    </row>
    <row r="46" spans="1:6">
      <c r="A46" t="s">
        <v>27</v>
      </c>
      <c r="B46" s="12" t="s">
        <v>36</v>
      </c>
      <c r="C46" s="12" t="s">
        <v>20</v>
      </c>
      <c r="D46" s="12">
        <v>4.6200607902735565E-2</v>
      </c>
      <c r="E46" s="12">
        <v>64155</v>
      </c>
      <c r="F46" s="12">
        <v>2964</v>
      </c>
    </row>
    <row r="47" spans="1:6">
      <c r="A47" t="s">
        <v>27</v>
      </c>
      <c r="B47" s="12" t="s">
        <v>37</v>
      </c>
      <c r="C47" s="12" t="s">
        <v>480</v>
      </c>
      <c r="D47" s="12">
        <v>0.40335629168033232</v>
      </c>
      <c r="E47" s="12">
        <v>36588</v>
      </c>
      <c r="F47" s="12">
        <v>14758</v>
      </c>
    </row>
    <row r="48" spans="1:6">
      <c r="A48" t="s">
        <v>27</v>
      </c>
      <c r="B48" s="12" t="s">
        <v>37</v>
      </c>
      <c r="C48" s="12" t="s">
        <v>479</v>
      </c>
      <c r="D48" s="12">
        <v>0.39215043183557452</v>
      </c>
      <c r="E48" s="12">
        <v>36588</v>
      </c>
      <c r="F48" s="12">
        <v>14348</v>
      </c>
    </row>
    <row r="49" spans="1:6">
      <c r="A49" t="s">
        <v>27</v>
      </c>
      <c r="B49" s="12" t="s">
        <v>37</v>
      </c>
      <c r="C49" s="12" t="s">
        <v>22</v>
      </c>
      <c r="D49" s="12">
        <v>0.10385918880507271</v>
      </c>
      <c r="E49" s="12">
        <v>36588</v>
      </c>
      <c r="F49" s="12">
        <v>3800</v>
      </c>
    </row>
    <row r="50" spans="1:6">
      <c r="A50" t="s">
        <v>27</v>
      </c>
      <c r="B50" s="12" t="s">
        <v>37</v>
      </c>
      <c r="C50" s="12" t="s">
        <v>478</v>
      </c>
      <c r="D50" s="12">
        <v>4.8731824641959111E-2</v>
      </c>
      <c r="E50" s="12">
        <v>36588</v>
      </c>
      <c r="F50" s="12">
        <v>1783</v>
      </c>
    </row>
    <row r="51" spans="1:6">
      <c r="A51" t="s">
        <v>27</v>
      </c>
      <c r="B51" s="12" t="s">
        <v>37</v>
      </c>
      <c r="C51" s="12" t="s">
        <v>20</v>
      </c>
      <c r="D51" s="12">
        <v>5.2120913960861485E-2</v>
      </c>
      <c r="E51" s="12">
        <v>36588</v>
      </c>
      <c r="F51" s="12">
        <v>1907</v>
      </c>
    </row>
    <row r="52" spans="1:6">
      <c r="A52" t="s">
        <v>27</v>
      </c>
      <c r="B52" s="12" t="s">
        <v>38</v>
      </c>
      <c r="C52" s="12" t="s">
        <v>480</v>
      </c>
      <c r="D52" s="12">
        <v>0.40390225773483229</v>
      </c>
      <c r="E52" s="12">
        <v>53815</v>
      </c>
      <c r="F52" s="12">
        <v>21736</v>
      </c>
    </row>
    <row r="53" spans="1:6">
      <c r="A53" t="s">
        <v>27</v>
      </c>
      <c r="B53" s="12" t="s">
        <v>38</v>
      </c>
      <c r="C53" s="12" t="s">
        <v>479</v>
      </c>
      <c r="D53" s="12">
        <v>0.39037443092074703</v>
      </c>
      <c r="E53" s="12">
        <v>53815</v>
      </c>
      <c r="F53" s="12">
        <v>21008</v>
      </c>
    </row>
    <row r="54" spans="1:6">
      <c r="A54" t="s">
        <v>27</v>
      </c>
      <c r="B54" s="12" t="s">
        <v>38</v>
      </c>
      <c r="C54" s="12" t="s">
        <v>22</v>
      </c>
      <c r="D54" s="12">
        <v>0.10989501068475332</v>
      </c>
      <c r="E54" s="12">
        <v>53815</v>
      </c>
      <c r="F54" s="12">
        <v>5914</v>
      </c>
    </row>
    <row r="55" spans="1:6">
      <c r="A55" t="s">
        <v>27</v>
      </c>
      <c r="B55" s="12" t="s">
        <v>38</v>
      </c>
      <c r="C55" s="12" t="s">
        <v>478</v>
      </c>
      <c r="D55" s="12">
        <v>4.7142989872712072E-2</v>
      </c>
      <c r="E55" s="12">
        <v>53815</v>
      </c>
      <c r="F55" s="12">
        <v>2537</v>
      </c>
    </row>
    <row r="56" spans="1:6">
      <c r="A56" t="s">
        <v>27</v>
      </c>
      <c r="B56" s="12" t="s">
        <v>38</v>
      </c>
      <c r="C56" s="12" t="s">
        <v>20</v>
      </c>
      <c r="D56" s="12">
        <v>4.8703892966644985E-2</v>
      </c>
      <c r="E56" s="12">
        <v>53815</v>
      </c>
      <c r="F56" s="12">
        <v>2621</v>
      </c>
    </row>
    <row r="57" spans="1:6">
      <c r="A57" t="s">
        <v>27</v>
      </c>
      <c r="B57" s="12" t="s">
        <v>40</v>
      </c>
      <c r="C57" s="12" t="s">
        <v>480</v>
      </c>
      <c r="D57" s="12">
        <v>0.37897183294019704</v>
      </c>
      <c r="E57" s="12">
        <v>28828</v>
      </c>
      <c r="F57" s="12">
        <v>10925</v>
      </c>
    </row>
    <row r="58" spans="1:6">
      <c r="A58" t="s">
        <v>27</v>
      </c>
      <c r="B58" s="12" t="s">
        <v>40</v>
      </c>
      <c r="C58" s="12" t="s">
        <v>479</v>
      </c>
      <c r="D58" s="12">
        <v>0.38018593034549741</v>
      </c>
      <c r="E58" s="12">
        <v>28828</v>
      </c>
      <c r="F58" s="12">
        <v>10960</v>
      </c>
    </row>
    <row r="59" spans="1:6">
      <c r="A59" t="s">
        <v>27</v>
      </c>
      <c r="B59" s="12" t="s">
        <v>40</v>
      </c>
      <c r="C59" s="12" t="s">
        <v>22</v>
      </c>
      <c r="D59" s="12">
        <v>0.11481892604412376</v>
      </c>
      <c r="E59" s="12">
        <v>28828</v>
      </c>
      <c r="F59" s="12">
        <v>3310</v>
      </c>
    </row>
    <row r="60" spans="1:6">
      <c r="A60" t="s">
        <v>27</v>
      </c>
      <c r="B60" s="12" t="s">
        <v>40</v>
      </c>
      <c r="C60" s="12" t="s">
        <v>478</v>
      </c>
      <c r="D60" s="12">
        <v>5.9005133897599558E-2</v>
      </c>
      <c r="E60" s="12">
        <v>28828</v>
      </c>
      <c r="F60" s="12">
        <v>1701</v>
      </c>
    </row>
    <row r="61" spans="1:6">
      <c r="A61" t="s">
        <v>27</v>
      </c>
      <c r="B61" s="12" t="s">
        <v>40</v>
      </c>
      <c r="C61" s="12" t="s">
        <v>20</v>
      </c>
      <c r="D61" s="12">
        <v>6.6810045788816427E-2</v>
      </c>
      <c r="E61" s="12">
        <v>28828</v>
      </c>
      <c r="F61" s="12">
        <v>1926</v>
      </c>
    </row>
    <row r="62" spans="1:6">
      <c r="A62" t="s">
        <v>39</v>
      </c>
      <c r="B62" s="12" t="s">
        <v>41</v>
      </c>
      <c r="C62" s="12" t="s">
        <v>480</v>
      </c>
      <c r="D62" s="12">
        <v>0.40222855047138267</v>
      </c>
      <c r="E62" s="12">
        <v>92706</v>
      </c>
      <c r="F62" s="12">
        <v>37289</v>
      </c>
    </row>
    <row r="63" spans="1:6">
      <c r="A63" t="s">
        <v>39</v>
      </c>
      <c r="B63" s="12" t="s">
        <v>41</v>
      </c>
      <c r="C63" s="12" t="s">
        <v>479</v>
      </c>
      <c r="D63" s="12">
        <v>0.41319871421482968</v>
      </c>
      <c r="E63" s="12">
        <v>92706</v>
      </c>
      <c r="F63" s="12">
        <v>38306</v>
      </c>
    </row>
    <row r="64" spans="1:6">
      <c r="A64" t="s">
        <v>39</v>
      </c>
      <c r="B64" s="12" t="s">
        <v>41</v>
      </c>
      <c r="C64" s="12" t="s">
        <v>22</v>
      </c>
      <c r="D64" s="12">
        <v>0.11220417232973054</v>
      </c>
      <c r="E64" s="12">
        <v>92706</v>
      </c>
      <c r="F64" s="12">
        <v>10402</v>
      </c>
    </row>
    <row r="65" spans="1:6">
      <c r="A65" t="s">
        <v>39</v>
      </c>
      <c r="B65" s="12" t="s">
        <v>41</v>
      </c>
      <c r="C65" s="12" t="s">
        <v>478</v>
      </c>
      <c r="D65" s="12">
        <v>3.8465687226285246E-2</v>
      </c>
      <c r="E65" s="12">
        <v>92706</v>
      </c>
      <c r="F65" s="12">
        <v>3566</v>
      </c>
    </row>
    <row r="66" spans="1:6">
      <c r="A66" t="s">
        <v>39</v>
      </c>
      <c r="B66" s="12" t="s">
        <v>41</v>
      </c>
      <c r="C66" s="12" t="s">
        <v>20</v>
      </c>
      <c r="D66" s="12">
        <v>3.392444933445516E-2</v>
      </c>
      <c r="E66" s="12">
        <v>92706</v>
      </c>
      <c r="F66" s="12">
        <v>3145</v>
      </c>
    </row>
    <row r="67" spans="1:6">
      <c r="A67" t="s">
        <v>39</v>
      </c>
      <c r="B67" s="12" t="s">
        <v>42</v>
      </c>
      <c r="C67" s="12" t="s">
        <v>480</v>
      </c>
      <c r="D67" s="12">
        <v>0.31734997084116301</v>
      </c>
      <c r="E67" s="12">
        <v>108029</v>
      </c>
      <c r="F67" s="12">
        <v>34283</v>
      </c>
    </row>
    <row r="68" spans="1:6">
      <c r="A68" t="s">
        <v>39</v>
      </c>
      <c r="B68" s="12" t="s">
        <v>42</v>
      </c>
      <c r="C68" s="12" t="s">
        <v>479</v>
      </c>
      <c r="D68" s="12">
        <v>0.41586055596182508</v>
      </c>
      <c r="E68" s="12">
        <v>108029</v>
      </c>
      <c r="F68" s="12">
        <v>44925</v>
      </c>
    </row>
    <row r="69" spans="1:6">
      <c r="A69" t="s">
        <v>39</v>
      </c>
      <c r="B69" s="12" t="s">
        <v>42</v>
      </c>
      <c r="C69" s="12" t="s">
        <v>22</v>
      </c>
      <c r="D69" s="12">
        <v>0.14365587018300641</v>
      </c>
      <c r="E69" s="12">
        <v>108029</v>
      </c>
      <c r="F69" s="12">
        <v>15519</v>
      </c>
    </row>
    <row r="70" spans="1:6">
      <c r="A70" t="s">
        <v>39</v>
      </c>
      <c r="B70" s="12" t="s">
        <v>42</v>
      </c>
      <c r="C70" s="12" t="s">
        <v>478</v>
      </c>
      <c r="D70" s="12">
        <v>6.0835516389117737E-2</v>
      </c>
      <c r="E70" s="12">
        <v>108029</v>
      </c>
      <c r="F70" s="12">
        <v>6572</v>
      </c>
    </row>
    <row r="71" spans="1:6">
      <c r="A71" t="s">
        <v>39</v>
      </c>
      <c r="B71" s="12" t="s">
        <v>42</v>
      </c>
      <c r="C71" s="12" t="s">
        <v>20</v>
      </c>
      <c r="D71" s="12">
        <v>6.2307343398531875E-2</v>
      </c>
      <c r="E71" s="12">
        <v>108029</v>
      </c>
      <c r="F71" s="12">
        <v>6731</v>
      </c>
    </row>
    <row r="72" spans="1:6">
      <c r="A72" t="s">
        <v>39</v>
      </c>
      <c r="B72" s="12" t="s">
        <v>43</v>
      </c>
      <c r="C72" s="12" t="s">
        <v>480</v>
      </c>
      <c r="D72" s="12">
        <v>0.31360748197329907</v>
      </c>
      <c r="E72" s="12">
        <v>140070</v>
      </c>
      <c r="F72" s="12">
        <v>43927</v>
      </c>
    </row>
    <row r="73" spans="1:6">
      <c r="A73" t="s">
        <v>39</v>
      </c>
      <c r="B73" s="12" t="s">
        <v>43</v>
      </c>
      <c r="C73" s="12" t="s">
        <v>479</v>
      </c>
      <c r="D73" s="12">
        <v>0.42320268437209968</v>
      </c>
      <c r="E73" s="12">
        <v>140070</v>
      </c>
      <c r="F73" s="12">
        <v>59278</v>
      </c>
    </row>
    <row r="74" spans="1:6">
      <c r="A74" t="s">
        <v>39</v>
      </c>
      <c r="B74" s="12" t="s">
        <v>43</v>
      </c>
      <c r="C74" s="12" t="s">
        <v>22</v>
      </c>
      <c r="D74" s="12">
        <v>0.14814021560648247</v>
      </c>
      <c r="E74" s="12">
        <v>140070</v>
      </c>
      <c r="F74" s="12">
        <v>20750</v>
      </c>
    </row>
    <row r="75" spans="1:6">
      <c r="A75" t="s">
        <v>39</v>
      </c>
      <c r="B75" s="12" t="s">
        <v>43</v>
      </c>
      <c r="C75" s="12" t="s">
        <v>478</v>
      </c>
      <c r="D75" s="12">
        <v>6.0855286642393092E-2</v>
      </c>
      <c r="E75" s="12">
        <v>140070</v>
      </c>
      <c r="F75" s="12">
        <v>8524</v>
      </c>
    </row>
    <row r="76" spans="1:6">
      <c r="A76" t="s">
        <v>39</v>
      </c>
      <c r="B76" s="12" t="s">
        <v>43</v>
      </c>
      <c r="C76" s="12" t="s">
        <v>20</v>
      </c>
      <c r="D76" s="12">
        <v>5.4222888555722139E-2</v>
      </c>
      <c r="E76" s="12">
        <v>140070</v>
      </c>
      <c r="F76" s="12">
        <v>7595</v>
      </c>
    </row>
    <row r="77" spans="1:6">
      <c r="A77" t="s">
        <v>39</v>
      </c>
      <c r="B77" s="12" t="s">
        <v>44</v>
      </c>
      <c r="C77" s="12" t="s">
        <v>480</v>
      </c>
      <c r="D77" s="12">
        <v>0.42190557398380396</v>
      </c>
      <c r="E77" s="12">
        <v>202889</v>
      </c>
      <c r="F77" s="12">
        <v>85600</v>
      </c>
    </row>
    <row r="78" spans="1:6">
      <c r="A78" t="s">
        <v>39</v>
      </c>
      <c r="B78" s="12" t="s">
        <v>44</v>
      </c>
      <c r="C78" s="12" t="s">
        <v>479</v>
      </c>
      <c r="D78" s="12">
        <v>0.40068707519875402</v>
      </c>
      <c r="E78" s="12">
        <v>202889</v>
      </c>
      <c r="F78" s="12">
        <v>81295</v>
      </c>
    </row>
    <row r="79" spans="1:6">
      <c r="A79" t="s">
        <v>39</v>
      </c>
      <c r="B79" s="12" t="s">
        <v>44</v>
      </c>
      <c r="C79" s="12" t="s">
        <v>22</v>
      </c>
      <c r="D79" s="12">
        <v>0.10618121238706879</v>
      </c>
      <c r="E79" s="12">
        <v>202889</v>
      </c>
      <c r="F79" s="12">
        <v>21543</v>
      </c>
    </row>
    <row r="80" spans="1:6">
      <c r="A80" t="s">
        <v>39</v>
      </c>
      <c r="B80" s="12" t="s">
        <v>44</v>
      </c>
      <c r="C80" s="12" t="s">
        <v>478</v>
      </c>
      <c r="D80" s="12">
        <v>3.80503625134926E-2</v>
      </c>
      <c r="E80" s="12">
        <v>202889</v>
      </c>
      <c r="F80" s="12">
        <v>7720</v>
      </c>
    </row>
    <row r="81" spans="1:6">
      <c r="A81" t="s">
        <v>39</v>
      </c>
      <c r="B81" s="12" t="s">
        <v>44</v>
      </c>
      <c r="C81" s="12" t="s">
        <v>20</v>
      </c>
      <c r="D81" s="12">
        <v>3.3146203096274321E-2</v>
      </c>
      <c r="E81" s="12">
        <v>202889</v>
      </c>
      <c r="F81" s="12">
        <v>6725</v>
      </c>
    </row>
    <row r="82" spans="1:6">
      <c r="A82" t="s">
        <v>39</v>
      </c>
      <c r="B82" s="12" t="s">
        <v>45</v>
      </c>
      <c r="C82" s="12" t="s">
        <v>480</v>
      </c>
      <c r="D82" s="12">
        <v>0.3381420855237024</v>
      </c>
      <c r="E82" s="12">
        <v>969205</v>
      </c>
      <c r="F82" s="12">
        <v>327729</v>
      </c>
    </row>
    <row r="83" spans="1:6">
      <c r="A83" t="s">
        <v>39</v>
      </c>
      <c r="B83" s="12" t="s">
        <v>45</v>
      </c>
      <c r="C83" s="12" t="s">
        <v>479</v>
      </c>
      <c r="D83" s="12">
        <v>0.43491315046868312</v>
      </c>
      <c r="E83" s="12">
        <v>969205</v>
      </c>
      <c r="F83" s="12">
        <v>421520</v>
      </c>
    </row>
    <row r="84" spans="1:6">
      <c r="A84" t="s">
        <v>39</v>
      </c>
      <c r="B84" s="12" t="s">
        <v>45</v>
      </c>
      <c r="C84" s="12" t="s">
        <v>22</v>
      </c>
      <c r="D84" s="12">
        <v>0.13498382695095465</v>
      </c>
      <c r="E84" s="12">
        <v>969205</v>
      </c>
      <c r="F84" s="12">
        <v>130827</v>
      </c>
    </row>
    <row r="85" spans="1:6">
      <c r="A85" t="s">
        <v>39</v>
      </c>
      <c r="B85" s="12" t="s">
        <v>45</v>
      </c>
      <c r="C85" s="12" t="s">
        <v>478</v>
      </c>
      <c r="D85" s="12">
        <v>4.9186704567145238E-2</v>
      </c>
      <c r="E85" s="12">
        <v>969205</v>
      </c>
      <c r="F85" s="12">
        <v>47672</v>
      </c>
    </row>
    <row r="86" spans="1:6">
      <c r="A86" t="s">
        <v>39</v>
      </c>
      <c r="B86" s="12" t="s">
        <v>45</v>
      </c>
      <c r="C86" s="12" t="s">
        <v>20</v>
      </c>
      <c r="D86" s="12">
        <v>4.2771137169123147E-2</v>
      </c>
      <c r="E86" s="12">
        <v>969205</v>
      </c>
      <c r="F86" s="12">
        <v>41454</v>
      </c>
    </row>
    <row r="87" spans="1:6">
      <c r="A87" t="s">
        <v>39</v>
      </c>
      <c r="B87" s="12" t="s">
        <v>46</v>
      </c>
      <c r="C87" s="12" t="s">
        <v>480</v>
      </c>
      <c r="D87" s="12">
        <v>0.36422223873783005</v>
      </c>
      <c r="E87" s="12">
        <v>94187</v>
      </c>
      <c r="F87" s="12">
        <v>34305</v>
      </c>
    </row>
    <row r="88" spans="1:6">
      <c r="A88" t="s">
        <v>39</v>
      </c>
      <c r="B88" s="12" t="s">
        <v>46</v>
      </c>
      <c r="C88" s="12" t="s">
        <v>479</v>
      </c>
      <c r="D88" s="12">
        <v>0.40000212343529362</v>
      </c>
      <c r="E88" s="12">
        <v>94187</v>
      </c>
      <c r="F88" s="12">
        <v>37675</v>
      </c>
    </row>
    <row r="89" spans="1:6">
      <c r="A89" t="s">
        <v>39</v>
      </c>
      <c r="B89" s="12" t="s">
        <v>46</v>
      </c>
      <c r="C89" s="12" t="s">
        <v>22</v>
      </c>
      <c r="D89" s="12">
        <v>0.1256011976175056</v>
      </c>
      <c r="E89" s="12">
        <v>94187</v>
      </c>
      <c r="F89" s="12">
        <v>11830</v>
      </c>
    </row>
    <row r="90" spans="1:6">
      <c r="A90" t="s">
        <v>39</v>
      </c>
      <c r="B90" s="12" t="s">
        <v>46</v>
      </c>
      <c r="C90" s="12" t="s">
        <v>478</v>
      </c>
      <c r="D90" s="12">
        <v>5.3744147281471963E-2</v>
      </c>
      <c r="E90" s="12">
        <v>94187</v>
      </c>
      <c r="F90" s="12">
        <v>5062</v>
      </c>
    </row>
    <row r="91" spans="1:6">
      <c r="A91" t="s">
        <v>39</v>
      </c>
      <c r="B91" s="12" t="s">
        <v>46</v>
      </c>
      <c r="C91" s="12" t="s">
        <v>20</v>
      </c>
      <c r="D91" s="12">
        <v>5.6483378810239203E-2</v>
      </c>
      <c r="E91" s="12">
        <v>94187</v>
      </c>
      <c r="F91" s="12">
        <v>5320</v>
      </c>
    </row>
    <row r="92" spans="1:6">
      <c r="A92" t="s">
        <v>39</v>
      </c>
      <c r="B92" s="12" t="s">
        <v>47</v>
      </c>
      <c r="C92" s="12" t="s">
        <v>480</v>
      </c>
      <c r="D92" s="12">
        <v>0.31012508050574555</v>
      </c>
      <c r="E92" s="12">
        <v>147505</v>
      </c>
      <c r="F92" s="12">
        <v>45745</v>
      </c>
    </row>
    <row r="93" spans="1:6">
      <c r="A93" t="s">
        <v>39</v>
      </c>
      <c r="B93" s="12" t="s">
        <v>47</v>
      </c>
      <c r="C93" s="12" t="s">
        <v>479</v>
      </c>
      <c r="D93" s="12">
        <v>0.41394528999016983</v>
      </c>
      <c r="E93" s="12">
        <v>147505</v>
      </c>
      <c r="F93" s="12">
        <v>61059</v>
      </c>
    </row>
    <row r="94" spans="1:6">
      <c r="A94" t="s">
        <v>39</v>
      </c>
      <c r="B94" s="12" t="s">
        <v>47</v>
      </c>
      <c r="C94" s="12" t="s">
        <v>22</v>
      </c>
      <c r="D94" s="12">
        <v>0.14967628215992679</v>
      </c>
      <c r="E94" s="12">
        <v>147505</v>
      </c>
      <c r="F94" s="12">
        <v>22078</v>
      </c>
    </row>
    <row r="95" spans="1:6">
      <c r="A95" t="s">
        <v>39</v>
      </c>
      <c r="B95" s="12" t="s">
        <v>47</v>
      </c>
      <c r="C95" s="12" t="s">
        <v>478</v>
      </c>
      <c r="D95" s="12">
        <v>6.317073997491611E-2</v>
      </c>
      <c r="E95" s="12">
        <v>147505</v>
      </c>
      <c r="F95" s="12">
        <v>9318</v>
      </c>
    </row>
    <row r="96" spans="1:6">
      <c r="A96" t="s">
        <v>39</v>
      </c>
      <c r="B96" s="12" t="s">
        <v>47</v>
      </c>
      <c r="C96" s="12" t="s">
        <v>20</v>
      </c>
      <c r="D96" s="12">
        <v>6.305548964441883E-2</v>
      </c>
      <c r="E96" s="12">
        <v>147505</v>
      </c>
      <c r="F96" s="12">
        <v>9301</v>
      </c>
    </row>
    <row r="97" spans="1:6">
      <c r="A97" t="s">
        <v>39</v>
      </c>
      <c r="B97" s="12" t="s">
        <v>48</v>
      </c>
      <c r="C97" s="12" t="s">
        <v>480</v>
      </c>
      <c r="D97" s="12">
        <v>0.34207847380866496</v>
      </c>
      <c r="E97" s="12">
        <v>124755</v>
      </c>
      <c r="F97" s="12">
        <v>42676</v>
      </c>
    </row>
    <row r="98" spans="1:6">
      <c r="A98" t="s">
        <v>39</v>
      </c>
      <c r="B98" s="12" t="s">
        <v>48</v>
      </c>
      <c r="C98" s="12" t="s">
        <v>479</v>
      </c>
      <c r="D98" s="12">
        <v>0.41058875395775718</v>
      </c>
      <c r="E98" s="12">
        <v>124755</v>
      </c>
      <c r="F98" s="12">
        <v>51223</v>
      </c>
    </row>
    <row r="99" spans="1:6">
      <c r="A99" t="s">
        <v>39</v>
      </c>
      <c r="B99" s="12" t="s">
        <v>48</v>
      </c>
      <c r="C99" s="12" t="s">
        <v>22</v>
      </c>
      <c r="D99" s="12">
        <v>0.13893631517774838</v>
      </c>
      <c r="E99" s="12">
        <v>124755</v>
      </c>
      <c r="F99" s="12">
        <v>17333</v>
      </c>
    </row>
    <row r="100" spans="1:6">
      <c r="A100" t="s">
        <v>39</v>
      </c>
      <c r="B100" s="12" t="s">
        <v>48</v>
      </c>
      <c r="C100" s="12" t="s">
        <v>478</v>
      </c>
      <c r="D100" s="12">
        <v>5.4747304717245801E-2</v>
      </c>
      <c r="E100" s="12">
        <v>124755</v>
      </c>
      <c r="F100" s="12">
        <v>6830</v>
      </c>
    </row>
    <row r="101" spans="1:6">
      <c r="A101" t="s">
        <v>39</v>
      </c>
      <c r="B101" s="12" t="s">
        <v>48</v>
      </c>
      <c r="C101" s="12" t="s">
        <v>20</v>
      </c>
      <c r="D101" s="12">
        <v>5.3673199470963086E-2</v>
      </c>
      <c r="E101" s="12">
        <v>124755</v>
      </c>
      <c r="F101" s="12">
        <v>6696</v>
      </c>
    </row>
    <row r="102" spans="1:6">
      <c r="A102" t="s">
        <v>39</v>
      </c>
      <c r="B102" s="12" t="s">
        <v>49</v>
      </c>
      <c r="C102" s="12" t="s">
        <v>480</v>
      </c>
      <c r="D102" s="12">
        <v>0.32462743391711085</v>
      </c>
      <c r="E102" s="12">
        <v>91930</v>
      </c>
      <c r="F102" s="12">
        <v>29843</v>
      </c>
    </row>
    <row r="103" spans="1:6">
      <c r="A103" t="s">
        <v>39</v>
      </c>
      <c r="B103" s="12" t="s">
        <v>49</v>
      </c>
      <c r="C103" s="12" t="s">
        <v>479</v>
      </c>
      <c r="D103" s="12">
        <v>0.40823452626998802</v>
      </c>
      <c r="E103" s="12">
        <v>91930</v>
      </c>
      <c r="F103" s="12">
        <v>37529</v>
      </c>
    </row>
    <row r="104" spans="1:6">
      <c r="A104" t="s">
        <v>39</v>
      </c>
      <c r="B104" s="12" t="s">
        <v>49</v>
      </c>
      <c r="C104" s="12" t="s">
        <v>22</v>
      </c>
      <c r="D104" s="12">
        <v>0.14808006091591427</v>
      </c>
      <c r="E104" s="12">
        <v>91930</v>
      </c>
      <c r="F104" s="12">
        <v>13613</v>
      </c>
    </row>
    <row r="105" spans="1:6">
      <c r="A105" t="s">
        <v>39</v>
      </c>
      <c r="B105" s="12" t="s">
        <v>49</v>
      </c>
      <c r="C105" s="12" t="s">
        <v>478</v>
      </c>
      <c r="D105" s="12">
        <v>5.9882519308169256E-2</v>
      </c>
      <c r="E105" s="12">
        <v>91930</v>
      </c>
      <c r="F105" s="12">
        <v>5505</v>
      </c>
    </row>
    <row r="106" spans="1:6">
      <c r="A106" t="s">
        <v>39</v>
      </c>
      <c r="B106" s="12" t="s">
        <v>49</v>
      </c>
      <c r="C106" s="12" t="s">
        <v>20</v>
      </c>
      <c r="D106" s="12">
        <v>5.9186337430653761E-2</v>
      </c>
      <c r="E106" s="12">
        <v>91930</v>
      </c>
      <c r="F106" s="12">
        <v>5441</v>
      </c>
    </row>
    <row r="107" spans="1:6">
      <c r="A107" t="s">
        <v>39</v>
      </c>
      <c r="B107" s="12" t="s">
        <v>50</v>
      </c>
      <c r="C107" s="12" t="s">
        <v>480</v>
      </c>
      <c r="D107" s="12">
        <v>0.31885296860428969</v>
      </c>
      <c r="E107" s="12">
        <v>141548</v>
      </c>
      <c r="F107" s="12">
        <v>45133</v>
      </c>
    </row>
    <row r="108" spans="1:6">
      <c r="A108" t="s">
        <v>39</v>
      </c>
      <c r="B108" s="12" t="s">
        <v>50</v>
      </c>
      <c r="C108" s="12" t="s">
        <v>479</v>
      </c>
      <c r="D108" s="12">
        <v>0.42152485375985532</v>
      </c>
      <c r="E108" s="12">
        <v>141548</v>
      </c>
      <c r="F108" s="12">
        <v>59666</v>
      </c>
    </row>
    <row r="109" spans="1:6">
      <c r="A109" t="s">
        <v>39</v>
      </c>
      <c r="B109" s="12" t="s">
        <v>50</v>
      </c>
      <c r="C109" s="12" t="s">
        <v>22</v>
      </c>
      <c r="D109" s="12">
        <v>0.14392290954305254</v>
      </c>
      <c r="E109" s="12">
        <v>141548</v>
      </c>
      <c r="F109" s="12">
        <v>20372</v>
      </c>
    </row>
    <row r="110" spans="1:6">
      <c r="A110" t="s">
        <v>39</v>
      </c>
      <c r="B110" s="12" t="s">
        <v>50</v>
      </c>
      <c r="C110" s="12" t="s">
        <v>478</v>
      </c>
      <c r="D110" s="12">
        <v>5.9096560883940427E-2</v>
      </c>
      <c r="E110" s="12">
        <v>141548</v>
      </c>
      <c r="F110" s="12">
        <v>8365</v>
      </c>
    </row>
    <row r="111" spans="1:6">
      <c r="A111" t="s">
        <v>39</v>
      </c>
      <c r="B111" s="12" t="s">
        <v>50</v>
      </c>
      <c r="C111" s="12" t="s">
        <v>20</v>
      </c>
      <c r="D111" s="12">
        <v>5.6645095656597054E-2</v>
      </c>
      <c r="E111" s="12">
        <v>141548</v>
      </c>
      <c r="F111" s="12">
        <v>8018</v>
      </c>
    </row>
    <row r="112" spans="1:6">
      <c r="A112" t="s">
        <v>39</v>
      </c>
      <c r="B112" s="12" t="s">
        <v>51</v>
      </c>
      <c r="C112" s="12" t="s">
        <v>480</v>
      </c>
      <c r="D112" s="12">
        <v>0.31071860117989908</v>
      </c>
      <c r="E112" s="12">
        <v>168828</v>
      </c>
      <c r="F112" s="12">
        <v>52458</v>
      </c>
    </row>
    <row r="113" spans="1:6">
      <c r="A113" t="s">
        <v>39</v>
      </c>
      <c r="B113" s="12" t="s">
        <v>51</v>
      </c>
      <c r="C113" s="12" t="s">
        <v>479</v>
      </c>
      <c r="D113" s="12">
        <v>0.41955718245788615</v>
      </c>
      <c r="E113" s="12">
        <v>168828</v>
      </c>
      <c r="F113" s="12">
        <v>70833</v>
      </c>
    </row>
    <row r="114" spans="1:6">
      <c r="A114" t="s">
        <v>39</v>
      </c>
      <c r="B114" s="12" t="s">
        <v>51</v>
      </c>
      <c r="C114" s="12" t="s">
        <v>22</v>
      </c>
      <c r="D114" s="12">
        <v>0.1452424953206814</v>
      </c>
      <c r="E114" s="12">
        <v>168828</v>
      </c>
      <c r="F114" s="12">
        <v>24521</v>
      </c>
    </row>
    <row r="115" spans="1:6">
      <c r="A115" t="s">
        <v>39</v>
      </c>
      <c r="B115" s="12" t="s">
        <v>51</v>
      </c>
      <c r="C115" s="12" t="s">
        <v>478</v>
      </c>
      <c r="D115" s="12">
        <v>6.235340109460516E-2</v>
      </c>
      <c r="E115" s="12">
        <v>168828</v>
      </c>
      <c r="F115" s="12">
        <v>10527</v>
      </c>
    </row>
    <row r="116" spans="1:6">
      <c r="A116" t="s">
        <v>39</v>
      </c>
      <c r="B116" s="12" t="s">
        <v>51</v>
      </c>
      <c r="C116" s="12" t="s">
        <v>20</v>
      </c>
      <c r="D116" s="12">
        <v>6.2128319946928232E-2</v>
      </c>
      <c r="E116" s="12">
        <v>168828</v>
      </c>
      <c r="F116" s="12">
        <v>10489</v>
      </c>
    </row>
    <row r="117" spans="1:6">
      <c r="A117" t="s">
        <v>39</v>
      </c>
      <c r="B117" s="12" t="s">
        <v>52</v>
      </c>
      <c r="C117" s="12" t="s">
        <v>480</v>
      </c>
      <c r="D117" s="12">
        <v>0.30722914095515913</v>
      </c>
      <c r="E117" s="12">
        <v>53478</v>
      </c>
      <c r="F117" s="12">
        <v>16430</v>
      </c>
    </row>
    <row r="118" spans="1:6">
      <c r="A118" t="s">
        <v>39</v>
      </c>
      <c r="B118" s="12" t="s">
        <v>52</v>
      </c>
      <c r="C118" s="12" t="s">
        <v>479</v>
      </c>
      <c r="D118" s="12">
        <v>0.42308986873106696</v>
      </c>
      <c r="E118" s="12">
        <v>53478</v>
      </c>
      <c r="F118" s="12">
        <v>22626</v>
      </c>
    </row>
    <row r="119" spans="1:6">
      <c r="A119" t="s">
        <v>39</v>
      </c>
      <c r="B119" s="12" t="s">
        <v>52</v>
      </c>
      <c r="C119" s="12" t="s">
        <v>22</v>
      </c>
      <c r="D119" s="12">
        <v>0.14901454803844572</v>
      </c>
      <c r="E119" s="12">
        <v>53478</v>
      </c>
      <c r="F119" s="12">
        <v>7969</v>
      </c>
    </row>
    <row r="120" spans="1:6">
      <c r="A120" t="s">
        <v>39</v>
      </c>
      <c r="B120" s="12" t="s">
        <v>52</v>
      </c>
      <c r="C120" s="12" t="s">
        <v>478</v>
      </c>
      <c r="D120" s="12">
        <v>6.0716556340925237E-2</v>
      </c>
      <c r="E120" s="12">
        <v>53478</v>
      </c>
      <c r="F120" s="12">
        <v>3247</v>
      </c>
    </row>
    <row r="121" spans="1:6">
      <c r="A121" t="s">
        <v>39</v>
      </c>
      <c r="B121" s="12" t="s">
        <v>52</v>
      </c>
      <c r="C121" s="12" t="s">
        <v>20</v>
      </c>
      <c r="D121" s="12">
        <v>5.9931186656195068E-2</v>
      </c>
      <c r="E121" s="12">
        <v>53478</v>
      </c>
      <c r="F121" s="12">
        <v>3205</v>
      </c>
    </row>
    <row r="122" spans="1:6">
      <c r="A122" t="s">
        <v>39</v>
      </c>
      <c r="B122" s="12" t="s">
        <v>53</v>
      </c>
      <c r="C122" s="12" t="s">
        <v>480</v>
      </c>
      <c r="D122" s="12">
        <v>0.30866522517495526</v>
      </c>
      <c r="E122" s="12">
        <v>43011</v>
      </c>
      <c r="F122" s="12">
        <v>13276</v>
      </c>
    </row>
    <row r="123" spans="1:6">
      <c r="A123" t="s">
        <v>39</v>
      </c>
      <c r="B123" s="12" t="s">
        <v>53</v>
      </c>
      <c r="C123" s="12" t="s">
        <v>479</v>
      </c>
      <c r="D123" s="12">
        <v>0.41424286810350841</v>
      </c>
      <c r="E123" s="12">
        <v>43011</v>
      </c>
      <c r="F123" s="12">
        <v>17817</v>
      </c>
    </row>
    <row r="124" spans="1:6">
      <c r="A124" t="s">
        <v>39</v>
      </c>
      <c r="B124" s="12" t="s">
        <v>53</v>
      </c>
      <c r="C124" s="12" t="s">
        <v>22</v>
      </c>
      <c r="D124" s="12">
        <v>0.1476599009555695</v>
      </c>
      <c r="E124" s="12">
        <v>43011</v>
      </c>
      <c r="F124" s="12">
        <v>6351</v>
      </c>
    </row>
    <row r="125" spans="1:6">
      <c r="A125" t="s">
        <v>39</v>
      </c>
      <c r="B125" s="12" t="s">
        <v>53</v>
      </c>
      <c r="C125" s="12" t="s">
        <v>478</v>
      </c>
      <c r="D125" s="12">
        <v>6.3076887307897983E-2</v>
      </c>
      <c r="E125" s="12">
        <v>43011</v>
      </c>
      <c r="F125" s="12">
        <v>2713</v>
      </c>
    </row>
    <row r="126" spans="1:6">
      <c r="A126" t="s">
        <v>39</v>
      </c>
      <c r="B126" s="12" t="s">
        <v>53</v>
      </c>
      <c r="C126" s="12" t="s">
        <v>20</v>
      </c>
      <c r="D126" s="12">
        <v>6.6424868057008674E-2</v>
      </c>
      <c r="E126" s="12">
        <v>43011</v>
      </c>
      <c r="F126" s="12">
        <v>2857</v>
      </c>
    </row>
    <row r="127" spans="1:6">
      <c r="A127" t="s">
        <v>39</v>
      </c>
      <c r="B127" s="12" t="s">
        <v>54</v>
      </c>
      <c r="C127" s="12" t="s">
        <v>480</v>
      </c>
      <c r="D127" s="12">
        <v>0.38510876814576206</v>
      </c>
      <c r="E127" s="12">
        <v>70471</v>
      </c>
      <c r="F127" s="12">
        <v>27139</v>
      </c>
    </row>
    <row r="128" spans="1:6">
      <c r="A128" t="s">
        <v>39</v>
      </c>
      <c r="B128" s="12" t="s">
        <v>54</v>
      </c>
      <c r="C128" s="12" t="s">
        <v>479</v>
      </c>
      <c r="D128" s="12">
        <v>0.40755771877793701</v>
      </c>
      <c r="E128" s="12">
        <v>70471</v>
      </c>
      <c r="F128" s="12">
        <v>28721</v>
      </c>
    </row>
    <row r="129" spans="1:6">
      <c r="A129" t="s">
        <v>39</v>
      </c>
      <c r="B129" s="12" t="s">
        <v>54</v>
      </c>
      <c r="C129" s="12" t="s">
        <v>22</v>
      </c>
      <c r="D129" s="12">
        <v>0.11935406053553944</v>
      </c>
      <c r="E129" s="12">
        <v>70471</v>
      </c>
      <c r="F129" s="12">
        <v>8411</v>
      </c>
    </row>
    <row r="130" spans="1:6">
      <c r="A130" t="s">
        <v>39</v>
      </c>
      <c r="B130" s="12" t="s">
        <v>54</v>
      </c>
      <c r="C130" s="12" t="s">
        <v>478</v>
      </c>
      <c r="D130" s="12">
        <v>4.4940471967192176E-2</v>
      </c>
      <c r="E130" s="12">
        <v>70471</v>
      </c>
      <c r="F130" s="12">
        <v>3167</v>
      </c>
    </row>
    <row r="131" spans="1:6">
      <c r="A131" t="s">
        <v>39</v>
      </c>
      <c r="B131" s="12" t="s">
        <v>54</v>
      </c>
      <c r="C131" s="12" t="s">
        <v>20</v>
      </c>
      <c r="D131" s="12">
        <v>4.3053170807850039E-2</v>
      </c>
      <c r="E131" s="12">
        <v>70471</v>
      </c>
      <c r="F131" s="12">
        <v>3034</v>
      </c>
    </row>
    <row r="132" spans="1:6">
      <c r="A132" t="s">
        <v>39</v>
      </c>
      <c r="B132" s="12" t="s">
        <v>55</v>
      </c>
      <c r="C132" s="12" t="s">
        <v>480</v>
      </c>
      <c r="D132" s="12">
        <v>0.32993067074986177</v>
      </c>
      <c r="E132" s="12">
        <v>47022</v>
      </c>
      <c r="F132" s="12">
        <v>15514</v>
      </c>
    </row>
    <row r="133" spans="1:6">
      <c r="A133" t="s">
        <v>39</v>
      </c>
      <c r="B133" s="12" t="s">
        <v>55</v>
      </c>
      <c r="C133" s="12" t="s">
        <v>479</v>
      </c>
      <c r="D133" s="12">
        <v>0.40155671813193822</v>
      </c>
      <c r="E133" s="12">
        <v>47022</v>
      </c>
      <c r="F133" s="12">
        <v>18882</v>
      </c>
    </row>
    <row r="134" spans="1:6">
      <c r="A134" t="s">
        <v>39</v>
      </c>
      <c r="B134" s="12" t="s">
        <v>55</v>
      </c>
      <c r="C134" s="12" t="s">
        <v>22</v>
      </c>
      <c r="D134" s="12">
        <v>0.14505975926162221</v>
      </c>
      <c r="E134" s="12">
        <v>47022</v>
      </c>
      <c r="F134" s="12">
        <v>6821</v>
      </c>
    </row>
    <row r="135" spans="1:6">
      <c r="A135" t="s">
        <v>39</v>
      </c>
      <c r="B135" s="12" t="s">
        <v>55</v>
      </c>
      <c r="C135" s="12" t="s">
        <v>478</v>
      </c>
      <c r="D135" s="12">
        <v>5.9695461698779297E-2</v>
      </c>
      <c r="E135" s="12">
        <v>47022</v>
      </c>
      <c r="F135" s="12">
        <v>2807</v>
      </c>
    </row>
    <row r="136" spans="1:6">
      <c r="A136" t="s">
        <v>39</v>
      </c>
      <c r="B136" s="12" t="s">
        <v>55</v>
      </c>
      <c r="C136" s="12" t="s">
        <v>20</v>
      </c>
      <c r="D136" s="12">
        <v>6.3821190081238571E-2</v>
      </c>
      <c r="E136" s="12">
        <v>47022</v>
      </c>
      <c r="F136" s="12">
        <v>3001</v>
      </c>
    </row>
    <row r="137" spans="1:6">
      <c r="A137" t="s">
        <v>39</v>
      </c>
      <c r="B137" s="12" t="s">
        <v>57</v>
      </c>
      <c r="C137" s="12" t="s">
        <v>480</v>
      </c>
      <c r="D137" s="12">
        <v>0.3814388623818879</v>
      </c>
      <c r="E137" s="12">
        <v>53445</v>
      </c>
      <c r="F137" s="12">
        <v>20386</v>
      </c>
    </row>
    <row r="138" spans="1:6">
      <c r="A138" t="s">
        <v>39</v>
      </c>
      <c r="B138" s="12" t="s">
        <v>57</v>
      </c>
      <c r="C138" s="12" t="s">
        <v>479</v>
      </c>
      <c r="D138" s="12">
        <v>0.40561324726354198</v>
      </c>
      <c r="E138" s="12">
        <v>53445</v>
      </c>
      <c r="F138" s="12">
        <v>21678</v>
      </c>
    </row>
    <row r="139" spans="1:6">
      <c r="A139" t="s">
        <v>39</v>
      </c>
      <c r="B139" s="12" t="s">
        <v>57</v>
      </c>
      <c r="C139" s="12" t="s">
        <v>22</v>
      </c>
      <c r="D139" s="12">
        <v>0.12150809243147161</v>
      </c>
      <c r="E139" s="12">
        <v>53445</v>
      </c>
      <c r="F139" s="12">
        <v>6494</v>
      </c>
    </row>
    <row r="140" spans="1:6">
      <c r="A140" t="s">
        <v>39</v>
      </c>
      <c r="B140" s="12" t="s">
        <v>57</v>
      </c>
      <c r="C140" s="12" t="s">
        <v>478</v>
      </c>
      <c r="D140" s="12">
        <v>4.7600336794835815E-2</v>
      </c>
      <c r="E140" s="12">
        <v>53445</v>
      </c>
      <c r="F140" s="12">
        <v>2544</v>
      </c>
    </row>
    <row r="141" spans="1:6">
      <c r="A141" t="s">
        <v>39</v>
      </c>
      <c r="B141" s="12" t="s">
        <v>57</v>
      </c>
      <c r="C141" s="12" t="s">
        <v>20</v>
      </c>
      <c r="D141" s="12">
        <v>4.3820750304050894E-2</v>
      </c>
      <c r="E141" s="12">
        <v>53445</v>
      </c>
      <c r="F141" s="12">
        <v>2342</v>
      </c>
    </row>
    <row r="142" spans="1:6">
      <c r="A142" t="s">
        <v>56</v>
      </c>
      <c r="B142" s="12" t="s">
        <v>58</v>
      </c>
      <c r="C142" s="12" t="s">
        <v>480</v>
      </c>
      <c r="D142" s="12">
        <v>0.36466764762959886</v>
      </c>
      <c r="E142" s="12">
        <v>407083</v>
      </c>
      <c r="F142" s="12">
        <v>148450</v>
      </c>
    </row>
    <row r="143" spans="1:6">
      <c r="A143" t="s">
        <v>56</v>
      </c>
      <c r="B143" s="12" t="s">
        <v>58</v>
      </c>
      <c r="C143" s="12" t="s">
        <v>479</v>
      </c>
      <c r="D143" s="12">
        <v>0.42948489620052915</v>
      </c>
      <c r="E143" s="12">
        <v>407083</v>
      </c>
      <c r="F143" s="12">
        <v>174836</v>
      </c>
    </row>
    <row r="144" spans="1:6">
      <c r="A144" t="s">
        <v>56</v>
      </c>
      <c r="B144" s="12" t="s">
        <v>58</v>
      </c>
      <c r="C144" s="12" t="s">
        <v>22</v>
      </c>
      <c r="D144" s="12">
        <v>0.12289877002969911</v>
      </c>
      <c r="E144" s="12">
        <v>407083</v>
      </c>
      <c r="F144" s="12">
        <v>50030</v>
      </c>
    </row>
    <row r="145" spans="1:6">
      <c r="A145" t="s">
        <v>56</v>
      </c>
      <c r="B145" s="12" t="s">
        <v>58</v>
      </c>
      <c r="C145" s="12" t="s">
        <v>478</v>
      </c>
      <c r="D145" s="12">
        <v>4.4305461048483971E-2</v>
      </c>
      <c r="E145" s="12">
        <v>407083</v>
      </c>
      <c r="F145" s="12">
        <v>18036</v>
      </c>
    </row>
    <row r="146" spans="1:6">
      <c r="A146" t="s">
        <v>56</v>
      </c>
      <c r="B146" s="12" t="s">
        <v>58</v>
      </c>
      <c r="C146" s="12" t="s">
        <v>20</v>
      </c>
      <c r="D146" s="12">
        <v>3.8640768590189223E-2</v>
      </c>
      <c r="E146" s="12">
        <v>407083</v>
      </c>
      <c r="F146" s="12">
        <v>15730</v>
      </c>
    </row>
    <row r="147" spans="1:6">
      <c r="A147" t="s">
        <v>56</v>
      </c>
      <c r="B147" s="12" t="s">
        <v>59</v>
      </c>
      <c r="C147" s="12" t="s">
        <v>480</v>
      </c>
      <c r="D147" s="12">
        <v>0.37108588698210665</v>
      </c>
      <c r="E147" s="12">
        <v>538021</v>
      </c>
      <c r="F147" s="12">
        <v>199652</v>
      </c>
    </row>
    <row r="148" spans="1:6">
      <c r="A148" t="s">
        <v>56</v>
      </c>
      <c r="B148" s="12" t="s">
        <v>59</v>
      </c>
      <c r="C148" s="12" t="s">
        <v>479</v>
      </c>
      <c r="D148" s="12">
        <v>0.41521613468619256</v>
      </c>
      <c r="E148" s="12">
        <v>538021</v>
      </c>
      <c r="F148" s="12">
        <v>223395</v>
      </c>
    </row>
    <row r="149" spans="1:6">
      <c r="A149" t="s">
        <v>56</v>
      </c>
      <c r="B149" s="12" t="s">
        <v>59</v>
      </c>
      <c r="C149" s="12" t="s">
        <v>22</v>
      </c>
      <c r="D149" s="12">
        <v>0.12271082355521439</v>
      </c>
      <c r="E149" s="12">
        <v>538021</v>
      </c>
      <c r="F149" s="12">
        <v>66021</v>
      </c>
    </row>
    <row r="150" spans="1:6">
      <c r="A150" t="s">
        <v>56</v>
      </c>
      <c r="B150" s="12" t="s">
        <v>59</v>
      </c>
      <c r="C150" s="12" t="s">
        <v>478</v>
      </c>
      <c r="D150" s="12">
        <v>4.7118978627228303E-2</v>
      </c>
      <c r="E150" s="12">
        <v>538021</v>
      </c>
      <c r="F150" s="12">
        <v>25351</v>
      </c>
    </row>
    <row r="151" spans="1:6">
      <c r="A151" t="s">
        <v>56</v>
      </c>
      <c r="B151" s="12" t="s">
        <v>59</v>
      </c>
      <c r="C151" s="12" t="s">
        <v>20</v>
      </c>
      <c r="D151" s="12">
        <v>4.386074149522045E-2</v>
      </c>
      <c r="E151" s="12">
        <v>538021</v>
      </c>
      <c r="F151" s="12">
        <v>23598</v>
      </c>
    </row>
    <row r="152" spans="1:6">
      <c r="A152" t="s">
        <v>56</v>
      </c>
      <c r="B152" s="12" t="s">
        <v>60</v>
      </c>
      <c r="C152" s="12" t="s">
        <v>480</v>
      </c>
      <c r="D152" s="12">
        <v>0.37171820819474916</v>
      </c>
      <c r="E152" s="12">
        <v>169572</v>
      </c>
      <c r="F152" s="12">
        <v>63033</v>
      </c>
    </row>
    <row r="153" spans="1:6">
      <c r="A153" t="s">
        <v>56</v>
      </c>
      <c r="B153" s="12" t="s">
        <v>60</v>
      </c>
      <c r="C153" s="12" t="s">
        <v>479</v>
      </c>
      <c r="D153" s="12">
        <v>0.4211544358738471</v>
      </c>
      <c r="E153" s="12">
        <v>169572</v>
      </c>
      <c r="F153" s="12">
        <v>71416</v>
      </c>
    </row>
    <row r="154" spans="1:6">
      <c r="A154" t="s">
        <v>56</v>
      </c>
      <c r="B154" s="12" t="s">
        <v>60</v>
      </c>
      <c r="C154" s="12" t="s">
        <v>22</v>
      </c>
      <c r="D154" s="12">
        <v>0.12205434859528695</v>
      </c>
      <c r="E154" s="12">
        <v>169572</v>
      </c>
      <c r="F154" s="12">
        <v>20697</v>
      </c>
    </row>
    <row r="155" spans="1:6">
      <c r="A155" t="s">
        <v>56</v>
      </c>
      <c r="B155" s="12" t="s">
        <v>60</v>
      </c>
      <c r="C155" s="12" t="s">
        <v>478</v>
      </c>
      <c r="D155" s="12">
        <v>4.4860000471775997E-2</v>
      </c>
      <c r="E155" s="12">
        <v>169572</v>
      </c>
      <c r="F155" s="12">
        <v>7607</v>
      </c>
    </row>
    <row r="156" spans="1:6">
      <c r="A156" t="s">
        <v>56</v>
      </c>
      <c r="B156" s="12" t="s">
        <v>60</v>
      </c>
      <c r="C156" s="12" t="s">
        <v>20</v>
      </c>
      <c r="D156" s="12">
        <v>4.01776236642842E-2</v>
      </c>
      <c r="E156" s="12">
        <v>169572</v>
      </c>
      <c r="F156" s="12">
        <v>6813</v>
      </c>
    </row>
    <row r="157" spans="1:6">
      <c r="A157" t="s">
        <v>56</v>
      </c>
      <c r="B157" s="12" t="s">
        <v>61</v>
      </c>
      <c r="C157" s="12" t="s">
        <v>480</v>
      </c>
      <c r="D157" s="12">
        <v>0.33222016816745187</v>
      </c>
      <c r="E157" s="12">
        <v>167690</v>
      </c>
      <c r="F157" s="12">
        <v>55710</v>
      </c>
    </row>
    <row r="158" spans="1:6">
      <c r="A158" t="s">
        <v>56</v>
      </c>
      <c r="B158" s="12" t="s">
        <v>61</v>
      </c>
      <c r="C158" s="12" t="s">
        <v>479</v>
      </c>
      <c r="D158" s="12">
        <v>0.42192736597292624</v>
      </c>
      <c r="E158" s="12">
        <v>167690</v>
      </c>
      <c r="F158" s="12">
        <v>70753</v>
      </c>
    </row>
    <row r="159" spans="1:6">
      <c r="A159" t="s">
        <v>56</v>
      </c>
      <c r="B159" s="12" t="s">
        <v>61</v>
      </c>
      <c r="C159" s="12" t="s">
        <v>22</v>
      </c>
      <c r="D159" s="12">
        <v>0.13894090285646132</v>
      </c>
      <c r="E159" s="12">
        <v>167690</v>
      </c>
      <c r="F159" s="12">
        <v>23299</v>
      </c>
    </row>
    <row r="160" spans="1:6">
      <c r="A160" t="s">
        <v>56</v>
      </c>
      <c r="B160" s="12" t="s">
        <v>61</v>
      </c>
      <c r="C160" s="12" t="s">
        <v>478</v>
      </c>
      <c r="D160" s="12">
        <v>5.5316357564553643E-2</v>
      </c>
      <c r="E160" s="12">
        <v>167690</v>
      </c>
      <c r="F160" s="12">
        <v>9276</v>
      </c>
    </row>
    <row r="161" spans="1:6">
      <c r="A161" t="s">
        <v>56</v>
      </c>
      <c r="B161" s="12" t="s">
        <v>61</v>
      </c>
      <c r="C161" s="12" t="s">
        <v>20</v>
      </c>
      <c r="D161" s="12">
        <v>5.1613095593058621E-2</v>
      </c>
      <c r="E161" s="12">
        <v>167690</v>
      </c>
      <c r="F161" s="12">
        <v>8655</v>
      </c>
    </row>
    <row r="162" spans="1:6">
      <c r="A162" t="s">
        <v>56</v>
      </c>
      <c r="B162" s="12" t="s">
        <v>62</v>
      </c>
      <c r="C162" s="12" t="s">
        <v>480</v>
      </c>
      <c r="D162" s="12">
        <v>0.32724468584456512</v>
      </c>
      <c r="E162" s="12">
        <v>74565</v>
      </c>
      <c r="F162" s="12">
        <v>24401</v>
      </c>
    </row>
    <row r="163" spans="1:6">
      <c r="A163" t="s">
        <v>56</v>
      </c>
      <c r="B163" s="12" t="s">
        <v>62</v>
      </c>
      <c r="C163" s="12" t="s">
        <v>479</v>
      </c>
      <c r="D163" s="12">
        <v>0.41892308723932142</v>
      </c>
      <c r="E163" s="12">
        <v>74565</v>
      </c>
      <c r="F163" s="12">
        <v>31237</v>
      </c>
    </row>
    <row r="164" spans="1:6">
      <c r="A164" t="s">
        <v>56</v>
      </c>
      <c r="B164" s="12" t="s">
        <v>62</v>
      </c>
      <c r="C164" s="12" t="s">
        <v>22</v>
      </c>
      <c r="D164" s="12">
        <v>0.14225172668141889</v>
      </c>
      <c r="E164" s="12">
        <v>74565</v>
      </c>
      <c r="F164" s="12">
        <v>10607</v>
      </c>
    </row>
    <row r="165" spans="1:6">
      <c r="A165" t="s">
        <v>56</v>
      </c>
      <c r="B165" s="12" t="s">
        <v>62</v>
      </c>
      <c r="C165" s="12" t="s">
        <v>478</v>
      </c>
      <c r="D165" s="12">
        <v>5.7788506672031115E-2</v>
      </c>
      <c r="E165" s="12">
        <v>74565</v>
      </c>
      <c r="F165" s="12">
        <v>4309</v>
      </c>
    </row>
    <row r="166" spans="1:6">
      <c r="A166" t="s">
        <v>56</v>
      </c>
      <c r="B166" s="12" t="s">
        <v>62</v>
      </c>
      <c r="C166" s="12" t="s">
        <v>20</v>
      </c>
      <c r="D166" s="12">
        <v>5.3805404680480118E-2</v>
      </c>
      <c r="E166" s="12">
        <v>74565</v>
      </c>
      <c r="F166" s="12">
        <v>4012</v>
      </c>
    </row>
    <row r="167" spans="1:6">
      <c r="A167" t="s">
        <v>56</v>
      </c>
      <c r="B167" s="12" t="s">
        <v>63</v>
      </c>
      <c r="C167" s="12" t="s">
        <v>480</v>
      </c>
      <c r="D167" s="12">
        <v>0.36705967393746397</v>
      </c>
      <c r="E167" s="12">
        <v>511865</v>
      </c>
      <c r="F167" s="12">
        <v>187885</v>
      </c>
    </row>
    <row r="168" spans="1:6">
      <c r="A168" t="s">
        <v>56</v>
      </c>
      <c r="B168" s="12" t="s">
        <v>63</v>
      </c>
      <c r="C168" s="12" t="s">
        <v>479</v>
      </c>
      <c r="D168" s="12">
        <v>0.42894708565735107</v>
      </c>
      <c r="E168" s="12">
        <v>511865</v>
      </c>
      <c r="F168" s="12">
        <v>219563</v>
      </c>
    </row>
    <row r="169" spans="1:6">
      <c r="A169" t="s">
        <v>56</v>
      </c>
      <c r="B169" s="12" t="s">
        <v>63</v>
      </c>
      <c r="C169" s="12" t="s">
        <v>22</v>
      </c>
      <c r="D169" s="12">
        <v>0.12106512459339865</v>
      </c>
      <c r="E169" s="12">
        <v>511865</v>
      </c>
      <c r="F169" s="12">
        <v>61969</v>
      </c>
    </row>
    <row r="170" spans="1:6">
      <c r="A170" t="s">
        <v>56</v>
      </c>
      <c r="B170" s="12" t="s">
        <v>63</v>
      </c>
      <c r="C170" s="12" t="s">
        <v>478</v>
      </c>
      <c r="D170" s="12">
        <v>4.3964717259433642E-2</v>
      </c>
      <c r="E170" s="12">
        <v>511865</v>
      </c>
      <c r="F170" s="12">
        <v>22504</v>
      </c>
    </row>
    <row r="171" spans="1:6">
      <c r="A171" t="s">
        <v>56</v>
      </c>
      <c r="B171" s="12" t="s">
        <v>63</v>
      </c>
      <c r="C171" s="12" t="s">
        <v>20</v>
      </c>
      <c r="D171" s="12">
        <v>3.8967305832592579E-2</v>
      </c>
      <c r="E171" s="12">
        <v>511865</v>
      </c>
      <c r="F171" s="12">
        <v>19946</v>
      </c>
    </row>
    <row r="172" spans="1:6">
      <c r="A172" t="s">
        <v>56</v>
      </c>
      <c r="B172" s="12" t="s">
        <v>64</v>
      </c>
      <c r="C172" s="12" t="s">
        <v>480</v>
      </c>
      <c r="D172" s="12">
        <v>0.3511832628329713</v>
      </c>
      <c r="E172" s="12">
        <v>43735</v>
      </c>
      <c r="F172" s="12">
        <v>15359</v>
      </c>
    </row>
    <row r="173" spans="1:6">
      <c r="A173" t="s">
        <v>56</v>
      </c>
      <c r="B173" s="12" t="s">
        <v>64</v>
      </c>
      <c r="C173" s="12" t="s">
        <v>479</v>
      </c>
      <c r="D173" s="12">
        <v>0.40990053732708359</v>
      </c>
      <c r="E173" s="12">
        <v>43735</v>
      </c>
      <c r="F173" s="12">
        <v>17927</v>
      </c>
    </row>
    <row r="174" spans="1:6">
      <c r="A174" t="s">
        <v>56</v>
      </c>
      <c r="B174" s="12" t="s">
        <v>64</v>
      </c>
      <c r="C174" s="12" t="s">
        <v>22</v>
      </c>
      <c r="D174" s="12">
        <v>0.13364582142448839</v>
      </c>
      <c r="E174" s="12">
        <v>43735</v>
      </c>
      <c r="F174" s="12">
        <v>5845</v>
      </c>
    </row>
    <row r="175" spans="1:6">
      <c r="A175" t="s">
        <v>56</v>
      </c>
      <c r="B175" s="12" t="s">
        <v>64</v>
      </c>
      <c r="C175" s="12" t="s">
        <v>478</v>
      </c>
      <c r="D175" s="12">
        <v>5.3961358179947412E-2</v>
      </c>
      <c r="E175" s="12">
        <v>43735</v>
      </c>
      <c r="F175" s="12">
        <v>2360</v>
      </c>
    </row>
    <row r="176" spans="1:6">
      <c r="A176" t="s">
        <v>56</v>
      </c>
      <c r="B176" s="12" t="s">
        <v>64</v>
      </c>
      <c r="C176" s="12" t="s">
        <v>20</v>
      </c>
      <c r="D176" s="12">
        <v>5.1263290270950043E-2</v>
      </c>
      <c r="E176" s="12">
        <v>43735</v>
      </c>
      <c r="F176" s="12">
        <v>2242</v>
      </c>
    </row>
    <row r="177" spans="1:6">
      <c r="A177" t="s">
        <v>56</v>
      </c>
      <c r="B177" s="12" t="s">
        <v>65</v>
      </c>
      <c r="C177" s="12" t="s">
        <v>480</v>
      </c>
      <c r="D177" s="12">
        <v>0.35650788085486157</v>
      </c>
      <c r="E177" s="12">
        <v>313735</v>
      </c>
      <c r="F177" s="12">
        <v>111849</v>
      </c>
    </row>
    <row r="178" spans="1:6">
      <c r="A178" t="s">
        <v>56</v>
      </c>
      <c r="B178" s="12" t="s">
        <v>65</v>
      </c>
      <c r="C178" s="12" t="s">
        <v>479</v>
      </c>
      <c r="D178" s="12">
        <v>0.42603152341944633</v>
      </c>
      <c r="E178" s="12">
        <v>313735</v>
      </c>
      <c r="F178" s="12">
        <v>133661</v>
      </c>
    </row>
    <row r="179" spans="1:6">
      <c r="A179" t="s">
        <v>56</v>
      </c>
      <c r="B179" s="12" t="s">
        <v>65</v>
      </c>
      <c r="C179" s="12" t="s">
        <v>22</v>
      </c>
      <c r="D179" s="12">
        <v>0.12703077437965163</v>
      </c>
      <c r="E179" s="12">
        <v>313735</v>
      </c>
      <c r="F179" s="12">
        <v>39854</v>
      </c>
    </row>
    <row r="180" spans="1:6">
      <c r="A180" t="s">
        <v>56</v>
      </c>
      <c r="B180" s="12" t="s">
        <v>65</v>
      </c>
      <c r="C180" s="12" t="s">
        <v>478</v>
      </c>
      <c r="D180" s="12">
        <v>4.7673992382105915E-2</v>
      </c>
      <c r="E180" s="12">
        <v>313735</v>
      </c>
      <c r="F180" s="12">
        <v>14957</v>
      </c>
    </row>
    <row r="181" spans="1:6">
      <c r="A181" t="s">
        <v>56</v>
      </c>
      <c r="B181" s="12" t="s">
        <v>65</v>
      </c>
      <c r="C181" s="12" t="s">
        <v>20</v>
      </c>
      <c r="D181" s="12">
        <v>4.2765391174080035E-2</v>
      </c>
      <c r="E181" s="12">
        <v>313735</v>
      </c>
      <c r="F181" s="12">
        <v>13417</v>
      </c>
    </row>
    <row r="182" spans="1:6">
      <c r="A182" t="s">
        <v>56</v>
      </c>
      <c r="B182" s="12" t="s">
        <v>66</v>
      </c>
      <c r="C182" s="12" t="s">
        <v>480</v>
      </c>
      <c r="D182" s="12">
        <v>0.36924104887469239</v>
      </c>
      <c r="E182" s="12">
        <v>122722</v>
      </c>
      <c r="F182" s="12">
        <v>45314</v>
      </c>
    </row>
    <row r="183" spans="1:6">
      <c r="A183" t="s">
        <v>56</v>
      </c>
      <c r="B183" s="12" t="s">
        <v>66</v>
      </c>
      <c r="C183" s="12" t="s">
        <v>479</v>
      </c>
      <c r="D183" s="12">
        <v>0.42009582633920567</v>
      </c>
      <c r="E183" s="12">
        <v>122722</v>
      </c>
      <c r="F183" s="12">
        <v>51555</v>
      </c>
    </row>
    <row r="184" spans="1:6">
      <c r="A184" t="s">
        <v>56</v>
      </c>
      <c r="B184" s="12" t="s">
        <v>66</v>
      </c>
      <c r="C184" s="12" t="s">
        <v>22</v>
      </c>
      <c r="D184" s="12">
        <v>0.12133928716937468</v>
      </c>
      <c r="E184" s="12">
        <v>122722</v>
      </c>
      <c r="F184" s="12">
        <v>14891</v>
      </c>
    </row>
    <row r="185" spans="1:6">
      <c r="A185" t="s">
        <v>56</v>
      </c>
      <c r="B185" s="12" t="s">
        <v>66</v>
      </c>
      <c r="C185" s="12" t="s">
        <v>478</v>
      </c>
      <c r="D185" s="12">
        <v>4.6242727465328141E-2</v>
      </c>
      <c r="E185" s="12">
        <v>122722</v>
      </c>
      <c r="F185" s="12">
        <v>5675</v>
      </c>
    </row>
    <row r="186" spans="1:6">
      <c r="A186" t="s">
        <v>56</v>
      </c>
      <c r="B186" s="12" t="s">
        <v>66</v>
      </c>
      <c r="C186" s="12" t="s">
        <v>20</v>
      </c>
      <c r="D186" s="12">
        <v>4.3089258649630875E-2</v>
      </c>
      <c r="E186" s="12">
        <v>122722</v>
      </c>
      <c r="F186" s="12">
        <v>5288</v>
      </c>
    </row>
    <row r="187" spans="1:6">
      <c r="A187" t="s">
        <v>56</v>
      </c>
      <c r="B187" s="12" t="s">
        <v>67</v>
      </c>
      <c r="C187" s="12" t="s">
        <v>480</v>
      </c>
      <c r="D187" s="12">
        <v>0.36112390277079154</v>
      </c>
      <c r="E187" s="12">
        <v>141151</v>
      </c>
      <c r="F187" s="12">
        <v>50973</v>
      </c>
    </row>
    <row r="188" spans="1:6">
      <c r="A188" t="s">
        <v>56</v>
      </c>
      <c r="B188" s="12" t="s">
        <v>67</v>
      </c>
      <c r="C188" s="12" t="s">
        <v>479</v>
      </c>
      <c r="D188" s="12">
        <v>0.43041140339069506</v>
      </c>
      <c r="E188" s="12">
        <v>141151</v>
      </c>
      <c r="F188" s="12">
        <v>60753</v>
      </c>
    </row>
    <row r="189" spans="1:6">
      <c r="A189" t="s">
        <v>56</v>
      </c>
      <c r="B189" s="12" t="s">
        <v>67</v>
      </c>
      <c r="C189" s="12" t="s">
        <v>22</v>
      </c>
      <c r="D189" s="12">
        <v>0.12135231064604572</v>
      </c>
      <c r="E189" s="12">
        <v>141151</v>
      </c>
      <c r="F189" s="12">
        <v>17129</v>
      </c>
    </row>
    <row r="190" spans="1:6">
      <c r="A190" t="s">
        <v>56</v>
      </c>
      <c r="B190" s="12" t="s">
        <v>67</v>
      </c>
      <c r="C190" s="12" t="s">
        <v>478</v>
      </c>
      <c r="D190" s="12">
        <v>4.5688659662347413E-2</v>
      </c>
      <c r="E190" s="12">
        <v>141151</v>
      </c>
      <c r="F190" s="12">
        <v>6449</v>
      </c>
    </row>
    <row r="191" spans="1:6">
      <c r="A191" t="s">
        <v>56</v>
      </c>
      <c r="B191" s="12" t="s">
        <v>67</v>
      </c>
      <c r="C191" s="12" t="s">
        <v>20</v>
      </c>
      <c r="D191" s="12">
        <v>4.1473315810727517E-2</v>
      </c>
      <c r="E191" s="12">
        <v>141151</v>
      </c>
      <c r="F191" s="12">
        <v>5854</v>
      </c>
    </row>
    <row r="192" spans="1:6">
      <c r="A192" t="s">
        <v>56</v>
      </c>
      <c r="B192" s="12" t="s">
        <v>68</v>
      </c>
      <c r="C192" s="12" t="s">
        <v>480</v>
      </c>
      <c r="D192" s="12">
        <v>0.3817073259992827</v>
      </c>
      <c r="E192" s="12">
        <v>136623</v>
      </c>
      <c r="F192" s="12">
        <v>52150</v>
      </c>
    </row>
    <row r="193" spans="1:6">
      <c r="A193" t="s">
        <v>56</v>
      </c>
      <c r="B193" s="12" t="s">
        <v>68</v>
      </c>
      <c r="C193" s="12" t="s">
        <v>479</v>
      </c>
      <c r="D193" s="12">
        <v>0.41637206034123098</v>
      </c>
      <c r="E193" s="12">
        <v>136623</v>
      </c>
      <c r="F193" s="12">
        <v>56886</v>
      </c>
    </row>
    <row r="194" spans="1:6">
      <c r="A194" t="s">
        <v>56</v>
      </c>
      <c r="B194" s="12" t="s">
        <v>68</v>
      </c>
      <c r="C194" s="12" t="s">
        <v>22</v>
      </c>
      <c r="D194" s="12">
        <v>0.1203530884258141</v>
      </c>
      <c r="E194" s="12">
        <v>136623</v>
      </c>
      <c r="F194" s="12">
        <v>16443</v>
      </c>
    </row>
    <row r="195" spans="1:6">
      <c r="A195" t="s">
        <v>56</v>
      </c>
      <c r="B195" s="12" t="s">
        <v>68</v>
      </c>
      <c r="C195" s="12" t="s">
        <v>478</v>
      </c>
      <c r="D195" s="12">
        <v>4.2716087335221739E-2</v>
      </c>
      <c r="E195" s="12">
        <v>136623</v>
      </c>
      <c r="F195" s="12">
        <v>5836</v>
      </c>
    </row>
    <row r="196" spans="1:6">
      <c r="A196" t="s">
        <v>56</v>
      </c>
      <c r="B196" s="12" t="s">
        <v>68</v>
      </c>
      <c r="C196" s="12" t="s">
        <v>20</v>
      </c>
      <c r="D196" s="12">
        <v>3.8858757310262546E-2</v>
      </c>
      <c r="E196" s="12">
        <v>136623</v>
      </c>
      <c r="F196" s="12">
        <v>5309</v>
      </c>
    </row>
    <row r="197" spans="1:6">
      <c r="A197" t="s">
        <v>56</v>
      </c>
      <c r="B197" s="12" t="s">
        <v>69</v>
      </c>
      <c r="C197" s="12" t="s">
        <v>480</v>
      </c>
      <c r="D197" s="12">
        <v>0.36922906891458773</v>
      </c>
      <c r="E197" s="12">
        <v>99529</v>
      </c>
      <c r="F197" s="12">
        <v>36749</v>
      </c>
    </row>
    <row r="198" spans="1:6">
      <c r="A198" t="s">
        <v>56</v>
      </c>
      <c r="B198" s="12" t="s">
        <v>69</v>
      </c>
      <c r="C198" s="12" t="s">
        <v>479</v>
      </c>
      <c r="D198" s="12">
        <v>0.42891016688603323</v>
      </c>
      <c r="E198" s="12">
        <v>99529</v>
      </c>
      <c r="F198" s="12">
        <v>42689</v>
      </c>
    </row>
    <row r="199" spans="1:6">
      <c r="A199" t="s">
        <v>56</v>
      </c>
      <c r="B199" s="12" t="s">
        <v>69</v>
      </c>
      <c r="C199" s="12" t="s">
        <v>22</v>
      </c>
      <c r="D199" s="12">
        <v>0.12115061941745622</v>
      </c>
      <c r="E199" s="12">
        <v>99529</v>
      </c>
      <c r="F199" s="12">
        <v>12058</v>
      </c>
    </row>
    <row r="200" spans="1:6">
      <c r="A200" t="s">
        <v>56</v>
      </c>
      <c r="B200" s="12" t="s">
        <v>69</v>
      </c>
      <c r="C200" s="12" t="s">
        <v>478</v>
      </c>
      <c r="D200" s="12">
        <v>4.3484813471450529E-2</v>
      </c>
      <c r="E200" s="12">
        <v>99529</v>
      </c>
      <c r="F200" s="12">
        <v>4328</v>
      </c>
    </row>
    <row r="201" spans="1:6">
      <c r="A201" t="s">
        <v>56</v>
      </c>
      <c r="B201" s="12" t="s">
        <v>69</v>
      </c>
      <c r="C201" s="12" t="s">
        <v>20</v>
      </c>
      <c r="D201" s="12">
        <v>3.7285615247817219E-2</v>
      </c>
      <c r="E201" s="12">
        <v>99529</v>
      </c>
      <c r="F201" s="12">
        <v>3711</v>
      </c>
    </row>
    <row r="202" spans="1:6">
      <c r="A202" t="s">
        <v>56</v>
      </c>
      <c r="B202" s="12" t="s">
        <v>70</v>
      </c>
      <c r="C202" s="12" t="s">
        <v>480</v>
      </c>
      <c r="D202" s="12">
        <v>0.40281131139407972</v>
      </c>
      <c r="E202" s="12">
        <v>120940</v>
      </c>
      <c r="F202" s="12">
        <v>48716</v>
      </c>
    </row>
    <row r="203" spans="1:6">
      <c r="A203" t="s">
        <v>56</v>
      </c>
      <c r="B203" s="12" t="s">
        <v>70</v>
      </c>
      <c r="C203" s="12" t="s">
        <v>479</v>
      </c>
      <c r="D203" s="12">
        <v>0.41374235157929551</v>
      </c>
      <c r="E203" s="12">
        <v>120940</v>
      </c>
      <c r="F203" s="12">
        <v>50038</v>
      </c>
    </row>
    <row r="204" spans="1:6">
      <c r="A204" t="s">
        <v>56</v>
      </c>
      <c r="B204" s="12" t="s">
        <v>70</v>
      </c>
      <c r="C204" s="12" t="s">
        <v>22</v>
      </c>
      <c r="D204" s="12">
        <v>0.10985612700512651</v>
      </c>
      <c r="E204" s="12">
        <v>120940</v>
      </c>
      <c r="F204" s="12">
        <v>13286</v>
      </c>
    </row>
    <row r="205" spans="1:6">
      <c r="A205" t="s">
        <v>56</v>
      </c>
      <c r="B205" s="12" t="s">
        <v>70</v>
      </c>
      <c r="C205" s="12" t="s">
        <v>478</v>
      </c>
      <c r="D205" s="12">
        <v>3.9341822391268398E-2</v>
      </c>
      <c r="E205" s="12">
        <v>120940</v>
      </c>
      <c r="F205" s="12">
        <v>4758</v>
      </c>
    </row>
    <row r="206" spans="1:6">
      <c r="A206" t="s">
        <v>56</v>
      </c>
      <c r="B206" s="12" t="s">
        <v>70</v>
      </c>
      <c r="C206" s="12" t="s">
        <v>20</v>
      </c>
      <c r="D206" s="12">
        <v>3.4314536133619976E-2</v>
      </c>
      <c r="E206" s="12">
        <v>120940</v>
      </c>
      <c r="F206" s="12">
        <v>4150</v>
      </c>
    </row>
    <row r="207" spans="1:6">
      <c r="A207" t="s">
        <v>56</v>
      </c>
      <c r="B207" s="12" t="s">
        <v>71</v>
      </c>
      <c r="C207" s="12" t="s">
        <v>480</v>
      </c>
      <c r="D207" s="12">
        <v>0.35474525729141004</v>
      </c>
      <c r="E207" s="12">
        <v>117707</v>
      </c>
      <c r="F207" s="12">
        <v>41756</v>
      </c>
    </row>
    <row r="208" spans="1:6">
      <c r="A208" t="s">
        <v>56</v>
      </c>
      <c r="B208" s="12" t="s">
        <v>71</v>
      </c>
      <c r="C208" s="12" t="s">
        <v>479</v>
      </c>
      <c r="D208" s="12">
        <v>0.4299149583287315</v>
      </c>
      <c r="E208" s="12">
        <v>117707</v>
      </c>
      <c r="F208" s="12">
        <v>50604</v>
      </c>
    </row>
    <row r="209" spans="1:6">
      <c r="A209" t="s">
        <v>56</v>
      </c>
      <c r="B209" s="12" t="s">
        <v>71</v>
      </c>
      <c r="C209" s="12" t="s">
        <v>22</v>
      </c>
      <c r="D209" s="12">
        <v>0.1259568249976637</v>
      </c>
      <c r="E209" s="12">
        <v>117707</v>
      </c>
      <c r="F209" s="12">
        <v>14826</v>
      </c>
    </row>
    <row r="210" spans="1:6">
      <c r="A210" t="s">
        <v>56</v>
      </c>
      <c r="B210" s="12" t="s">
        <v>71</v>
      </c>
      <c r="C210" s="12" t="s">
        <v>478</v>
      </c>
      <c r="D210" s="12">
        <v>4.6683714647387159E-2</v>
      </c>
      <c r="E210" s="12">
        <v>117707</v>
      </c>
      <c r="F210" s="12">
        <v>5495</v>
      </c>
    </row>
    <row r="211" spans="1:6">
      <c r="A211" t="s">
        <v>56</v>
      </c>
      <c r="B211" s="12" t="s">
        <v>71</v>
      </c>
      <c r="C211" s="12" t="s">
        <v>20</v>
      </c>
      <c r="D211" s="12">
        <v>4.2716236077718406E-2</v>
      </c>
      <c r="E211" s="12">
        <v>117707</v>
      </c>
      <c r="F211" s="12">
        <v>5028</v>
      </c>
    </row>
    <row r="212" spans="1:6">
      <c r="A212" t="s">
        <v>56</v>
      </c>
      <c r="B212" s="12" t="s">
        <v>72</v>
      </c>
      <c r="C212" s="12" t="s">
        <v>480</v>
      </c>
      <c r="D212" s="12">
        <v>0.38399714234684768</v>
      </c>
      <c r="E212" s="12">
        <v>78386</v>
      </c>
      <c r="F212" s="12">
        <v>30100</v>
      </c>
    </row>
    <row r="213" spans="1:6">
      <c r="A213" t="s">
        <v>56</v>
      </c>
      <c r="B213" s="12" t="s">
        <v>72</v>
      </c>
      <c r="C213" s="12" t="s">
        <v>479</v>
      </c>
      <c r="D213" s="12">
        <v>0.41133620799632586</v>
      </c>
      <c r="E213" s="12">
        <v>78386</v>
      </c>
      <c r="F213" s="12">
        <v>32243</v>
      </c>
    </row>
    <row r="214" spans="1:6">
      <c r="A214" t="s">
        <v>56</v>
      </c>
      <c r="B214" s="12" t="s">
        <v>72</v>
      </c>
      <c r="C214" s="12" t="s">
        <v>22</v>
      </c>
      <c r="D214" s="12">
        <v>0.11902635674737835</v>
      </c>
      <c r="E214" s="12">
        <v>78386</v>
      </c>
      <c r="F214" s="12">
        <v>9330</v>
      </c>
    </row>
    <row r="215" spans="1:6">
      <c r="A215" t="s">
        <v>56</v>
      </c>
      <c r="B215" s="12" t="s">
        <v>72</v>
      </c>
      <c r="C215" s="12" t="s">
        <v>478</v>
      </c>
      <c r="D215" s="12">
        <v>4.415329267981527E-2</v>
      </c>
      <c r="E215" s="12">
        <v>78386</v>
      </c>
      <c r="F215" s="12">
        <v>3461</v>
      </c>
    </row>
    <row r="216" spans="1:6">
      <c r="A216" t="s">
        <v>56</v>
      </c>
      <c r="B216" s="12" t="s">
        <v>72</v>
      </c>
      <c r="C216" s="12" t="s">
        <v>20</v>
      </c>
      <c r="D216" s="12">
        <v>4.1410455948766363E-2</v>
      </c>
      <c r="E216" s="12">
        <v>78386</v>
      </c>
      <c r="F216" s="12">
        <v>3246</v>
      </c>
    </row>
    <row r="217" spans="1:6">
      <c r="A217" t="s">
        <v>56</v>
      </c>
      <c r="B217" s="12" t="s">
        <v>73</v>
      </c>
      <c r="C217" s="12" t="s">
        <v>480</v>
      </c>
      <c r="D217" s="12">
        <v>0.36688999028666786</v>
      </c>
      <c r="E217" s="12">
        <v>40151</v>
      </c>
      <c r="F217" s="12">
        <v>14731</v>
      </c>
    </row>
    <row r="218" spans="1:6">
      <c r="A218" t="s">
        <v>56</v>
      </c>
      <c r="B218" s="12" t="s">
        <v>73</v>
      </c>
      <c r="C218" s="12" t="s">
        <v>479</v>
      </c>
      <c r="D218" s="12">
        <v>0.41142188239396277</v>
      </c>
      <c r="E218" s="12">
        <v>40151</v>
      </c>
      <c r="F218" s="12">
        <v>16519</v>
      </c>
    </row>
    <row r="219" spans="1:6">
      <c r="A219" t="s">
        <v>56</v>
      </c>
      <c r="B219" s="12" t="s">
        <v>73</v>
      </c>
      <c r="C219" s="12" t="s">
        <v>22</v>
      </c>
      <c r="D219" s="12">
        <v>0.12871410425643198</v>
      </c>
      <c r="E219" s="12">
        <v>40151</v>
      </c>
      <c r="F219" s="12">
        <v>5168</v>
      </c>
    </row>
    <row r="220" spans="1:6">
      <c r="A220" t="s">
        <v>56</v>
      </c>
      <c r="B220" s="12" t="s">
        <v>73</v>
      </c>
      <c r="C220" s="12" t="s">
        <v>478</v>
      </c>
      <c r="D220" s="12">
        <v>4.7744763517720605E-2</v>
      </c>
      <c r="E220" s="12">
        <v>40151</v>
      </c>
      <c r="F220" s="12">
        <v>1917</v>
      </c>
    </row>
    <row r="221" spans="1:6">
      <c r="A221" t="s">
        <v>56</v>
      </c>
      <c r="B221" s="12" t="s">
        <v>73</v>
      </c>
      <c r="C221" s="12" t="s">
        <v>20</v>
      </c>
      <c r="D221" s="12">
        <v>4.5104729645587906E-2</v>
      </c>
      <c r="E221" s="12">
        <v>40151</v>
      </c>
      <c r="F221" s="12">
        <v>1811</v>
      </c>
    </row>
    <row r="222" spans="1:6">
      <c r="A222" t="s">
        <v>56</v>
      </c>
      <c r="B222" s="12" t="s">
        <v>74</v>
      </c>
      <c r="C222" s="12" t="s">
        <v>480</v>
      </c>
      <c r="D222" s="12">
        <v>0.36924574048722558</v>
      </c>
      <c r="E222" s="12">
        <v>60629</v>
      </c>
      <c r="F222" s="12">
        <v>22387</v>
      </c>
    </row>
    <row r="223" spans="1:6">
      <c r="A223" t="s">
        <v>56</v>
      </c>
      <c r="B223" s="12" t="s">
        <v>74</v>
      </c>
      <c r="C223" s="12" t="s">
        <v>479</v>
      </c>
      <c r="D223" s="12">
        <v>0.42720480298207131</v>
      </c>
      <c r="E223" s="12">
        <v>60629</v>
      </c>
      <c r="F223" s="12">
        <v>25901</v>
      </c>
    </row>
    <row r="224" spans="1:6">
      <c r="A224" t="s">
        <v>56</v>
      </c>
      <c r="B224" s="12" t="s">
        <v>74</v>
      </c>
      <c r="C224" s="12" t="s">
        <v>22</v>
      </c>
      <c r="D224" s="12">
        <v>0.12365369707565686</v>
      </c>
      <c r="E224" s="12">
        <v>60629</v>
      </c>
      <c r="F224" s="12">
        <v>7497</v>
      </c>
    </row>
    <row r="225" spans="1:6">
      <c r="A225" t="s">
        <v>56</v>
      </c>
      <c r="B225" s="12" t="s">
        <v>74</v>
      </c>
      <c r="C225" s="12" t="s">
        <v>478</v>
      </c>
      <c r="D225" s="12">
        <v>4.2883768493625164E-2</v>
      </c>
      <c r="E225" s="12">
        <v>60629</v>
      </c>
      <c r="F225" s="12">
        <v>2600</v>
      </c>
    </row>
    <row r="226" spans="1:6">
      <c r="A226" t="s">
        <v>56</v>
      </c>
      <c r="B226" s="12" t="s">
        <v>74</v>
      </c>
      <c r="C226" s="12" t="s">
        <v>20</v>
      </c>
      <c r="D226" s="12">
        <v>3.6946015932969374E-2</v>
      </c>
      <c r="E226" s="12">
        <v>60629</v>
      </c>
      <c r="F226" s="12">
        <v>2240</v>
      </c>
    </row>
    <row r="227" spans="1:6">
      <c r="A227" t="s">
        <v>56</v>
      </c>
      <c r="B227" s="12" t="s">
        <v>75</v>
      </c>
      <c r="C227" s="12" t="s">
        <v>480</v>
      </c>
      <c r="D227" s="12">
        <v>0.36603349864321139</v>
      </c>
      <c r="E227" s="12">
        <v>53435</v>
      </c>
      <c r="F227" s="12">
        <v>19559</v>
      </c>
    </row>
    <row r="228" spans="1:6">
      <c r="A228" t="s">
        <v>56</v>
      </c>
      <c r="B228" s="12" t="s">
        <v>75</v>
      </c>
      <c r="C228" s="12" t="s">
        <v>479</v>
      </c>
      <c r="D228" s="12">
        <v>0.43608122017404322</v>
      </c>
      <c r="E228" s="12">
        <v>53435</v>
      </c>
      <c r="F228" s="12">
        <v>23302</v>
      </c>
    </row>
    <row r="229" spans="1:6">
      <c r="A229" t="s">
        <v>56</v>
      </c>
      <c r="B229" s="12" t="s">
        <v>75</v>
      </c>
      <c r="C229" s="12" t="s">
        <v>22</v>
      </c>
      <c r="D229" s="12">
        <v>0.11913539814728175</v>
      </c>
      <c r="E229" s="12">
        <v>53435</v>
      </c>
      <c r="F229" s="12">
        <v>6366</v>
      </c>
    </row>
    <row r="230" spans="1:6">
      <c r="A230" t="s">
        <v>56</v>
      </c>
      <c r="B230" s="12" t="s">
        <v>75</v>
      </c>
      <c r="C230" s="12" t="s">
        <v>478</v>
      </c>
      <c r="D230" s="12">
        <v>4.1920089828763919E-2</v>
      </c>
      <c r="E230" s="12">
        <v>53435</v>
      </c>
      <c r="F230" s="12">
        <v>2240</v>
      </c>
    </row>
    <row r="231" spans="1:6">
      <c r="A231" t="s">
        <v>56</v>
      </c>
      <c r="B231" s="12" t="s">
        <v>75</v>
      </c>
      <c r="C231" s="12" t="s">
        <v>20</v>
      </c>
      <c r="D231" s="12">
        <v>3.6829793206699726E-2</v>
      </c>
      <c r="E231" s="12">
        <v>53435</v>
      </c>
      <c r="F231" s="12">
        <v>1968</v>
      </c>
    </row>
    <row r="232" spans="1:6">
      <c r="A232" t="s">
        <v>56</v>
      </c>
      <c r="B232" s="12" t="s">
        <v>76</v>
      </c>
      <c r="C232" s="12" t="s">
        <v>480</v>
      </c>
      <c r="D232" s="12">
        <v>0.38236090795817756</v>
      </c>
      <c r="E232" s="12">
        <v>55377</v>
      </c>
      <c r="F232" s="12">
        <v>21174</v>
      </c>
    </row>
    <row r="233" spans="1:6">
      <c r="A233" t="s">
        <v>56</v>
      </c>
      <c r="B233" s="12" t="s">
        <v>76</v>
      </c>
      <c r="C233" s="12" t="s">
        <v>479</v>
      </c>
      <c r="D233" s="12">
        <v>0.41000776495657043</v>
      </c>
      <c r="E233" s="12">
        <v>55377</v>
      </c>
      <c r="F233" s="12">
        <v>22705</v>
      </c>
    </row>
    <row r="234" spans="1:6">
      <c r="A234" t="s">
        <v>56</v>
      </c>
      <c r="B234" s="12" t="s">
        <v>76</v>
      </c>
      <c r="C234" s="12" t="s">
        <v>22</v>
      </c>
      <c r="D234" s="12">
        <v>0.11920111237517381</v>
      </c>
      <c r="E234" s="12">
        <v>55377</v>
      </c>
      <c r="F234" s="12">
        <v>6601</v>
      </c>
    </row>
    <row r="235" spans="1:6">
      <c r="A235" t="s">
        <v>56</v>
      </c>
      <c r="B235" s="12" t="s">
        <v>76</v>
      </c>
      <c r="C235" s="12" t="s">
        <v>478</v>
      </c>
      <c r="D235" s="12">
        <v>4.510898026256388E-2</v>
      </c>
      <c r="E235" s="12">
        <v>55377</v>
      </c>
      <c r="F235" s="12">
        <v>2498</v>
      </c>
    </row>
    <row r="236" spans="1:6">
      <c r="A236" t="s">
        <v>56</v>
      </c>
      <c r="B236" s="12" t="s">
        <v>76</v>
      </c>
      <c r="C236" s="12" t="s">
        <v>20</v>
      </c>
      <c r="D236" s="12">
        <v>4.3375408563121873E-2</v>
      </c>
      <c r="E236" s="12">
        <v>55377</v>
      </c>
      <c r="F236" s="12">
        <v>2402</v>
      </c>
    </row>
    <row r="237" spans="1:6">
      <c r="A237" t="s">
        <v>56</v>
      </c>
      <c r="B237" s="12" t="s">
        <v>77</v>
      </c>
      <c r="C237" s="12" t="s">
        <v>480</v>
      </c>
      <c r="D237" s="12">
        <v>0.35953555281545418</v>
      </c>
      <c r="E237" s="12">
        <v>19464</v>
      </c>
      <c r="F237" s="12">
        <v>6998</v>
      </c>
    </row>
    <row r="238" spans="1:6">
      <c r="A238" t="s">
        <v>56</v>
      </c>
      <c r="B238" s="12" t="s">
        <v>77</v>
      </c>
      <c r="C238" s="12" t="s">
        <v>479</v>
      </c>
      <c r="D238" s="12">
        <v>0.40449034114262228</v>
      </c>
      <c r="E238" s="12">
        <v>19464</v>
      </c>
      <c r="F238" s="12">
        <v>7873</v>
      </c>
    </row>
    <row r="239" spans="1:6">
      <c r="A239" t="s">
        <v>56</v>
      </c>
      <c r="B239" s="12" t="s">
        <v>77</v>
      </c>
      <c r="C239" s="12" t="s">
        <v>22</v>
      </c>
      <c r="D239" s="12">
        <v>0.13455610357583231</v>
      </c>
      <c r="E239" s="12">
        <v>19464</v>
      </c>
      <c r="F239" s="12">
        <v>2619</v>
      </c>
    </row>
    <row r="240" spans="1:6">
      <c r="A240" t="s">
        <v>56</v>
      </c>
      <c r="B240" s="12" t="s">
        <v>77</v>
      </c>
      <c r="C240" s="12" t="s">
        <v>478</v>
      </c>
      <c r="D240" s="12">
        <v>4.849979449239622E-2</v>
      </c>
      <c r="E240" s="12">
        <v>19464</v>
      </c>
      <c r="F240" s="12">
        <v>944</v>
      </c>
    </row>
    <row r="241" spans="1:6">
      <c r="A241" t="s">
        <v>56</v>
      </c>
      <c r="B241" s="12" t="s">
        <v>77</v>
      </c>
      <c r="C241" s="12" t="s">
        <v>20</v>
      </c>
      <c r="D241" s="12">
        <v>5.2866831072749691E-2</v>
      </c>
      <c r="E241" s="12">
        <v>19464</v>
      </c>
      <c r="F241" s="12">
        <v>1029</v>
      </c>
    </row>
    <row r="242" spans="1:6">
      <c r="A242" t="s">
        <v>56</v>
      </c>
      <c r="B242" s="12" t="s">
        <v>78</v>
      </c>
      <c r="C242" s="12" t="s">
        <v>480</v>
      </c>
      <c r="D242" s="12">
        <v>0.34668597168597171</v>
      </c>
      <c r="E242" s="12">
        <v>24864</v>
      </c>
      <c r="F242" s="12">
        <v>8620</v>
      </c>
    </row>
    <row r="243" spans="1:6">
      <c r="A243" t="s">
        <v>56</v>
      </c>
      <c r="B243" s="12" t="s">
        <v>78</v>
      </c>
      <c r="C243" s="12" t="s">
        <v>479</v>
      </c>
      <c r="D243" s="12">
        <v>0.39667792792792794</v>
      </c>
      <c r="E243" s="12">
        <v>24864</v>
      </c>
      <c r="F243" s="12">
        <v>9863</v>
      </c>
    </row>
    <row r="244" spans="1:6">
      <c r="A244" t="s">
        <v>56</v>
      </c>
      <c r="B244" s="12" t="s">
        <v>78</v>
      </c>
      <c r="C244" s="12" t="s">
        <v>22</v>
      </c>
      <c r="D244" s="12">
        <v>0.133244851994852</v>
      </c>
      <c r="E244" s="12">
        <v>24864</v>
      </c>
      <c r="F244" s="12">
        <v>3313</v>
      </c>
    </row>
    <row r="245" spans="1:6">
      <c r="A245" t="s">
        <v>56</v>
      </c>
      <c r="B245" s="12" t="s">
        <v>78</v>
      </c>
      <c r="C245" s="12" t="s">
        <v>478</v>
      </c>
      <c r="D245" s="12">
        <v>6.0167310167310167E-2</v>
      </c>
      <c r="E245" s="12">
        <v>24864</v>
      </c>
      <c r="F245" s="12">
        <v>1496</v>
      </c>
    </row>
    <row r="246" spans="1:6">
      <c r="A246" t="s">
        <v>56</v>
      </c>
      <c r="B246" s="12" t="s">
        <v>78</v>
      </c>
      <c r="C246" s="12" t="s">
        <v>20</v>
      </c>
      <c r="D246" s="12">
        <v>6.326415701415701E-2</v>
      </c>
      <c r="E246" s="12">
        <v>24864</v>
      </c>
      <c r="F246" s="12">
        <v>1573</v>
      </c>
    </row>
    <row r="247" spans="1:6">
      <c r="A247" t="s">
        <v>56</v>
      </c>
      <c r="B247" s="12" t="s">
        <v>80</v>
      </c>
      <c r="C247" s="12" t="s">
        <v>480</v>
      </c>
      <c r="D247" s="12">
        <v>0.34696918099778651</v>
      </c>
      <c r="E247" s="12">
        <v>23492</v>
      </c>
      <c r="F247" s="12">
        <v>8151</v>
      </c>
    </row>
    <row r="248" spans="1:6">
      <c r="A248" t="s">
        <v>56</v>
      </c>
      <c r="B248" s="12" t="s">
        <v>80</v>
      </c>
      <c r="C248" s="12" t="s">
        <v>479</v>
      </c>
      <c r="D248" s="12">
        <v>0.41827004937851181</v>
      </c>
      <c r="E248" s="12">
        <v>23492</v>
      </c>
      <c r="F248" s="12">
        <v>9826</v>
      </c>
    </row>
    <row r="249" spans="1:6">
      <c r="A249" t="s">
        <v>56</v>
      </c>
      <c r="B249" s="12" t="s">
        <v>80</v>
      </c>
      <c r="C249" s="12" t="s">
        <v>22</v>
      </c>
      <c r="D249" s="12">
        <v>0.13217265452068788</v>
      </c>
      <c r="E249" s="12">
        <v>23492</v>
      </c>
      <c r="F249" s="12">
        <v>3105</v>
      </c>
    </row>
    <row r="250" spans="1:6">
      <c r="A250" t="s">
        <v>56</v>
      </c>
      <c r="B250" s="12" t="s">
        <v>80</v>
      </c>
      <c r="C250" s="12" t="s">
        <v>478</v>
      </c>
      <c r="D250" s="12">
        <v>4.9463647199046487E-2</v>
      </c>
      <c r="E250" s="12">
        <v>23492</v>
      </c>
      <c r="F250" s="12">
        <v>1162</v>
      </c>
    </row>
    <row r="251" spans="1:6">
      <c r="A251" t="s">
        <v>56</v>
      </c>
      <c r="B251" s="12" t="s">
        <v>80</v>
      </c>
      <c r="C251" s="12" t="s">
        <v>20</v>
      </c>
      <c r="D251" s="12">
        <v>5.3039332538736592E-2</v>
      </c>
      <c r="E251" s="12">
        <v>23492</v>
      </c>
      <c r="F251" s="12">
        <v>1246</v>
      </c>
    </row>
    <row r="252" spans="1:6">
      <c r="A252" t="s">
        <v>1008</v>
      </c>
      <c r="B252" s="12" t="s">
        <v>81</v>
      </c>
      <c r="C252" s="12" t="s">
        <v>480</v>
      </c>
      <c r="D252" s="12">
        <v>0.43070612742410858</v>
      </c>
      <c r="E252" s="12">
        <v>155057</v>
      </c>
      <c r="F252" s="12">
        <v>66784</v>
      </c>
    </row>
    <row r="253" spans="1:6">
      <c r="A253" t="s">
        <v>1008</v>
      </c>
      <c r="B253" s="12" t="s">
        <v>81</v>
      </c>
      <c r="C253" s="12" t="s">
        <v>479</v>
      </c>
      <c r="D253" s="12">
        <v>0.3821691378009377</v>
      </c>
      <c r="E253" s="12">
        <v>155057</v>
      </c>
      <c r="F253" s="12">
        <v>59258</v>
      </c>
    </row>
    <row r="254" spans="1:6">
      <c r="A254" t="s">
        <v>1008</v>
      </c>
      <c r="B254" s="12" t="s">
        <v>81</v>
      </c>
      <c r="C254" s="12" t="s">
        <v>22</v>
      </c>
      <c r="D254" s="12">
        <v>0.10303952739960144</v>
      </c>
      <c r="E254" s="12">
        <v>155057</v>
      </c>
      <c r="F254" s="12">
        <v>15977</v>
      </c>
    </row>
    <row r="255" spans="1:6">
      <c r="A255" t="s">
        <v>1008</v>
      </c>
      <c r="B255" s="12" t="s">
        <v>81</v>
      </c>
      <c r="C255" s="12" t="s">
        <v>478</v>
      </c>
      <c r="D255" s="12">
        <v>4.1339636391778505E-2</v>
      </c>
      <c r="E255" s="12">
        <v>155057</v>
      </c>
      <c r="F255" s="12">
        <v>6410</v>
      </c>
    </row>
    <row r="256" spans="1:6">
      <c r="A256" t="s">
        <v>1008</v>
      </c>
      <c r="B256" s="12" t="s">
        <v>81</v>
      </c>
      <c r="C256" s="12" t="s">
        <v>20</v>
      </c>
      <c r="D256" s="12">
        <v>4.2732672501080246E-2</v>
      </c>
      <c r="E256" s="12">
        <v>155057</v>
      </c>
      <c r="F256" s="12">
        <v>6626</v>
      </c>
    </row>
    <row r="257" spans="1:6">
      <c r="A257" t="s">
        <v>1008</v>
      </c>
      <c r="B257" s="12" t="s">
        <v>82</v>
      </c>
      <c r="C257" s="12" t="s">
        <v>480</v>
      </c>
      <c r="D257" s="12">
        <v>0.38192021866688053</v>
      </c>
      <c r="E257" s="12">
        <v>1795608</v>
      </c>
      <c r="F257" s="12">
        <v>685779</v>
      </c>
    </row>
    <row r="258" spans="1:6">
      <c r="A258" t="s">
        <v>1008</v>
      </c>
      <c r="B258" s="12" t="s">
        <v>82</v>
      </c>
      <c r="C258" s="12" t="s">
        <v>479</v>
      </c>
      <c r="D258" s="12">
        <v>0.4169150505010002</v>
      </c>
      <c r="E258" s="12">
        <v>1795608</v>
      </c>
      <c r="F258" s="12">
        <v>748616</v>
      </c>
    </row>
    <row r="259" spans="1:6">
      <c r="A259" t="s">
        <v>1008</v>
      </c>
      <c r="B259" s="12" t="s">
        <v>82</v>
      </c>
      <c r="C259" s="12" t="s">
        <v>22</v>
      </c>
      <c r="D259" s="12">
        <v>0.11748165523878262</v>
      </c>
      <c r="E259" s="12">
        <v>1795608</v>
      </c>
      <c r="F259" s="12">
        <v>210951</v>
      </c>
    </row>
    <row r="260" spans="1:6">
      <c r="A260" t="s">
        <v>1008</v>
      </c>
      <c r="B260" s="12" t="s">
        <v>82</v>
      </c>
      <c r="C260" s="12" t="s">
        <v>478</v>
      </c>
      <c r="D260" s="12">
        <v>4.363647299410562E-2</v>
      </c>
      <c r="E260" s="12">
        <v>1795608</v>
      </c>
      <c r="F260" s="12">
        <v>78354</v>
      </c>
    </row>
    <row r="261" spans="1:6">
      <c r="A261" t="s">
        <v>1008</v>
      </c>
      <c r="B261" s="12" t="s">
        <v>82</v>
      </c>
      <c r="C261" s="12" t="s">
        <v>20</v>
      </c>
      <c r="D261" s="12">
        <v>4.004493185595074E-2</v>
      </c>
      <c r="E261" s="12">
        <v>1795608</v>
      </c>
      <c r="F261" s="12">
        <v>71905</v>
      </c>
    </row>
    <row r="262" spans="1:6">
      <c r="A262" t="s">
        <v>1008</v>
      </c>
      <c r="B262" s="12" t="s">
        <v>83</v>
      </c>
      <c r="C262" s="12" t="s">
        <v>480</v>
      </c>
      <c r="D262" s="12">
        <v>0.41838587621691237</v>
      </c>
      <c r="E262" s="12">
        <v>125009</v>
      </c>
      <c r="F262" s="12">
        <v>52302</v>
      </c>
    </row>
    <row r="263" spans="1:6">
      <c r="A263" t="s">
        <v>1008</v>
      </c>
      <c r="B263" s="12" t="s">
        <v>83</v>
      </c>
      <c r="C263" s="12" t="s">
        <v>479</v>
      </c>
      <c r="D263" s="12">
        <v>0.38522826356502332</v>
      </c>
      <c r="E263" s="12">
        <v>125009</v>
      </c>
      <c r="F263" s="12">
        <v>48157</v>
      </c>
    </row>
    <row r="264" spans="1:6">
      <c r="A264" t="s">
        <v>1008</v>
      </c>
      <c r="B264" s="12" t="s">
        <v>83</v>
      </c>
      <c r="C264" s="12" t="s">
        <v>22</v>
      </c>
      <c r="D264" s="12">
        <v>0.10603236566967178</v>
      </c>
      <c r="E264" s="12">
        <v>125009</v>
      </c>
      <c r="F264" s="12">
        <v>13255</v>
      </c>
    </row>
    <row r="265" spans="1:6">
      <c r="A265" t="s">
        <v>1008</v>
      </c>
      <c r="B265" s="12" t="s">
        <v>83</v>
      </c>
      <c r="C265" s="12" t="s">
        <v>478</v>
      </c>
      <c r="D265" s="12">
        <v>4.439680343015303E-2</v>
      </c>
      <c r="E265" s="12">
        <v>125009</v>
      </c>
      <c r="F265" s="12">
        <v>5550</v>
      </c>
    </row>
    <row r="266" spans="1:6">
      <c r="A266" t="s">
        <v>1008</v>
      </c>
      <c r="B266" s="12" t="s">
        <v>83</v>
      </c>
      <c r="C266" s="12" t="s">
        <v>20</v>
      </c>
      <c r="D266" s="12">
        <v>4.5996688238446833E-2</v>
      </c>
      <c r="E266" s="12">
        <v>125009</v>
      </c>
      <c r="F266" s="12">
        <v>5750</v>
      </c>
    </row>
    <row r="267" spans="1:6">
      <c r="A267" t="s">
        <v>1008</v>
      </c>
      <c r="B267" s="12" t="s">
        <v>84</v>
      </c>
      <c r="C267" s="12" t="s">
        <v>480</v>
      </c>
      <c r="D267" s="12">
        <v>0.41391862712956579</v>
      </c>
      <c r="E267" s="12">
        <v>265371</v>
      </c>
      <c r="F267" s="12">
        <v>109842</v>
      </c>
    </row>
    <row r="268" spans="1:6">
      <c r="A268" t="s">
        <v>1008</v>
      </c>
      <c r="B268" s="12" t="s">
        <v>84</v>
      </c>
      <c r="C268" s="12" t="s">
        <v>479</v>
      </c>
      <c r="D268" s="12">
        <v>0.40208236770408223</v>
      </c>
      <c r="E268" s="12">
        <v>265371</v>
      </c>
      <c r="F268" s="12">
        <v>106701</v>
      </c>
    </row>
    <row r="269" spans="1:6">
      <c r="A269" t="s">
        <v>1008</v>
      </c>
      <c r="B269" s="12" t="s">
        <v>84</v>
      </c>
      <c r="C269" s="12" t="s">
        <v>22</v>
      </c>
      <c r="D269" s="12">
        <v>0.10651879821080676</v>
      </c>
      <c r="E269" s="12">
        <v>265371</v>
      </c>
      <c r="F269" s="12">
        <v>28267</v>
      </c>
    </row>
    <row r="270" spans="1:6">
      <c r="A270" t="s">
        <v>1008</v>
      </c>
      <c r="B270" s="12" t="s">
        <v>84</v>
      </c>
      <c r="C270" s="12" t="s">
        <v>478</v>
      </c>
      <c r="D270" s="12">
        <v>3.9616235383670408E-2</v>
      </c>
      <c r="E270" s="12">
        <v>265371</v>
      </c>
      <c r="F270" s="12">
        <v>10513</v>
      </c>
    </row>
    <row r="271" spans="1:6">
      <c r="A271" t="s">
        <v>1008</v>
      </c>
      <c r="B271" s="12" t="s">
        <v>84</v>
      </c>
      <c r="C271" s="12" t="s">
        <v>20</v>
      </c>
      <c r="D271" s="12">
        <v>3.7845130025511452E-2</v>
      </c>
      <c r="E271" s="12">
        <v>265371</v>
      </c>
      <c r="F271" s="12">
        <v>10043</v>
      </c>
    </row>
    <row r="272" spans="1:6">
      <c r="A272" t="s">
        <v>1008</v>
      </c>
      <c r="B272" s="12" t="s">
        <v>85</v>
      </c>
      <c r="C272" s="12" t="s">
        <v>480</v>
      </c>
      <c r="D272" s="12">
        <v>0.39767405082539564</v>
      </c>
      <c r="E272" s="12">
        <v>246609</v>
      </c>
      <c r="F272" s="12">
        <v>98070</v>
      </c>
    </row>
    <row r="273" spans="1:6">
      <c r="A273" t="s">
        <v>1008</v>
      </c>
      <c r="B273" s="12" t="s">
        <v>85</v>
      </c>
      <c r="C273" s="12" t="s">
        <v>479</v>
      </c>
      <c r="D273" s="12">
        <v>0.40467703936190486</v>
      </c>
      <c r="E273" s="12">
        <v>246609</v>
      </c>
      <c r="F273" s="12">
        <v>99797</v>
      </c>
    </row>
    <row r="274" spans="1:6">
      <c r="A274" t="s">
        <v>1008</v>
      </c>
      <c r="B274" s="12" t="s">
        <v>85</v>
      </c>
      <c r="C274" s="12" t="s">
        <v>22</v>
      </c>
      <c r="D274" s="12">
        <v>0.11111922111520667</v>
      </c>
      <c r="E274" s="12">
        <v>246609</v>
      </c>
      <c r="F274" s="12">
        <v>27403</v>
      </c>
    </row>
    <row r="275" spans="1:6">
      <c r="A275" t="s">
        <v>1008</v>
      </c>
      <c r="B275" s="12" t="s">
        <v>85</v>
      </c>
      <c r="C275" s="12" t="s">
        <v>478</v>
      </c>
      <c r="D275" s="12">
        <v>4.3583162009496815E-2</v>
      </c>
      <c r="E275" s="12">
        <v>246609</v>
      </c>
      <c r="F275" s="12">
        <v>10748</v>
      </c>
    </row>
    <row r="276" spans="1:6">
      <c r="A276" t="s">
        <v>1008</v>
      </c>
      <c r="B276" s="12" t="s">
        <v>85</v>
      </c>
      <c r="C276" s="12" t="s">
        <v>20</v>
      </c>
      <c r="D276" s="12">
        <v>4.2934361681852648E-2</v>
      </c>
      <c r="E276" s="12">
        <v>246609</v>
      </c>
      <c r="F276" s="12">
        <v>10588</v>
      </c>
    </row>
    <row r="277" spans="1:6">
      <c r="A277" t="s">
        <v>1008</v>
      </c>
      <c r="B277" s="12" t="s">
        <v>86</v>
      </c>
      <c r="C277" s="12" t="s">
        <v>480</v>
      </c>
      <c r="D277" s="12">
        <v>0.39416742997241128</v>
      </c>
      <c r="E277" s="12">
        <v>182321</v>
      </c>
      <c r="F277" s="12">
        <v>71865</v>
      </c>
    </row>
    <row r="278" spans="1:6">
      <c r="A278" t="s">
        <v>1008</v>
      </c>
      <c r="B278" s="12" t="s">
        <v>86</v>
      </c>
      <c r="C278" s="12" t="s">
        <v>479</v>
      </c>
      <c r="D278" s="12">
        <v>0.39316919060338634</v>
      </c>
      <c r="E278" s="12">
        <v>182321</v>
      </c>
      <c r="F278" s="12">
        <v>71683</v>
      </c>
    </row>
    <row r="279" spans="1:6">
      <c r="A279" t="s">
        <v>1008</v>
      </c>
      <c r="B279" s="12" t="s">
        <v>86</v>
      </c>
      <c r="C279" s="12" t="s">
        <v>22</v>
      </c>
      <c r="D279" s="12">
        <v>0.11410643864393021</v>
      </c>
      <c r="E279" s="12">
        <v>182321</v>
      </c>
      <c r="F279" s="12">
        <v>20804</v>
      </c>
    </row>
    <row r="280" spans="1:6">
      <c r="A280" t="s">
        <v>1008</v>
      </c>
      <c r="B280" s="12" t="s">
        <v>86</v>
      </c>
      <c r="C280" s="12" t="s">
        <v>478</v>
      </c>
      <c r="D280" s="12">
        <v>4.7410885196987732E-2</v>
      </c>
      <c r="E280" s="12">
        <v>182321</v>
      </c>
      <c r="F280" s="12">
        <v>8644</v>
      </c>
    </row>
    <row r="281" spans="1:6">
      <c r="A281" t="s">
        <v>1008</v>
      </c>
      <c r="B281" s="12" t="s">
        <v>86</v>
      </c>
      <c r="C281" s="12" t="s">
        <v>20</v>
      </c>
      <c r="D281" s="12">
        <v>5.1173479741774122E-2</v>
      </c>
      <c r="E281" s="12">
        <v>182321</v>
      </c>
      <c r="F281" s="12">
        <v>9330</v>
      </c>
    </row>
    <row r="282" spans="1:6">
      <c r="A282" t="s">
        <v>1008</v>
      </c>
      <c r="B282" s="12" t="s">
        <v>87</v>
      </c>
      <c r="C282" s="12" t="s">
        <v>480</v>
      </c>
      <c r="D282" s="12">
        <v>0.42596334503172745</v>
      </c>
      <c r="E282" s="12">
        <v>56418</v>
      </c>
      <c r="F282" s="12">
        <v>24032</v>
      </c>
    </row>
    <row r="283" spans="1:6">
      <c r="A283" t="s">
        <v>1008</v>
      </c>
      <c r="B283" s="12" t="s">
        <v>87</v>
      </c>
      <c r="C283" s="12" t="s">
        <v>479</v>
      </c>
      <c r="D283" s="12">
        <v>0.38946790031550216</v>
      </c>
      <c r="E283" s="12">
        <v>56418</v>
      </c>
      <c r="F283" s="12">
        <v>21973</v>
      </c>
    </row>
    <row r="284" spans="1:6">
      <c r="A284" t="s">
        <v>1008</v>
      </c>
      <c r="B284" s="12" t="s">
        <v>87</v>
      </c>
      <c r="C284" s="12" t="s">
        <v>22</v>
      </c>
      <c r="D284" s="12">
        <v>0.10250274735013648</v>
      </c>
      <c r="E284" s="12">
        <v>56418</v>
      </c>
      <c r="F284" s="12">
        <v>5783</v>
      </c>
    </row>
    <row r="285" spans="1:6">
      <c r="A285" t="s">
        <v>1008</v>
      </c>
      <c r="B285" s="12" t="s">
        <v>87</v>
      </c>
      <c r="C285" s="12" t="s">
        <v>478</v>
      </c>
      <c r="D285" s="12">
        <v>4.1121627849267962E-2</v>
      </c>
      <c r="E285" s="12">
        <v>56418</v>
      </c>
      <c r="F285" s="12">
        <v>2320</v>
      </c>
    </row>
    <row r="286" spans="1:6">
      <c r="A286" t="s">
        <v>1008</v>
      </c>
      <c r="B286" s="12" t="s">
        <v>87</v>
      </c>
      <c r="C286" s="12" t="s">
        <v>20</v>
      </c>
      <c r="D286" s="12">
        <v>4.0926654613775745E-2</v>
      </c>
      <c r="E286" s="12">
        <v>56418</v>
      </c>
      <c r="F286" s="12">
        <v>2309</v>
      </c>
    </row>
    <row r="287" spans="1:6">
      <c r="A287" t="s">
        <v>1008</v>
      </c>
      <c r="B287" s="12" t="s">
        <v>88</v>
      </c>
      <c r="C287" s="12" t="s">
        <v>480</v>
      </c>
      <c r="D287" s="12">
        <v>0.41063267664093372</v>
      </c>
      <c r="E287" s="12">
        <v>135883</v>
      </c>
      <c r="F287" s="12">
        <v>55798</v>
      </c>
    </row>
    <row r="288" spans="1:6">
      <c r="A288" t="s">
        <v>1008</v>
      </c>
      <c r="B288" s="12" t="s">
        <v>88</v>
      </c>
      <c r="C288" s="12" t="s">
        <v>479</v>
      </c>
      <c r="D288" s="12">
        <v>0.40782143461654513</v>
      </c>
      <c r="E288" s="12">
        <v>135883</v>
      </c>
      <c r="F288" s="12">
        <v>55416</v>
      </c>
    </row>
    <row r="289" spans="1:6">
      <c r="A289" t="s">
        <v>1008</v>
      </c>
      <c r="B289" s="12" t="s">
        <v>88</v>
      </c>
      <c r="C289" s="12" t="s">
        <v>22</v>
      </c>
      <c r="D289" s="12">
        <v>0.10826961430053797</v>
      </c>
      <c r="E289" s="12">
        <v>135883</v>
      </c>
      <c r="F289" s="12">
        <v>14712</v>
      </c>
    </row>
    <row r="290" spans="1:6">
      <c r="A290" t="s">
        <v>1008</v>
      </c>
      <c r="B290" s="12" t="s">
        <v>88</v>
      </c>
      <c r="C290" s="12" t="s">
        <v>478</v>
      </c>
      <c r="D290" s="12">
        <v>3.8437479302046614E-2</v>
      </c>
      <c r="E290" s="12">
        <v>135883</v>
      </c>
      <c r="F290" s="12">
        <v>5223</v>
      </c>
    </row>
    <row r="291" spans="1:6">
      <c r="A291" t="s">
        <v>1008</v>
      </c>
      <c r="B291" s="12" t="s">
        <v>88</v>
      </c>
      <c r="C291" s="12" t="s">
        <v>20</v>
      </c>
      <c r="D291" s="12">
        <v>3.4831435867621406E-2</v>
      </c>
      <c r="E291" s="12">
        <v>135883</v>
      </c>
      <c r="F291" s="12">
        <v>4733</v>
      </c>
    </row>
    <row r="292" spans="1:6">
      <c r="A292" t="s">
        <v>1008</v>
      </c>
      <c r="B292" s="12" t="s">
        <v>89</v>
      </c>
      <c r="C292" s="12" t="s">
        <v>480</v>
      </c>
      <c r="D292" s="12">
        <v>0.45560115068956764</v>
      </c>
      <c r="E292" s="12">
        <v>94552</v>
      </c>
      <c r="F292" s="12">
        <v>43078</v>
      </c>
    </row>
    <row r="293" spans="1:6">
      <c r="A293" t="s">
        <v>1008</v>
      </c>
      <c r="B293" s="12" t="s">
        <v>89</v>
      </c>
      <c r="C293" s="12" t="s">
        <v>479</v>
      </c>
      <c r="D293" s="12">
        <v>0.37578263812505286</v>
      </c>
      <c r="E293" s="12">
        <v>94552</v>
      </c>
      <c r="F293" s="12">
        <v>35531</v>
      </c>
    </row>
    <row r="294" spans="1:6">
      <c r="A294" t="s">
        <v>1008</v>
      </c>
      <c r="B294" s="12" t="s">
        <v>89</v>
      </c>
      <c r="C294" s="12" t="s">
        <v>22</v>
      </c>
      <c r="D294" s="12">
        <v>9.4868432185464077E-2</v>
      </c>
      <c r="E294" s="12">
        <v>94552</v>
      </c>
      <c r="F294" s="12">
        <v>8970</v>
      </c>
    </row>
    <row r="295" spans="1:6">
      <c r="A295" t="s">
        <v>1008</v>
      </c>
      <c r="B295" s="12" t="s">
        <v>89</v>
      </c>
      <c r="C295" s="12" t="s">
        <v>478</v>
      </c>
      <c r="D295" s="12">
        <v>3.6265758524409851E-2</v>
      </c>
      <c r="E295" s="12">
        <v>94552</v>
      </c>
      <c r="F295" s="12">
        <v>3429</v>
      </c>
    </row>
    <row r="296" spans="1:6">
      <c r="A296" t="s">
        <v>1008</v>
      </c>
      <c r="B296" s="12" t="s">
        <v>89</v>
      </c>
      <c r="C296" s="12" t="s">
        <v>20</v>
      </c>
      <c r="D296" s="12">
        <v>3.7503172857263727E-2</v>
      </c>
      <c r="E296" s="12">
        <v>94552</v>
      </c>
      <c r="F296" s="12">
        <v>3546</v>
      </c>
    </row>
    <row r="297" spans="1:6">
      <c r="A297" t="s">
        <v>1008</v>
      </c>
      <c r="B297" s="12" t="s">
        <v>90</v>
      </c>
      <c r="C297" s="12" t="s">
        <v>480</v>
      </c>
      <c r="D297" s="12">
        <v>0.3797195966539611</v>
      </c>
      <c r="E297" s="12">
        <v>136161</v>
      </c>
      <c r="F297" s="12">
        <v>51703</v>
      </c>
    </row>
    <row r="298" spans="1:6">
      <c r="A298" t="s">
        <v>1008</v>
      </c>
      <c r="B298" s="12" t="s">
        <v>90</v>
      </c>
      <c r="C298" s="12" t="s">
        <v>479</v>
      </c>
      <c r="D298" s="12">
        <v>0.3889219379998678</v>
      </c>
      <c r="E298" s="12">
        <v>136161</v>
      </c>
      <c r="F298" s="12">
        <v>52956</v>
      </c>
    </row>
    <row r="299" spans="1:6">
      <c r="A299" t="s">
        <v>1008</v>
      </c>
      <c r="B299" s="12" t="s">
        <v>90</v>
      </c>
      <c r="C299" s="12" t="s">
        <v>22</v>
      </c>
      <c r="D299" s="12">
        <v>0.12115804084870117</v>
      </c>
      <c r="E299" s="12">
        <v>136161</v>
      </c>
      <c r="F299" s="12">
        <v>16497</v>
      </c>
    </row>
    <row r="300" spans="1:6">
      <c r="A300" t="s">
        <v>1008</v>
      </c>
      <c r="B300" s="12" t="s">
        <v>90</v>
      </c>
      <c r="C300" s="12" t="s">
        <v>478</v>
      </c>
      <c r="D300" s="12">
        <v>5.3304543885547256E-2</v>
      </c>
      <c r="E300" s="12">
        <v>136161</v>
      </c>
      <c r="F300" s="12">
        <v>7258</v>
      </c>
    </row>
    <row r="301" spans="1:6">
      <c r="A301" t="s">
        <v>1008</v>
      </c>
      <c r="B301" s="12" t="s">
        <v>90</v>
      </c>
      <c r="C301" s="12" t="s">
        <v>20</v>
      </c>
      <c r="D301" s="12">
        <v>5.688119211815424E-2</v>
      </c>
      <c r="E301" s="12">
        <v>136161</v>
      </c>
      <c r="F301" s="12">
        <v>7745</v>
      </c>
    </row>
    <row r="302" spans="1:6">
      <c r="A302" t="s">
        <v>1008</v>
      </c>
      <c r="B302" s="12" t="s">
        <v>91</v>
      </c>
      <c r="C302" s="12" t="s">
        <v>480</v>
      </c>
      <c r="D302" s="12">
        <v>0.42785087719298248</v>
      </c>
      <c r="E302" s="12">
        <v>45600</v>
      </c>
      <c r="F302" s="12">
        <v>19510</v>
      </c>
    </row>
    <row r="303" spans="1:6">
      <c r="A303" t="s">
        <v>1008</v>
      </c>
      <c r="B303" s="12" t="s">
        <v>91</v>
      </c>
      <c r="C303" s="12" t="s">
        <v>479</v>
      </c>
      <c r="D303" s="12">
        <v>0.36778508771929824</v>
      </c>
      <c r="E303" s="12">
        <v>45600</v>
      </c>
      <c r="F303" s="12">
        <v>16771</v>
      </c>
    </row>
    <row r="304" spans="1:6">
      <c r="A304" t="s">
        <v>1008</v>
      </c>
      <c r="B304" s="12" t="s">
        <v>91</v>
      </c>
      <c r="C304" s="12" t="s">
        <v>22</v>
      </c>
      <c r="D304" s="12">
        <v>0.10620614035087719</v>
      </c>
      <c r="E304" s="12">
        <v>45600</v>
      </c>
      <c r="F304" s="12">
        <v>4843</v>
      </c>
    </row>
    <row r="305" spans="1:6">
      <c r="A305" t="s">
        <v>1008</v>
      </c>
      <c r="B305" s="12" t="s">
        <v>91</v>
      </c>
      <c r="C305" s="12" t="s">
        <v>478</v>
      </c>
      <c r="D305" s="12">
        <v>4.5789473684210526E-2</v>
      </c>
      <c r="E305" s="12">
        <v>45600</v>
      </c>
      <c r="F305" s="12">
        <v>2088</v>
      </c>
    </row>
    <row r="306" spans="1:6">
      <c r="A306" t="s">
        <v>1008</v>
      </c>
      <c r="B306" s="12" t="s">
        <v>91</v>
      </c>
      <c r="C306" s="12" t="s">
        <v>20</v>
      </c>
      <c r="D306" s="12">
        <v>5.239035087719298E-2</v>
      </c>
      <c r="E306" s="12">
        <v>45600</v>
      </c>
      <c r="F306" s="12">
        <v>2389</v>
      </c>
    </row>
    <row r="307" spans="1:6">
      <c r="A307" t="s">
        <v>1008</v>
      </c>
      <c r="B307" s="12" t="s">
        <v>92</v>
      </c>
      <c r="C307" s="12" t="s">
        <v>480</v>
      </c>
      <c r="D307" s="12">
        <v>0.44984249010144217</v>
      </c>
      <c r="E307" s="12">
        <v>69202</v>
      </c>
      <c r="F307" s="12">
        <v>31130</v>
      </c>
    </row>
    <row r="308" spans="1:6">
      <c r="A308" t="s">
        <v>1008</v>
      </c>
      <c r="B308" s="12" t="s">
        <v>92</v>
      </c>
      <c r="C308" s="12" t="s">
        <v>479</v>
      </c>
      <c r="D308" s="12">
        <v>0.37981561226554145</v>
      </c>
      <c r="E308" s="12">
        <v>69202</v>
      </c>
      <c r="F308" s="12">
        <v>26284</v>
      </c>
    </row>
    <row r="309" spans="1:6">
      <c r="A309" t="s">
        <v>1008</v>
      </c>
      <c r="B309" s="12" t="s">
        <v>92</v>
      </c>
      <c r="C309" s="12" t="s">
        <v>22</v>
      </c>
      <c r="D309" s="12">
        <v>9.3031993294991469E-2</v>
      </c>
      <c r="E309" s="12">
        <v>69202</v>
      </c>
      <c r="F309" s="12">
        <v>6438</v>
      </c>
    </row>
    <row r="310" spans="1:6">
      <c r="A310" t="s">
        <v>1008</v>
      </c>
      <c r="B310" s="12" t="s">
        <v>92</v>
      </c>
      <c r="C310" s="12" t="s">
        <v>478</v>
      </c>
      <c r="D310" s="12">
        <v>3.781682610329181E-2</v>
      </c>
      <c r="E310" s="12">
        <v>69202</v>
      </c>
      <c r="F310" s="12">
        <v>2617</v>
      </c>
    </row>
    <row r="311" spans="1:6">
      <c r="A311" t="s">
        <v>1008</v>
      </c>
      <c r="B311" s="12" t="s">
        <v>92</v>
      </c>
      <c r="C311" s="12" t="s">
        <v>20</v>
      </c>
      <c r="D311" s="12">
        <v>3.947862778532412E-2</v>
      </c>
      <c r="E311" s="12">
        <v>69202</v>
      </c>
      <c r="F311" s="12">
        <v>2732</v>
      </c>
    </row>
    <row r="312" spans="1:6">
      <c r="A312" t="s">
        <v>1008</v>
      </c>
      <c r="B312" s="12" t="s">
        <v>93</v>
      </c>
      <c r="C312" s="12" t="s">
        <v>480</v>
      </c>
      <c r="D312" s="12">
        <v>0.39015530657712055</v>
      </c>
      <c r="E312" s="12">
        <v>61942</v>
      </c>
      <c r="F312" s="12">
        <v>24167</v>
      </c>
    </row>
    <row r="313" spans="1:6">
      <c r="A313" t="s">
        <v>1008</v>
      </c>
      <c r="B313" s="12" t="s">
        <v>93</v>
      </c>
      <c r="C313" s="12" t="s">
        <v>479</v>
      </c>
      <c r="D313" s="12">
        <v>0.4067999095928449</v>
      </c>
      <c r="E313" s="12">
        <v>61942</v>
      </c>
      <c r="F313" s="12">
        <v>25198</v>
      </c>
    </row>
    <row r="314" spans="1:6">
      <c r="A314" t="s">
        <v>1008</v>
      </c>
      <c r="B314" s="12" t="s">
        <v>93</v>
      </c>
      <c r="C314" s="12" t="s">
        <v>22</v>
      </c>
      <c r="D314" s="12">
        <v>0.11094249459171483</v>
      </c>
      <c r="E314" s="12">
        <v>61942</v>
      </c>
      <c r="F314" s="12">
        <v>6872</v>
      </c>
    </row>
    <row r="315" spans="1:6">
      <c r="A315" t="s">
        <v>1008</v>
      </c>
      <c r="B315" s="12" t="s">
        <v>93</v>
      </c>
      <c r="C315" s="12" t="s">
        <v>478</v>
      </c>
      <c r="D315" s="12">
        <v>4.4799974169384263E-2</v>
      </c>
      <c r="E315" s="12">
        <v>61942</v>
      </c>
      <c r="F315" s="12">
        <v>2775</v>
      </c>
    </row>
    <row r="316" spans="1:6">
      <c r="A316" t="s">
        <v>1008</v>
      </c>
      <c r="B316" s="12" t="s">
        <v>93</v>
      </c>
      <c r="C316" s="12" t="s">
        <v>20</v>
      </c>
      <c r="D316" s="12">
        <v>4.7302315068935459E-2</v>
      </c>
      <c r="E316" s="12">
        <v>61942</v>
      </c>
      <c r="F316" s="12">
        <v>2930</v>
      </c>
    </row>
    <row r="317" spans="1:6">
      <c r="A317" t="s">
        <v>1008</v>
      </c>
      <c r="B317" s="12" t="s">
        <v>94</v>
      </c>
      <c r="C317" s="12" t="s">
        <v>480</v>
      </c>
      <c r="D317" s="12">
        <v>0.42773163052951746</v>
      </c>
      <c r="E317" s="12">
        <v>112442</v>
      </c>
      <c r="F317" s="12">
        <v>48095</v>
      </c>
    </row>
    <row r="318" spans="1:6">
      <c r="A318" t="s">
        <v>1008</v>
      </c>
      <c r="B318" s="12" t="s">
        <v>94</v>
      </c>
      <c r="C318" s="12" t="s">
        <v>479</v>
      </c>
      <c r="D318" s="12">
        <v>0.40331904448515682</v>
      </c>
      <c r="E318" s="12">
        <v>112442</v>
      </c>
      <c r="F318" s="12">
        <v>45350</v>
      </c>
    </row>
    <row r="319" spans="1:6">
      <c r="A319" t="s">
        <v>1008</v>
      </c>
      <c r="B319" s="12" t="s">
        <v>94</v>
      </c>
      <c r="C319" s="12" t="s">
        <v>22</v>
      </c>
      <c r="D319" s="12">
        <v>0.1002828124722079</v>
      </c>
      <c r="E319" s="12">
        <v>112442</v>
      </c>
      <c r="F319" s="12">
        <v>11276</v>
      </c>
    </row>
    <row r="320" spans="1:6">
      <c r="A320" t="s">
        <v>1008</v>
      </c>
      <c r="B320" s="12" t="s">
        <v>94</v>
      </c>
      <c r="C320" s="12" t="s">
        <v>478</v>
      </c>
      <c r="D320" s="12">
        <v>3.5680617562832397E-2</v>
      </c>
      <c r="E320" s="12">
        <v>112442</v>
      </c>
      <c r="F320" s="12">
        <v>4012</v>
      </c>
    </row>
    <row r="321" spans="1:6">
      <c r="A321" t="s">
        <v>1008</v>
      </c>
      <c r="B321" s="12" t="s">
        <v>94</v>
      </c>
      <c r="C321" s="12" t="s">
        <v>20</v>
      </c>
      <c r="D321" s="12">
        <v>3.3003681898223086E-2</v>
      </c>
      <c r="E321" s="12">
        <v>112442</v>
      </c>
      <c r="F321" s="12">
        <v>3711</v>
      </c>
    </row>
    <row r="322" spans="1:6">
      <c r="A322" t="s">
        <v>1008</v>
      </c>
      <c r="B322" s="12" t="s">
        <v>95</v>
      </c>
      <c r="C322" s="12" t="s">
        <v>480</v>
      </c>
      <c r="D322" s="12">
        <v>0.39558922407996772</v>
      </c>
      <c r="E322" s="12">
        <v>111545</v>
      </c>
      <c r="F322" s="12">
        <v>44126</v>
      </c>
    </row>
    <row r="323" spans="1:6">
      <c r="A323" t="s">
        <v>1008</v>
      </c>
      <c r="B323" s="12" t="s">
        <v>95</v>
      </c>
      <c r="C323" s="12" t="s">
        <v>479</v>
      </c>
      <c r="D323" s="12">
        <v>0.40122820386391145</v>
      </c>
      <c r="E323" s="12">
        <v>111545</v>
      </c>
      <c r="F323" s="12">
        <v>44755</v>
      </c>
    </row>
    <row r="324" spans="1:6">
      <c r="A324" t="s">
        <v>1008</v>
      </c>
      <c r="B324" s="12" t="s">
        <v>95</v>
      </c>
      <c r="C324" s="12" t="s">
        <v>22</v>
      </c>
      <c r="D324" s="12">
        <v>0.11435743421937335</v>
      </c>
      <c r="E324" s="12">
        <v>111545</v>
      </c>
      <c r="F324" s="12">
        <v>12756</v>
      </c>
    </row>
    <row r="325" spans="1:6">
      <c r="A325" t="s">
        <v>1008</v>
      </c>
      <c r="B325" s="12" t="s">
        <v>95</v>
      </c>
      <c r="C325" s="12" t="s">
        <v>478</v>
      </c>
      <c r="D325" s="12">
        <v>4.4690483661302613E-2</v>
      </c>
      <c r="E325" s="12">
        <v>111545</v>
      </c>
      <c r="F325" s="12">
        <v>4985</v>
      </c>
    </row>
    <row r="326" spans="1:6">
      <c r="A326" t="s">
        <v>1008</v>
      </c>
      <c r="B326" s="12" t="s">
        <v>95</v>
      </c>
      <c r="C326" s="12" t="s">
        <v>20</v>
      </c>
      <c r="D326" s="12">
        <v>4.4071899233493209E-2</v>
      </c>
      <c r="E326" s="12">
        <v>111545</v>
      </c>
      <c r="F326" s="12">
        <v>4916</v>
      </c>
    </row>
    <row r="327" spans="1:6">
      <c r="A327" t="s">
        <v>1008</v>
      </c>
      <c r="B327" s="12" t="s">
        <v>96</v>
      </c>
      <c r="C327" s="12" t="s">
        <v>480</v>
      </c>
      <c r="D327" s="12">
        <v>0.4197224429907685</v>
      </c>
      <c r="E327" s="12">
        <v>163570</v>
      </c>
      <c r="F327" s="12">
        <v>68654</v>
      </c>
    </row>
    <row r="328" spans="1:6">
      <c r="A328" t="s">
        <v>1008</v>
      </c>
      <c r="B328" s="12" t="s">
        <v>96</v>
      </c>
      <c r="C328" s="12" t="s">
        <v>479</v>
      </c>
      <c r="D328" s="12">
        <v>0.41702023598459376</v>
      </c>
      <c r="E328" s="12">
        <v>163570</v>
      </c>
      <c r="F328" s="12">
        <v>68212</v>
      </c>
    </row>
    <row r="329" spans="1:6">
      <c r="A329" t="s">
        <v>1008</v>
      </c>
      <c r="B329" s="12" t="s">
        <v>96</v>
      </c>
      <c r="C329" s="12" t="s">
        <v>22</v>
      </c>
      <c r="D329" s="12">
        <v>9.8080332579323831E-2</v>
      </c>
      <c r="E329" s="12">
        <v>163570</v>
      </c>
      <c r="F329" s="12">
        <v>16043</v>
      </c>
    </row>
    <row r="330" spans="1:6">
      <c r="A330" t="s">
        <v>1008</v>
      </c>
      <c r="B330" s="12" t="s">
        <v>96</v>
      </c>
      <c r="C330" s="12" t="s">
        <v>478</v>
      </c>
      <c r="D330" s="12">
        <v>3.4089380693281164E-2</v>
      </c>
      <c r="E330" s="12">
        <v>163570</v>
      </c>
      <c r="F330" s="12">
        <v>5576</v>
      </c>
    </row>
    <row r="331" spans="1:6">
      <c r="A331" t="s">
        <v>1008</v>
      </c>
      <c r="B331" s="12" t="s">
        <v>96</v>
      </c>
      <c r="C331" s="12" t="s">
        <v>20</v>
      </c>
      <c r="D331" s="12">
        <v>3.1093721342544477E-2</v>
      </c>
      <c r="E331" s="12">
        <v>163570</v>
      </c>
      <c r="F331" s="12">
        <v>5086</v>
      </c>
    </row>
    <row r="332" spans="1:6">
      <c r="A332" t="s">
        <v>1008</v>
      </c>
      <c r="B332" s="12" t="s">
        <v>97</v>
      </c>
      <c r="C332" s="12" t="s">
        <v>480</v>
      </c>
      <c r="D332" s="12">
        <v>0.49472316934567301</v>
      </c>
      <c r="E332" s="12">
        <v>30795</v>
      </c>
      <c r="F332" s="12">
        <v>15235</v>
      </c>
    </row>
    <row r="333" spans="1:6">
      <c r="A333" t="s">
        <v>1008</v>
      </c>
      <c r="B333" s="12" t="s">
        <v>97</v>
      </c>
      <c r="C333" s="12" t="s">
        <v>479</v>
      </c>
      <c r="D333" s="12">
        <v>0.35216755966877739</v>
      </c>
      <c r="E333" s="12">
        <v>30795</v>
      </c>
      <c r="F333" s="12">
        <v>10845</v>
      </c>
    </row>
    <row r="334" spans="1:6">
      <c r="A334" t="s">
        <v>1008</v>
      </c>
      <c r="B334" s="12" t="s">
        <v>97</v>
      </c>
      <c r="C334" s="12" t="s">
        <v>22</v>
      </c>
      <c r="D334" s="12">
        <v>8.787140769605456E-2</v>
      </c>
      <c r="E334" s="12">
        <v>30795</v>
      </c>
      <c r="F334" s="12">
        <v>2706</v>
      </c>
    </row>
    <row r="335" spans="1:6">
      <c r="A335" t="s">
        <v>1008</v>
      </c>
      <c r="B335" s="12" t="s">
        <v>97</v>
      </c>
      <c r="C335" s="12" t="s">
        <v>478</v>
      </c>
      <c r="D335" s="12">
        <v>3.2765059262867352E-2</v>
      </c>
      <c r="E335" s="12">
        <v>30795</v>
      </c>
      <c r="F335" s="12">
        <v>1009</v>
      </c>
    </row>
    <row r="336" spans="1:6">
      <c r="A336" t="s">
        <v>1008</v>
      </c>
      <c r="B336" s="12" t="s">
        <v>97</v>
      </c>
      <c r="C336" s="12" t="s">
        <v>20</v>
      </c>
      <c r="D336" s="12">
        <v>3.2440331222601072E-2</v>
      </c>
      <c r="E336" s="12">
        <v>30795</v>
      </c>
      <c r="F336" s="12">
        <v>999</v>
      </c>
    </row>
    <row r="337" spans="1:6">
      <c r="A337" t="s">
        <v>1008</v>
      </c>
      <c r="B337" s="12" t="s">
        <v>98</v>
      </c>
      <c r="C337" s="12" t="s">
        <v>480</v>
      </c>
      <c r="D337" s="12">
        <v>0.44255916794776901</v>
      </c>
      <c r="E337" s="12">
        <v>52689</v>
      </c>
      <c r="F337" s="12">
        <v>23318</v>
      </c>
    </row>
    <row r="338" spans="1:6">
      <c r="A338" t="s">
        <v>1008</v>
      </c>
      <c r="B338" s="12" t="s">
        <v>98</v>
      </c>
      <c r="C338" s="12" t="s">
        <v>479</v>
      </c>
      <c r="D338" s="12">
        <v>0.37053274877109071</v>
      </c>
      <c r="E338" s="12">
        <v>52689</v>
      </c>
      <c r="F338" s="12">
        <v>19523</v>
      </c>
    </row>
    <row r="339" spans="1:6">
      <c r="A339" t="s">
        <v>1008</v>
      </c>
      <c r="B339" s="12" t="s">
        <v>98</v>
      </c>
      <c r="C339" s="12" t="s">
        <v>22</v>
      </c>
      <c r="D339" s="12">
        <v>0.10034352521399154</v>
      </c>
      <c r="E339" s="12">
        <v>52689</v>
      </c>
      <c r="F339" s="12">
        <v>5287</v>
      </c>
    </row>
    <row r="340" spans="1:6">
      <c r="A340" t="s">
        <v>1008</v>
      </c>
      <c r="B340" s="12" t="s">
        <v>98</v>
      </c>
      <c r="C340" s="12" t="s">
        <v>478</v>
      </c>
      <c r="D340" s="12">
        <v>4.1014253449486608E-2</v>
      </c>
      <c r="E340" s="12">
        <v>52689</v>
      </c>
      <c r="F340" s="12">
        <v>2161</v>
      </c>
    </row>
    <row r="341" spans="1:6">
      <c r="A341" t="s">
        <v>1008</v>
      </c>
      <c r="B341" s="12" t="s">
        <v>98</v>
      </c>
      <c r="C341" s="12" t="s">
        <v>20</v>
      </c>
      <c r="D341" s="12">
        <v>4.5645201085615594E-2</v>
      </c>
      <c r="E341" s="12">
        <v>52689</v>
      </c>
      <c r="F341" s="12">
        <v>2405</v>
      </c>
    </row>
    <row r="342" spans="1:6">
      <c r="A342" t="s">
        <v>1008</v>
      </c>
      <c r="B342" s="12" t="s">
        <v>99</v>
      </c>
      <c r="C342" s="12" t="s">
        <v>480</v>
      </c>
      <c r="D342" s="12">
        <v>0.43315100043184107</v>
      </c>
      <c r="E342" s="12">
        <v>69470</v>
      </c>
      <c r="F342" s="12">
        <v>30091</v>
      </c>
    </row>
    <row r="343" spans="1:6">
      <c r="A343" t="s">
        <v>1008</v>
      </c>
      <c r="B343" s="12" t="s">
        <v>99</v>
      </c>
      <c r="C343" s="12" t="s">
        <v>479</v>
      </c>
      <c r="D343" s="12">
        <v>0.38157478048078308</v>
      </c>
      <c r="E343" s="12">
        <v>69470</v>
      </c>
      <c r="F343" s="12">
        <v>26508</v>
      </c>
    </row>
    <row r="344" spans="1:6">
      <c r="A344" t="s">
        <v>1008</v>
      </c>
      <c r="B344" s="12" t="s">
        <v>99</v>
      </c>
      <c r="C344" s="12" t="s">
        <v>22</v>
      </c>
      <c r="D344" s="12">
        <v>0.10580106520800346</v>
      </c>
      <c r="E344" s="12">
        <v>69470</v>
      </c>
      <c r="F344" s="12">
        <v>7350</v>
      </c>
    </row>
    <row r="345" spans="1:6">
      <c r="A345" t="s">
        <v>1008</v>
      </c>
      <c r="B345" s="12" t="s">
        <v>99</v>
      </c>
      <c r="C345" s="12" t="s">
        <v>478</v>
      </c>
      <c r="D345" s="12">
        <v>3.9945300129552323E-2</v>
      </c>
      <c r="E345" s="12">
        <v>69470</v>
      </c>
      <c r="F345" s="12">
        <v>2775</v>
      </c>
    </row>
    <row r="346" spans="1:6">
      <c r="A346" t="s">
        <v>1008</v>
      </c>
      <c r="B346" s="12" t="s">
        <v>99</v>
      </c>
      <c r="C346" s="12" t="s">
        <v>20</v>
      </c>
      <c r="D346" s="12">
        <v>3.9412696127824963E-2</v>
      </c>
      <c r="E346" s="12">
        <v>69470</v>
      </c>
      <c r="F346" s="12">
        <v>2738</v>
      </c>
    </row>
    <row r="347" spans="1:6">
      <c r="A347" t="s">
        <v>1008</v>
      </c>
      <c r="B347" s="12" t="s">
        <v>101</v>
      </c>
      <c r="C347" s="12" t="s">
        <v>480</v>
      </c>
      <c r="D347" s="12">
        <v>0.42027439024390245</v>
      </c>
      <c r="E347" s="12">
        <v>32800</v>
      </c>
      <c r="F347" s="12">
        <v>13785</v>
      </c>
    </row>
    <row r="348" spans="1:6">
      <c r="A348" t="s">
        <v>1008</v>
      </c>
      <c r="B348" s="12" t="s">
        <v>101</v>
      </c>
      <c r="C348" s="12" t="s">
        <v>479</v>
      </c>
      <c r="D348" s="12">
        <v>0.37030487804878048</v>
      </c>
      <c r="E348" s="12">
        <v>32800</v>
      </c>
      <c r="F348" s="12">
        <v>12146</v>
      </c>
    </row>
    <row r="349" spans="1:6">
      <c r="A349" t="s">
        <v>1008</v>
      </c>
      <c r="B349" s="12" t="s">
        <v>101</v>
      </c>
      <c r="C349" s="12" t="s">
        <v>22</v>
      </c>
      <c r="D349" s="12">
        <v>0.10969512195121951</v>
      </c>
      <c r="E349" s="12">
        <v>32800</v>
      </c>
      <c r="F349" s="12">
        <v>3598</v>
      </c>
    </row>
    <row r="350" spans="1:6">
      <c r="A350" t="s">
        <v>1008</v>
      </c>
      <c r="B350" s="12" t="s">
        <v>101</v>
      </c>
      <c r="C350" s="12" t="s">
        <v>478</v>
      </c>
      <c r="D350" s="12">
        <v>4.6585365853658536E-2</v>
      </c>
      <c r="E350" s="12">
        <v>32800</v>
      </c>
      <c r="F350" s="12">
        <v>1528</v>
      </c>
    </row>
    <row r="351" spans="1:6">
      <c r="A351" t="s">
        <v>1008</v>
      </c>
      <c r="B351" s="12" t="s">
        <v>101</v>
      </c>
      <c r="C351" s="12" t="s">
        <v>20</v>
      </c>
      <c r="D351" s="12">
        <v>5.3079268292682925E-2</v>
      </c>
      <c r="E351" s="12">
        <v>32800</v>
      </c>
      <c r="F351" s="12">
        <v>1741</v>
      </c>
    </row>
    <row r="352" spans="1:6">
      <c r="A352" t="s">
        <v>1009</v>
      </c>
      <c r="B352" s="12" t="s">
        <v>102</v>
      </c>
      <c r="C352" s="12" t="s">
        <v>480</v>
      </c>
      <c r="D352" s="12">
        <v>0.43669060060233056</v>
      </c>
      <c r="E352" s="12">
        <v>1058887</v>
      </c>
      <c r="F352" s="12">
        <v>462406</v>
      </c>
    </row>
    <row r="353" spans="1:6">
      <c r="A353" t="s">
        <v>1009</v>
      </c>
      <c r="B353" s="12" t="s">
        <v>102</v>
      </c>
      <c r="C353" s="12" t="s">
        <v>479</v>
      </c>
      <c r="D353" s="12">
        <v>0.39266418418584798</v>
      </c>
      <c r="E353" s="12">
        <v>1058887</v>
      </c>
      <c r="F353" s="12">
        <v>415787</v>
      </c>
    </row>
    <row r="354" spans="1:6">
      <c r="A354" t="s">
        <v>1009</v>
      </c>
      <c r="B354" s="12" t="s">
        <v>102</v>
      </c>
      <c r="C354" s="12" t="s">
        <v>22</v>
      </c>
      <c r="D354" s="12">
        <v>0.10318570347921922</v>
      </c>
      <c r="E354" s="12">
        <v>1058887</v>
      </c>
      <c r="F354" s="12">
        <v>109262</v>
      </c>
    </row>
    <row r="355" spans="1:6">
      <c r="A355" t="s">
        <v>1009</v>
      </c>
      <c r="B355" s="12" t="s">
        <v>102</v>
      </c>
      <c r="C355" s="12" t="s">
        <v>478</v>
      </c>
      <c r="D355" s="12">
        <v>3.586973869733031E-2</v>
      </c>
      <c r="E355" s="12">
        <v>1058887</v>
      </c>
      <c r="F355" s="12">
        <v>37982</v>
      </c>
    </row>
    <row r="356" spans="1:6">
      <c r="A356" t="s">
        <v>1009</v>
      </c>
      <c r="B356" s="12" t="s">
        <v>102</v>
      </c>
      <c r="C356" s="12" t="s">
        <v>20</v>
      </c>
      <c r="D356" s="12">
        <v>3.1588828647438304E-2</v>
      </c>
      <c r="E356" s="12">
        <v>1058887</v>
      </c>
      <c r="F356" s="12">
        <v>33449</v>
      </c>
    </row>
    <row r="357" spans="1:6">
      <c r="A357" t="s">
        <v>1009</v>
      </c>
      <c r="B357" s="12" t="s">
        <v>103</v>
      </c>
      <c r="C357" s="12" t="s">
        <v>480</v>
      </c>
      <c r="D357" s="12">
        <v>0.5122761389175513</v>
      </c>
      <c r="E357" s="12">
        <v>141494</v>
      </c>
      <c r="F357" s="12">
        <v>72484</v>
      </c>
    </row>
    <row r="358" spans="1:6">
      <c r="A358" t="s">
        <v>1009</v>
      </c>
      <c r="B358" s="12" t="s">
        <v>103</v>
      </c>
      <c r="C358" s="12" t="s">
        <v>479</v>
      </c>
      <c r="D358" s="12">
        <v>0.36621340834240323</v>
      </c>
      <c r="E358" s="12">
        <v>141494</v>
      </c>
      <c r="F358" s="12">
        <v>51817</v>
      </c>
    </row>
    <row r="359" spans="1:6">
      <c r="A359" t="s">
        <v>1009</v>
      </c>
      <c r="B359" s="12" t="s">
        <v>103</v>
      </c>
      <c r="C359" s="12" t="s">
        <v>22</v>
      </c>
      <c r="D359" s="12">
        <v>7.4610937566257224E-2</v>
      </c>
      <c r="E359" s="12">
        <v>141494</v>
      </c>
      <c r="F359" s="12">
        <v>10557</v>
      </c>
    </row>
    <row r="360" spans="1:6">
      <c r="A360" t="s">
        <v>1009</v>
      </c>
      <c r="B360" s="12" t="s">
        <v>103</v>
      </c>
      <c r="C360" s="12" t="s">
        <v>478</v>
      </c>
      <c r="D360" s="12">
        <v>2.4213040835653808E-2</v>
      </c>
      <c r="E360" s="12">
        <v>141494</v>
      </c>
      <c r="F360" s="12">
        <v>3426</v>
      </c>
    </row>
    <row r="361" spans="1:6">
      <c r="A361" t="s">
        <v>1009</v>
      </c>
      <c r="B361" s="12" t="s">
        <v>103</v>
      </c>
      <c r="C361" s="12" t="s">
        <v>20</v>
      </c>
      <c r="D361" s="12">
        <v>2.2735946400554086E-2</v>
      </c>
      <c r="E361" s="12">
        <v>141494</v>
      </c>
      <c r="F361" s="12">
        <v>3217</v>
      </c>
    </row>
    <row r="362" spans="1:6">
      <c r="A362" t="s">
        <v>1009</v>
      </c>
      <c r="B362" s="12" t="s">
        <v>104</v>
      </c>
      <c r="C362" s="12" t="s">
        <v>480</v>
      </c>
      <c r="D362" s="12">
        <v>0.44569399817525485</v>
      </c>
      <c r="E362" s="12">
        <v>352926</v>
      </c>
      <c r="F362" s="12">
        <v>157297</v>
      </c>
    </row>
    <row r="363" spans="1:6">
      <c r="A363" t="s">
        <v>1009</v>
      </c>
      <c r="B363" s="12" t="s">
        <v>104</v>
      </c>
      <c r="C363" s="12" t="s">
        <v>479</v>
      </c>
      <c r="D363" s="12">
        <v>0.38387934014495956</v>
      </c>
      <c r="E363" s="12">
        <v>352926</v>
      </c>
      <c r="F363" s="12">
        <v>135481</v>
      </c>
    </row>
    <row r="364" spans="1:6">
      <c r="A364" t="s">
        <v>1009</v>
      </c>
      <c r="B364" s="12" t="s">
        <v>104</v>
      </c>
      <c r="C364" s="12" t="s">
        <v>22</v>
      </c>
      <c r="D364" s="12">
        <v>0.10139519332664639</v>
      </c>
      <c r="E364" s="12">
        <v>352926</v>
      </c>
      <c r="F364" s="12">
        <v>35785</v>
      </c>
    </row>
    <row r="365" spans="1:6">
      <c r="A365" t="s">
        <v>1009</v>
      </c>
      <c r="B365" s="12" t="s">
        <v>104</v>
      </c>
      <c r="C365" s="12" t="s">
        <v>478</v>
      </c>
      <c r="D365" s="12">
        <v>3.74129420898432E-2</v>
      </c>
      <c r="E365" s="12">
        <v>352926</v>
      </c>
      <c r="F365" s="12">
        <v>13204</v>
      </c>
    </row>
    <row r="366" spans="1:6">
      <c r="A366" t="s">
        <v>1009</v>
      </c>
      <c r="B366" s="12" t="s">
        <v>104</v>
      </c>
      <c r="C366" s="12" t="s">
        <v>20</v>
      </c>
      <c r="D366" s="12">
        <v>3.1604358987436458E-2</v>
      </c>
      <c r="E366" s="12">
        <v>352926</v>
      </c>
      <c r="F366" s="12">
        <v>11154</v>
      </c>
    </row>
    <row r="367" spans="1:6">
      <c r="A367" t="s">
        <v>1009</v>
      </c>
      <c r="B367" s="12" t="s">
        <v>105</v>
      </c>
      <c r="C367" s="12" t="s">
        <v>480</v>
      </c>
      <c r="D367" s="12">
        <v>0.49413426387504156</v>
      </c>
      <c r="E367" s="12">
        <v>120360</v>
      </c>
      <c r="F367" s="12">
        <v>59474</v>
      </c>
    </row>
    <row r="368" spans="1:6">
      <c r="A368" t="s">
        <v>1009</v>
      </c>
      <c r="B368" s="12" t="s">
        <v>105</v>
      </c>
      <c r="C368" s="12" t="s">
        <v>479</v>
      </c>
      <c r="D368" s="12">
        <v>0.36870222665337321</v>
      </c>
      <c r="E368" s="12">
        <v>120360</v>
      </c>
      <c r="F368" s="12">
        <v>44377</v>
      </c>
    </row>
    <row r="369" spans="1:6">
      <c r="A369" t="s">
        <v>1009</v>
      </c>
      <c r="B369" s="12" t="s">
        <v>105</v>
      </c>
      <c r="C369" s="12" t="s">
        <v>22</v>
      </c>
      <c r="D369" s="12">
        <v>7.9793951478896646E-2</v>
      </c>
      <c r="E369" s="12">
        <v>120360</v>
      </c>
      <c r="F369" s="12">
        <v>9604</v>
      </c>
    </row>
    <row r="370" spans="1:6">
      <c r="A370" t="s">
        <v>1009</v>
      </c>
      <c r="B370" s="12" t="s">
        <v>105</v>
      </c>
      <c r="C370" s="12" t="s">
        <v>478</v>
      </c>
      <c r="D370" s="12">
        <v>2.9112662013958127E-2</v>
      </c>
      <c r="E370" s="12">
        <v>120360</v>
      </c>
      <c r="F370" s="12">
        <v>3504</v>
      </c>
    </row>
    <row r="371" spans="1:6">
      <c r="A371" t="s">
        <v>1009</v>
      </c>
      <c r="B371" s="12" t="s">
        <v>105</v>
      </c>
      <c r="C371" s="12" t="s">
        <v>20</v>
      </c>
      <c r="D371" s="12">
        <v>2.8215353938185445E-2</v>
      </c>
      <c r="E371" s="12">
        <v>120360</v>
      </c>
      <c r="F371" s="12">
        <v>3396</v>
      </c>
    </row>
    <row r="372" spans="1:6">
      <c r="A372" t="s">
        <v>1009</v>
      </c>
      <c r="B372" s="12" t="s">
        <v>106</v>
      </c>
      <c r="C372" s="12" t="s">
        <v>480</v>
      </c>
      <c r="D372" s="12">
        <v>0.46418059391569061</v>
      </c>
      <c r="E372" s="12">
        <v>198412</v>
      </c>
      <c r="F372" s="12">
        <v>92099</v>
      </c>
    </row>
    <row r="373" spans="1:6">
      <c r="A373" t="s">
        <v>1009</v>
      </c>
      <c r="B373" s="12" t="s">
        <v>106</v>
      </c>
      <c r="C373" s="12" t="s">
        <v>479</v>
      </c>
      <c r="D373" s="12">
        <v>0.37511340039916941</v>
      </c>
      <c r="E373" s="12">
        <v>198412</v>
      </c>
      <c r="F373" s="12">
        <v>74427</v>
      </c>
    </row>
    <row r="374" spans="1:6">
      <c r="A374" t="s">
        <v>1009</v>
      </c>
      <c r="B374" s="12" t="s">
        <v>106</v>
      </c>
      <c r="C374" s="12" t="s">
        <v>22</v>
      </c>
      <c r="D374" s="12">
        <v>9.5649456686087542E-2</v>
      </c>
      <c r="E374" s="12">
        <v>198412</v>
      </c>
      <c r="F374" s="12">
        <v>18978</v>
      </c>
    </row>
    <row r="375" spans="1:6">
      <c r="A375" t="s">
        <v>1009</v>
      </c>
      <c r="B375" s="12" t="s">
        <v>106</v>
      </c>
      <c r="C375" s="12" t="s">
        <v>478</v>
      </c>
      <c r="D375" s="12">
        <v>3.4791242465173476E-2</v>
      </c>
      <c r="E375" s="12">
        <v>198412</v>
      </c>
      <c r="F375" s="12">
        <v>6903</v>
      </c>
    </row>
    <row r="376" spans="1:6">
      <c r="A376" t="s">
        <v>1009</v>
      </c>
      <c r="B376" s="12" t="s">
        <v>106</v>
      </c>
      <c r="C376" s="12" t="s">
        <v>20</v>
      </c>
      <c r="D376" s="12">
        <v>3.0255226498397274E-2</v>
      </c>
      <c r="E376" s="12">
        <v>198412</v>
      </c>
      <c r="F376" s="12">
        <v>6003</v>
      </c>
    </row>
    <row r="377" spans="1:6">
      <c r="A377" t="s">
        <v>1009</v>
      </c>
      <c r="B377" s="12" t="s">
        <v>107</v>
      </c>
      <c r="C377" s="12" t="s">
        <v>480</v>
      </c>
      <c r="D377" s="12">
        <v>0.47370677037594616</v>
      </c>
      <c r="E377" s="12">
        <v>95652</v>
      </c>
      <c r="F377" s="12">
        <v>45311</v>
      </c>
    </row>
    <row r="378" spans="1:6">
      <c r="A378" t="s">
        <v>1009</v>
      </c>
      <c r="B378" s="12" t="s">
        <v>107</v>
      </c>
      <c r="C378" s="12" t="s">
        <v>479</v>
      </c>
      <c r="D378" s="12">
        <v>0.38042069167398485</v>
      </c>
      <c r="E378" s="12">
        <v>95652</v>
      </c>
      <c r="F378" s="12">
        <v>36388</v>
      </c>
    </row>
    <row r="379" spans="1:6">
      <c r="A379" t="s">
        <v>1009</v>
      </c>
      <c r="B379" s="12" t="s">
        <v>107</v>
      </c>
      <c r="C379" s="12" t="s">
        <v>22</v>
      </c>
      <c r="D379" s="12">
        <v>9.1142892987078158E-2</v>
      </c>
      <c r="E379" s="12">
        <v>95652</v>
      </c>
      <c r="F379" s="12">
        <v>8718</v>
      </c>
    </row>
    <row r="380" spans="1:6">
      <c r="A380" t="s">
        <v>1009</v>
      </c>
      <c r="B380" s="12" t="s">
        <v>107</v>
      </c>
      <c r="C380" s="12" t="s">
        <v>478</v>
      </c>
      <c r="D380" s="12">
        <v>3.1562330113327479E-2</v>
      </c>
      <c r="E380" s="12">
        <v>95652</v>
      </c>
      <c r="F380" s="12">
        <v>3019</v>
      </c>
    </row>
    <row r="381" spans="1:6">
      <c r="A381" t="s">
        <v>1009</v>
      </c>
      <c r="B381" s="12" t="s">
        <v>107</v>
      </c>
      <c r="C381" s="12" t="s">
        <v>20</v>
      </c>
      <c r="D381" s="12">
        <v>2.3115042027349139E-2</v>
      </c>
      <c r="E381" s="12">
        <v>95652</v>
      </c>
      <c r="F381" s="12">
        <v>2211</v>
      </c>
    </row>
    <row r="382" spans="1:6">
      <c r="A382" t="s">
        <v>1009</v>
      </c>
      <c r="B382" s="12" t="s">
        <v>108</v>
      </c>
      <c r="C382" s="12" t="s">
        <v>480</v>
      </c>
      <c r="D382" s="12">
        <v>0.44289942922326903</v>
      </c>
      <c r="E382" s="12">
        <v>240199</v>
      </c>
      <c r="F382" s="12">
        <v>106384</v>
      </c>
    </row>
    <row r="383" spans="1:6">
      <c r="A383" t="s">
        <v>1009</v>
      </c>
      <c r="B383" s="12" t="s">
        <v>108</v>
      </c>
      <c r="C383" s="12" t="s">
        <v>479</v>
      </c>
      <c r="D383" s="12">
        <v>0.39334052181732648</v>
      </c>
      <c r="E383" s="12">
        <v>240199</v>
      </c>
      <c r="F383" s="12">
        <v>94480</v>
      </c>
    </row>
    <row r="384" spans="1:6">
      <c r="A384" t="s">
        <v>1009</v>
      </c>
      <c r="B384" s="12" t="s">
        <v>108</v>
      </c>
      <c r="C384" s="12" t="s">
        <v>22</v>
      </c>
      <c r="D384" s="12">
        <v>9.7627383960799174E-2</v>
      </c>
      <c r="E384" s="12">
        <v>240199</v>
      </c>
      <c r="F384" s="12">
        <v>23450</v>
      </c>
    </row>
    <row r="385" spans="1:6">
      <c r="A385" t="s">
        <v>1009</v>
      </c>
      <c r="B385" s="12" t="s">
        <v>108</v>
      </c>
      <c r="C385" s="12" t="s">
        <v>478</v>
      </c>
      <c r="D385" s="12">
        <v>3.4875249272478238E-2</v>
      </c>
      <c r="E385" s="12">
        <v>240199</v>
      </c>
      <c r="F385" s="12">
        <v>8377</v>
      </c>
    </row>
    <row r="386" spans="1:6">
      <c r="A386" t="s">
        <v>1009</v>
      </c>
      <c r="B386" s="12" t="s">
        <v>108</v>
      </c>
      <c r="C386" s="12" t="s">
        <v>20</v>
      </c>
      <c r="D386" s="12">
        <v>3.1261578940794926E-2</v>
      </c>
      <c r="E386" s="12">
        <v>240199</v>
      </c>
      <c r="F386" s="12">
        <v>7509</v>
      </c>
    </row>
    <row r="387" spans="1:6">
      <c r="A387" t="s">
        <v>1009</v>
      </c>
      <c r="B387" s="12" t="s">
        <v>109</v>
      </c>
      <c r="C387" s="12" t="s">
        <v>480</v>
      </c>
      <c r="D387" s="12">
        <v>0.42978654242063064</v>
      </c>
      <c r="E387" s="12">
        <v>276870</v>
      </c>
      <c r="F387" s="12">
        <v>118995</v>
      </c>
    </row>
    <row r="388" spans="1:6">
      <c r="A388" t="s">
        <v>1009</v>
      </c>
      <c r="B388" s="12" t="s">
        <v>109</v>
      </c>
      <c r="C388" s="12" t="s">
        <v>479</v>
      </c>
      <c r="D388" s="12">
        <v>0.40457976667750206</v>
      </c>
      <c r="E388" s="12">
        <v>276870</v>
      </c>
      <c r="F388" s="12">
        <v>112016</v>
      </c>
    </row>
    <row r="389" spans="1:6">
      <c r="A389" t="s">
        <v>1009</v>
      </c>
      <c r="B389" s="12" t="s">
        <v>109</v>
      </c>
      <c r="C389" s="12" t="s">
        <v>22</v>
      </c>
      <c r="D389" s="12">
        <v>0.10010113049445588</v>
      </c>
      <c r="E389" s="12">
        <v>276870</v>
      </c>
      <c r="F389" s="12">
        <v>27715</v>
      </c>
    </row>
    <row r="390" spans="1:6">
      <c r="A390" t="s">
        <v>1009</v>
      </c>
      <c r="B390" s="12" t="s">
        <v>109</v>
      </c>
      <c r="C390" s="12" t="s">
        <v>478</v>
      </c>
      <c r="D390" s="12">
        <v>3.4622747137645828E-2</v>
      </c>
      <c r="E390" s="12">
        <v>276870</v>
      </c>
      <c r="F390" s="12">
        <v>9586</v>
      </c>
    </row>
    <row r="391" spans="1:6">
      <c r="A391" t="s">
        <v>1009</v>
      </c>
      <c r="B391" s="12" t="s">
        <v>109</v>
      </c>
      <c r="C391" s="12" t="s">
        <v>20</v>
      </c>
      <c r="D391" s="12">
        <v>3.0906201466392169E-2</v>
      </c>
      <c r="E391" s="12">
        <v>276870</v>
      </c>
      <c r="F391" s="12">
        <v>8557</v>
      </c>
    </row>
    <row r="392" spans="1:6">
      <c r="A392" t="s">
        <v>1009</v>
      </c>
      <c r="B392" s="12" t="s">
        <v>110</v>
      </c>
      <c r="C392" s="12" t="s">
        <v>480</v>
      </c>
      <c r="D392" s="12">
        <v>0.43190458789777719</v>
      </c>
      <c r="E392" s="12">
        <v>128621</v>
      </c>
      <c r="F392" s="12">
        <v>55552</v>
      </c>
    </row>
    <row r="393" spans="1:6">
      <c r="A393" t="s">
        <v>1009</v>
      </c>
      <c r="B393" s="12" t="s">
        <v>110</v>
      </c>
      <c r="C393" s="12" t="s">
        <v>479</v>
      </c>
      <c r="D393" s="12">
        <v>0.3946789404529587</v>
      </c>
      <c r="E393" s="12">
        <v>128621</v>
      </c>
      <c r="F393" s="12">
        <v>50764</v>
      </c>
    </row>
    <row r="394" spans="1:6">
      <c r="A394" t="s">
        <v>1009</v>
      </c>
      <c r="B394" s="12" t="s">
        <v>110</v>
      </c>
      <c r="C394" s="12" t="s">
        <v>22</v>
      </c>
      <c r="D394" s="12">
        <v>0.10258044953778932</v>
      </c>
      <c r="E394" s="12">
        <v>128621</v>
      </c>
      <c r="F394" s="12">
        <v>13194</v>
      </c>
    </row>
    <row r="395" spans="1:6">
      <c r="A395" t="s">
        <v>1009</v>
      </c>
      <c r="B395" s="12" t="s">
        <v>110</v>
      </c>
      <c r="C395" s="12" t="s">
        <v>478</v>
      </c>
      <c r="D395" s="12">
        <v>3.7311170026667499E-2</v>
      </c>
      <c r="E395" s="12">
        <v>128621</v>
      </c>
      <c r="F395" s="12">
        <v>4799</v>
      </c>
    </row>
    <row r="396" spans="1:6">
      <c r="A396" t="s">
        <v>1009</v>
      </c>
      <c r="B396" s="12" t="s">
        <v>110</v>
      </c>
      <c r="C396" s="12" t="s">
        <v>20</v>
      </c>
      <c r="D396" s="12">
        <v>3.349375296413494E-2</v>
      </c>
      <c r="E396" s="12">
        <v>128621</v>
      </c>
      <c r="F396" s="12">
        <v>4308</v>
      </c>
    </row>
    <row r="397" spans="1:6">
      <c r="A397" t="s">
        <v>1009</v>
      </c>
      <c r="B397" s="12" t="s">
        <v>111</v>
      </c>
      <c r="C397" s="12" t="s">
        <v>480</v>
      </c>
      <c r="D397" s="12">
        <v>0.44006779105048793</v>
      </c>
      <c r="E397" s="12">
        <v>256081</v>
      </c>
      <c r="F397" s="12">
        <v>112693</v>
      </c>
    </row>
    <row r="398" spans="1:6">
      <c r="A398" t="s">
        <v>1009</v>
      </c>
      <c r="B398" s="12" t="s">
        <v>111</v>
      </c>
      <c r="C398" s="12" t="s">
        <v>479</v>
      </c>
      <c r="D398" s="12">
        <v>0.40190018002116518</v>
      </c>
      <c r="E398" s="12">
        <v>256081</v>
      </c>
      <c r="F398" s="12">
        <v>102919</v>
      </c>
    </row>
    <row r="399" spans="1:6">
      <c r="A399" t="s">
        <v>1009</v>
      </c>
      <c r="B399" s="12" t="s">
        <v>111</v>
      </c>
      <c r="C399" s="12" t="s">
        <v>22</v>
      </c>
      <c r="D399" s="12">
        <v>9.5688473568909832E-2</v>
      </c>
      <c r="E399" s="12">
        <v>256081</v>
      </c>
      <c r="F399" s="12">
        <v>24504</v>
      </c>
    </row>
    <row r="400" spans="1:6">
      <c r="A400" t="s">
        <v>1009</v>
      </c>
      <c r="B400" s="12" t="s">
        <v>111</v>
      </c>
      <c r="C400" s="12" t="s">
        <v>478</v>
      </c>
      <c r="D400" s="12">
        <v>3.2341329501212504E-2</v>
      </c>
      <c r="E400" s="12">
        <v>256081</v>
      </c>
      <c r="F400" s="12">
        <v>8282</v>
      </c>
    </row>
    <row r="401" spans="1:6">
      <c r="A401" t="s">
        <v>1009</v>
      </c>
      <c r="B401" s="12" t="s">
        <v>111</v>
      </c>
      <c r="C401" s="12" t="s">
        <v>20</v>
      </c>
      <c r="D401" s="12">
        <v>2.9974890757221349E-2</v>
      </c>
      <c r="E401" s="12">
        <v>256081</v>
      </c>
      <c r="F401" s="12">
        <v>7676</v>
      </c>
    </row>
    <row r="402" spans="1:6">
      <c r="A402" t="s">
        <v>1009</v>
      </c>
      <c r="B402" s="12" t="s">
        <v>112</v>
      </c>
      <c r="C402" s="12" t="s">
        <v>480</v>
      </c>
      <c r="D402" s="12">
        <v>0.42541323426479299</v>
      </c>
      <c r="E402" s="12">
        <v>92865</v>
      </c>
      <c r="F402" s="12">
        <v>39506</v>
      </c>
    </row>
    <row r="403" spans="1:6">
      <c r="A403" t="s">
        <v>1009</v>
      </c>
      <c r="B403" s="12" t="s">
        <v>112</v>
      </c>
      <c r="C403" s="12" t="s">
        <v>479</v>
      </c>
      <c r="D403" s="12">
        <v>0.39251601787541052</v>
      </c>
      <c r="E403" s="12">
        <v>92865</v>
      </c>
      <c r="F403" s="12">
        <v>36451</v>
      </c>
    </row>
    <row r="404" spans="1:6">
      <c r="A404" t="s">
        <v>1009</v>
      </c>
      <c r="B404" s="12" t="s">
        <v>112</v>
      </c>
      <c r="C404" s="12" t="s">
        <v>22</v>
      </c>
      <c r="D404" s="12">
        <v>0.1076078178000323</v>
      </c>
      <c r="E404" s="12">
        <v>92865</v>
      </c>
      <c r="F404" s="12">
        <v>9993</v>
      </c>
    </row>
    <row r="405" spans="1:6">
      <c r="A405" t="s">
        <v>1009</v>
      </c>
      <c r="B405" s="12" t="s">
        <v>112</v>
      </c>
      <c r="C405" s="12" t="s">
        <v>478</v>
      </c>
      <c r="D405" s="12">
        <v>3.9681257739729713E-2</v>
      </c>
      <c r="E405" s="12">
        <v>92865</v>
      </c>
      <c r="F405" s="12">
        <v>3685</v>
      </c>
    </row>
    <row r="406" spans="1:6">
      <c r="A406" t="s">
        <v>1009</v>
      </c>
      <c r="B406" s="12" t="s">
        <v>112</v>
      </c>
      <c r="C406" s="12" t="s">
        <v>20</v>
      </c>
      <c r="D406" s="12">
        <v>3.4781672320034457E-2</v>
      </c>
      <c r="E406" s="12">
        <v>92865</v>
      </c>
      <c r="F406" s="12">
        <v>3230</v>
      </c>
    </row>
    <row r="407" spans="1:6">
      <c r="A407" t="s">
        <v>1009</v>
      </c>
      <c r="B407" s="12" t="s">
        <v>113</v>
      </c>
      <c r="C407" s="12" t="s">
        <v>480</v>
      </c>
      <c r="D407" s="12">
        <v>0.43411528734629806</v>
      </c>
      <c r="E407" s="12">
        <v>80269</v>
      </c>
      <c r="F407" s="12">
        <v>34846</v>
      </c>
    </row>
    <row r="408" spans="1:6">
      <c r="A408" t="s">
        <v>1009</v>
      </c>
      <c r="B408" s="12" t="s">
        <v>113</v>
      </c>
      <c r="C408" s="12" t="s">
        <v>479</v>
      </c>
      <c r="D408" s="12">
        <v>0.3766709439509649</v>
      </c>
      <c r="E408" s="12">
        <v>80269</v>
      </c>
      <c r="F408" s="12">
        <v>30235</v>
      </c>
    </row>
    <row r="409" spans="1:6">
      <c r="A409" t="s">
        <v>1009</v>
      </c>
      <c r="B409" s="12" t="s">
        <v>113</v>
      </c>
      <c r="C409" s="12" t="s">
        <v>22</v>
      </c>
      <c r="D409" s="12">
        <v>0.10756331834207478</v>
      </c>
      <c r="E409" s="12">
        <v>80269</v>
      </c>
      <c r="F409" s="12">
        <v>8634</v>
      </c>
    </row>
    <row r="410" spans="1:6">
      <c r="A410" t="s">
        <v>1009</v>
      </c>
      <c r="B410" s="12" t="s">
        <v>113</v>
      </c>
      <c r="C410" s="12" t="s">
        <v>478</v>
      </c>
      <c r="D410" s="12">
        <v>4.2245449675466243E-2</v>
      </c>
      <c r="E410" s="12">
        <v>80269</v>
      </c>
      <c r="F410" s="12">
        <v>3391</v>
      </c>
    </row>
    <row r="411" spans="1:6">
      <c r="A411" t="s">
        <v>1009</v>
      </c>
      <c r="B411" s="12" t="s">
        <v>113</v>
      </c>
      <c r="C411" s="12" t="s">
        <v>20</v>
      </c>
      <c r="D411" s="12">
        <v>3.9330252027557341E-2</v>
      </c>
      <c r="E411" s="12">
        <v>80269</v>
      </c>
      <c r="F411" s="12">
        <v>3157</v>
      </c>
    </row>
    <row r="412" spans="1:6">
      <c r="A412" t="s">
        <v>1009</v>
      </c>
      <c r="B412" s="12" t="s">
        <v>114</v>
      </c>
      <c r="C412" s="12" t="s">
        <v>480</v>
      </c>
      <c r="D412" s="12">
        <v>0.4870189553888985</v>
      </c>
      <c r="E412" s="12">
        <v>75071</v>
      </c>
      <c r="F412" s="12">
        <v>36561</v>
      </c>
    </row>
    <row r="413" spans="1:6">
      <c r="A413" t="s">
        <v>1009</v>
      </c>
      <c r="B413" s="12" t="s">
        <v>114</v>
      </c>
      <c r="C413" s="12" t="s">
        <v>479</v>
      </c>
      <c r="D413" s="12">
        <v>0.37431231767260326</v>
      </c>
      <c r="E413" s="12">
        <v>75071</v>
      </c>
      <c r="F413" s="12">
        <v>28100</v>
      </c>
    </row>
    <row r="414" spans="1:6">
      <c r="A414" t="s">
        <v>1009</v>
      </c>
      <c r="B414" s="12" t="s">
        <v>114</v>
      </c>
      <c r="C414" s="12" t="s">
        <v>22</v>
      </c>
      <c r="D414" s="12">
        <v>8.3254519055294324E-2</v>
      </c>
      <c r="E414" s="12">
        <v>75071</v>
      </c>
      <c r="F414" s="12">
        <v>6250</v>
      </c>
    </row>
    <row r="415" spans="1:6">
      <c r="A415" t="s">
        <v>1009</v>
      </c>
      <c r="B415" s="12" t="s">
        <v>114</v>
      </c>
      <c r="C415" s="12" t="s">
        <v>478</v>
      </c>
      <c r="D415" s="12">
        <v>2.8439743709288541E-2</v>
      </c>
      <c r="E415" s="12">
        <v>75071</v>
      </c>
      <c r="F415" s="12">
        <v>2135</v>
      </c>
    </row>
    <row r="416" spans="1:6">
      <c r="A416" t="s">
        <v>1009</v>
      </c>
      <c r="B416" s="12" t="s">
        <v>114</v>
      </c>
      <c r="C416" s="12" t="s">
        <v>20</v>
      </c>
      <c r="D416" s="12">
        <v>2.7001105620013056E-2</v>
      </c>
      <c r="E416" s="12">
        <v>75071</v>
      </c>
      <c r="F416" s="12">
        <v>2027</v>
      </c>
    </row>
    <row r="417" spans="1:6">
      <c r="A417" t="s">
        <v>1009</v>
      </c>
      <c r="B417" s="12" t="s">
        <v>115</v>
      </c>
      <c r="C417" s="12" t="s">
        <v>480</v>
      </c>
      <c r="D417" s="12">
        <v>0.50605739045850462</v>
      </c>
      <c r="E417" s="12">
        <v>45234</v>
      </c>
      <c r="F417" s="12">
        <v>22891</v>
      </c>
    </row>
    <row r="418" spans="1:6">
      <c r="A418" t="s">
        <v>1009</v>
      </c>
      <c r="B418" s="12" t="s">
        <v>115</v>
      </c>
      <c r="C418" s="12" t="s">
        <v>479</v>
      </c>
      <c r="D418" s="12">
        <v>0.35183711367555381</v>
      </c>
      <c r="E418" s="12">
        <v>45234</v>
      </c>
      <c r="F418" s="12">
        <v>15915</v>
      </c>
    </row>
    <row r="419" spans="1:6">
      <c r="A419" t="s">
        <v>1009</v>
      </c>
      <c r="B419" s="12" t="s">
        <v>115</v>
      </c>
      <c r="C419" s="12" t="s">
        <v>22</v>
      </c>
      <c r="D419" s="12">
        <v>8.504664632798338E-2</v>
      </c>
      <c r="E419" s="12">
        <v>45234</v>
      </c>
      <c r="F419" s="12">
        <v>3847</v>
      </c>
    </row>
    <row r="420" spans="1:6">
      <c r="A420" t="s">
        <v>1009</v>
      </c>
      <c r="B420" s="12" t="s">
        <v>115</v>
      </c>
      <c r="C420" s="12" t="s">
        <v>478</v>
      </c>
      <c r="D420" s="12">
        <v>3.0132201441393641E-2</v>
      </c>
      <c r="E420" s="12">
        <v>45234</v>
      </c>
      <c r="F420" s="12">
        <v>1363</v>
      </c>
    </row>
    <row r="421" spans="1:6">
      <c r="A421" t="s">
        <v>1009</v>
      </c>
      <c r="B421" s="12" t="s">
        <v>115</v>
      </c>
      <c r="C421" s="12" t="s">
        <v>20</v>
      </c>
      <c r="D421" s="12">
        <v>2.7037184418800018E-2</v>
      </c>
      <c r="E421" s="12">
        <v>45234</v>
      </c>
      <c r="F421" s="12">
        <v>1223</v>
      </c>
    </row>
    <row r="422" spans="1:6">
      <c r="A422" t="s">
        <v>1009</v>
      </c>
      <c r="B422" s="12" t="s">
        <v>116</v>
      </c>
      <c r="C422" s="12" t="s">
        <v>480</v>
      </c>
      <c r="D422" s="12">
        <v>0.49066753987930956</v>
      </c>
      <c r="E422" s="12">
        <v>42754</v>
      </c>
      <c r="F422" s="12">
        <v>20978</v>
      </c>
    </row>
    <row r="423" spans="1:6">
      <c r="A423" t="s">
        <v>1009</v>
      </c>
      <c r="B423" s="12" t="s">
        <v>116</v>
      </c>
      <c r="C423" s="12" t="s">
        <v>479</v>
      </c>
      <c r="D423" s="12">
        <v>0.36480797118398278</v>
      </c>
      <c r="E423" s="12">
        <v>42754</v>
      </c>
      <c r="F423" s="12">
        <v>15597</v>
      </c>
    </row>
    <row r="424" spans="1:6">
      <c r="A424" t="s">
        <v>1009</v>
      </c>
      <c r="B424" s="12" t="s">
        <v>116</v>
      </c>
      <c r="C424" s="12" t="s">
        <v>22</v>
      </c>
      <c r="D424" s="12">
        <v>8.7968377227861716E-2</v>
      </c>
      <c r="E424" s="12">
        <v>42754</v>
      </c>
      <c r="F424" s="12">
        <v>3761</v>
      </c>
    </row>
    <row r="425" spans="1:6">
      <c r="A425" t="s">
        <v>1009</v>
      </c>
      <c r="B425" s="12" t="s">
        <v>116</v>
      </c>
      <c r="C425" s="12" t="s">
        <v>478</v>
      </c>
      <c r="D425" s="12">
        <v>3.0219394676521495E-2</v>
      </c>
      <c r="E425" s="12">
        <v>42754</v>
      </c>
      <c r="F425" s="12">
        <v>1292</v>
      </c>
    </row>
    <row r="426" spans="1:6">
      <c r="A426" t="s">
        <v>1009</v>
      </c>
      <c r="B426" s="12" t="s">
        <v>116</v>
      </c>
      <c r="C426" s="12" t="s">
        <v>20</v>
      </c>
      <c r="D426" s="12">
        <v>2.6289937783599195E-2</v>
      </c>
      <c r="E426" s="12">
        <v>42754</v>
      </c>
      <c r="F426" s="12">
        <v>1124</v>
      </c>
    </row>
    <row r="427" spans="1:6">
      <c r="A427" t="s">
        <v>1009</v>
      </c>
      <c r="B427" s="12" t="s">
        <v>117</v>
      </c>
      <c r="C427" s="12" t="s">
        <v>480</v>
      </c>
      <c r="D427" s="12">
        <v>0.45766019050816165</v>
      </c>
      <c r="E427" s="12">
        <v>47662</v>
      </c>
      <c r="F427" s="12">
        <v>21813</v>
      </c>
    </row>
    <row r="428" spans="1:6">
      <c r="A428" t="s">
        <v>1009</v>
      </c>
      <c r="B428" s="12" t="s">
        <v>117</v>
      </c>
      <c r="C428" s="12" t="s">
        <v>479</v>
      </c>
      <c r="D428" s="12">
        <v>0.38055473962485836</v>
      </c>
      <c r="E428" s="12">
        <v>47662</v>
      </c>
      <c r="F428" s="12">
        <v>18138</v>
      </c>
    </row>
    <row r="429" spans="1:6">
      <c r="A429" t="s">
        <v>1009</v>
      </c>
      <c r="B429" s="12" t="s">
        <v>117</v>
      </c>
      <c r="C429" s="12" t="s">
        <v>22</v>
      </c>
      <c r="D429" s="12">
        <v>9.7184339725567531E-2</v>
      </c>
      <c r="E429" s="12">
        <v>47662</v>
      </c>
      <c r="F429" s="12">
        <v>4632</v>
      </c>
    </row>
    <row r="430" spans="1:6">
      <c r="A430" t="s">
        <v>1009</v>
      </c>
      <c r="B430" s="12" t="s">
        <v>117</v>
      </c>
      <c r="C430" s="12" t="s">
        <v>478</v>
      </c>
      <c r="D430" s="12">
        <v>3.4933489992027195E-2</v>
      </c>
      <c r="E430" s="12">
        <v>47662</v>
      </c>
      <c r="F430" s="12">
        <v>1665</v>
      </c>
    </row>
    <row r="431" spans="1:6">
      <c r="A431" t="s">
        <v>1009</v>
      </c>
      <c r="B431" s="12" t="s">
        <v>117</v>
      </c>
      <c r="C431" s="12" t="s">
        <v>20</v>
      </c>
      <c r="D431" s="12">
        <v>2.9688221224455542E-2</v>
      </c>
      <c r="E431" s="12">
        <v>47662</v>
      </c>
      <c r="F431" s="12">
        <v>1415</v>
      </c>
    </row>
    <row r="432" spans="1:6">
      <c r="A432" t="s">
        <v>1009</v>
      </c>
      <c r="B432" s="12" t="s">
        <v>119</v>
      </c>
      <c r="C432" s="12" t="s">
        <v>480</v>
      </c>
      <c r="D432" s="12">
        <v>0.48200457195513102</v>
      </c>
      <c r="E432" s="12">
        <v>56431</v>
      </c>
      <c r="F432" s="12">
        <v>27200</v>
      </c>
    </row>
    <row r="433" spans="1:6">
      <c r="A433" t="s">
        <v>1009</v>
      </c>
      <c r="B433" s="12" t="s">
        <v>119</v>
      </c>
      <c r="C433" s="12" t="s">
        <v>479</v>
      </c>
      <c r="D433" s="12">
        <v>0.36664244829969345</v>
      </c>
      <c r="E433" s="12">
        <v>56431</v>
      </c>
      <c r="F433" s="12">
        <v>20690</v>
      </c>
    </row>
    <row r="434" spans="1:6">
      <c r="A434" t="s">
        <v>1009</v>
      </c>
      <c r="B434" s="12" t="s">
        <v>119</v>
      </c>
      <c r="C434" s="12" t="s">
        <v>22</v>
      </c>
      <c r="D434" s="12">
        <v>8.8621502365720972E-2</v>
      </c>
      <c r="E434" s="12">
        <v>56431</v>
      </c>
      <c r="F434" s="12">
        <v>5001</v>
      </c>
    </row>
    <row r="435" spans="1:6">
      <c r="A435" t="s">
        <v>1009</v>
      </c>
      <c r="B435" s="12" t="s">
        <v>119</v>
      </c>
      <c r="C435" s="12" t="s">
        <v>478</v>
      </c>
      <c r="D435" s="12">
        <v>3.4732682390884444E-2</v>
      </c>
      <c r="E435" s="12">
        <v>56431</v>
      </c>
      <c r="F435" s="12">
        <v>1960</v>
      </c>
    </row>
    <row r="436" spans="1:6">
      <c r="A436" t="s">
        <v>1009</v>
      </c>
      <c r="B436" s="12" t="s">
        <v>119</v>
      </c>
      <c r="C436" s="12" t="s">
        <v>20</v>
      </c>
      <c r="D436" s="12">
        <v>2.7998794988570112E-2</v>
      </c>
      <c r="E436" s="12">
        <v>56431</v>
      </c>
      <c r="F436" s="12">
        <v>1580</v>
      </c>
    </row>
    <row r="437" spans="1:6">
      <c r="A437" t="s">
        <v>118</v>
      </c>
      <c r="B437" s="12" t="s">
        <v>120</v>
      </c>
      <c r="C437" s="12" t="s">
        <v>480</v>
      </c>
      <c r="D437" s="12">
        <v>0.39338062810105345</v>
      </c>
      <c r="E437" s="12">
        <v>140678</v>
      </c>
      <c r="F437" s="12">
        <v>55340</v>
      </c>
    </row>
    <row r="438" spans="1:6">
      <c r="A438" t="s">
        <v>118</v>
      </c>
      <c r="B438" s="12" t="s">
        <v>120</v>
      </c>
      <c r="C438" s="12" t="s">
        <v>479</v>
      </c>
      <c r="D438" s="12">
        <v>0.41192652724661993</v>
      </c>
      <c r="E438" s="12">
        <v>140678</v>
      </c>
      <c r="F438" s="12">
        <v>57949</v>
      </c>
    </row>
    <row r="439" spans="1:6">
      <c r="A439" t="s">
        <v>118</v>
      </c>
      <c r="B439" s="12" t="s">
        <v>120</v>
      </c>
      <c r="C439" s="12" t="s">
        <v>22</v>
      </c>
      <c r="D439" s="12">
        <v>0.11428226161873214</v>
      </c>
      <c r="E439" s="12">
        <v>140678</v>
      </c>
      <c r="F439" s="12">
        <v>16077</v>
      </c>
    </row>
    <row r="440" spans="1:6">
      <c r="A440" t="s">
        <v>118</v>
      </c>
      <c r="B440" s="12" t="s">
        <v>120</v>
      </c>
      <c r="C440" s="12" t="s">
        <v>478</v>
      </c>
      <c r="D440" s="12">
        <v>4.2103242866688463E-2</v>
      </c>
      <c r="E440" s="12">
        <v>140678</v>
      </c>
      <c r="F440" s="12">
        <v>5923</v>
      </c>
    </row>
    <row r="441" spans="1:6">
      <c r="A441" t="s">
        <v>118</v>
      </c>
      <c r="B441" s="12" t="s">
        <v>120</v>
      </c>
      <c r="C441" s="12" t="s">
        <v>20</v>
      </c>
      <c r="D441" s="12">
        <v>3.832155703095011E-2</v>
      </c>
      <c r="E441" s="12">
        <v>140678</v>
      </c>
      <c r="F441" s="12">
        <v>5391</v>
      </c>
    </row>
    <row r="442" spans="1:6">
      <c r="A442" t="s">
        <v>118</v>
      </c>
      <c r="B442" s="12" t="s">
        <v>118</v>
      </c>
      <c r="C442" s="12" t="s">
        <v>480</v>
      </c>
      <c r="D442" s="12">
        <v>0.40177739697933662</v>
      </c>
      <c r="E442" s="12">
        <v>1097110</v>
      </c>
      <c r="F442" s="12">
        <v>440794</v>
      </c>
    </row>
    <row r="443" spans="1:6">
      <c r="A443" t="s">
        <v>118</v>
      </c>
      <c r="B443" s="12" t="s">
        <v>118</v>
      </c>
      <c r="C443" s="12" t="s">
        <v>479</v>
      </c>
      <c r="D443" s="12">
        <v>0.41441058781708306</v>
      </c>
      <c r="E443" s="12">
        <v>1097110</v>
      </c>
      <c r="F443" s="12">
        <v>454654</v>
      </c>
    </row>
    <row r="444" spans="1:6">
      <c r="A444" t="s">
        <v>118</v>
      </c>
      <c r="B444" s="12" t="s">
        <v>118</v>
      </c>
      <c r="C444" s="12" t="s">
        <v>22</v>
      </c>
      <c r="D444" s="12">
        <v>0.11147560408710157</v>
      </c>
      <c r="E444" s="12">
        <v>1097110</v>
      </c>
      <c r="F444" s="12">
        <v>122301</v>
      </c>
    </row>
    <row r="445" spans="1:6">
      <c r="A445" t="s">
        <v>118</v>
      </c>
      <c r="B445" s="12" t="s">
        <v>118</v>
      </c>
      <c r="C445" s="12" t="s">
        <v>478</v>
      </c>
      <c r="D445" s="12">
        <v>3.9106379487927376E-2</v>
      </c>
      <c r="E445" s="12">
        <v>1097110</v>
      </c>
      <c r="F445" s="12">
        <v>42904</v>
      </c>
    </row>
    <row r="446" spans="1:6">
      <c r="A446" t="s">
        <v>118</v>
      </c>
      <c r="B446" s="12" t="s">
        <v>118</v>
      </c>
      <c r="C446" s="12" t="s">
        <v>20</v>
      </c>
      <c r="D446" s="12">
        <v>3.3227297171660092E-2</v>
      </c>
      <c r="E446" s="12">
        <v>1097110</v>
      </c>
      <c r="F446" s="12">
        <v>36454</v>
      </c>
    </row>
    <row r="447" spans="1:6">
      <c r="A447" t="s">
        <v>118</v>
      </c>
      <c r="B447" s="12" t="s">
        <v>121</v>
      </c>
      <c r="C447" s="12" t="s">
        <v>480</v>
      </c>
      <c r="D447" s="12">
        <v>0.41273311687252201</v>
      </c>
      <c r="E447" s="12">
        <v>61289</v>
      </c>
      <c r="F447" s="12">
        <v>25296</v>
      </c>
    </row>
    <row r="448" spans="1:6">
      <c r="A448" t="s">
        <v>118</v>
      </c>
      <c r="B448" s="12" t="s">
        <v>121</v>
      </c>
      <c r="C448" s="12" t="s">
        <v>479</v>
      </c>
      <c r="D448" s="12">
        <v>0.40550506616195403</v>
      </c>
      <c r="E448" s="12">
        <v>61289</v>
      </c>
      <c r="F448" s="12">
        <v>24853</v>
      </c>
    </row>
    <row r="449" spans="1:6">
      <c r="A449" t="s">
        <v>118</v>
      </c>
      <c r="B449" s="12" t="s">
        <v>121</v>
      </c>
      <c r="C449" s="12" t="s">
        <v>22</v>
      </c>
      <c r="D449" s="12">
        <v>0.10594070714157516</v>
      </c>
      <c r="E449" s="12">
        <v>61289</v>
      </c>
      <c r="F449" s="12">
        <v>6493</v>
      </c>
    </row>
    <row r="450" spans="1:6">
      <c r="A450" t="s">
        <v>118</v>
      </c>
      <c r="B450" s="12" t="s">
        <v>121</v>
      </c>
      <c r="C450" s="12" t="s">
        <v>478</v>
      </c>
      <c r="D450" s="12">
        <v>3.8489777937313382E-2</v>
      </c>
      <c r="E450" s="12">
        <v>61289</v>
      </c>
      <c r="F450" s="12">
        <v>2359</v>
      </c>
    </row>
    <row r="451" spans="1:6">
      <c r="A451" t="s">
        <v>118</v>
      </c>
      <c r="B451" s="12" t="s">
        <v>121</v>
      </c>
      <c r="C451" s="12" t="s">
        <v>20</v>
      </c>
      <c r="D451" s="12">
        <v>3.7347648028194291E-2</v>
      </c>
      <c r="E451" s="12">
        <v>61289</v>
      </c>
      <c r="F451" s="12">
        <v>2289</v>
      </c>
    </row>
    <row r="452" spans="1:6">
      <c r="A452" t="s">
        <v>118</v>
      </c>
      <c r="B452" s="12" t="s">
        <v>122</v>
      </c>
      <c r="C452" s="12" t="s">
        <v>480</v>
      </c>
      <c r="D452" s="12">
        <v>0.43432623451750602</v>
      </c>
      <c r="E452" s="12">
        <v>85742</v>
      </c>
      <c r="F452" s="12">
        <v>37240</v>
      </c>
    </row>
    <row r="453" spans="1:6">
      <c r="A453" t="s">
        <v>118</v>
      </c>
      <c r="B453" s="12" t="s">
        <v>122</v>
      </c>
      <c r="C453" s="12" t="s">
        <v>479</v>
      </c>
      <c r="D453" s="12">
        <v>0.40084206106692172</v>
      </c>
      <c r="E453" s="12">
        <v>85742</v>
      </c>
      <c r="F453" s="12">
        <v>34369</v>
      </c>
    </row>
    <row r="454" spans="1:6">
      <c r="A454" t="s">
        <v>118</v>
      </c>
      <c r="B454" s="12" t="s">
        <v>122</v>
      </c>
      <c r="C454" s="12" t="s">
        <v>22</v>
      </c>
      <c r="D454" s="12">
        <v>9.9391196846353017E-2</v>
      </c>
      <c r="E454" s="12">
        <v>85742</v>
      </c>
      <c r="F454" s="12">
        <v>8522</v>
      </c>
    </row>
    <row r="455" spans="1:6">
      <c r="A455" t="s">
        <v>118</v>
      </c>
      <c r="B455" s="12" t="s">
        <v>122</v>
      </c>
      <c r="C455" s="12" t="s">
        <v>478</v>
      </c>
      <c r="D455" s="12">
        <v>3.3834060320496372E-2</v>
      </c>
      <c r="E455" s="12">
        <v>85742</v>
      </c>
      <c r="F455" s="12">
        <v>2901</v>
      </c>
    </row>
    <row r="456" spans="1:6">
      <c r="A456" t="s">
        <v>118</v>
      </c>
      <c r="B456" s="12" t="s">
        <v>122</v>
      </c>
      <c r="C456" s="12" t="s">
        <v>20</v>
      </c>
      <c r="D456" s="12">
        <v>3.1548132770404233E-2</v>
      </c>
      <c r="E456" s="12">
        <v>85742</v>
      </c>
      <c r="F456" s="12">
        <v>2705</v>
      </c>
    </row>
    <row r="457" spans="1:6">
      <c r="A457" t="s">
        <v>118</v>
      </c>
      <c r="B457" s="12" t="s">
        <v>123</v>
      </c>
      <c r="C457" s="12" t="s">
        <v>480</v>
      </c>
      <c r="D457" s="12">
        <v>0.37581322725751887</v>
      </c>
      <c r="E457" s="12">
        <v>80697</v>
      </c>
      <c r="F457" s="12">
        <v>30327</v>
      </c>
    </row>
    <row r="458" spans="1:6">
      <c r="A458" t="s">
        <v>118</v>
      </c>
      <c r="B458" s="12" t="s">
        <v>123</v>
      </c>
      <c r="C458" s="12" t="s">
        <v>479</v>
      </c>
      <c r="D458" s="12">
        <v>0.39353383644993001</v>
      </c>
      <c r="E458" s="12">
        <v>80697</v>
      </c>
      <c r="F458" s="12">
        <v>31757</v>
      </c>
    </row>
    <row r="459" spans="1:6">
      <c r="A459" t="s">
        <v>118</v>
      </c>
      <c r="B459" s="12" t="s">
        <v>123</v>
      </c>
      <c r="C459" s="12" t="s">
        <v>22</v>
      </c>
      <c r="D459" s="12">
        <v>0.13260716011747647</v>
      </c>
      <c r="E459" s="12">
        <v>80697</v>
      </c>
      <c r="F459" s="12">
        <v>10701</v>
      </c>
    </row>
    <row r="460" spans="1:6">
      <c r="A460" t="s">
        <v>118</v>
      </c>
      <c r="B460" s="12" t="s">
        <v>123</v>
      </c>
      <c r="C460" s="12" t="s">
        <v>478</v>
      </c>
      <c r="D460" s="12">
        <v>5.1526079036395403E-2</v>
      </c>
      <c r="E460" s="12">
        <v>80697</v>
      </c>
      <c r="F460" s="12">
        <v>4158</v>
      </c>
    </row>
    <row r="461" spans="1:6">
      <c r="A461" t="s">
        <v>118</v>
      </c>
      <c r="B461" s="12" t="s">
        <v>123</v>
      </c>
      <c r="C461" s="12" t="s">
        <v>20</v>
      </c>
      <c r="D461" s="12">
        <v>4.6544481207479831E-2</v>
      </c>
      <c r="E461" s="12">
        <v>80697</v>
      </c>
      <c r="F461" s="12">
        <v>3756</v>
      </c>
    </row>
    <row r="462" spans="1:6">
      <c r="A462" t="s">
        <v>118</v>
      </c>
      <c r="B462" s="12" t="s">
        <v>124</v>
      </c>
      <c r="C462" s="12" t="s">
        <v>480</v>
      </c>
      <c r="D462" s="12">
        <v>0.42800298433225564</v>
      </c>
      <c r="E462" s="12">
        <v>24126</v>
      </c>
      <c r="F462" s="12">
        <v>10326</v>
      </c>
    </row>
    <row r="463" spans="1:6">
      <c r="A463" t="s">
        <v>118</v>
      </c>
      <c r="B463" s="12" t="s">
        <v>124</v>
      </c>
      <c r="C463" s="12" t="s">
        <v>479</v>
      </c>
      <c r="D463" s="12">
        <v>0.41063582856669156</v>
      </c>
      <c r="E463" s="12">
        <v>24126</v>
      </c>
      <c r="F463" s="12">
        <v>9907</v>
      </c>
    </row>
    <row r="464" spans="1:6">
      <c r="A464" t="s">
        <v>118</v>
      </c>
      <c r="B464" s="12" t="s">
        <v>124</v>
      </c>
      <c r="C464" s="12" t="s">
        <v>22</v>
      </c>
      <c r="D464" s="12">
        <v>9.7571085136367405E-2</v>
      </c>
      <c r="E464" s="12">
        <v>24126</v>
      </c>
      <c r="F464" s="12">
        <v>2354</v>
      </c>
    </row>
    <row r="465" spans="1:6">
      <c r="A465" t="s">
        <v>118</v>
      </c>
      <c r="B465" s="12" t="s">
        <v>124</v>
      </c>
      <c r="C465" s="12" t="s">
        <v>478</v>
      </c>
      <c r="D465" s="12">
        <v>3.2496062339384894E-2</v>
      </c>
      <c r="E465" s="12">
        <v>24126</v>
      </c>
      <c r="F465" s="12">
        <v>784</v>
      </c>
    </row>
    <row r="466" spans="1:6">
      <c r="A466" t="s">
        <v>118</v>
      </c>
      <c r="B466" s="12" t="s">
        <v>124</v>
      </c>
      <c r="C466" s="12" t="s">
        <v>20</v>
      </c>
      <c r="D466" s="12">
        <v>3.1335488684406866E-2</v>
      </c>
      <c r="E466" s="12">
        <v>24126</v>
      </c>
      <c r="F466" s="12">
        <v>756</v>
      </c>
    </row>
    <row r="467" spans="1:6">
      <c r="A467" t="s">
        <v>118</v>
      </c>
      <c r="B467" s="12" t="s">
        <v>125</v>
      </c>
      <c r="C467" s="12" t="s">
        <v>480</v>
      </c>
      <c r="D467" s="12">
        <v>0.39305714023422644</v>
      </c>
      <c r="E467" s="12">
        <v>76251</v>
      </c>
      <c r="F467" s="12">
        <v>29971</v>
      </c>
    </row>
    <row r="468" spans="1:6">
      <c r="A468" t="s">
        <v>118</v>
      </c>
      <c r="B468" s="12" t="s">
        <v>125</v>
      </c>
      <c r="C468" s="12" t="s">
        <v>479</v>
      </c>
      <c r="D468" s="12">
        <v>0.40660450354749444</v>
      </c>
      <c r="E468" s="12">
        <v>76251</v>
      </c>
      <c r="F468" s="12">
        <v>31004</v>
      </c>
    </row>
    <row r="469" spans="1:6">
      <c r="A469" t="s">
        <v>118</v>
      </c>
      <c r="B469" s="12" t="s">
        <v>125</v>
      </c>
      <c r="C469" s="12" t="s">
        <v>22</v>
      </c>
      <c r="D469" s="12">
        <v>0.11763780147145611</v>
      </c>
      <c r="E469" s="12">
        <v>76251</v>
      </c>
      <c r="F469" s="12">
        <v>8970</v>
      </c>
    </row>
    <row r="470" spans="1:6">
      <c r="A470" t="s">
        <v>118</v>
      </c>
      <c r="B470" s="12" t="s">
        <v>125</v>
      </c>
      <c r="C470" s="12" t="s">
        <v>478</v>
      </c>
      <c r="D470" s="12">
        <v>4.3160089703741591E-2</v>
      </c>
      <c r="E470" s="12">
        <v>76251</v>
      </c>
      <c r="F470" s="12">
        <v>3291</v>
      </c>
    </row>
    <row r="471" spans="1:6">
      <c r="A471" t="s">
        <v>118</v>
      </c>
      <c r="B471" s="12" t="s">
        <v>125</v>
      </c>
      <c r="C471" s="12" t="s">
        <v>20</v>
      </c>
      <c r="D471" s="12">
        <v>3.9540465043081403E-2</v>
      </c>
      <c r="E471" s="12">
        <v>76251</v>
      </c>
      <c r="F471" s="12">
        <v>3015</v>
      </c>
    </row>
    <row r="472" spans="1:6">
      <c r="A472" t="s">
        <v>118</v>
      </c>
      <c r="B472" s="12" t="s">
        <v>126</v>
      </c>
      <c r="C472" s="12" t="s">
        <v>480</v>
      </c>
      <c r="D472" s="12">
        <v>0.37031768610715982</v>
      </c>
      <c r="E472" s="12">
        <v>56943</v>
      </c>
      <c r="F472" s="12">
        <v>21087</v>
      </c>
    </row>
    <row r="473" spans="1:6">
      <c r="A473" t="s">
        <v>118</v>
      </c>
      <c r="B473" s="12" t="s">
        <v>126</v>
      </c>
      <c r="C473" s="12" t="s">
        <v>479</v>
      </c>
      <c r="D473" s="12">
        <v>0.42317756352844071</v>
      </c>
      <c r="E473" s="12">
        <v>56943</v>
      </c>
      <c r="F473" s="12">
        <v>24097</v>
      </c>
    </row>
    <row r="474" spans="1:6">
      <c r="A474" t="s">
        <v>118</v>
      </c>
      <c r="B474" s="12" t="s">
        <v>126</v>
      </c>
      <c r="C474" s="12" t="s">
        <v>22</v>
      </c>
      <c r="D474" s="12">
        <v>0.12154259522680576</v>
      </c>
      <c r="E474" s="12">
        <v>56943</v>
      </c>
      <c r="F474" s="12">
        <v>6921</v>
      </c>
    </row>
    <row r="475" spans="1:6">
      <c r="A475" t="s">
        <v>118</v>
      </c>
      <c r="B475" s="12" t="s">
        <v>126</v>
      </c>
      <c r="C475" s="12" t="s">
        <v>478</v>
      </c>
      <c r="D475" s="12">
        <v>4.2779621726990145E-2</v>
      </c>
      <c r="E475" s="12">
        <v>56943</v>
      </c>
      <c r="F475" s="12">
        <v>2436</v>
      </c>
    </row>
    <row r="476" spans="1:6">
      <c r="A476" t="s">
        <v>118</v>
      </c>
      <c r="B476" s="12" t="s">
        <v>126</v>
      </c>
      <c r="C476" s="12" t="s">
        <v>20</v>
      </c>
      <c r="D476" s="12">
        <v>4.2270340515954553E-2</v>
      </c>
      <c r="E476" s="12">
        <v>56943</v>
      </c>
      <c r="F476" s="12">
        <v>2407</v>
      </c>
    </row>
    <row r="477" spans="1:6">
      <c r="A477" t="s">
        <v>118</v>
      </c>
      <c r="B477" s="12" t="s">
        <v>127</v>
      </c>
      <c r="C477" s="12" t="s">
        <v>480</v>
      </c>
      <c r="D477" s="12">
        <v>0.4673573511037068</v>
      </c>
      <c r="E477" s="12">
        <v>76832</v>
      </c>
      <c r="F477" s="12">
        <v>35908</v>
      </c>
    </row>
    <row r="478" spans="1:6">
      <c r="A478" t="s">
        <v>118</v>
      </c>
      <c r="B478" s="12" t="s">
        <v>127</v>
      </c>
      <c r="C478" s="12" t="s">
        <v>479</v>
      </c>
      <c r="D478" s="12">
        <v>0.39082673885880881</v>
      </c>
      <c r="E478" s="12">
        <v>76832</v>
      </c>
      <c r="F478" s="12">
        <v>30028</v>
      </c>
    </row>
    <row r="479" spans="1:6">
      <c r="A479" t="s">
        <v>118</v>
      </c>
      <c r="B479" s="12" t="s">
        <v>127</v>
      </c>
      <c r="C479" s="12" t="s">
        <v>22</v>
      </c>
      <c r="D479" s="12">
        <v>8.6916909620991259E-2</v>
      </c>
      <c r="E479" s="12">
        <v>76832</v>
      </c>
      <c r="F479" s="12">
        <v>6678</v>
      </c>
    </row>
    <row r="480" spans="1:6">
      <c r="A480" t="s">
        <v>118</v>
      </c>
      <c r="B480" s="12" t="s">
        <v>127</v>
      </c>
      <c r="C480" s="12" t="s">
        <v>478</v>
      </c>
      <c r="D480" s="12">
        <v>2.7983132028321533E-2</v>
      </c>
      <c r="E480" s="12">
        <v>76832</v>
      </c>
      <c r="F480" s="12">
        <v>2150</v>
      </c>
    </row>
    <row r="481" spans="1:6">
      <c r="A481" t="s">
        <v>118</v>
      </c>
      <c r="B481" s="12" t="s">
        <v>127</v>
      </c>
      <c r="C481" s="12" t="s">
        <v>20</v>
      </c>
      <c r="D481" s="12">
        <v>2.6993960849645979E-2</v>
      </c>
      <c r="E481" s="12">
        <v>76832</v>
      </c>
      <c r="F481" s="12">
        <v>2074</v>
      </c>
    </row>
    <row r="482" spans="1:6">
      <c r="A482" t="s">
        <v>118</v>
      </c>
      <c r="B482" s="12" t="s">
        <v>128</v>
      </c>
      <c r="C482" s="12" t="s">
        <v>480</v>
      </c>
      <c r="D482" s="12">
        <v>0.38774701879959828</v>
      </c>
      <c r="E482" s="12">
        <v>70693</v>
      </c>
      <c r="F482" s="12">
        <v>27411</v>
      </c>
    </row>
    <row r="483" spans="1:6">
      <c r="A483" t="s">
        <v>118</v>
      </c>
      <c r="B483" s="12" t="s">
        <v>128</v>
      </c>
      <c r="C483" s="12" t="s">
        <v>479</v>
      </c>
      <c r="D483" s="12">
        <v>0.39940305263604597</v>
      </c>
      <c r="E483" s="12">
        <v>70693</v>
      </c>
      <c r="F483" s="12">
        <v>28235</v>
      </c>
    </row>
    <row r="484" spans="1:6">
      <c r="A484" t="s">
        <v>118</v>
      </c>
      <c r="B484" s="12" t="s">
        <v>128</v>
      </c>
      <c r="C484" s="12" t="s">
        <v>22</v>
      </c>
      <c r="D484" s="12">
        <v>0.12135572121709363</v>
      </c>
      <c r="E484" s="12">
        <v>70693</v>
      </c>
      <c r="F484" s="12">
        <v>8579</v>
      </c>
    </row>
    <row r="485" spans="1:6">
      <c r="A485" t="s">
        <v>118</v>
      </c>
      <c r="B485" s="12" t="s">
        <v>128</v>
      </c>
      <c r="C485" s="12" t="s">
        <v>478</v>
      </c>
      <c r="D485" s="12">
        <v>4.7062651181870904E-2</v>
      </c>
      <c r="E485" s="12">
        <v>70693</v>
      </c>
      <c r="F485" s="12">
        <v>3327</v>
      </c>
    </row>
    <row r="486" spans="1:6">
      <c r="A486" t="s">
        <v>118</v>
      </c>
      <c r="B486" s="12" t="s">
        <v>128</v>
      </c>
      <c r="C486" s="12" t="s">
        <v>20</v>
      </c>
      <c r="D486" s="12">
        <v>4.4403264821127976E-2</v>
      </c>
      <c r="E486" s="12">
        <v>70693</v>
      </c>
      <c r="F486" s="12">
        <v>3139</v>
      </c>
    </row>
    <row r="487" spans="1:6">
      <c r="A487" t="s">
        <v>118</v>
      </c>
      <c r="B487" s="12" t="s">
        <v>129</v>
      </c>
      <c r="C487" s="12" t="s">
        <v>480</v>
      </c>
      <c r="D487" s="12">
        <v>0.42757748260594558</v>
      </c>
      <c r="E487" s="12">
        <v>77469</v>
      </c>
      <c r="F487" s="12">
        <v>33124</v>
      </c>
    </row>
    <row r="488" spans="1:6">
      <c r="A488" t="s">
        <v>118</v>
      </c>
      <c r="B488" s="12" t="s">
        <v>129</v>
      </c>
      <c r="C488" s="12" t="s">
        <v>479</v>
      </c>
      <c r="D488" s="12">
        <v>0.3888910402870826</v>
      </c>
      <c r="E488" s="12">
        <v>77469</v>
      </c>
      <c r="F488" s="12">
        <v>30127</v>
      </c>
    </row>
    <row r="489" spans="1:6">
      <c r="A489" t="s">
        <v>118</v>
      </c>
      <c r="B489" s="12" t="s">
        <v>129</v>
      </c>
      <c r="C489" s="12" t="s">
        <v>22</v>
      </c>
      <c r="D489" s="12">
        <v>0.10353818946933613</v>
      </c>
      <c r="E489" s="12">
        <v>77469</v>
      </c>
      <c r="F489" s="12">
        <v>8021</v>
      </c>
    </row>
    <row r="490" spans="1:6">
      <c r="A490" t="s">
        <v>118</v>
      </c>
      <c r="B490" s="12" t="s">
        <v>129</v>
      </c>
      <c r="C490" s="12" t="s">
        <v>478</v>
      </c>
      <c r="D490" s="12">
        <v>4.0867960087260707E-2</v>
      </c>
      <c r="E490" s="12">
        <v>77469</v>
      </c>
      <c r="F490" s="12">
        <v>3166</v>
      </c>
    </row>
    <row r="491" spans="1:6">
      <c r="A491" t="s">
        <v>118</v>
      </c>
      <c r="B491" s="12" t="s">
        <v>129</v>
      </c>
      <c r="C491" s="12" t="s">
        <v>20</v>
      </c>
      <c r="D491" s="12">
        <v>3.9086602382888642E-2</v>
      </c>
      <c r="E491" s="12">
        <v>77469</v>
      </c>
      <c r="F491" s="12">
        <v>3028</v>
      </c>
    </row>
    <row r="492" spans="1:6">
      <c r="A492" t="s">
        <v>118</v>
      </c>
      <c r="B492" s="12" t="s">
        <v>130</v>
      </c>
      <c r="C492" s="12" t="s">
        <v>480</v>
      </c>
      <c r="D492" s="12">
        <v>0.50631942870097479</v>
      </c>
      <c r="E492" s="12">
        <v>35288</v>
      </c>
      <c r="F492" s="12">
        <v>17867</v>
      </c>
    </row>
    <row r="493" spans="1:6">
      <c r="A493" t="s">
        <v>118</v>
      </c>
      <c r="B493" s="12" t="s">
        <v>130</v>
      </c>
      <c r="C493" s="12" t="s">
        <v>479</v>
      </c>
      <c r="D493" s="12">
        <v>0.36196440716390843</v>
      </c>
      <c r="E493" s="12">
        <v>35288</v>
      </c>
      <c r="F493" s="12">
        <v>12773</v>
      </c>
    </row>
    <row r="494" spans="1:6">
      <c r="A494" t="s">
        <v>118</v>
      </c>
      <c r="B494" s="12" t="s">
        <v>130</v>
      </c>
      <c r="C494" s="12" t="s">
        <v>22</v>
      </c>
      <c r="D494" s="12">
        <v>7.9063704375425078E-2</v>
      </c>
      <c r="E494" s="12">
        <v>35288</v>
      </c>
      <c r="F494" s="12">
        <v>2790</v>
      </c>
    </row>
    <row r="495" spans="1:6">
      <c r="A495" t="s">
        <v>118</v>
      </c>
      <c r="B495" s="12" t="s">
        <v>130</v>
      </c>
      <c r="C495" s="12" t="s">
        <v>478</v>
      </c>
      <c r="D495" s="12">
        <v>2.6326229879845842E-2</v>
      </c>
      <c r="E495" s="12">
        <v>35288</v>
      </c>
      <c r="F495" s="12">
        <v>929</v>
      </c>
    </row>
    <row r="496" spans="1:6">
      <c r="A496" t="s">
        <v>118</v>
      </c>
      <c r="B496" s="12" t="s">
        <v>130</v>
      </c>
      <c r="C496" s="12" t="s">
        <v>20</v>
      </c>
      <c r="D496" s="12">
        <v>2.6326229879845842E-2</v>
      </c>
      <c r="E496" s="12">
        <v>35288</v>
      </c>
      <c r="F496" s="12">
        <v>929</v>
      </c>
    </row>
    <row r="497" spans="1:6">
      <c r="A497" t="s">
        <v>118</v>
      </c>
      <c r="B497" s="12" t="s">
        <v>131</v>
      </c>
      <c r="C497" s="12" t="s">
        <v>480</v>
      </c>
      <c r="D497" s="12">
        <v>0.38638855311612741</v>
      </c>
      <c r="E497" s="12">
        <v>35573</v>
      </c>
      <c r="F497" s="12">
        <v>13745</v>
      </c>
    </row>
    <row r="498" spans="1:6">
      <c r="A498" t="s">
        <v>118</v>
      </c>
      <c r="B498" s="12" t="s">
        <v>131</v>
      </c>
      <c r="C498" s="12" t="s">
        <v>479</v>
      </c>
      <c r="D498" s="12">
        <v>0.39260113007055913</v>
      </c>
      <c r="E498" s="12">
        <v>35573</v>
      </c>
      <c r="F498" s="12">
        <v>13966</v>
      </c>
    </row>
    <row r="499" spans="1:6">
      <c r="A499" t="s">
        <v>118</v>
      </c>
      <c r="B499" s="12" t="s">
        <v>131</v>
      </c>
      <c r="C499" s="12" t="s">
        <v>22</v>
      </c>
      <c r="D499" s="12">
        <v>0.12118741742332668</v>
      </c>
      <c r="E499" s="12">
        <v>35573</v>
      </c>
      <c r="F499" s="12">
        <v>4311</v>
      </c>
    </row>
    <row r="500" spans="1:6">
      <c r="A500" t="s">
        <v>118</v>
      </c>
      <c r="B500" s="12" t="s">
        <v>131</v>
      </c>
      <c r="C500" s="12" t="s">
        <v>478</v>
      </c>
      <c r="D500" s="12">
        <v>4.8266944030584992E-2</v>
      </c>
      <c r="E500" s="12">
        <v>35573</v>
      </c>
      <c r="F500" s="12">
        <v>1717</v>
      </c>
    </row>
    <row r="501" spans="1:6">
      <c r="A501" t="s">
        <v>118</v>
      </c>
      <c r="B501" s="12" t="s">
        <v>131</v>
      </c>
      <c r="C501" s="12" t="s">
        <v>20</v>
      </c>
      <c r="D501" s="12">
        <v>5.1527844151463185E-2</v>
      </c>
      <c r="E501" s="12">
        <v>35573</v>
      </c>
      <c r="F501" s="12">
        <v>1833</v>
      </c>
    </row>
    <row r="502" spans="1:6">
      <c r="A502" t="s">
        <v>118</v>
      </c>
      <c r="B502" s="12" t="s">
        <v>133</v>
      </c>
      <c r="C502" s="12" t="s">
        <v>480</v>
      </c>
      <c r="D502" s="12">
        <v>0.42315841954381156</v>
      </c>
      <c r="E502" s="12">
        <v>48138</v>
      </c>
      <c r="F502" s="12">
        <v>20370</v>
      </c>
    </row>
    <row r="503" spans="1:6">
      <c r="A503" t="s">
        <v>118</v>
      </c>
      <c r="B503" s="12" t="s">
        <v>133</v>
      </c>
      <c r="C503" s="12" t="s">
        <v>479</v>
      </c>
      <c r="D503" s="12">
        <v>0.40548007810877063</v>
      </c>
      <c r="E503" s="12">
        <v>48138</v>
      </c>
      <c r="F503" s="12">
        <v>19519</v>
      </c>
    </row>
    <row r="504" spans="1:6">
      <c r="A504" t="s">
        <v>118</v>
      </c>
      <c r="B504" s="12" t="s">
        <v>133</v>
      </c>
      <c r="C504" s="12" t="s">
        <v>22</v>
      </c>
      <c r="D504" s="12">
        <v>0.10000415472184138</v>
      </c>
      <c r="E504" s="12">
        <v>48138</v>
      </c>
      <c r="F504" s="12">
        <v>4814</v>
      </c>
    </row>
    <row r="505" spans="1:6">
      <c r="A505" t="s">
        <v>118</v>
      </c>
      <c r="B505" s="12" t="s">
        <v>133</v>
      </c>
      <c r="C505" s="12" t="s">
        <v>478</v>
      </c>
      <c r="D505" s="12">
        <v>3.6291495284390712E-2</v>
      </c>
      <c r="E505" s="12">
        <v>48138</v>
      </c>
      <c r="F505" s="12">
        <v>1747</v>
      </c>
    </row>
    <row r="506" spans="1:6">
      <c r="A506" t="s">
        <v>118</v>
      </c>
      <c r="B506" s="12" t="s">
        <v>133</v>
      </c>
      <c r="C506" s="12" t="s">
        <v>20</v>
      </c>
      <c r="D506" s="12">
        <v>3.496198429515144E-2</v>
      </c>
      <c r="E506" s="12">
        <v>48138</v>
      </c>
      <c r="F506" s="12">
        <v>1683</v>
      </c>
    </row>
    <row r="507" spans="1:6">
      <c r="A507" t="s">
        <v>132</v>
      </c>
      <c r="B507" s="12" t="s">
        <v>134</v>
      </c>
      <c r="C507" s="12" t="s">
        <v>480</v>
      </c>
      <c r="D507" s="12">
        <v>0.4543966910620526</v>
      </c>
      <c r="E507" s="12">
        <v>298827</v>
      </c>
      <c r="F507" s="12">
        <v>135786</v>
      </c>
    </row>
    <row r="508" spans="1:6">
      <c r="A508" t="s">
        <v>132</v>
      </c>
      <c r="B508" s="12" t="s">
        <v>134</v>
      </c>
      <c r="C508" s="12" t="s">
        <v>479</v>
      </c>
      <c r="D508" s="12">
        <v>0.39294307408634427</v>
      </c>
      <c r="E508" s="12">
        <v>298827</v>
      </c>
      <c r="F508" s="12">
        <v>117422</v>
      </c>
    </row>
    <row r="509" spans="1:6">
      <c r="A509" t="s">
        <v>132</v>
      </c>
      <c r="B509" s="12" t="s">
        <v>134</v>
      </c>
      <c r="C509" s="12" t="s">
        <v>22</v>
      </c>
      <c r="D509" s="12">
        <v>9.5024880616544016E-2</v>
      </c>
      <c r="E509" s="12">
        <v>298827</v>
      </c>
      <c r="F509" s="12">
        <v>28396</v>
      </c>
    </row>
    <row r="510" spans="1:6">
      <c r="A510" t="s">
        <v>132</v>
      </c>
      <c r="B510" s="12" t="s">
        <v>134</v>
      </c>
      <c r="C510" s="12" t="s">
        <v>478</v>
      </c>
      <c r="D510" s="12">
        <v>3.218584666044233E-2</v>
      </c>
      <c r="E510" s="12">
        <v>298827</v>
      </c>
      <c r="F510" s="12">
        <v>9618</v>
      </c>
    </row>
    <row r="511" spans="1:6">
      <c r="A511" t="s">
        <v>132</v>
      </c>
      <c r="B511" s="12" t="s">
        <v>134</v>
      </c>
      <c r="C511" s="12" t="s">
        <v>20</v>
      </c>
      <c r="D511" s="12">
        <v>2.5442814738962677E-2</v>
      </c>
      <c r="E511" s="12">
        <v>298827</v>
      </c>
      <c r="F511" s="12">
        <v>7603</v>
      </c>
    </row>
    <row r="512" spans="1:6">
      <c r="A512" t="s">
        <v>132</v>
      </c>
      <c r="B512" s="12" t="s">
        <v>135</v>
      </c>
      <c r="C512" s="12" t="s">
        <v>480</v>
      </c>
      <c r="D512" s="12">
        <v>0.42846730107309172</v>
      </c>
      <c r="E512" s="12">
        <v>172865</v>
      </c>
      <c r="F512" s="12">
        <v>74067</v>
      </c>
    </row>
    <row r="513" spans="1:6">
      <c r="A513" t="s">
        <v>132</v>
      </c>
      <c r="B513" s="12" t="s">
        <v>135</v>
      </c>
      <c r="C513" s="12" t="s">
        <v>479</v>
      </c>
      <c r="D513" s="12">
        <v>0.41246637549532872</v>
      </c>
      <c r="E513" s="12">
        <v>172865</v>
      </c>
      <c r="F513" s="12">
        <v>71301</v>
      </c>
    </row>
    <row r="514" spans="1:6">
      <c r="A514" t="s">
        <v>132</v>
      </c>
      <c r="B514" s="12" t="s">
        <v>135</v>
      </c>
      <c r="C514" s="12" t="s">
        <v>22</v>
      </c>
      <c r="D514" s="12">
        <v>9.6861712897347643E-2</v>
      </c>
      <c r="E514" s="12">
        <v>172865</v>
      </c>
      <c r="F514" s="12">
        <v>16744</v>
      </c>
    </row>
    <row r="515" spans="1:6">
      <c r="A515" t="s">
        <v>132</v>
      </c>
      <c r="B515" s="12" t="s">
        <v>135</v>
      </c>
      <c r="C515" s="12" t="s">
        <v>478</v>
      </c>
      <c r="D515" s="12">
        <v>3.2453070314985684E-2</v>
      </c>
      <c r="E515" s="12">
        <v>172865</v>
      </c>
      <c r="F515" s="12">
        <v>5610</v>
      </c>
    </row>
    <row r="516" spans="1:6">
      <c r="A516" t="s">
        <v>132</v>
      </c>
      <c r="B516" s="12" t="s">
        <v>135</v>
      </c>
      <c r="C516" s="12" t="s">
        <v>20</v>
      </c>
      <c r="D516" s="12">
        <v>2.9797819107395946E-2</v>
      </c>
      <c r="E516" s="12">
        <v>172865</v>
      </c>
      <c r="F516" s="12">
        <v>5151</v>
      </c>
    </row>
    <row r="517" spans="1:6">
      <c r="A517" t="s">
        <v>132</v>
      </c>
      <c r="B517" s="12" t="s">
        <v>136</v>
      </c>
      <c r="C517" s="12" t="s">
        <v>480</v>
      </c>
      <c r="D517" s="12">
        <v>0.45253797000036883</v>
      </c>
      <c r="E517" s="12">
        <v>1328483</v>
      </c>
      <c r="F517" s="12">
        <v>601189</v>
      </c>
    </row>
    <row r="518" spans="1:6">
      <c r="A518" t="s">
        <v>132</v>
      </c>
      <c r="B518" s="12" t="s">
        <v>136</v>
      </c>
      <c r="C518" s="12" t="s">
        <v>479</v>
      </c>
      <c r="D518" s="12">
        <v>0.39647402337854531</v>
      </c>
      <c r="E518" s="12">
        <v>1328483</v>
      </c>
      <c r="F518" s="12">
        <v>526709</v>
      </c>
    </row>
    <row r="519" spans="1:6">
      <c r="A519" t="s">
        <v>132</v>
      </c>
      <c r="B519" s="12" t="s">
        <v>136</v>
      </c>
      <c r="C519" s="12" t="s">
        <v>22</v>
      </c>
      <c r="D519" s="12">
        <v>9.4908252495515558E-2</v>
      </c>
      <c r="E519" s="12">
        <v>1328483</v>
      </c>
      <c r="F519" s="12">
        <v>126084</v>
      </c>
    </row>
    <row r="520" spans="1:6">
      <c r="A520" t="s">
        <v>132</v>
      </c>
      <c r="B520" s="12" t="s">
        <v>136</v>
      </c>
      <c r="C520" s="12" t="s">
        <v>478</v>
      </c>
      <c r="D520" s="12">
        <v>3.1365098386656055E-2</v>
      </c>
      <c r="E520" s="12">
        <v>1328483</v>
      </c>
      <c r="F520" s="12">
        <v>41668</v>
      </c>
    </row>
    <row r="521" spans="1:6">
      <c r="A521" t="s">
        <v>132</v>
      </c>
      <c r="B521" s="12" t="s">
        <v>136</v>
      </c>
      <c r="C521" s="12" t="s">
        <v>20</v>
      </c>
      <c r="D521" s="12">
        <v>2.4714655738914234E-2</v>
      </c>
      <c r="E521" s="12">
        <v>1328483</v>
      </c>
      <c r="F521" s="12">
        <v>32833</v>
      </c>
    </row>
    <row r="522" spans="1:6">
      <c r="A522" t="s">
        <v>132</v>
      </c>
      <c r="B522" s="12" t="s">
        <v>137</v>
      </c>
      <c r="C522" s="12" t="s">
        <v>480</v>
      </c>
      <c r="D522" s="12">
        <v>0.49299620783647352</v>
      </c>
      <c r="E522" s="12">
        <v>200677</v>
      </c>
      <c r="F522" s="12">
        <v>98933</v>
      </c>
    </row>
    <row r="523" spans="1:6">
      <c r="A523" t="s">
        <v>132</v>
      </c>
      <c r="B523" s="12" t="s">
        <v>137</v>
      </c>
      <c r="C523" s="12" t="s">
        <v>479</v>
      </c>
      <c r="D523" s="12">
        <v>0.36049472535467442</v>
      </c>
      <c r="E523" s="12">
        <v>200677</v>
      </c>
      <c r="F523" s="12">
        <v>72343</v>
      </c>
    </row>
    <row r="524" spans="1:6">
      <c r="A524" t="s">
        <v>132</v>
      </c>
      <c r="B524" s="12" t="s">
        <v>137</v>
      </c>
      <c r="C524" s="12" t="s">
        <v>22</v>
      </c>
      <c r="D524" s="12">
        <v>8.5281322722584055E-2</v>
      </c>
      <c r="E524" s="12">
        <v>200677</v>
      </c>
      <c r="F524" s="12">
        <v>17114</v>
      </c>
    </row>
    <row r="525" spans="1:6">
      <c r="A525" t="s">
        <v>132</v>
      </c>
      <c r="B525" s="12" t="s">
        <v>137</v>
      </c>
      <c r="C525" s="12" t="s">
        <v>478</v>
      </c>
      <c r="D525" s="12">
        <v>2.9649635982200252E-2</v>
      </c>
      <c r="E525" s="12">
        <v>200677</v>
      </c>
      <c r="F525" s="12">
        <v>5950</v>
      </c>
    </row>
    <row r="526" spans="1:6">
      <c r="A526" t="s">
        <v>132</v>
      </c>
      <c r="B526" s="12" t="s">
        <v>137</v>
      </c>
      <c r="C526" s="12" t="s">
        <v>20</v>
      </c>
      <c r="D526" s="12">
        <v>3.1588074368263427E-2</v>
      </c>
      <c r="E526" s="12">
        <v>200677</v>
      </c>
      <c r="F526" s="12">
        <v>6339</v>
      </c>
    </row>
    <row r="527" spans="1:6">
      <c r="A527" t="s">
        <v>132</v>
      </c>
      <c r="B527" s="12" t="s">
        <v>138</v>
      </c>
      <c r="C527" s="12" t="s">
        <v>480</v>
      </c>
      <c r="D527" s="12">
        <v>0.47537675767702881</v>
      </c>
      <c r="E527" s="12">
        <v>301321</v>
      </c>
      <c r="F527" s="12">
        <v>143241</v>
      </c>
    </row>
    <row r="528" spans="1:6">
      <c r="A528" t="s">
        <v>132</v>
      </c>
      <c r="B528" s="12" t="s">
        <v>138</v>
      </c>
      <c r="C528" s="12" t="s">
        <v>479</v>
      </c>
      <c r="D528" s="12">
        <v>0.39705496795775935</v>
      </c>
      <c r="E528" s="12">
        <v>301321</v>
      </c>
      <c r="F528" s="12">
        <v>119641</v>
      </c>
    </row>
    <row r="529" spans="1:6">
      <c r="A529" t="s">
        <v>132</v>
      </c>
      <c r="B529" s="12" t="s">
        <v>138</v>
      </c>
      <c r="C529" s="12" t="s">
        <v>22</v>
      </c>
      <c r="D529" s="12">
        <v>8.2035437291128069E-2</v>
      </c>
      <c r="E529" s="12">
        <v>301321</v>
      </c>
      <c r="F529" s="12">
        <v>24719</v>
      </c>
    </row>
    <row r="530" spans="1:6">
      <c r="A530" t="s">
        <v>132</v>
      </c>
      <c r="B530" s="12" t="s">
        <v>138</v>
      </c>
      <c r="C530" s="12" t="s">
        <v>478</v>
      </c>
      <c r="D530" s="12">
        <v>2.607850100059405E-2</v>
      </c>
      <c r="E530" s="12">
        <v>301321</v>
      </c>
      <c r="F530" s="12">
        <v>7858</v>
      </c>
    </row>
    <row r="531" spans="1:6">
      <c r="A531" t="s">
        <v>132</v>
      </c>
      <c r="B531" s="12" t="s">
        <v>138</v>
      </c>
      <c r="C531" s="12" t="s">
        <v>20</v>
      </c>
      <c r="D531" s="12">
        <v>1.9457654793393092E-2</v>
      </c>
      <c r="E531" s="12">
        <v>301321</v>
      </c>
      <c r="F531" s="12">
        <v>5863</v>
      </c>
    </row>
    <row r="532" spans="1:6">
      <c r="A532" t="s">
        <v>132</v>
      </c>
      <c r="B532" s="12" t="s">
        <v>139</v>
      </c>
      <c r="C532" s="12" t="s">
        <v>480</v>
      </c>
      <c r="D532" s="12">
        <v>0.4135397706090046</v>
      </c>
      <c r="E532" s="12">
        <v>182396</v>
      </c>
      <c r="F532" s="12">
        <v>75428</v>
      </c>
    </row>
    <row r="533" spans="1:6">
      <c r="A533" t="s">
        <v>132</v>
      </c>
      <c r="B533" s="12" t="s">
        <v>139</v>
      </c>
      <c r="C533" s="12" t="s">
        <v>479</v>
      </c>
      <c r="D533" s="12">
        <v>0.40412618697778457</v>
      </c>
      <c r="E533" s="12">
        <v>182396</v>
      </c>
      <c r="F533" s="12">
        <v>73711</v>
      </c>
    </row>
    <row r="534" spans="1:6">
      <c r="A534" t="s">
        <v>132</v>
      </c>
      <c r="B534" s="12" t="s">
        <v>139</v>
      </c>
      <c r="C534" s="12" t="s">
        <v>22</v>
      </c>
      <c r="D534" s="12">
        <v>0.10684444834316542</v>
      </c>
      <c r="E534" s="12">
        <v>182396</v>
      </c>
      <c r="F534" s="12">
        <v>19488</v>
      </c>
    </row>
    <row r="535" spans="1:6">
      <c r="A535" t="s">
        <v>132</v>
      </c>
      <c r="B535" s="12" t="s">
        <v>139</v>
      </c>
      <c r="C535" s="12" t="s">
        <v>478</v>
      </c>
      <c r="D535" s="12">
        <v>3.9759643851838854E-2</v>
      </c>
      <c r="E535" s="12">
        <v>182396</v>
      </c>
      <c r="F535" s="12">
        <v>7252</v>
      </c>
    </row>
    <row r="536" spans="1:6">
      <c r="A536" t="s">
        <v>132</v>
      </c>
      <c r="B536" s="12" t="s">
        <v>139</v>
      </c>
      <c r="C536" s="12" t="s">
        <v>20</v>
      </c>
      <c r="D536" s="12">
        <v>3.5718985065461964E-2</v>
      </c>
      <c r="E536" s="12">
        <v>182396</v>
      </c>
      <c r="F536" s="12">
        <v>6515</v>
      </c>
    </row>
    <row r="537" spans="1:6">
      <c r="A537" t="s">
        <v>132</v>
      </c>
      <c r="B537" s="12" t="s">
        <v>140</v>
      </c>
      <c r="C537" s="12" t="s">
        <v>480</v>
      </c>
      <c r="D537" s="12">
        <v>0.4839104247462363</v>
      </c>
      <c r="E537" s="12">
        <v>172503</v>
      </c>
      <c r="F537" s="12">
        <v>83476</v>
      </c>
    </row>
    <row r="538" spans="1:6">
      <c r="A538" t="s">
        <v>132</v>
      </c>
      <c r="B538" s="12" t="s">
        <v>140</v>
      </c>
      <c r="C538" s="12" t="s">
        <v>479</v>
      </c>
      <c r="D538" s="12">
        <v>0.37805719320823405</v>
      </c>
      <c r="E538" s="12">
        <v>172503</v>
      </c>
      <c r="F538" s="12">
        <v>65216</v>
      </c>
    </row>
    <row r="539" spans="1:6">
      <c r="A539" t="s">
        <v>132</v>
      </c>
      <c r="B539" s="12" t="s">
        <v>140</v>
      </c>
      <c r="C539" s="12" t="s">
        <v>22</v>
      </c>
      <c r="D539" s="12">
        <v>8.6027489376996336E-2</v>
      </c>
      <c r="E539" s="12">
        <v>172503</v>
      </c>
      <c r="F539" s="12">
        <v>14840</v>
      </c>
    </row>
    <row r="540" spans="1:6">
      <c r="A540" t="s">
        <v>132</v>
      </c>
      <c r="B540" s="12" t="s">
        <v>140</v>
      </c>
      <c r="C540" s="12" t="s">
        <v>478</v>
      </c>
      <c r="D540" s="12">
        <v>2.8585010115766103E-2</v>
      </c>
      <c r="E540" s="12">
        <v>172503</v>
      </c>
      <c r="F540" s="12">
        <v>4931</v>
      </c>
    </row>
    <row r="541" spans="1:6">
      <c r="A541" t="s">
        <v>132</v>
      </c>
      <c r="B541" s="12" t="s">
        <v>140</v>
      </c>
      <c r="C541" s="12" t="s">
        <v>20</v>
      </c>
      <c r="D541" s="12">
        <v>2.3408288551503453E-2</v>
      </c>
      <c r="E541" s="12">
        <v>172503</v>
      </c>
      <c r="F541" s="12">
        <v>4038</v>
      </c>
    </row>
    <row r="542" spans="1:6">
      <c r="A542" t="s">
        <v>132</v>
      </c>
      <c r="B542" s="12" t="s">
        <v>141</v>
      </c>
      <c r="C542" s="12" t="s">
        <v>480</v>
      </c>
      <c r="D542" s="12">
        <v>0.4487318013211099</v>
      </c>
      <c r="E542" s="12">
        <v>448865</v>
      </c>
      <c r="F542" s="12">
        <v>201420</v>
      </c>
    </row>
    <row r="543" spans="1:6">
      <c r="A543" t="s">
        <v>132</v>
      </c>
      <c r="B543" s="12" t="s">
        <v>141</v>
      </c>
      <c r="C543" s="12" t="s">
        <v>479</v>
      </c>
      <c r="D543" s="12">
        <v>0.39595646798035045</v>
      </c>
      <c r="E543" s="12">
        <v>448865</v>
      </c>
      <c r="F543" s="12">
        <v>177731</v>
      </c>
    </row>
    <row r="544" spans="1:6">
      <c r="A544" t="s">
        <v>132</v>
      </c>
      <c r="B544" s="12" t="s">
        <v>141</v>
      </c>
      <c r="C544" s="12" t="s">
        <v>22</v>
      </c>
      <c r="D544" s="12">
        <v>9.4353536141156033E-2</v>
      </c>
      <c r="E544" s="12">
        <v>448865</v>
      </c>
      <c r="F544" s="12">
        <v>42352</v>
      </c>
    </row>
    <row r="545" spans="1:6">
      <c r="A545" t="s">
        <v>132</v>
      </c>
      <c r="B545" s="12" t="s">
        <v>141</v>
      </c>
      <c r="C545" s="12" t="s">
        <v>478</v>
      </c>
      <c r="D545" s="12">
        <v>3.2354939681195904E-2</v>
      </c>
      <c r="E545" s="12">
        <v>448865</v>
      </c>
      <c r="F545" s="12">
        <v>14523</v>
      </c>
    </row>
    <row r="546" spans="1:6">
      <c r="A546" t="s">
        <v>132</v>
      </c>
      <c r="B546" s="12" t="s">
        <v>141</v>
      </c>
      <c r="C546" s="12" t="s">
        <v>20</v>
      </c>
      <c r="D546" s="12">
        <v>2.8601027034854579E-2</v>
      </c>
      <c r="E546" s="12">
        <v>448865</v>
      </c>
      <c r="F546" s="12">
        <v>12838</v>
      </c>
    </row>
    <row r="547" spans="1:6">
      <c r="A547" t="s">
        <v>132</v>
      </c>
      <c r="B547" s="12" t="s">
        <v>142</v>
      </c>
      <c r="C547" s="12" t="s">
        <v>480</v>
      </c>
      <c r="D547" s="12">
        <v>0.53176727219401321</v>
      </c>
      <c r="E547" s="12">
        <v>109106</v>
      </c>
      <c r="F547" s="12">
        <v>58019</v>
      </c>
    </row>
    <row r="548" spans="1:6">
      <c r="A548" t="s">
        <v>132</v>
      </c>
      <c r="B548" s="12" t="s">
        <v>142</v>
      </c>
      <c r="C548" s="12" t="s">
        <v>479</v>
      </c>
      <c r="D548" s="12">
        <v>0.35079647315454693</v>
      </c>
      <c r="E548" s="12">
        <v>109106</v>
      </c>
      <c r="F548" s="12">
        <v>38274</v>
      </c>
    </row>
    <row r="549" spans="1:6">
      <c r="A549" t="s">
        <v>132</v>
      </c>
      <c r="B549" s="12" t="s">
        <v>142</v>
      </c>
      <c r="C549" s="12" t="s">
        <v>22</v>
      </c>
      <c r="D549" s="12">
        <v>7.1150990779608819E-2</v>
      </c>
      <c r="E549" s="12">
        <v>109106</v>
      </c>
      <c r="F549" s="12">
        <v>7763</v>
      </c>
    </row>
    <row r="550" spans="1:6">
      <c r="A550" t="s">
        <v>132</v>
      </c>
      <c r="B550" s="12" t="s">
        <v>142</v>
      </c>
      <c r="C550" s="12" t="s">
        <v>478</v>
      </c>
      <c r="D550" s="12">
        <v>2.5241508258024306E-2</v>
      </c>
      <c r="E550" s="12">
        <v>109106</v>
      </c>
      <c r="F550" s="12">
        <v>2754</v>
      </c>
    </row>
    <row r="551" spans="1:6">
      <c r="A551" t="s">
        <v>132</v>
      </c>
      <c r="B551" s="12" t="s">
        <v>142</v>
      </c>
      <c r="C551" s="12" t="s">
        <v>20</v>
      </c>
      <c r="D551" s="12">
        <v>2.1025424816233755E-2</v>
      </c>
      <c r="E551" s="12">
        <v>109106</v>
      </c>
      <c r="F551" s="12">
        <v>2294</v>
      </c>
    </row>
    <row r="552" spans="1:6">
      <c r="A552" t="s">
        <v>132</v>
      </c>
      <c r="B552" s="12" t="s">
        <v>143</v>
      </c>
      <c r="C552" s="12" t="s">
        <v>480</v>
      </c>
      <c r="D552" s="12">
        <v>0.4736271832878256</v>
      </c>
      <c r="E552" s="12">
        <v>115365</v>
      </c>
      <c r="F552" s="12">
        <v>54640</v>
      </c>
    </row>
    <row r="553" spans="1:6">
      <c r="A553" t="s">
        <v>132</v>
      </c>
      <c r="B553" s="12" t="s">
        <v>143</v>
      </c>
      <c r="C553" s="12" t="s">
        <v>479</v>
      </c>
      <c r="D553" s="12">
        <v>0.38064404282061282</v>
      </c>
      <c r="E553" s="12">
        <v>115365</v>
      </c>
      <c r="F553" s="12">
        <v>43913</v>
      </c>
    </row>
    <row r="554" spans="1:6">
      <c r="A554" t="s">
        <v>132</v>
      </c>
      <c r="B554" s="12" t="s">
        <v>143</v>
      </c>
      <c r="C554" s="12" t="s">
        <v>22</v>
      </c>
      <c r="D554" s="12">
        <v>8.750487582889091E-2</v>
      </c>
      <c r="E554" s="12">
        <v>115365</v>
      </c>
      <c r="F554" s="12">
        <v>10095</v>
      </c>
    </row>
    <row r="555" spans="1:6">
      <c r="A555" t="s">
        <v>132</v>
      </c>
      <c r="B555" s="12" t="s">
        <v>143</v>
      </c>
      <c r="C555" s="12" t="s">
        <v>478</v>
      </c>
      <c r="D555" s="12">
        <v>3.0624539505049193E-2</v>
      </c>
      <c r="E555" s="12">
        <v>115365</v>
      </c>
      <c r="F555" s="12">
        <v>3533</v>
      </c>
    </row>
    <row r="556" spans="1:6">
      <c r="A556" t="s">
        <v>132</v>
      </c>
      <c r="B556" s="12" t="s">
        <v>143</v>
      </c>
      <c r="C556" s="12" t="s">
        <v>20</v>
      </c>
      <c r="D556" s="12">
        <v>2.7590690417370951E-2</v>
      </c>
      <c r="E556" s="12">
        <v>115365</v>
      </c>
      <c r="F556" s="12">
        <v>3183</v>
      </c>
    </row>
    <row r="557" spans="1:6">
      <c r="A557" t="s">
        <v>132</v>
      </c>
      <c r="B557" s="12" t="s">
        <v>144</v>
      </c>
      <c r="C557" s="12" t="s">
        <v>480</v>
      </c>
      <c r="D557" s="12">
        <v>0.53257455431229117</v>
      </c>
      <c r="E557" s="12">
        <v>140401</v>
      </c>
      <c r="F557" s="12">
        <v>74774</v>
      </c>
    </row>
    <row r="558" spans="1:6">
      <c r="A558" t="s">
        <v>132</v>
      </c>
      <c r="B558" s="12" t="s">
        <v>144</v>
      </c>
      <c r="C558" s="12" t="s">
        <v>479</v>
      </c>
      <c r="D558" s="12">
        <v>0.35120120227063911</v>
      </c>
      <c r="E558" s="12">
        <v>140401</v>
      </c>
      <c r="F558" s="12">
        <v>49309</v>
      </c>
    </row>
    <row r="559" spans="1:6">
      <c r="A559" t="s">
        <v>132</v>
      </c>
      <c r="B559" s="12" t="s">
        <v>144</v>
      </c>
      <c r="C559" s="12" t="s">
        <v>22</v>
      </c>
      <c r="D559" s="12">
        <v>7.1865585002955826E-2</v>
      </c>
      <c r="E559" s="12">
        <v>140401</v>
      </c>
      <c r="F559" s="12">
        <v>10090</v>
      </c>
    </row>
    <row r="560" spans="1:6">
      <c r="A560" t="s">
        <v>132</v>
      </c>
      <c r="B560" s="12" t="s">
        <v>144</v>
      </c>
      <c r="C560" s="12" t="s">
        <v>478</v>
      </c>
      <c r="D560" s="12">
        <v>2.3119493450901345E-2</v>
      </c>
      <c r="E560" s="12">
        <v>140401</v>
      </c>
      <c r="F560" s="12">
        <v>3246</v>
      </c>
    </row>
    <row r="561" spans="1:6">
      <c r="A561" t="s">
        <v>132</v>
      </c>
      <c r="B561" s="12" t="s">
        <v>144</v>
      </c>
      <c r="C561" s="12" t="s">
        <v>20</v>
      </c>
      <c r="D561" s="12">
        <v>2.122492005042699E-2</v>
      </c>
      <c r="E561" s="12">
        <v>140401</v>
      </c>
      <c r="F561" s="12">
        <v>2980</v>
      </c>
    </row>
    <row r="562" spans="1:6">
      <c r="A562" t="s">
        <v>132</v>
      </c>
      <c r="B562" s="12" t="s">
        <v>145</v>
      </c>
      <c r="C562" s="12" t="s">
        <v>480</v>
      </c>
      <c r="D562" s="12">
        <v>0.46650436404133538</v>
      </c>
      <c r="E562" s="12">
        <v>193055</v>
      </c>
      <c r="F562" s="12">
        <v>90061</v>
      </c>
    </row>
    <row r="563" spans="1:6">
      <c r="A563" t="s">
        <v>132</v>
      </c>
      <c r="B563" s="12" t="s">
        <v>145</v>
      </c>
      <c r="C563" s="12" t="s">
        <v>479</v>
      </c>
      <c r="D563" s="12">
        <v>0.38578643391779543</v>
      </c>
      <c r="E563" s="12">
        <v>193055</v>
      </c>
      <c r="F563" s="12">
        <v>74478</v>
      </c>
    </row>
    <row r="564" spans="1:6">
      <c r="A564" t="s">
        <v>132</v>
      </c>
      <c r="B564" s="12" t="s">
        <v>145</v>
      </c>
      <c r="C564" s="12" t="s">
        <v>22</v>
      </c>
      <c r="D564" s="12">
        <v>9.0326590867887385E-2</v>
      </c>
      <c r="E564" s="12">
        <v>193055</v>
      </c>
      <c r="F564" s="12">
        <v>17438</v>
      </c>
    </row>
    <row r="565" spans="1:6">
      <c r="A565" t="s">
        <v>132</v>
      </c>
      <c r="B565" s="12" t="s">
        <v>145</v>
      </c>
      <c r="C565" s="12" t="s">
        <v>478</v>
      </c>
      <c r="D565" s="12">
        <v>3.0240087021833156E-2</v>
      </c>
      <c r="E565" s="12">
        <v>193055</v>
      </c>
      <c r="F565" s="12">
        <v>5838</v>
      </c>
    </row>
    <row r="566" spans="1:6">
      <c r="A566" t="s">
        <v>132</v>
      </c>
      <c r="B566" s="12" t="s">
        <v>145</v>
      </c>
      <c r="C566" s="12" t="s">
        <v>20</v>
      </c>
      <c r="D566" s="12">
        <v>2.7152883893191058E-2</v>
      </c>
      <c r="E566" s="12">
        <v>193055</v>
      </c>
      <c r="F566" s="12">
        <v>5242</v>
      </c>
    </row>
    <row r="567" spans="1:6">
      <c r="A567" t="s">
        <v>132</v>
      </c>
      <c r="B567" s="12" t="s">
        <v>146</v>
      </c>
      <c r="C567" s="12" t="s">
        <v>480</v>
      </c>
      <c r="D567" s="12">
        <v>0.44257201865897516</v>
      </c>
      <c r="E567" s="12">
        <v>112332</v>
      </c>
      <c r="F567" s="12">
        <v>49715</v>
      </c>
    </row>
    <row r="568" spans="1:6">
      <c r="A568" t="s">
        <v>132</v>
      </c>
      <c r="B568" s="12" t="s">
        <v>146</v>
      </c>
      <c r="C568" s="12" t="s">
        <v>479</v>
      </c>
      <c r="D568" s="12">
        <v>0.39189189189189189</v>
      </c>
      <c r="E568" s="12">
        <v>112332</v>
      </c>
      <c r="F568" s="12">
        <v>44022</v>
      </c>
    </row>
    <row r="569" spans="1:6">
      <c r="A569" t="s">
        <v>132</v>
      </c>
      <c r="B569" s="12" t="s">
        <v>146</v>
      </c>
      <c r="C569" s="12" t="s">
        <v>22</v>
      </c>
      <c r="D569" s="12">
        <v>9.6998183954705691E-2</v>
      </c>
      <c r="E569" s="12">
        <v>112332</v>
      </c>
      <c r="F569" s="12">
        <v>10896</v>
      </c>
    </row>
    <row r="570" spans="1:6">
      <c r="A570" t="s">
        <v>132</v>
      </c>
      <c r="B570" s="12" t="s">
        <v>146</v>
      </c>
      <c r="C570" s="12" t="s">
        <v>478</v>
      </c>
      <c r="D570" s="12">
        <v>3.4887654452871841E-2</v>
      </c>
      <c r="E570" s="12">
        <v>112332</v>
      </c>
      <c r="F570" s="12">
        <v>3919</v>
      </c>
    </row>
    <row r="571" spans="1:6">
      <c r="A571" t="s">
        <v>132</v>
      </c>
      <c r="B571" s="12" t="s">
        <v>146</v>
      </c>
      <c r="C571" s="12" t="s">
        <v>20</v>
      </c>
      <c r="D571" s="12">
        <v>3.365025104155539E-2</v>
      </c>
      <c r="E571" s="12">
        <v>112332</v>
      </c>
      <c r="F571" s="12">
        <v>3780</v>
      </c>
    </row>
    <row r="572" spans="1:6">
      <c r="A572" t="s">
        <v>132</v>
      </c>
      <c r="B572" s="12" t="s">
        <v>147</v>
      </c>
      <c r="C572" s="12" t="s">
        <v>480</v>
      </c>
      <c r="D572" s="12">
        <v>0.49161675206273603</v>
      </c>
      <c r="E572" s="12">
        <v>207855</v>
      </c>
      <c r="F572" s="12">
        <v>102185</v>
      </c>
    </row>
    <row r="573" spans="1:6">
      <c r="A573" t="s">
        <v>132</v>
      </c>
      <c r="B573" s="12" t="s">
        <v>147</v>
      </c>
      <c r="C573" s="12" t="s">
        <v>479</v>
      </c>
      <c r="D573" s="12">
        <v>0.37950494334993146</v>
      </c>
      <c r="E573" s="12">
        <v>207855</v>
      </c>
      <c r="F573" s="12">
        <v>78882</v>
      </c>
    </row>
    <row r="574" spans="1:6">
      <c r="A574" t="s">
        <v>132</v>
      </c>
      <c r="B574" s="12" t="s">
        <v>147</v>
      </c>
      <c r="C574" s="12" t="s">
        <v>22</v>
      </c>
      <c r="D574" s="12">
        <v>7.9290851795722983E-2</v>
      </c>
      <c r="E574" s="12">
        <v>207855</v>
      </c>
      <c r="F574" s="12">
        <v>16481</v>
      </c>
    </row>
    <row r="575" spans="1:6">
      <c r="A575" t="s">
        <v>132</v>
      </c>
      <c r="B575" s="12" t="s">
        <v>147</v>
      </c>
      <c r="C575" s="12" t="s">
        <v>478</v>
      </c>
      <c r="D575" s="12">
        <v>2.6157657982728344E-2</v>
      </c>
      <c r="E575" s="12">
        <v>207855</v>
      </c>
      <c r="F575" s="12">
        <v>5437</v>
      </c>
    </row>
    <row r="576" spans="1:6">
      <c r="A576" t="s">
        <v>132</v>
      </c>
      <c r="B576" s="12" t="s">
        <v>147</v>
      </c>
      <c r="C576" s="12" t="s">
        <v>20</v>
      </c>
      <c r="D576" s="12">
        <v>2.3405739578071252E-2</v>
      </c>
      <c r="E576" s="12">
        <v>207855</v>
      </c>
      <c r="F576" s="12">
        <v>4865</v>
      </c>
    </row>
    <row r="577" spans="1:6">
      <c r="A577" t="s">
        <v>132</v>
      </c>
      <c r="B577" s="12" t="s">
        <v>148</v>
      </c>
      <c r="C577" s="12" t="s">
        <v>480</v>
      </c>
      <c r="D577" s="12">
        <v>0.51839209436969003</v>
      </c>
      <c r="E577" s="12">
        <v>106051</v>
      </c>
      <c r="F577" s="12">
        <v>54976</v>
      </c>
    </row>
    <row r="578" spans="1:6">
      <c r="A578" t="s">
        <v>132</v>
      </c>
      <c r="B578" s="12" t="s">
        <v>148</v>
      </c>
      <c r="C578" s="12" t="s">
        <v>479</v>
      </c>
      <c r="D578" s="12">
        <v>0.34472093615336019</v>
      </c>
      <c r="E578" s="12">
        <v>106051</v>
      </c>
      <c r="F578" s="12">
        <v>36558</v>
      </c>
    </row>
    <row r="579" spans="1:6">
      <c r="A579" t="s">
        <v>132</v>
      </c>
      <c r="B579" s="12" t="s">
        <v>148</v>
      </c>
      <c r="C579" s="12" t="s">
        <v>22</v>
      </c>
      <c r="D579" s="12">
        <v>7.9405191841661088E-2</v>
      </c>
      <c r="E579" s="12">
        <v>106051</v>
      </c>
      <c r="F579" s="12">
        <v>8421</v>
      </c>
    </row>
    <row r="580" spans="1:6">
      <c r="A580" t="s">
        <v>132</v>
      </c>
      <c r="B580" s="12" t="s">
        <v>148</v>
      </c>
      <c r="C580" s="12" t="s">
        <v>478</v>
      </c>
      <c r="D580" s="12">
        <v>2.8307135246249445E-2</v>
      </c>
      <c r="E580" s="12">
        <v>106051</v>
      </c>
      <c r="F580" s="12">
        <v>3002</v>
      </c>
    </row>
    <row r="581" spans="1:6">
      <c r="A581" t="s">
        <v>132</v>
      </c>
      <c r="B581" s="12" t="s">
        <v>148</v>
      </c>
      <c r="C581" s="12" t="s">
        <v>20</v>
      </c>
      <c r="D581" s="12">
        <v>2.9221789516364768E-2</v>
      </c>
      <c r="E581" s="12">
        <v>106051</v>
      </c>
      <c r="F581" s="12">
        <v>3099</v>
      </c>
    </row>
    <row r="582" spans="1:6">
      <c r="A582" t="s">
        <v>132</v>
      </c>
      <c r="B582" s="12" t="s">
        <v>149</v>
      </c>
      <c r="C582" s="12" t="s">
        <v>480</v>
      </c>
      <c r="D582" s="12">
        <v>0.46156241610738252</v>
      </c>
      <c r="E582" s="12">
        <v>93125</v>
      </c>
      <c r="F582" s="12">
        <v>42983</v>
      </c>
    </row>
    <row r="583" spans="1:6">
      <c r="A583" t="s">
        <v>132</v>
      </c>
      <c r="B583" s="12" t="s">
        <v>149</v>
      </c>
      <c r="C583" s="12" t="s">
        <v>479</v>
      </c>
      <c r="D583" s="12">
        <v>0.39818523489932883</v>
      </c>
      <c r="E583" s="12">
        <v>93125</v>
      </c>
      <c r="F583" s="12">
        <v>37081</v>
      </c>
    </row>
    <row r="584" spans="1:6">
      <c r="A584" t="s">
        <v>132</v>
      </c>
      <c r="B584" s="12" t="s">
        <v>149</v>
      </c>
      <c r="C584" s="12" t="s">
        <v>22</v>
      </c>
      <c r="D584" s="12">
        <v>8.8955704697986582E-2</v>
      </c>
      <c r="E584" s="12">
        <v>93125</v>
      </c>
      <c r="F584" s="12">
        <v>8284</v>
      </c>
    </row>
    <row r="585" spans="1:6">
      <c r="A585" t="s">
        <v>132</v>
      </c>
      <c r="B585" s="12" t="s">
        <v>149</v>
      </c>
      <c r="C585" s="12" t="s">
        <v>478</v>
      </c>
      <c r="D585" s="12">
        <v>2.8467114093959731E-2</v>
      </c>
      <c r="E585" s="12">
        <v>93125</v>
      </c>
      <c r="F585" s="12">
        <v>2651</v>
      </c>
    </row>
    <row r="586" spans="1:6">
      <c r="A586" t="s">
        <v>132</v>
      </c>
      <c r="B586" s="12" t="s">
        <v>149</v>
      </c>
      <c r="C586" s="12" t="s">
        <v>20</v>
      </c>
      <c r="D586" s="12">
        <v>2.2883221476510066E-2</v>
      </c>
      <c r="E586" s="12">
        <v>93125</v>
      </c>
      <c r="F586" s="12">
        <v>2131</v>
      </c>
    </row>
    <row r="587" spans="1:6">
      <c r="A587" t="s">
        <v>132</v>
      </c>
      <c r="B587" s="12" t="s">
        <v>150</v>
      </c>
      <c r="C587" s="12" t="s">
        <v>480</v>
      </c>
      <c r="D587" s="12">
        <v>0.51255546854607148</v>
      </c>
      <c r="E587" s="12">
        <v>38310</v>
      </c>
      <c r="F587" s="12">
        <v>19636</v>
      </c>
    </row>
    <row r="588" spans="1:6">
      <c r="A588" t="s">
        <v>132</v>
      </c>
      <c r="B588" s="12" t="s">
        <v>150</v>
      </c>
      <c r="C588" s="12" t="s">
        <v>479</v>
      </c>
      <c r="D588" s="12">
        <v>0.34701122422344033</v>
      </c>
      <c r="E588" s="12">
        <v>38310</v>
      </c>
      <c r="F588" s="12">
        <v>13294</v>
      </c>
    </row>
    <row r="589" spans="1:6">
      <c r="A589" t="s">
        <v>132</v>
      </c>
      <c r="B589" s="12" t="s">
        <v>150</v>
      </c>
      <c r="C589" s="12" t="s">
        <v>22</v>
      </c>
      <c r="D589" s="12">
        <v>7.9770294962150878E-2</v>
      </c>
      <c r="E589" s="12">
        <v>38310</v>
      </c>
      <c r="F589" s="12">
        <v>3056</v>
      </c>
    </row>
    <row r="590" spans="1:6">
      <c r="A590" t="s">
        <v>132</v>
      </c>
      <c r="B590" s="12" t="s">
        <v>150</v>
      </c>
      <c r="C590" s="12" t="s">
        <v>478</v>
      </c>
      <c r="D590" s="12">
        <v>2.9548420777864789E-2</v>
      </c>
      <c r="E590" s="12">
        <v>38310</v>
      </c>
      <c r="F590" s="12">
        <v>1132</v>
      </c>
    </row>
    <row r="591" spans="1:6">
      <c r="A591" t="s">
        <v>132</v>
      </c>
      <c r="B591" s="12" t="s">
        <v>150</v>
      </c>
      <c r="C591" s="12" t="s">
        <v>20</v>
      </c>
      <c r="D591" s="12">
        <v>3.0931871574001565E-2</v>
      </c>
      <c r="E591" s="12">
        <v>38310</v>
      </c>
      <c r="F591" s="12">
        <v>1185</v>
      </c>
    </row>
    <row r="592" spans="1:6">
      <c r="A592" t="s">
        <v>132</v>
      </c>
      <c r="B592" s="12" t="s">
        <v>151</v>
      </c>
      <c r="C592" s="12" t="s">
        <v>480</v>
      </c>
      <c r="D592" s="12">
        <v>0.45993807098804923</v>
      </c>
      <c r="E592" s="12">
        <v>39077</v>
      </c>
      <c r="F592" s="12">
        <v>17973</v>
      </c>
    </row>
    <row r="593" spans="1:6">
      <c r="A593" t="s">
        <v>132</v>
      </c>
      <c r="B593" s="12" t="s">
        <v>151</v>
      </c>
      <c r="C593" s="12" t="s">
        <v>479</v>
      </c>
      <c r="D593" s="12">
        <v>0.38767049671162063</v>
      </c>
      <c r="E593" s="12">
        <v>39077</v>
      </c>
      <c r="F593" s="12">
        <v>15149</v>
      </c>
    </row>
    <row r="594" spans="1:6">
      <c r="A594" t="s">
        <v>132</v>
      </c>
      <c r="B594" s="12" t="s">
        <v>151</v>
      </c>
      <c r="C594" s="12" t="s">
        <v>22</v>
      </c>
      <c r="D594" s="12">
        <v>8.8594313790720886E-2</v>
      </c>
      <c r="E594" s="12">
        <v>39077</v>
      </c>
      <c r="F594" s="12">
        <v>3462</v>
      </c>
    </row>
    <row r="595" spans="1:6">
      <c r="A595" t="s">
        <v>132</v>
      </c>
      <c r="B595" s="12" t="s">
        <v>151</v>
      </c>
      <c r="C595" s="12" t="s">
        <v>478</v>
      </c>
      <c r="D595" s="12">
        <v>3.2602298026972384E-2</v>
      </c>
      <c r="E595" s="12">
        <v>39077</v>
      </c>
      <c r="F595" s="12">
        <v>1274</v>
      </c>
    </row>
    <row r="596" spans="1:6">
      <c r="A596" t="s">
        <v>132</v>
      </c>
      <c r="B596" s="12" t="s">
        <v>151</v>
      </c>
      <c r="C596" s="12" t="s">
        <v>20</v>
      </c>
      <c r="D596" s="12">
        <v>3.1041277477800239E-2</v>
      </c>
      <c r="E596" s="12">
        <v>39077</v>
      </c>
      <c r="F596" s="12">
        <v>1213</v>
      </c>
    </row>
    <row r="597" spans="1:6">
      <c r="A597" t="s">
        <v>132</v>
      </c>
      <c r="B597" s="12" t="s">
        <v>152</v>
      </c>
      <c r="C597" s="12" t="s">
        <v>480</v>
      </c>
      <c r="D597" s="12">
        <v>0.50430372248856969</v>
      </c>
      <c r="E597" s="12">
        <v>54023</v>
      </c>
      <c r="F597" s="12">
        <v>27244</v>
      </c>
    </row>
    <row r="598" spans="1:6">
      <c r="A598" t="s">
        <v>132</v>
      </c>
      <c r="B598" s="12" t="s">
        <v>152</v>
      </c>
      <c r="C598" s="12" t="s">
        <v>479</v>
      </c>
      <c r="D598" s="12">
        <v>0.36952779371749067</v>
      </c>
      <c r="E598" s="12">
        <v>54023</v>
      </c>
      <c r="F598" s="12">
        <v>19963</v>
      </c>
    </row>
    <row r="599" spans="1:6">
      <c r="A599" t="s">
        <v>132</v>
      </c>
      <c r="B599" s="12" t="s">
        <v>152</v>
      </c>
      <c r="C599" s="12" t="s">
        <v>22</v>
      </c>
      <c r="D599" s="12">
        <v>7.7115302741424946E-2</v>
      </c>
      <c r="E599" s="12">
        <v>54023</v>
      </c>
      <c r="F599" s="12">
        <v>4166</v>
      </c>
    </row>
    <row r="600" spans="1:6">
      <c r="A600" t="s">
        <v>132</v>
      </c>
      <c r="B600" s="12" t="s">
        <v>152</v>
      </c>
      <c r="C600" s="12" t="s">
        <v>478</v>
      </c>
      <c r="D600" s="12">
        <v>2.6988504896062786E-2</v>
      </c>
      <c r="E600" s="12">
        <v>54023</v>
      </c>
      <c r="F600" s="12">
        <v>1458</v>
      </c>
    </row>
    <row r="601" spans="1:6">
      <c r="A601" t="s">
        <v>132</v>
      </c>
      <c r="B601" s="12" t="s">
        <v>152</v>
      </c>
      <c r="C601" s="12" t="s">
        <v>20</v>
      </c>
      <c r="D601" s="12">
        <v>2.2027654887733002E-2</v>
      </c>
      <c r="E601" s="12">
        <v>54023</v>
      </c>
      <c r="F601" s="12">
        <v>1190</v>
      </c>
    </row>
    <row r="602" spans="1:6">
      <c r="A602" t="s">
        <v>132</v>
      </c>
      <c r="B602" s="12" t="s">
        <v>153</v>
      </c>
      <c r="C602" s="12" t="s">
        <v>480</v>
      </c>
      <c r="D602" s="12">
        <v>0.47271229594129099</v>
      </c>
      <c r="E602" s="12">
        <v>66770</v>
      </c>
      <c r="F602" s="12">
        <v>31563</v>
      </c>
    </row>
    <row r="603" spans="1:6">
      <c r="A603" t="s">
        <v>132</v>
      </c>
      <c r="B603" s="12" t="s">
        <v>153</v>
      </c>
      <c r="C603" s="12" t="s">
        <v>479</v>
      </c>
      <c r="D603" s="12">
        <v>0.38394488542758726</v>
      </c>
      <c r="E603" s="12">
        <v>66770</v>
      </c>
      <c r="F603" s="12">
        <v>25636</v>
      </c>
    </row>
    <row r="604" spans="1:6">
      <c r="A604" t="s">
        <v>132</v>
      </c>
      <c r="B604" s="12" t="s">
        <v>153</v>
      </c>
      <c r="C604" s="12" t="s">
        <v>22</v>
      </c>
      <c r="D604" s="12">
        <v>8.4199490789276618E-2</v>
      </c>
      <c r="E604" s="12">
        <v>66770</v>
      </c>
      <c r="F604" s="12">
        <v>5622</v>
      </c>
    </row>
    <row r="605" spans="1:6">
      <c r="A605" t="s">
        <v>132</v>
      </c>
      <c r="B605" s="12" t="s">
        <v>153</v>
      </c>
      <c r="C605" s="12" t="s">
        <v>478</v>
      </c>
      <c r="D605" s="12">
        <v>2.9728920173730716E-2</v>
      </c>
      <c r="E605" s="12">
        <v>66770</v>
      </c>
      <c r="F605" s="12">
        <v>1985</v>
      </c>
    </row>
    <row r="606" spans="1:6">
      <c r="A606" t="s">
        <v>132</v>
      </c>
      <c r="B606" s="12" t="s">
        <v>153</v>
      </c>
      <c r="C606" s="12" t="s">
        <v>20</v>
      </c>
      <c r="D606" s="12">
        <v>2.9384454096150966E-2</v>
      </c>
      <c r="E606" s="12">
        <v>66770</v>
      </c>
      <c r="F606" s="12">
        <v>1962</v>
      </c>
    </row>
    <row r="607" spans="1:6">
      <c r="A607" t="s">
        <v>132</v>
      </c>
      <c r="B607" s="12" t="s">
        <v>154</v>
      </c>
      <c r="C607" s="12" t="s">
        <v>480</v>
      </c>
      <c r="D607" s="12">
        <v>0.52240336521356967</v>
      </c>
      <c r="E607" s="12">
        <v>47783</v>
      </c>
      <c r="F607" s="12">
        <v>24962</v>
      </c>
    </row>
    <row r="608" spans="1:6">
      <c r="A608" t="s">
        <v>132</v>
      </c>
      <c r="B608" s="12" t="s">
        <v>154</v>
      </c>
      <c r="C608" s="12" t="s">
        <v>479</v>
      </c>
      <c r="D608" s="12">
        <v>0.33319381369943285</v>
      </c>
      <c r="E608" s="12">
        <v>47783</v>
      </c>
      <c r="F608" s="12">
        <v>15921</v>
      </c>
    </row>
    <row r="609" spans="1:6">
      <c r="A609" t="s">
        <v>132</v>
      </c>
      <c r="B609" s="12" t="s">
        <v>154</v>
      </c>
      <c r="C609" s="12" t="s">
        <v>22</v>
      </c>
      <c r="D609" s="12">
        <v>8.0363309126676857E-2</v>
      </c>
      <c r="E609" s="12">
        <v>47783</v>
      </c>
      <c r="F609" s="12">
        <v>3840</v>
      </c>
    </row>
    <row r="610" spans="1:6">
      <c r="A610" t="s">
        <v>132</v>
      </c>
      <c r="B610" s="12" t="s">
        <v>154</v>
      </c>
      <c r="C610" s="12" t="s">
        <v>478</v>
      </c>
      <c r="D610" s="12">
        <v>3.0868719000481343E-2</v>
      </c>
      <c r="E610" s="12">
        <v>47783</v>
      </c>
      <c r="F610" s="12">
        <v>1475</v>
      </c>
    </row>
    <row r="611" spans="1:6">
      <c r="A611" t="s">
        <v>132</v>
      </c>
      <c r="B611" s="12" t="s">
        <v>154</v>
      </c>
      <c r="C611" s="12" t="s">
        <v>20</v>
      </c>
      <c r="D611" s="12">
        <v>3.3254504740179561E-2</v>
      </c>
      <c r="E611" s="12">
        <v>47783</v>
      </c>
      <c r="F611" s="12">
        <v>1589</v>
      </c>
    </row>
    <row r="612" spans="1:6">
      <c r="A612" t="s">
        <v>132</v>
      </c>
      <c r="B612" s="12" t="s">
        <v>155</v>
      </c>
      <c r="C612" s="12" t="s">
        <v>480</v>
      </c>
      <c r="D612" s="12">
        <v>0.45181896434558055</v>
      </c>
      <c r="E612" s="12">
        <v>22073</v>
      </c>
      <c r="F612" s="12">
        <v>9973</v>
      </c>
    </row>
    <row r="613" spans="1:6">
      <c r="A613" t="s">
        <v>132</v>
      </c>
      <c r="B613" s="12" t="s">
        <v>155</v>
      </c>
      <c r="C613" s="12" t="s">
        <v>479</v>
      </c>
      <c r="D613" s="12">
        <v>0.38821184252253887</v>
      </c>
      <c r="E613" s="12">
        <v>22073</v>
      </c>
      <c r="F613" s="12">
        <v>8569</v>
      </c>
    </row>
    <row r="614" spans="1:6">
      <c r="A614" t="s">
        <v>132</v>
      </c>
      <c r="B614" s="12" t="s">
        <v>155</v>
      </c>
      <c r="C614" s="12" t="s">
        <v>22</v>
      </c>
      <c r="D614" s="12">
        <v>9.2692429665201831E-2</v>
      </c>
      <c r="E614" s="12">
        <v>22073</v>
      </c>
      <c r="F614" s="12">
        <v>2046</v>
      </c>
    </row>
    <row r="615" spans="1:6">
      <c r="A615" t="s">
        <v>132</v>
      </c>
      <c r="B615" s="12" t="s">
        <v>155</v>
      </c>
      <c r="C615" s="12" t="s">
        <v>478</v>
      </c>
      <c r="D615" s="12">
        <v>3.4159380238300188E-2</v>
      </c>
      <c r="E615" s="12">
        <v>22073</v>
      </c>
      <c r="F615" s="12">
        <v>754</v>
      </c>
    </row>
    <row r="616" spans="1:6">
      <c r="A616" t="s">
        <v>132</v>
      </c>
      <c r="B616" s="12" t="s">
        <v>155</v>
      </c>
      <c r="C616" s="12" t="s">
        <v>20</v>
      </c>
      <c r="D616" s="12">
        <v>3.30267747927332E-2</v>
      </c>
      <c r="E616" s="12">
        <v>22073</v>
      </c>
      <c r="F616" s="12">
        <v>729</v>
      </c>
    </row>
    <row r="617" spans="1:6">
      <c r="A617" t="s">
        <v>132</v>
      </c>
      <c r="B617" s="12" t="s">
        <v>156</v>
      </c>
      <c r="C617" s="12" t="s">
        <v>480</v>
      </c>
      <c r="D617" s="12">
        <v>0.55464674601164854</v>
      </c>
      <c r="E617" s="12">
        <v>39490</v>
      </c>
      <c r="F617" s="12">
        <v>21903</v>
      </c>
    </row>
    <row r="618" spans="1:6">
      <c r="A618" t="s">
        <v>132</v>
      </c>
      <c r="B618" s="12" t="s">
        <v>156</v>
      </c>
      <c r="C618" s="12" t="s">
        <v>479</v>
      </c>
      <c r="D618" s="12">
        <v>0.33833881995441883</v>
      </c>
      <c r="E618" s="12">
        <v>39490</v>
      </c>
      <c r="F618" s="12">
        <v>13361</v>
      </c>
    </row>
    <row r="619" spans="1:6">
      <c r="A619" t="s">
        <v>132</v>
      </c>
      <c r="B619" s="12" t="s">
        <v>156</v>
      </c>
      <c r="C619" s="12" t="s">
        <v>22</v>
      </c>
      <c r="D619" s="12">
        <v>6.5662192960243101E-2</v>
      </c>
      <c r="E619" s="12">
        <v>39490</v>
      </c>
      <c r="F619" s="12">
        <v>2593</v>
      </c>
    </row>
    <row r="620" spans="1:6">
      <c r="A620" t="s">
        <v>132</v>
      </c>
      <c r="B620" s="12" t="s">
        <v>156</v>
      </c>
      <c r="C620" s="12" t="s">
        <v>478</v>
      </c>
      <c r="D620" s="12">
        <v>2.071410483666751E-2</v>
      </c>
      <c r="E620" s="12">
        <v>39490</v>
      </c>
      <c r="F620" s="12">
        <v>818</v>
      </c>
    </row>
    <row r="621" spans="1:6">
      <c r="A621" t="s">
        <v>132</v>
      </c>
      <c r="B621" s="12" t="s">
        <v>156</v>
      </c>
      <c r="C621" s="12" t="s">
        <v>20</v>
      </c>
      <c r="D621" s="12">
        <v>2.056216763737655E-2</v>
      </c>
      <c r="E621" s="12">
        <v>39490</v>
      </c>
      <c r="F621" s="12">
        <v>812</v>
      </c>
    </row>
    <row r="622" spans="1:6">
      <c r="A622" t="s">
        <v>132</v>
      </c>
      <c r="B622" s="12" t="s">
        <v>157</v>
      </c>
      <c r="C622" s="12" t="s">
        <v>480</v>
      </c>
      <c r="D622" s="12">
        <v>0.52541871820748853</v>
      </c>
      <c r="E622" s="12">
        <v>98097</v>
      </c>
      <c r="F622" s="12">
        <v>51542</v>
      </c>
    </row>
    <row r="623" spans="1:6">
      <c r="A623" t="s">
        <v>132</v>
      </c>
      <c r="B623" s="12" t="s">
        <v>157</v>
      </c>
      <c r="C623" s="12" t="s">
        <v>479</v>
      </c>
      <c r="D623" s="12">
        <v>0.35732998970406843</v>
      </c>
      <c r="E623" s="12">
        <v>98097</v>
      </c>
      <c r="F623" s="12">
        <v>35053</v>
      </c>
    </row>
    <row r="624" spans="1:6">
      <c r="A624" t="s">
        <v>132</v>
      </c>
      <c r="B624" s="12" t="s">
        <v>157</v>
      </c>
      <c r="C624" s="12" t="s">
        <v>22</v>
      </c>
      <c r="D624" s="12">
        <v>7.3254024078208302E-2</v>
      </c>
      <c r="E624" s="12">
        <v>98097</v>
      </c>
      <c r="F624" s="12">
        <v>7186</v>
      </c>
    </row>
    <row r="625" spans="1:6">
      <c r="A625" t="s">
        <v>132</v>
      </c>
      <c r="B625" s="12" t="s">
        <v>157</v>
      </c>
      <c r="C625" s="12" t="s">
        <v>478</v>
      </c>
      <c r="D625" s="12">
        <v>2.3466568804346718E-2</v>
      </c>
      <c r="E625" s="12">
        <v>98097</v>
      </c>
      <c r="F625" s="12">
        <v>2302</v>
      </c>
    </row>
    <row r="626" spans="1:6">
      <c r="A626" t="s">
        <v>132</v>
      </c>
      <c r="B626" s="12" t="s">
        <v>157</v>
      </c>
      <c r="C626" s="12" t="s">
        <v>20</v>
      </c>
      <c r="D626" s="12">
        <v>2.0520505214226735E-2</v>
      </c>
      <c r="E626" s="12">
        <v>98097</v>
      </c>
      <c r="F626" s="12">
        <v>2013</v>
      </c>
    </row>
    <row r="627" spans="1:6">
      <c r="A627" t="s">
        <v>132</v>
      </c>
      <c r="B627" s="12" t="s">
        <v>158</v>
      </c>
      <c r="C627" s="12" t="s">
        <v>480</v>
      </c>
      <c r="D627" s="12">
        <v>0.55021208407955513</v>
      </c>
      <c r="E627" s="12">
        <v>53045</v>
      </c>
      <c r="F627" s="12">
        <v>29186</v>
      </c>
    </row>
    <row r="628" spans="1:6">
      <c r="A628" t="s">
        <v>132</v>
      </c>
      <c r="B628" s="12" t="s">
        <v>158</v>
      </c>
      <c r="C628" s="12" t="s">
        <v>479</v>
      </c>
      <c r="D628" s="12">
        <v>0.34506551041568478</v>
      </c>
      <c r="E628" s="12">
        <v>53045</v>
      </c>
      <c r="F628" s="12">
        <v>18304</v>
      </c>
    </row>
    <row r="629" spans="1:6">
      <c r="A629" t="s">
        <v>132</v>
      </c>
      <c r="B629" s="12" t="s">
        <v>158</v>
      </c>
      <c r="C629" s="12" t="s">
        <v>22</v>
      </c>
      <c r="D629" s="12">
        <v>6.4850598548402305E-2</v>
      </c>
      <c r="E629" s="12">
        <v>53045</v>
      </c>
      <c r="F629" s="12">
        <v>3440</v>
      </c>
    </row>
    <row r="630" spans="1:6">
      <c r="A630" t="s">
        <v>132</v>
      </c>
      <c r="B630" s="12" t="s">
        <v>158</v>
      </c>
      <c r="C630" s="12" t="s">
        <v>478</v>
      </c>
      <c r="D630" s="12">
        <v>2.0925629182769346E-2</v>
      </c>
      <c r="E630" s="12">
        <v>53045</v>
      </c>
      <c r="F630" s="12">
        <v>1110</v>
      </c>
    </row>
    <row r="631" spans="1:6">
      <c r="A631" t="s">
        <v>132</v>
      </c>
      <c r="B631" s="12" t="s">
        <v>158</v>
      </c>
      <c r="C631" s="12" t="s">
        <v>20</v>
      </c>
      <c r="D631" s="12">
        <v>1.8870770100857762E-2</v>
      </c>
      <c r="E631" s="12">
        <v>53045</v>
      </c>
      <c r="F631" s="12">
        <v>1001</v>
      </c>
    </row>
    <row r="632" spans="1:6">
      <c r="A632" t="s">
        <v>132</v>
      </c>
      <c r="B632" s="12" t="s">
        <v>159</v>
      </c>
      <c r="C632" s="12" t="s">
        <v>480</v>
      </c>
      <c r="D632" s="12">
        <v>0.45855300056085252</v>
      </c>
      <c r="E632" s="12">
        <v>17830</v>
      </c>
      <c r="F632" s="12">
        <v>8176</v>
      </c>
    </row>
    <row r="633" spans="1:6">
      <c r="A633" t="s">
        <v>132</v>
      </c>
      <c r="B633" s="12" t="s">
        <v>159</v>
      </c>
      <c r="C633" s="12" t="s">
        <v>479</v>
      </c>
      <c r="D633" s="12">
        <v>0.38642736960179475</v>
      </c>
      <c r="E633" s="12">
        <v>17830</v>
      </c>
      <c r="F633" s="12">
        <v>6890</v>
      </c>
    </row>
    <row r="634" spans="1:6">
      <c r="A634" t="s">
        <v>132</v>
      </c>
      <c r="B634" s="12" t="s">
        <v>159</v>
      </c>
      <c r="C634" s="12" t="s">
        <v>22</v>
      </c>
      <c r="D634" s="12">
        <v>9.2484576556365675E-2</v>
      </c>
      <c r="E634" s="12">
        <v>17830</v>
      </c>
      <c r="F634" s="12">
        <v>1649</v>
      </c>
    </row>
    <row r="635" spans="1:6">
      <c r="A635" t="s">
        <v>132</v>
      </c>
      <c r="B635" s="12" t="s">
        <v>159</v>
      </c>
      <c r="C635" s="12" t="s">
        <v>478</v>
      </c>
      <c r="D635" s="12">
        <v>3.2361189007291083E-2</v>
      </c>
      <c r="E635" s="12">
        <v>17830</v>
      </c>
      <c r="F635" s="12">
        <v>577</v>
      </c>
    </row>
    <row r="636" spans="1:6">
      <c r="A636" t="s">
        <v>132</v>
      </c>
      <c r="B636" s="12" t="s">
        <v>159</v>
      </c>
      <c r="C636" s="12" t="s">
        <v>20</v>
      </c>
      <c r="D636" s="12">
        <v>3.0061693774537296E-2</v>
      </c>
      <c r="E636" s="12">
        <v>17830</v>
      </c>
      <c r="F636" s="12">
        <v>536</v>
      </c>
    </row>
    <row r="637" spans="1:6">
      <c r="A637" t="s">
        <v>132</v>
      </c>
      <c r="B637" s="12" t="s">
        <v>161</v>
      </c>
      <c r="C637" s="12" t="s">
        <v>480</v>
      </c>
      <c r="D637" s="12">
        <v>0.52135851045804549</v>
      </c>
      <c r="E637" s="12">
        <v>106234</v>
      </c>
      <c r="F637" s="12">
        <v>55386</v>
      </c>
    </row>
    <row r="638" spans="1:6">
      <c r="A638" t="s">
        <v>132</v>
      </c>
      <c r="B638" s="12" t="s">
        <v>161</v>
      </c>
      <c r="C638" s="12" t="s">
        <v>479</v>
      </c>
      <c r="D638" s="12">
        <v>0.36366888190221586</v>
      </c>
      <c r="E638" s="12">
        <v>106234</v>
      </c>
      <c r="F638" s="12">
        <v>38634</v>
      </c>
    </row>
    <row r="639" spans="1:6">
      <c r="A639" t="s">
        <v>132</v>
      </c>
      <c r="B639" s="12" t="s">
        <v>161</v>
      </c>
      <c r="C639" s="12" t="s">
        <v>22</v>
      </c>
      <c r="D639" s="12">
        <v>7.2349718545851607E-2</v>
      </c>
      <c r="E639" s="12">
        <v>106234</v>
      </c>
      <c r="F639" s="12">
        <v>7686</v>
      </c>
    </row>
    <row r="640" spans="1:6">
      <c r="A640" t="s">
        <v>132</v>
      </c>
      <c r="B640" s="12" t="s">
        <v>161</v>
      </c>
      <c r="C640" s="12" t="s">
        <v>478</v>
      </c>
      <c r="D640" s="12">
        <v>2.3740045559801946E-2</v>
      </c>
      <c r="E640" s="12">
        <v>106234</v>
      </c>
      <c r="F640" s="12">
        <v>2522</v>
      </c>
    </row>
    <row r="641" spans="1:6">
      <c r="A641" t="s">
        <v>132</v>
      </c>
      <c r="B641" s="12" t="s">
        <v>161</v>
      </c>
      <c r="C641" s="12" t="s">
        <v>20</v>
      </c>
      <c r="D641" s="12">
        <v>1.8892256716305515E-2</v>
      </c>
      <c r="E641" s="12">
        <v>106234</v>
      </c>
      <c r="F641" s="12">
        <v>2007</v>
      </c>
    </row>
    <row r="642" spans="1:6">
      <c r="A642" t="s">
        <v>160</v>
      </c>
      <c r="B642" s="12" t="s">
        <v>162</v>
      </c>
      <c r="C642" s="12" t="s">
        <v>480</v>
      </c>
      <c r="D642" s="12">
        <v>0.39515986052833757</v>
      </c>
      <c r="E642" s="12">
        <v>101526</v>
      </c>
      <c r="F642" s="12">
        <v>40119</v>
      </c>
    </row>
    <row r="643" spans="1:6">
      <c r="A643" t="s">
        <v>160</v>
      </c>
      <c r="B643" s="12" t="s">
        <v>162</v>
      </c>
      <c r="C643" s="12" t="s">
        <v>479</v>
      </c>
      <c r="D643" s="12">
        <v>0.39743513976715322</v>
      </c>
      <c r="E643" s="12">
        <v>101526</v>
      </c>
      <c r="F643" s="12">
        <v>40350</v>
      </c>
    </row>
    <row r="644" spans="1:6">
      <c r="A644" t="s">
        <v>160</v>
      </c>
      <c r="B644" s="12" t="s">
        <v>162</v>
      </c>
      <c r="C644" s="12" t="s">
        <v>22</v>
      </c>
      <c r="D644" s="12">
        <v>0.11593089454917951</v>
      </c>
      <c r="E644" s="12">
        <v>101526</v>
      </c>
      <c r="F644" s="12">
        <v>11770</v>
      </c>
    </row>
    <row r="645" spans="1:6">
      <c r="A645" t="s">
        <v>160</v>
      </c>
      <c r="B645" s="12" t="s">
        <v>162</v>
      </c>
      <c r="C645" s="12" t="s">
        <v>478</v>
      </c>
      <c r="D645" s="12">
        <v>4.6608750467860449E-2</v>
      </c>
      <c r="E645" s="12">
        <v>101526</v>
      </c>
      <c r="F645" s="12">
        <v>4732</v>
      </c>
    </row>
    <row r="646" spans="1:6">
      <c r="A646" t="s">
        <v>160</v>
      </c>
      <c r="B646" s="12" t="s">
        <v>162</v>
      </c>
      <c r="C646" s="12" t="s">
        <v>20</v>
      </c>
      <c r="D646" s="12">
        <v>4.4835805606445636E-2</v>
      </c>
      <c r="E646" s="12">
        <v>101526</v>
      </c>
      <c r="F646" s="12">
        <v>4552</v>
      </c>
    </row>
    <row r="647" spans="1:6">
      <c r="A647" t="s">
        <v>160</v>
      </c>
      <c r="B647" s="12" t="s">
        <v>163</v>
      </c>
      <c r="C647" s="12" t="s">
        <v>480</v>
      </c>
      <c r="D647" s="12">
        <v>0.4245315853587795</v>
      </c>
      <c r="E647" s="12">
        <v>68956</v>
      </c>
      <c r="F647" s="12">
        <v>29274</v>
      </c>
    </row>
    <row r="648" spans="1:6">
      <c r="A648" t="s">
        <v>160</v>
      </c>
      <c r="B648" s="12" t="s">
        <v>163</v>
      </c>
      <c r="C648" s="12" t="s">
        <v>479</v>
      </c>
      <c r="D648" s="12">
        <v>0.39278670456523002</v>
      </c>
      <c r="E648" s="12">
        <v>68956</v>
      </c>
      <c r="F648" s="12">
        <v>27085</v>
      </c>
    </row>
    <row r="649" spans="1:6">
      <c r="A649" t="s">
        <v>160</v>
      </c>
      <c r="B649" s="12" t="s">
        <v>163</v>
      </c>
      <c r="C649" s="12" t="s">
        <v>22</v>
      </c>
      <c r="D649" s="12">
        <v>0.10493648123441035</v>
      </c>
      <c r="E649" s="12">
        <v>68956</v>
      </c>
      <c r="F649" s="12">
        <v>7236</v>
      </c>
    </row>
    <row r="650" spans="1:6">
      <c r="A650" t="s">
        <v>160</v>
      </c>
      <c r="B650" s="12" t="s">
        <v>163</v>
      </c>
      <c r="C650" s="12" t="s">
        <v>478</v>
      </c>
      <c r="D650" s="12">
        <v>3.9068391438018449E-2</v>
      </c>
      <c r="E650" s="12">
        <v>68956</v>
      </c>
      <c r="F650" s="12">
        <v>2694</v>
      </c>
    </row>
    <row r="651" spans="1:6">
      <c r="A651" t="s">
        <v>160</v>
      </c>
      <c r="B651" s="12" t="s">
        <v>163</v>
      </c>
      <c r="C651" s="12" t="s">
        <v>20</v>
      </c>
      <c r="D651" s="12">
        <v>3.8517315389523757E-2</v>
      </c>
      <c r="E651" s="12">
        <v>68956</v>
      </c>
      <c r="F651" s="12">
        <v>2656</v>
      </c>
    </row>
    <row r="652" spans="1:6">
      <c r="A652" t="s">
        <v>160</v>
      </c>
      <c r="B652" s="12" t="s">
        <v>164</v>
      </c>
      <c r="C652" s="12" t="s">
        <v>480</v>
      </c>
      <c r="D652" s="12">
        <v>0.41567296816933269</v>
      </c>
      <c r="E652" s="12">
        <v>92835</v>
      </c>
      <c r="F652" s="12">
        <v>38589</v>
      </c>
    </row>
    <row r="653" spans="1:6">
      <c r="A653" t="s">
        <v>160</v>
      </c>
      <c r="B653" s="12" t="s">
        <v>164</v>
      </c>
      <c r="C653" s="12" t="s">
        <v>479</v>
      </c>
      <c r="D653" s="12">
        <v>0.39827651209134485</v>
      </c>
      <c r="E653" s="12">
        <v>92835</v>
      </c>
      <c r="F653" s="12">
        <v>36974</v>
      </c>
    </row>
    <row r="654" spans="1:6">
      <c r="A654" t="s">
        <v>160</v>
      </c>
      <c r="B654" s="12" t="s">
        <v>164</v>
      </c>
      <c r="C654" s="12" t="s">
        <v>22</v>
      </c>
      <c r="D654" s="12">
        <v>0.10745947110464803</v>
      </c>
      <c r="E654" s="12">
        <v>92835</v>
      </c>
      <c r="F654" s="12">
        <v>9976</v>
      </c>
    </row>
    <row r="655" spans="1:6">
      <c r="A655" t="s">
        <v>160</v>
      </c>
      <c r="B655" s="12" t="s">
        <v>164</v>
      </c>
      <c r="C655" s="12" t="s">
        <v>478</v>
      </c>
      <c r="D655" s="12">
        <v>4.0264986265955725E-2</v>
      </c>
      <c r="E655" s="12">
        <v>92835</v>
      </c>
      <c r="F655" s="12">
        <v>3738</v>
      </c>
    </row>
    <row r="656" spans="1:6">
      <c r="A656" t="s">
        <v>160</v>
      </c>
      <c r="B656" s="12" t="s">
        <v>164</v>
      </c>
      <c r="C656" s="12" t="s">
        <v>20</v>
      </c>
      <c r="D656" s="12">
        <v>3.8326062368718695E-2</v>
      </c>
      <c r="E656" s="12">
        <v>92835</v>
      </c>
      <c r="F656" s="12">
        <v>3558</v>
      </c>
    </row>
    <row r="657" spans="1:6">
      <c r="A657" t="s">
        <v>160</v>
      </c>
      <c r="B657" s="12" t="s">
        <v>165</v>
      </c>
      <c r="C657" s="12" t="s">
        <v>480</v>
      </c>
      <c r="D657" s="12">
        <v>0.42101908342330857</v>
      </c>
      <c r="E657" s="12">
        <v>230619</v>
      </c>
      <c r="F657" s="12">
        <v>97095</v>
      </c>
    </row>
    <row r="658" spans="1:6">
      <c r="A658" t="s">
        <v>160</v>
      </c>
      <c r="B658" s="12" t="s">
        <v>165</v>
      </c>
      <c r="C658" s="12" t="s">
        <v>479</v>
      </c>
      <c r="D658" s="12">
        <v>0.39928193253808231</v>
      </c>
      <c r="E658" s="12">
        <v>230619</v>
      </c>
      <c r="F658" s="12">
        <v>92082</v>
      </c>
    </row>
    <row r="659" spans="1:6">
      <c r="A659" t="s">
        <v>160</v>
      </c>
      <c r="B659" s="12" t="s">
        <v>165</v>
      </c>
      <c r="C659" s="12" t="s">
        <v>22</v>
      </c>
      <c r="D659" s="12">
        <v>0.10314414683959257</v>
      </c>
      <c r="E659" s="12">
        <v>230619</v>
      </c>
      <c r="F659" s="12">
        <v>23787</v>
      </c>
    </row>
    <row r="660" spans="1:6">
      <c r="A660" t="s">
        <v>160</v>
      </c>
      <c r="B660" s="12" t="s">
        <v>165</v>
      </c>
      <c r="C660" s="12" t="s">
        <v>478</v>
      </c>
      <c r="D660" s="12">
        <v>3.9419995750566955E-2</v>
      </c>
      <c r="E660" s="12">
        <v>230619</v>
      </c>
      <c r="F660" s="12">
        <v>9091</v>
      </c>
    </row>
    <row r="661" spans="1:6">
      <c r="A661" t="s">
        <v>160</v>
      </c>
      <c r="B661" s="12" t="s">
        <v>165</v>
      </c>
      <c r="C661" s="12" t="s">
        <v>20</v>
      </c>
      <c r="D661" s="12">
        <v>3.7152186073133607E-2</v>
      </c>
      <c r="E661" s="12">
        <v>230619</v>
      </c>
      <c r="F661" s="12">
        <v>8568</v>
      </c>
    </row>
    <row r="662" spans="1:6">
      <c r="A662" t="s">
        <v>160</v>
      </c>
      <c r="B662" s="12" t="s">
        <v>166</v>
      </c>
      <c r="C662" s="12" t="s">
        <v>480</v>
      </c>
      <c r="D662" s="12">
        <v>0.45942821877954049</v>
      </c>
      <c r="E662" s="12">
        <v>204169</v>
      </c>
      <c r="F662" s="12">
        <v>93801</v>
      </c>
    </row>
    <row r="663" spans="1:6">
      <c r="A663" t="s">
        <v>160</v>
      </c>
      <c r="B663" s="12" t="s">
        <v>166</v>
      </c>
      <c r="C663" s="12" t="s">
        <v>479</v>
      </c>
      <c r="D663" s="12">
        <v>0.3871302695316135</v>
      </c>
      <c r="E663" s="12">
        <v>204169</v>
      </c>
      <c r="F663" s="12">
        <v>79040</v>
      </c>
    </row>
    <row r="664" spans="1:6">
      <c r="A664" t="s">
        <v>160</v>
      </c>
      <c r="B664" s="12" t="s">
        <v>166</v>
      </c>
      <c r="C664" s="12" t="s">
        <v>22</v>
      </c>
      <c r="D664" s="12">
        <v>9.2252006915839332E-2</v>
      </c>
      <c r="E664" s="12">
        <v>204169</v>
      </c>
      <c r="F664" s="12">
        <v>18835</v>
      </c>
    </row>
    <row r="665" spans="1:6">
      <c r="A665" t="s">
        <v>160</v>
      </c>
      <c r="B665" s="12" t="s">
        <v>166</v>
      </c>
      <c r="C665" s="12" t="s">
        <v>478</v>
      </c>
      <c r="D665" s="12">
        <v>3.2438812944178594E-2</v>
      </c>
      <c r="E665" s="12">
        <v>204169</v>
      </c>
      <c r="F665" s="12">
        <v>6623</v>
      </c>
    </row>
    <row r="666" spans="1:6">
      <c r="A666" t="s">
        <v>160</v>
      </c>
      <c r="B666" s="12" t="s">
        <v>166</v>
      </c>
      <c r="C666" s="12" t="s">
        <v>20</v>
      </c>
      <c r="D666" s="12">
        <v>2.8740896022412806E-2</v>
      </c>
      <c r="E666" s="12">
        <v>204169</v>
      </c>
      <c r="F666" s="12">
        <v>5868</v>
      </c>
    </row>
    <row r="667" spans="1:6">
      <c r="A667" t="s">
        <v>160</v>
      </c>
      <c r="B667" s="12" t="s">
        <v>167</v>
      </c>
      <c r="C667" s="12" t="s">
        <v>480</v>
      </c>
      <c r="D667" s="12">
        <v>0.43704101541092139</v>
      </c>
      <c r="E667" s="12">
        <v>91234</v>
      </c>
      <c r="F667" s="12">
        <v>39873</v>
      </c>
    </row>
    <row r="668" spans="1:6">
      <c r="A668" t="s">
        <v>160</v>
      </c>
      <c r="B668" s="12" t="s">
        <v>167</v>
      </c>
      <c r="C668" s="12" t="s">
        <v>479</v>
      </c>
      <c r="D668" s="12">
        <v>0.39056711313764603</v>
      </c>
      <c r="E668" s="12">
        <v>91234</v>
      </c>
      <c r="F668" s="12">
        <v>35633</v>
      </c>
    </row>
    <row r="669" spans="1:6">
      <c r="A669" t="s">
        <v>160</v>
      </c>
      <c r="B669" s="12" t="s">
        <v>167</v>
      </c>
      <c r="C669" s="12" t="s">
        <v>22</v>
      </c>
      <c r="D669" s="12">
        <v>9.5698971874520464E-2</v>
      </c>
      <c r="E669" s="12">
        <v>91234</v>
      </c>
      <c r="F669" s="12">
        <v>8731</v>
      </c>
    </row>
    <row r="670" spans="1:6">
      <c r="A670" t="s">
        <v>160</v>
      </c>
      <c r="B670" s="12" t="s">
        <v>167</v>
      </c>
      <c r="C670" s="12" t="s">
        <v>478</v>
      </c>
      <c r="D670" s="12">
        <v>3.8077909551263785E-2</v>
      </c>
      <c r="E670" s="12">
        <v>91234</v>
      </c>
      <c r="F670" s="12">
        <v>3474</v>
      </c>
    </row>
    <row r="671" spans="1:6">
      <c r="A671" t="s">
        <v>160</v>
      </c>
      <c r="B671" s="12" t="s">
        <v>167</v>
      </c>
      <c r="C671" s="12" t="s">
        <v>20</v>
      </c>
      <c r="D671" s="12">
        <v>3.8604029199640483E-2</v>
      </c>
      <c r="E671" s="12">
        <v>91234</v>
      </c>
      <c r="F671" s="12">
        <v>3522</v>
      </c>
    </row>
    <row r="672" spans="1:6">
      <c r="A672" t="s">
        <v>160</v>
      </c>
      <c r="B672" s="12" t="s">
        <v>168</v>
      </c>
      <c r="C672" s="12" t="s">
        <v>480</v>
      </c>
      <c r="D672" s="12">
        <v>0.3998611722693447</v>
      </c>
      <c r="E672" s="12">
        <v>1903078</v>
      </c>
      <c r="F672" s="12">
        <v>760967</v>
      </c>
    </row>
    <row r="673" spans="1:6">
      <c r="A673" t="s">
        <v>160</v>
      </c>
      <c r="B673" s="12" t="s">
        <v>168</v>
      </c>
      <c r="C673" s="12" t="s">
        <v>479</v>
      </c>
      <c r="D673" s="12">
        <v>0.41504131727653831</v>
      </c>
      <c r="E673" s="12">
        <v>1903078</v>
      </c>
      <c r="F673" s="12">
        <v>789856</v>
      </c>
    </row>
    <row r="674" spans="1:6">
      <c r="A674" t="s">
        <v>160</v>
      </c>
      <c r="B674" s="12" t="s">
        <v>168</v>
      </c>
      <c r="C674" s="12" t="s">
        <v>22</v>
      </c>
      <c r="D674" s="12">
        <v>0.11200329150985928</v>
      </c>
      <c r="E674" s="12">
        <v>1903078</v>
      </c>
      <c r="F674" s="12">
        <v>213151</v>
      </c>
    </row>
    <row r="675" spans="1:6">
      <c r="A675" t="s">
        <v>160</v>
      </c>
      <c r="B675" s="12" t="s">
        <v>168</v>
      </c>
      <c r="C675" s="12" t="s">
        <v>478</v>
      </c>
      <c r="D675" s="12">
        <v>3.986699441641383E-2</v>
      </c>
      <c r="E675" s="12">
        <v>1903078</v>
      </c>
      <c r="F675" s="12">
        <v>75870</v>
      </c>
    </row>
    <row r="676" spans="1:6">
      <c r="A676" t="s">
        <v>160</v>
      </c>
      <c r="B676" s="12" t="s">
        <v>168</v>
      </c>
      <c r="C676" s="12" t="s">
        <v>20</v>
      </c>
      <c r="D676" s="12">
        <v>3.322880092145461E-2</v>
      </c>
      <c r="E676" s="12">
        <v>1903078</v>
      </c>
      <c r="F676" s="12">
        <v>63237</v>
      </c>
    </row>
    <row r="677" spans="1:6">
      <c r="A677" t="s">
        <v>160</v>
      </c>
      <c r="B677" s="12" t="s">
        <v>169</v>
      </c>
      <c r="C677" s="12" t="s">
        <v>480</v>
      </c>
      <c r="D677" s="12">
        <v>0.42314445870196526</v>
      </c>
      <c r="E677" s="12">
        <v>207298</v>
      </c>
      <c r="F677" s="12">
        <v>87717</v>
      </c>
    </row>
    <row r="678" spans="1:6">
      <c r="A678" t="s">
        <v>160</v>
      </c>
      <c r="B678" s="12" t="s">
        <v>169</v>
      </c>
      <c r="C678" s="12" t="s">
        <v>479</v>
      </c>
      <c r="D678" s="12">
        <v>0.39846018774903763</v>
      </c>
      <c r="E678" s="12">
        <v>207298</v>
      </c>
      <c r="F678" s="12">
        <v>82600</v>
      </c>
    </row>
    <row r="679" spans="1:6">
      <c r="A679" t="s">
        <v>160</v>
      </c>
      <c r="B679" s="12" t="s">
        <v>169</v>
      </c>
      <c r="C679" s="12" t="s">
        <v>22</v>
      </c>
      <c r="D679" s="12">
        <v>0.10524462368184932</v>
      </c>
      <c r="E679" s="12">
        <v>207298</v>
      </c>
      <c r="F679" s="12">
        <v>21817</v>
      </c>
    </row>
    <row r="680" spans="1:6">
      <c r="A680" t="s">
        <v>160</v>
      </c>
      <c r="B680" s="12" t="s">
        <v>169</v>
      </c>
      <c r="C680" s="12" t="s">
        <v>478</v>
      </c>
      <c r="D680" s="12">
        <v>3.7998437032677593E-2</v>
      </c>
      <c r="E680" s="12">
        <v>207298</v>
      </c>
      <c r="F680" s="12">
        <v>7877</v>
      </c>
    </row>
    <row r="681" spans="1:6">
      <c r="A681" t="s">
        <v>160</v>
      </c>
      <c r="B681" s="12" t="s">
        <v>169</v>
      </c>
      <c r="C681" s="12" t="s">
        <v>20</v>
      </c>
      <c r="D681" s="12">
        <v>3.5171588727339387E-2</v>
      </c>
      <c r="E681" s="12">
        <v>207298</v>
      </c>
      <c r="F681" s="12">
        <v>7291</v>
      </c>
    </row>
    <row r="682" spans="1:6">
      <c r="A682" t="s">
        <v>160</v>
      </c>
      <c r="B682" s="12" t="s">
        <v>170</v>
      </c>
      <c r="C682" s="12" t="s">
        <v>480</v>
      </c>
      <c r="D682" s="12">
        <v>0.41949180274223635</v>
      </c>
      <c r="E682" s="12">
        <v>122236</v>
      </c>
      <c r="F682" s="12">
        <v>51277</v>
      </c>
    </row>
    <row r="683" spans="1:6">
      <c r="A683" t="s">
        <v>160</v>
      </c>
      <c r="B683" s="12" t="s">
        <v>170</v>
      </c>
      <c r="C683" s="12" t="s">
        <v>479</v>
      </c>
      <c r="D683" s="12">
        <v>0.39733793645080007</v>
      </c>
      <c r="E683" s="12">
        <v>122236</v>
      </c>
      <c r="F683" s="12">
        <v>48569</v>
      </c>
    </row>
    <row r="684" spans="1:6">
      <c r="A684" t="s">
        <v>160</v>
      </c>
      <c r="B684" s="12" t="s">
        <v>170</v>
      </c>
      <c r="C684" s="12" t="s">
        <v>22</v>
      </c>
      <c r="D684" s="12">
        <v>0.10324290716319251</v>
      </c>
      <c r="E684" s="12">
        <v>122236</v>
      </c>
      <c r="F684" s="12">
        <v>12620</v>
      </c>
    </row>
    <row r="685" spans="1:6">
      <c r="A685" t="s">
        <v>160</v>
      </c>
      <c r="B685" s="12" t="s">
        <v>170</v>
      </c>
      <c r="C685" s="12" t="s">
        <v>478</v>
      </c>
      <c r="D685" s="12">
        <v>4.092084165057757E-2</v>
      </c>
      <c r="E685" s="12">
        <v>122236</v>
      </c>
      <c r="F685" s="12">
        <v>5002</v>
      </c>
    </row>
    <row r="686" spans="1:6">
      <c r="A686" t="s">
        <v>160</v>
      </c>
      <c r="B686" s="12" t="s">
        <v>170</v>
      </c>
      <c r="C686" s="12" t="s">
        <v>20</v>
      </c>
      <c r="D686" s="12">
        <v>3.9006511993193493E-2</v>
      </c>
      <c r="E686" s="12">
        <v>122236</v>
      </c>
      <c r="F686" s="12">
        <v>4768</v>
      </c>
    </row>
    <row r="687" spans="1:6">
      <c r="A687" t="s">
        <v>160</v>
      </c>
      <c r="B687" s="12" t="s">
        <v>171</v>
      </c>
      <c r="C687" s="12" t="s">
        <v>480</v>
      </c>
      <c r="D687" s="12">
        <v>0.41474382130708332</v>
      </c>
      <c r="E687" s="12">
        <v>265752</v>
      </c>
      <c r="F687" s="12">
        <v>110219</v>
      </c>
    </row>
    <row r="688" spans="1:6">
      <c r="A688" t="s">
        <v>160</v>
      </c>
      <c r="B688" s="12" t="s">
        <v>171</v>
      </c>
      <c r="C688" s="12" t="s">
        <v>479</v>
      </c>
      <c r="D688" s="12">
        <v>0.40029425930943136</v>
      </c>
      <c r="E688" s="12">
        <v>265752</v>
      </c>
      <c r="F688" s="12">
        <v>106379</v>
      </c>
    </row>
    <row r="689" spans="1:6">
      <c r="A689" t="s">
        <v>160</v>
      </c>
      <c r="B689" s="12" t="s">
        <v>171</v>
      </c>
      <c r="C689" s="12" t="s">
        <v>22</v>
      </c>
      <c r="D689" s="12">
        <v>0.10594840302236672</v>
      </c>
      <c r="E689" s="12">
        <v>265752</v>
      </c>
      <c r="F689" s="12">
        <v>28156</v>
      </c>
    </row>
    <row r="690" spans="1:6">
      <c r="A690" t="s">
        <v>160</v>
      </c>
      <c r="B690" s="12" t="s">
        <v>171</v>
      </c>
      <c r="C690" s="12" t="s">
        <v>478</v>
      </c>
      <c r="D690" s="12">
        <v>4.0447484873114781E-2</v>
      </c>
      <c r="E690" s="12">
        <v>265752</v>
      </c>
      <c r="F690" s="12">
        <v>10749</v>
      </c>
    </row>
    <row r="691" spans="1:6">
      <c r="A691" t="s">
        <v>160</v>
      </c>
      <c r="B691" s="12" t="s">
        <v>171</v>
      </c>
      <c r="C691" s="12" t="s">
        <v>20</v>
      </c>
      <c r="D691" s="12">
        <v>3.8562268581233634E-2</v>
      </c>
      <c r="E691" s="12">
        <v>265752</v>
      </c>
      <c r="F691" s="12">
        <v>10248</v>
      </c>
    </row>
    <row r="692" spans="1:6">
      <c r="A692" t="s">
        <v>160</v>
      </c>
      <c r="B692" s="12" t="s">
        <v>172</v>
      </c>
      <c r="C692" s="12" t="s">
        <v>480</v>
      </c>
      <c r="D692" s="12">
        <v>0.46377861621463984</v>
      </c>
      <c r="E692" s="12">
        <v>219456</v>
      </c>
      <c r="F692" s="12">
        <v>101779</v>
      </c>
    </row>
    <row r="693" spans="1:6">
      <c r="A693" t="s">
        <v>160</v>
      </c>
      <c r="B693" s="12" t="s">
        <v>172</v>
      </c>
      <c r="C693" s="12" t="s">
        <v>479</v>
      </c>
      <c r="D693" s="12">
        <v>0.37467191601049871</v>
      </c>
      <c r="E693" s="12">
        <v>219456</v>
      </c>
      <c r="F693" s="12">
        <v>82224</v>
      </c>
    </row>
    <row r="694" spans="1:6">
      <c r="A694" t="s">
        <v>160</v>
      </c>
      <c r="B694" s="12" t="s">
        <v>172</v>
      </c>
      <c r="C694" s="12" t="s">
        <v>22</v>
      </c>
      <c r="D694" s="12">
        <v>9.5217264508603086E-2</v>
      </c>
      <c r="E694" s="12">
        <v>219456</v>
      </c>
      <c r="F694" s="12">
        <v>20896</v>
      </c>
    </row>
    <row r="695" spans="1:6">
      <c r="A695" t="s">
        <v>160</v>
      </c>
      <c r="B695" s="12" t="s">
        <v>172</v>
      </c>
      <c r="C695" s="12" t="s">
        <v>478</v>
      </c>
      <c r="D695" s="12">
        <v>3.4690325167687372E-2</v>
      </c>
      <c r="E695" s="12">
        <v>219456</v>
      </c>
      <c r="F695" s="12">
        <v>7613</v>
      </c>
    </row>
    <row r="696" spans="1:6">
      <c r="A696" t="s">
        <v>160</v>
      </c>
      <c r="B696" s="12" t="s">
        <v>172</v>
      </c>
      <c r="C696" s="12" t="s">
        <v>20</v>
      </c>
      <c r="D696" s="12">
        <v>3.1646434820647419E-2</v>
      </c>
      <c r="E696" s="12">
        <v>219456</v>
      </c>
      <c r="F696" s="12">
        <v>6945</v>
      </c>
    </row>
    <row r="697" spans="1:6">
      <c r="A697" t="s">
        <v>160</v>
      </c>
      <c r="B697" s="12" t="s">
        <v>173</v>
      </c>
      <c r="C697" s="12" t="s">
        <v>480</v>
      </c>
      <c r="D697" s="12">
        <v>0.43329687265418426</v>
      </c>
      <c r="E697" s="12">
        <v>326379</v>
      </c>
      <c r="F697" s="12">
        <v>141419</v>
      </c>
    </row>
    <row r="698" spans="1:6">
      <c r="A698" t="s">
        <v>160</v>
      </c>
      <c r="B698" s="12" t="s">
        <v>173</v>
      </c>
      <c r="C698" s="12" t="s">
        <v>479</v>
      </c>
      <c r="D698" s="12">
        <v>0.4067541110181721</v>
      </c>
      <c r="E698" s="12">
        <v>326379</v>
      </c>
      <c r="F698" s="12">
        <v>132756</v>
      </c>
    </row>
    <row r="699" spans="1:6">
      <c r="A699" t="s">
        <v>160</v>
      </c>
      <c r="B699" s="12" t="s">
        <v>173</v>
      </c>
      <c r="C699" s="12" t="s">
        <v>22</v>
      </c>
      <c r="D699" s="12">
        <v>9.7420483548267503E-2</v>
      </c>
      <c r="E699" s="12">
        <v>326379</v>
      </c>
      <c r="F699" s="12">
        <v>31796</v>
      </c>
    </row>
    <row r="700" spans="1:6">
      <c r="A700" t="s">
        <v>160</v>
      </c>
      <c r="B700" s="12" t="s">
        <v>173</v>
      </c>
      <c r="C700" s="12" t="s">
        <v>478</v>
      </c>
      <c r="D700" s="12">
        <v>3.347029067433873E-2</v>
      </c>
      <c r="E700" s="12">
        <v>326379</v>
      </c>
      <c r="F700" s="12">
        <v>10924</v>
      </c>
    </row>
    <row r="701" spans="1:6">
      <c r="A701" t="s">
        <v>160</v>
      </c>
      <c r="B701" s="12" t="s">
        <v>173</v>
      </c>
      <c r="C701" s="12" t="s">
        <v>20</v>
      </c>
      <c r="D701" s="12">
        <v>2.9061306027654967E-2</v>
      </c>
      <c r="E701" s="12">
        <v>326379</v>
      </c>
      <c r="F701" s="12">
        <v>9485</v>
      </c>
    </row>
    <row r="702" spans="1:6">
      <c r="A702" t="s">
        <v>160</v>
      </c>
      <c r="B702" s="12" t="s">
        <v>174</v>
      </c>
      <c r="C702" s="12" t="s">
        <v>480</v>
      </c>
      <c r="D702" s="12">
        <v>0.39797369205227534</v>
      </c>
      <c r="E702" s="12">
        <v>117455</v>
      </c>
      <c r="F702" s="12">
        <v>46744</v>
      </c>
    </row>
    <row r="703" spans="1:6">
      <c r="A703" t="s">
        <v>160</v>
      </c>
      <c r="B703" s="12" t="s">
        <v>174</v>
      </c>
      <c r="C703" s="12" t="s">
        <v>479</v>
      </c>
      <c r="D703" s="12">
        <v>0.40548295091737263</v>
      </c>
      <c r="E703" s="12">
        <v>117455</v>
      </c>
      <c r="F703" s="12">
        <v>47626</v>
      </c>
    </row>
    <row r="704" spans="1:6">
      <c r="A704" t="s">
        <v>160</v>
      </c>
      <c r="B704" s="12" t="s">
        <v>174</v>
      </c>
      <c r="C704" s="12" t="s">
        <v>22</v>
      </c>
      <c r="D704" s="12">
        <v>0.11149802051849644</v>
      </c>
      <c r="E704" s="12">
        <v>117455</v>
      </c>
      <c r="F704" s="12">
        <v>13096</v>
      </c>
    </row>
    <row r="705" spans="1:6">
      <c r="A705" t="s">
        <v>160</v>
      </c>
      <c r="B705" s="12" t="s">
        <v>174</v>
      </c>
      <c r="C705" s="12" t="s">
        <v>478</v>
      </c>
      <c r="D705" s="12">
        <v>4.3531565280320123E-2</v>
      </c>
      <c r="E705" s="12">
        <v>117455</v>
      </c>
      <c r="F705" s="12">
        <v>5113</v>
      </c>
    </row>
    <row r="706" spans="1:6">
      <c r="A706" t="s">
        <v>160</v>
      </c>
      <c r="B706" s="12" t="s">
        <v>174</v>
      </c>
      <c r="C706" s="12" t="s">
        <v>20</v>
      </c>
      <c r="D706" s="12">
        <v>4.1522285130475504E-2</v>
      </c>
      <c r="E706" s="12">
        <v>117455</v>
      </c>
      <c r="F706" s="12">
        <v>4877</v>
      </c>
    </row>
    <row r="707" spans="1:6">
      <c r="A707" t="s">
        <v>160</v>
      </c>
      <c r="B707" s="12" t="s">
        <v>175</v>
      </c>
      <c r="C707" s="12" t="s">
        <v>480</v>
      </c>
      <c r="D707" s="12">
        <v>0.4381141205139179</v>
      </c>
      <c r="E707" s="12">
        <v>114493</v>
      </c>
      <c r="F707" s="12">
        <v>50161</v>
      </c>
    </row>
    <row r="708" spans="1:6">
      <c r="A708" t="s">
        <v>160</v>
      </c>
      <c r="B708" s="12" t="s">
        <v>175</v>
      </c>
      <c r="C708" s="12" t="s">
        <v>479</v>
      </c>
      <c r="D708" s="12">
        <v>0.39323801455110791</v>
      </c>
      <c r="E708" s="12">
        <v>114493</v>
      </c>
      <c r="F708" s="12">
        <v>45023</v>
      </c>
    </row>
    <row r="709" spans="1:6">
      <c r="A709" t="s">
        <v>160</v>
      </c>
      <c r="B709" s="12" t="s">
        <v>175</v>
      </c>
      <c r="C709" s="12" t="s">
        <v>22</v>
      </c>
      <c r="D709" s="12">
        <v>9.9281178762020389E-2</v>
      </c>
      <c r="E709" s="12">
        <v>114493</v>
      </c>
      <c r="F709" s="12">
        <v>11367</v>
      </c>
    </row>
    <row r="710" spans="1:6">
      <c r="A710" t="s">
        <v>160</v>
      </c>
      <c r="B710" s="12" t="s">
        <v>175</v>
      </c>
      <c r="C710" s="12" t="s">
        <v>478</v>
      </c>
      <c r="D710" s="12">
        <v>3.6631060414173792E-2</v>
      </c>
      <c r="E710" s="12">
        <v>114493</v>
      </c>
      <c r="F710" s="12">
        <v>4194</v>
      </c>
    </row>
    <row r="711" spans="1:6">
      <c r="A711" t="s">
        <v>160</v>
      </c>
      <c r="B711" s="12" t="s">
        <v>175</v>
      </c>
      <c r="C711" s="12" t="s">
        <v>20</v>
      </c>
      <c r="D711" s="12">
        <v>3.2709423283519515E-2</v>
      </c>
      <c r="E711" s="12">
        <v>114493</v>
      </c>
      <c r="F711" s="12">
        <v>3745</v>
      </c>
    </row>
    <row r="712" spans="1:6">
      <c r="A712" t="s">
        <v>160</v>
      </c>
      <c r="B712" s="12" t="s">
        <v>176</v>
      </c>
      <c r="C712" s="12" t="s">
        <v>480</v>
      </c>
      <c r="D712" s="12">
        <v>0.47494607153972462</v>
      </c>
      <c r="E712" s="12">
        <v>93179</v>
      </c>
      <c r="F712" s="12">
        <v>44255</v>
      </c>
    </row>
    <row r="713" spans="1:6">
      <c r="A713" t="s">
        <v>160</v>
      </c>
      <c r="B713" s="12" t="s">
        <v>176</v>
      </c>
      <c r="C713" s="12" t="s">
        <v>479</v>
      </c>
      <c r="D713" s="12">
        <v>0.38241449253587184</v>
      </c>
      <c r="E713" s="12">
        <v>93179</v>
      </c>
      <c r="F713" s="12">
        <v>35633</v>
      </c>
    </row>
    <row r="714" spans="1:6">
      <c r="A714" t="s">
        <v>160</v>
      </c>
      <c r="B714" s="12" t="s">
        <v>176</v>
      </c>
      <c r="C714" s="12" t="s">
        <v>22</v>
      </c>
      <c r="D714" s="12">
        <v>8.4149862093390135E-2</v>
      </c>
      <c r="E714" s="12">
        <v>93179</v>
      </c>
      <c r="F714" s="12">
        <v>7841</v>
      </c>
    </row>
    <row r="715" spans="1:6">
      <c r="A715" t="s">
        <v>160</v>
      </c>
      <c r="B715" s="12" t="s">
        <v>176</v>
      </c>
      <c r="C715" s="12" t="s">
        <v>478</v>
      </c>
      <c r="D715" s="12">
        <v>3.1112160465340905E-2</v>
      </c>
      <c r="E715" s="12">
        <v>93179</v>
      </c>
      <c r="F715" s="12">
        <v>2899</v>
      </c>
    </row>
    <row r="716" spans="1:6">
      <c r="A716" t="s">
        <v>160</v>
      </c>
      <c r="B716" s="12" t="s">
        <v>176</v>
      </c>
      <c r="C716" s="12" t="s">
        <v>20</v>
      </c>
      <c r="D716" s="12">
        <v>2.7441805557046117E-2</v>
      </c>
      <c r="E716" s="12">
        <v>93179</v>
      </c>
      <c r="F716" s="12">
        <v>2557</v>
      </c>
    </row>
    <row r="717" spans="1:6">
      <c r="A717" t="s">
        <v>160</v>
      </c>
      <c r="B717" s="12" t="s">
        <v>177</v>
      </c>
      <c r="C717" s="12" t="s">
        <v>480</v>
      </c>
      <c r="D717" s="12">
        <v>0.42570990927300578</v>
      </c>
      <c r="E717" s="12">
        <v>50922</v>
      </c>
      <c r="F717" s="12">
        <v>21678</v>
      </c>
    </row>
    <row r="718" spans="1:6">
      <c r="A718" t="s">
        <v>160</v>
      </c>
      <c r="B718" s="12" t="s">
        <v>177</v>
      </c>
      <c r="C718" s="12" t="s">
        <v>479</v>
      </c>
      <c r="D718" s="12">
        <v>0.38977259337810771</v>
      </c>
      <c r="E718" s="12">
        <v>50922</v>
      </c>
      <c r="F718" s="12">
        <v>19848</v>
      </c>
    </row>
    <row r="719" spans="1:6">
      <c r="A719" t="s">
        <v>160</v>
      </c>
      <c r="B719" s="12" t="s">
        <v>177</v>
      </c>
      <c r="C719" s="12" t="s">
        <v>22</v>
      </c>
      <c r="D719" s="12">
        <v>0.10042810573033266</v>
      </c>
      <c r="E719" s="12">
        <v>50922</v>
      </c>
      <c r="F719" s="12">
        <v>5114</v>
      </c>
    </row>
    <row r="720" spans="1:6">
      <c r="A720" t="s">
        <v>160</v>
      </c>
      <c r="B720" s="12" t="s">
        <v>177</v>
      </c>
      <c r="C720" s="12" t="s">
        <v>478</v>
      </c>
      <c r="D720" s="12">
        <v>4.1514473115745652E-2</v>
      </c>
      <c r="E720" s="12">
        <v>50922</v>
      </c>
      <c r="F720" s="12">
        <v>2114</v>
      </c>
    </row>
    <row r="721" spans="1:6">
      <c r="A721" t="s">
        <v>160</v>
      </c>
      <c r="B721" s="12" t="s">
        <v>177</v>
      </c>
      <c r="C721" s="12" t="s">
        <v>20</v>
      </c>
      <c r="D721" s="12">
        <v>4.2555280625270024E-2</v>
      </c>
      <c r="E721" s="12">
        <v>50922</v>
      </c>
      <c r="F721" s="12">
        <v>2167</v>
      </c>
    </row>
    <row r="722" spans="1:6">
      <c r="A722" t="s">
        <v>160</v>
      </c>
      <c r="B722" s="12" t="s">
        <v>178</v>
      </c>
      <c r="C722" s="12" t="s">
        <v>480</v>
      </c>
      <c r="D722" s="12">
        <v>0.41729717145850309</v>
      </c>
      <c r="E722" s="12">
        <v>42955</v>
      </c>
      <c r="F722" s="12">
        <v>17925</v>
      </c>
    </row>
    <row r="723" spans="1:6">
      <c r="A723" t="s">
        <v>160</v>
      </c>
      <c r="B723" s="12" t="s">
        <v>178</v>
      </c>
      <c r="C723" s="12" t="s">
        <v>479</v>
      </c>
      <c r="D723" s="12">
        <v>0.4144337096961937</v>
      </c>
      <c r="E723" s="12">
        <v>42955</v>
      </c>
      <c r="F723" s="12">
        <v>17802</v>
      </c>
    </row>
    <row r="724" spans="1:6">
      <c r="A724" t="s">
        <v>160</v>
      </c>
      <c r="B724" s="12" t="s">
        <v>178</v>
      </c>
      <c r="C724" s="12" t="s">
        <v>22</v>
      </c>
      <c r="D724" s="12">
        <v>0.10115236875800256</v>
      </c>
      <c r="E724" s="12">
        <v>42955</v>
      </c>
      <c r="F724" s="12">
        <v>4345</v>
      </c>
    </row>
    <row r="725" spans="1:6">
      <c r="A725" t="s">
        <v>160</v>
      </c>
      <c r="B725" s="12" t="s">
        <v>178</v>
      </c>
      <c r="C725" s="12" t="s">
        <v>478</v>
      </c>
      <c r="D725" s="12">
        <v>3.433826097078338E-2</v>
      </c>
      <c r="E725" s="12">
        <v>42955</v>
      </c>
      <c r="F725" s="12">
        <v>1475</v>
      </c>
    </row>
    <row r="726" spans="1:6">
      <c r="A726" t="s">
        <v>160</v>
      </c>
      <c r="B726" s="12" t="s">
        <v>178</v>
      </c>
      <c r="C726" s="12" t="s">
        <v>20</v>
      </c>
      <c r="D726" s="12">
        <v>3.2825049470375976E-2</v>
      </c>
      <c r="E726" s="12">
        <v>42955</v>
      </c>
      <c r="F726" s="12">
        <v>1410</v>
      </c>
    </row>
    <row r="727" spans="1:6">
      <c r="A727" t="s">
        <v>160</v>
      </c>
      <c r="B727" s="12" t="s">
        <v>179</v>
      </c>
      <c r="C727" s="12" t="s">
        <v>480</v>
      </c>
      <c r="D727" s="12">
        <v>0.44448334889511359</v>
      </c>
      <c r="E727" s="12">
        <v>51408</v>
      </c>
      <c r="F727" s="12">
        <v>22850</v>
      </c>
    </row>
    <row r="728" spans="1:6">
      <c r="A728" t="s">
        <v>160</v>
      </c>
      <c r="B728" s="12" t="s">
        <v>179</v>
      </c>
      <c r="C728" s="12" t="s">
        <v>479</v>
      </c>
      <c r="D728" s="12">
        <v>0.39104808590102708</v>
      </c>
      <c r="E728" s="12">
        <v>51408</v>
      </c>
      <c r="F728" s="12">
        <v>20103</v>
      </c>
    </row>
    <row r="729" spans="1:6">
      <c r="A729" t="s">
        <v>160</v>
      </c>
      <c r="B729" s="12" t="s">
        <v>179</v>
      </c>
      <c r="C729" s="12" t="s">
        <v>22</v>
      </c>
      <c r="D729" s="12">
        <v>9.6191254279489574E-2</v>
      </c>
      <c r="E729" s="12">
        <v>51408</v>
      </c>
      <c r="F729" s="12">
        <v>4945</v>
      </c>
    </row>
    <row r="730" spans="1:6">
      <c r="A730" t="s">
        <v>160</v>
      </c>
      <c r="B730" s="12" t="s">
        <v>179</v>
      </c>
      <c r="C730" s="12" t="s">
        <v>478</v>
      </c>
      <c r="D730" s="12">
        <v>3.4916744475568008E-2</v>
      </c>
      <c r="E730" s="12">
        <v>51408</v>
      </c>
      <c r="F730" s="12">
        <v>1795</v>
      </c>
    </row>
    <row r="731" spans="1:6">
      <c r="A731" t="s">
        <v>160</v>
      </c>
      <c r="B731" s="12" t="s">
        <v>179</v>
      </c>
      <c r="C731" s="12" t="s">
        <v>20</v>
      </c>
      <c r="D731" s="12">
        <v>3.3224400871459697E-2</v>
      </c>
      <c r="E731" s="12">
        <v>51408</v>
      </c>
      <c r="F731" s="12">
        <v>1708</v>
      </c>
    </row>
    <row r="732" spans="1:6">
      <c r="A732" t="s">
        <v>160</v>
      </c>
      <c r="B732" s="12" t="s">
        <v>180</v>
      </c>
      <c r="C732" s="12" t="s">
        <v>480</v>
      </c>
      <c r="D732" s="12">
        <v>0.49763916834339372</v>
      </c>
      <c r="E732" s="12">
        <v>74550</v>
      </c>
      <c r="F732" s="12">
        <v>37099</v>
      </c>
    </row>
    <row r="733" spans="1:6">
      <c r="A733" t="s">
        <v>160</v>
      </c>
      <c r="B733" s="12" t="s">
        <v>180</v>
      </c>
      <c r="C733" s="12" t="s">
        <v>479</v>
      </c>
      <c r="D733" s="12">
        <v>0.36934942991281017</v>
      </c>
      <c r="E733" s="12">
        <v>74550</v>
      </c>
      <c r="F733" s="12">
        <v>27535</v>
      </c>
    </row>
    <row r="734" spans="1:6">
      <c r="A734" t="s">
        <v>160</v>
      </c>
      <c r="B734" s="12" t="s">
        <v>180</v>
      </c>
      <c r="C734" s="12" t="s">
        <v>22</v>
      </c>
      <c r="D734" s="12">
        <v>8.0751173708920182E-2</v>
      </c>
      <c r="E734" s="12">
        <v>74550</v>
      </c>
      <c r="F734" s="12">
        <v>6020</v>
      </c>
    </row>
    <row r="735" spans="1:6">
      <c r="A735" t="s">
        <v>160</v>
      </c>
      <c r="B735" s="12" t="s">
        <v>180</v>
      </c>
      <c r="C735" s="12" t="s">
        <v>478</v>
      </c>
      <c r="D735" s="12">
        <v>2.7860496311200536E-2</v>
      </c>
      <c r="E735" s="12">
        <v>74550</v>
      </c>
      <c r="F735" s="12">
        <v>2077</v>
      </c>
    </row>
    <row r="736" spans="1:6">
      <c r="A736" t="s">
        <v>160</v>
      </c>
      <c r="B736" s="12" t="s">
        <v>180</v>
      </c>
      <c r="C736" s="12" t="s">
        <v>20</v>
      </c>
      <c r="D736" s="12">
        <v>2.4359490274983232E-2</v>
      </c>
      <c r="E736" s="12">
        <v>74550</v>
      </c>
      <c r="F736" s="12">
        <v>1816</v>
      </c>
    </row>
    <row r="737" spans="1:6">
      <c r="A737" t="s">
        <v>160</v>
      </c>
      <c r="B737" s="12" t="s">
        <v>181</v>
      </c>
      <c r="C737" s="12" t="s">
        <v>480</v>
      </c>
      <c r="D737" s="12">
        <v>0.45515019663626477</v>
      </c>
      <c r="E737" s="12">
        <v>71706</v>
      </c>
      <c r="F737" s="12">
        <v>32637</v>
      </c>
    </row>
    <row r="738" spans="1:6">
      <c r="A738" t="s">
        <v>160</v>
      </c>
      <c r="B738" s="12" t="s">
        <v>181</v>
      </c>
      <c r="C738" s="12" t="s">
        <v>479</v>
      </c>
      <c r="D738" s="12">
        <v>0.39779097983432349</v>
      </c>
      <c r="E738" s="12">
        <v>71706</v>
      </c>
      <c r="F738" s="12">
        <v>28524</v>
      </c>
    </row>
    <row r="739" spans="1:6">
      <c r="A739" t="s">
        <v>160</v>
      </c>
      <c r="B739" s="12" t="s">
        <v>181</v>
      </c>
      <c r="C739" s="12" t="s">
        <v>22</v>
      </c>
      <c r="D739" s="12">
        <v>8.6729144004685801E-2</v>
      </c>
      <c r="E739" s="12">
        <v>71706</v>
      </c>
      <c r="F739" s="12">
        <v>6219</v>
      </c>
    </row>
    <row r="740" spans="1:6">
      <c r="A740" t="s">
        <v>160</v>
      </c>
      <c r="B740" s="12" t="s">
        <v>181</v>
      </c>
      <c r="C740" s="12" t="s">
        <v>478</v>
      </c>
      <c r="D740" s="12">
        <v>3.1406019022118092E-2</v>
      </c>
      <c r="E740" s="12">
        <v>71706</v>
      </c>
      <c r="F740" s="12">
        <v>2252</v>
      </c>
    </row>
    <row r="741" spans="1:6">
      <c r="A741" t="s">
        <v>160</v>
      </c>
      <c r="B741" s="12" t="s">
        <v>181</v>
      </c>
      <c r="C741" s="12" t="s">
        <v>20</v>
      </c>
      <c r="D741" s="12">
        <v>2.8895768833849329E-2</v>
      </c>
      <c r="E741" s="12">
        <v>71706</v>
      </c>
      <c r="F741" s="12">
        <v>2072</v>
      </c>
    </row>
    <row r="742" spans="1:6">
      <c r="A742" t="s">
        <v>160</v>
      </c>
      <c r="B742" s="12" t="s">
        <v>182</v>
      </c>
      <c r="C742" s="12" t="s">
        <v>480</v>
      </c>
      <c r="D742" s="12">
        <v>0.49230491220672828</v>
      </c>
      <c r="E742" s="12">
        <v>66406</v>
      </c>
      <c r="F742" s="12">
        <v>32692</v>
      </c>
    </row>
    <row r="743" spans="1:6">
      <c r="A743" t="s">
        <v>160</v>
      </c>
      <c r="B743" s="12" t="s">
        <v>182</v>
      </c>
      <c r="C743" s="12" t="s">
        <v>479</v>
      </c>
      <c r="D743" s="12">
        <v>0.37231575460048788</v>
      </c>
      <c r="E743" s="12">
        <v>66406</v>
      </c>
      <c r="F743" s="12">
        <v>24724</v>
      </c>
    </row>
    <row r="744" spans="1:6">
      <c r="A744" t="s">
        <v>160</v>
      </c>
      <c r="B744" s="12" t="s">
        <v>182</v>
      </c>
      <c r="C744" s="12" t="s">
        <v>22</v>
      </c>
      <c r="D744" s="12">
        <v>8.1438424238773607E-2</v>
      </c>
      <c r="E744" s="12">
        <v>66406</v>
      </c>
      <c r="F744" s="12">
        <v>5408</v>
      </c>
    </row>
    <row r="745" spans="1:6">
      <c r="A745" t="s">
        <v>160</v>
      </c>
      <c r="B745" s="12" t="s">
        <v>182</v>
      </c>
      <c r="C745" s="12" t="s">
        <v>478</v>
      </c>
      <c r="D745" s="12">
        <v>2.9650935156461767E-2</v>
      </c>
      <c r="E745" s="12">
        <v>66406</v>
      </c>
      <c r="F745" s="12">
        <v>1969</v>
      </c>
    </row>
    <row r="746" spans="1:6">
      <c r="A746" t="s">
        <v>160</v>
      </c>
      <c r="B746" s="12" t="s">
        <v>182</v>
      </c>
      <c r="C746" s="12" t="s">
        <v>20</v>
      </c>
      <c r="D746" s="12">
        <v>2.4395385959100083E-2</v>
      </c>
      <c r="E746" s="12">
        <v>66406</v>
      </c>
      <c r="F746" s="12">
        <v>1620</v>
      </c>
    </row>
    <row r="747" spans="1:6">
      <c r="A747" t="s">
        <v>160</v>
      </c>
      <c r="B747" s="12" t="s">
        <v>183</v>
      </c>
      <c r="C747" s="12" t="s">
        <v>480</v>
      </c>
      <c r="D747" s="12">
        <v>0.44666696039124115</v>
      </c>
      <c r="E747" s="12">
        <v>45394</v>
      </c>
      <c r="F747" s="12">
        <v>20276</v>
      </c>
    </row>
    <row r="748" spans="1:6">
      <c r="A748" t="s">
        <v>160</v>
      </c>
      <c r="B748" s="12" t="s">
        <v>183</v>
      </c>
      <c r="C748" s="12" t="s">
        <v>479</v>
      </c>
      <c r="D748" s="12">
        <v>0.39196810151121292</v>
      </c>
      <c r="E748" s="12">
        <v>45394</v>
      </c>
      <c r="F748" s="12">
        <v>17793</v>
      </c>
    </row>
    <row r="749" spans="1:6">
      <c r="A749" t="s">
        <v>160</v>
      </c>
      <c r="B749" s="12" t="s">
        <v>183</v>
      </c>
      <c r="C749" s="12" t="s">
        <v>22</v>
      </c>
      <c r="D749" s="12">
        <v>9.4968498039388463E-2</v>
      </c>
      <c r="E749" s="12">
        <v>45394</v>
      </c>
      <c r="F749" s="12">
        <v>4311</v>
      </c>
    </row>
    <row r="750" spans="1:6">
      <c r="A750" t="s">
        <v>160</v>
      </c>
      <c r="B750" s="12" t="s">
        <v>183</v>
      </c>
      <c r="C750" s="12" t="s">
        <v>478</v>
      </c>
      <c r="D750" s="12">
        <v>3.4762303388112967E-2</v>
      </c>
      <c r="E750" s="12">
        <v>45394</v>
      </c>
      <c r="F750" s="12">
        <v>1578</v>
      </c>
    </row>
    <row r="751" spans="1:6">
      <c r="A751" t="s">
        <v>160</v>
      </c>
      <c r="B751" s="12" t="s">
        <v>183</v>
      </c>
      <c r="C751" s="12" t="s">
        <v>20</v>
      </c>
      <c r="D751" s="12">
        <v>3.1568048640789534E-2</v>
      </c>
      <c r="E751" s="12">
        <v>45394</v>
      </c>
      <c r="F751" s="12">
        <v>1433</v>
      </c>
    </row>
    <row r="752" spans="1:6">
      <c r="A752" t="s">
        <v>160</v>
      </c>
      <c r="B752" s="12" t="s">
        <v>184</v>
      </c>
      <c r="C752" s="12" t="s">
        <v>480</v>
      </c>
      <c r="D752" s="12">
        <v>0.43244849445324879</v>
      </c>
      <c r="E752" s="12">
        <v>30288</v>
      </c>
      <c r="F752" s="12">
        <v>13098</v>
      </c>
    </row>
    <row r="753" spans="1:6">
      <c r="A753" t="s">
        <v>160</v>
      </c>
      <c r="B753" s="12" t="s">
        <v>184</v>
      </c>
      <c r="C753" s="12" t="s">
        <v>479</v>
      </c>
      <c r="D753" s="12">
        <v>0.40055467511885895</v>
      </c>
      <c r="E753" s="12">
        <v>30288</v>
      </c>
      <c r="F753" s="12">
        <v>12132</v>
      </c>
    </row>
    <row r="754" spans="1:6">
      <c r="A754" t="s">
        <v>160</v>
      </c>
      <c r="B754" s="12" t="s">
        <v>184</v>
      </c>
      <c r="C754" s="12" t="s">
        <v>22</v>
      </c>
      <c r="D754" s="12">
        <v>9.7596407818277872E-2</v>
      </c>
      <c r="E754" s="12">
        <v>30288</v>
      </c>
      <c r="F754" s="12">
        <v>2956</v>
      </c>
    </row>
    <row r="755" spans="1:6">
      <c r="A755" t="s">
        <v>160</v>
      </c>
      <c r="B755" s="12" t="s">
        <v>184</v>
      </c>
      <c r="C755" s="12" t="s">
        <v>478</v>
      </c>
      <c r="D755" s="12">
        <v>3.6020866349709454E-2</v>
      </c>
      <c r="E755" s="12">
        <v>30288</v>
      </c>
      <c r="F755" s="12">
        <v>1091</v>
      </c>
    </row>
    <row r="756" spans="1:6">
      <c r="A756" t="s">
        <v>160</v>
      </c>
      <c r="B756" s="12" t="s">
        <v>184</v>
      </c>
      <c r="C756" s="12" t="s">
        <v>20</v>
      </c>
      <c r="D756" s="12">
        <v>3.3346539883782354E-2</v>
      </c>
      <c r="E756" s="12">
        <v>30288</v>
      </c>
      <c r="F756" s="12">
        <v>1010</v>
      </c>
    </row>
    <row r="757" spans="1:6">
      <c r="A757" t="s">
        <v>160</v>
      </c>
      <c r="B757" s="12" t="s">
        <v>185</v>
      </c>
      <c r="C757" s="12" t="s">
        <v>480</v>
      </c>
      <c r="D757" s="12">
        <v>0.48478516703893171</v>
      </c>
      <c r="E757" s="12">
        <v>41637</v>
      </c>
      <c r="F757" s="12">
        <v>20185</v>
      </c>
    </row>
    <row r="758" spans="1:6">
      <c r="A758" t="s">
        <v>160</v>
      </c>
      <c r="B758" s="12" t="s">
        <v>185</v>
      </c>
      <c r="C758" s="12" t="s">
        <v>479</v>
      </c>
      <c r="D758" s="12">
        <v>0.37089607800754137</v>
      </c>
      <c r="E758" s="12">
        <v>41637</v>
      </c>
      <c r="F758" s="12">
        <v>15443</v>
      </c>
    </row>
    <row r="759" spans="1:6">
      <c r="A759" t="s">
        <v>160</v>
      </c>
      <c r="B759" s="12" t="s">
        <v>185</v>
      </c>
      <c r="C759" s="12" t="s">
        <v>22</v>
      </c>
      <c r="D759" s="12">
        <v>8.3219252107500544E-2</v>
      </c>
      <c r="E759" s="12">
        <v>41637</v>
      </c>
      <c r="F759" s="12">
        <v>3465</v>
      </c>
    </row>
    <row r="760" spans="1:6">
      <c r="A760" t="s">
        <v>160</v>
      </c>
      <c r="B760" s="12" t="s">
        <v>185</v>
      </c>
      <c r="C760" s="12" t="s">
        <v>478</v>
      </c>
      <c r="D760" s="12">
        <v>3.1846674832480729E-2</v>
      </c>
      <c r="E760" s="12">
        <v>41637</v>
      </c>
      <c r="F760" s="12">
        <v>1326</v>
      </c>
    </row>
    <row r="761" spans="1:6">
      <c r="A761" t="s">
        <v>160</v>
      </c>
      <c r="B761" s="12" t="s">
        <v>185</v>
      </c>
      <c r="C761" s="12" t="s">
        <v>20</v>
      </c>
      <c r="D761" s="12">
        <v>2.9252828013545645E-2</v>
      </c>
      <c r="E761" s="12">
        <v>41637</v>
      </c>
      <c r="F761" s="12">
        <v>1218</v>
      </c>
    </row>
    <row r="762" spans="1:6">
      <c r="A762" t="s">
        <v>160</v>
      </c>
      <c r="B762" s="12" t="s">
        <v>186</v>
      </c>
      <c r="C762" s="12" t="s">
        <v>480</v>
      </c>
      <c r="D762" s="12">
        <v>0.42460969597370585</v>
      </c>
      <c r="E762" s="12">
        <v>38944</v>
      </c>
      <c r="F762" s="12">
        <v>16536</v>
      </c>
    </row>
    <row r="763" spans="1:6">
      <c r="A763" t="s">
        <v>160</v>
      </c>
      <c r="B763" s="12" t="s">
        <v>186</v>
      </c>
      <c r="C763" s="12" t="s">
        <v>479</v>
      </c>
      <c r="D763" s="12">
        <v>0.39983052588331963</v>
      </c>
      <c r="E763" s="12">
        <v>38944</v>
      </c>
      <c r="F763" s="12">
        <v>15571</v>
      </c>
    </row>
    <row r="764" spans="1:6">
      <c r="A764" t="s">
        <v>160</v>
      </c>
      <c r="B764" s="12" t="s">
        <v>186</v>
      </c>
      <c r="C764" s="12" t="s">
        <v>22</v>
      </c>
      <c r="D764" s="12">
        <v>0.10091413311421528</v>
      </c>
      <c r="E764" s="12">
        <v>38944</v>
      </c>
      <c r="F764" s="12">
        <v>3930</v>
      </c>
    </row>
    <row r="765" spans="1:6">
      <c r="A765" t="s">
        <v>160</v>
      </c>
      <c r="B765" s="12" t="s">
        <v>186</v>
      </c>
      <c r="C765" s="12" t="s">
        <v>478</v>
      </c>
      <c r="D765" s="12">
        <v>3.710456039441249E-2</v>
      </c>
      <c r="E765" s="12">
        <v>38944</v>
      </c>
      <c r="F765" s="12">
        <v>1445</v>
      </c>
    </row>
    <row r="766" spans="1:6">
      <c r="A766" t="s">
        <v>160</v>
      </c>
      <c r="B766" s="12" t="s">
        <v>186</v>
      </c>
      <c r="C766" s="12" t="s">
        <v>20</v>
      </c>
      <c r="D766" s="12">
        <v>3.7464050944946592E-2</v>
      </c>
      <c r="E766" s="12">
        <v>38944</v>
      </c>
      <c r="F766" s="12">
        <v>1459</v>
      </c>
    </row>
    <row r="767" spans="1:6">
      <c r="A767" t="s">
        <v>160</v>
      </c>
      <c r="B767" s="12" t="s">
        <v>187</v>
      </c>
      <c r="C767" s="12" t="s">
        <v>480</v>
      </c>
      <c r="D767" s="12">
        <v>0.41762144053601341</v>
      </c>
      <c r="E767" s="12">
        <v>44775</v>
      </c>
      <c r="F767" s="12">
        <v>18699</v>
      </c>
    </row>
    <row r="768" spans="1:6">
      <c r="A768" t="s">
        <v>160</v>
      </c>
      <c r="B768" s="12" t="s">
        <v>187</v>
      </c>
      <c r="C768" s="12" t="s">
        <v>479</v>
      </c>
      <c r="D768" s="12">
        <v>0.40216638749302064</v>
      </c>
      <c r="E768" s="12">
        <v>44775</v>
      </c>
      <c r="F768" s="12">
        <v>18007</v>
      </c>
    </row>
    <row r="769" spans="1:6">
      <c r="A769" t="s">
        <v>160</v>
      </c>
      <c r="B769" s="12" t="s">
        <v>187</v>
      </c>
      <c r="C769" s="12" t="s">
        <v>22</v>
      </c>
      <c r="D769" s="12">
        <v>0.10063651591289782</v>
      </c>
      <c r="E769" s="12">
        <v>44775</v>
      </c>
      <c r="F769" s="12">
        <v>4506</v>
      </c>
    </row>
    <row r="770" spans="1:6">
      <c r="A770" t="s">
        <v>160</v>
      </c>
      <c r="B770" s="12" t="s">
        <v>187</v>
      </c>
      <c r="C770" s="12" t="s">
        <v>478</v>
      </c>
      <c r="D770" s="12">
        <v>3.9374651032942493E-2</v>
      </c>
      <c r="E770" s="12">
        <v>44775</v>
      </c>
      <c r="F770" s="12">
        <v>1763</v>
      </c>
    </row>
    <row r="771" spans="1:6">
      <c r="A771" t="s">
        <v>160</v>
      </c>
      <c r="B771" s="12" t="s">
        <v>187</v>
      </c>
      <c r="C771" s="12" t="s">
        <v>20</v>
      </c>
      <c r="D771" s="12">
        <v>4.0201005025125629E-2</v>
      </c>
      <c r="E771" s="12">
        <v>44775</v>
      </c>
      <c r="F771" s="12">
        <v>1800</v>
      </c>
    </row>
    <row r="772" spans="1:6">
      <c r="A772" t="s">
        <v>160</v>
      </c>
      <c r="B772" s="12" t="s">
        <v>188</v>
      </c>
      <c r="C772" s="12" t="s">
        <v>480</v>
      </c>
      <c r="D772" s="12">
        <v>0.47190037899296156</v>
      </c>
      <c r="E772" s="12">
        <v>55410</v>
      </c>
      <c r="F772" s="12">
        <v>26148</v>
      </c>
    </row>
    <row r="773" spans="1:6">
      <c r="A773" t="s">
        <v>160</v>
      </c>
      <c r="B773" s="12" t="s">
        <v>188</v>
      </c>
      <c r="C773" s="12" t="s">
        <v>479</v>
      </c>
      <c r="D773" s="12">
        <v>0.3749684172532034</v>
      </c>
      <c r="E773" s="12">
        <v>55410</v>
      </c>
      <c r="F773" s="12">
        <v>20777</v>
      </c>
    </row>
    <row r="774" spans="1:6">
      <c r="A774" t="s">
        <v>160</v>
      </c>
      <c r="B774" s="12" t="s">
        <v>188</v>
      </c>
      <c r="C774" s="12" t="s">
        <v>22</v>
      </c>
      <c r="D774" s="12">
        <v>9.2311857065511635E-2</v>
      </c>
      <c r="E774" s="12">
        <v>55410</v>
      </c>
      <c r="F774" s="12">
        <v>5115</v>
      </c>
    </row>
    <row r="775" spans="1:6">
      <c r="A775" t="s">
        <v>160</v>
      </c>
      <c r="B775" s="12" t="s">
        <v>188</v>
      </c>
      <c r="C775" s="12" t="s">
        <v>478</v>
      </c>
      <c r="D775" s="12">
        <v>3.2232449016423026E-2</v>
      </c>
      <c r="E775" s="12">
        <v>55410</v>
      </c>
      <c r="F775" s="12">
        <v>1786</v>
      </c>
    </row>
    <row r="776" spans="1:6">
      <c r="A776" t="s">
        <v>160</v>
      </c>
      <c r="B776" s="12" t="s">
        <v>188</v>
      </c>
      <c r="C776" s="12" t="s">
        <v>20</v>
      </c>
      <c r="D776" s="12">
        <v>2.8550803104132827E-2</v>
      </c>
      <c r="E776" s="12">
        <v>55410</v>
      </c>
      <c r="F776" s="12">
        <v>1582</v>
      </c>
    </row>
    <row r="777" spans="1:6">
      <c r="A777" t="s">
        <v>160</v>
      </c>
      <c r="B777" s="12" t="s">
        <v>189</v>
      </c>
      <c r="C777" s="12" t="s">
        <v>480</v>
      </c>
      <c r="D777" s="12">
        <v>0.48032566039946112</v>
      </c>
      <c r="E777" s="12">
        <v>85365</v>
      </c>
      <c r="F777" s="12">
        <v>41003</v>
      </c>
    </row>
    <row r="778" spans="1:6">
      <c r="A778" t="s">
        <v>160</v>
      </c>
      <c r="B778" s="12" t="s">
        <v>189</v>
      </c>
      <c r="C778" s="12" t="s">
        <v>479</v>
      </c>
      <c r="D778" s="12">
        <v>0.38010894394658234</v>
      </c>
      <c r="E778" s="12">
        <v>85365</v>
      </c>
      <c r="F778" s="12">
        <v>32448</v>
      </c>
    </row>
    <row r="779" spans="1:6">
      <c r="A779" t="s">
        <v>160</v>
      </c>
      <c r="B779" s="12" t="s">
        <v>189</v>
      </c>
      <c r="C779" s="12" t="s">
        <v>22</v>
      </c>
      <c r="D779" s="12">
        <v>8.5069993557078422E-2</v>
      </c>
      <c r="E779" s="12">
        <v>85365</v>
      </c>
      <c r="F779" s="12">
        <v>7262</v>
      </c>
    </row>
    <row r="780" spans="1:6">
      <c r="A780" t="s">
        <v>160</v>
      </c>
      <c r="B780" s="12" t="s">
        <v>189</v>
      </c>
      <c r="C780" s="12" t="s">
        <v>478</v>
      </c>
      <c r="D780" s="12">
        <v>2.8688572600011713E-2</v>
      </c>
      <c r="E780" s="12">
        <v>85365</v>
      </c>
      <c r="F780" s="12">
        <v>2449</v>
      </c>
    </row>
    <row r="781" spans="1:6">
      <c r="A781" t="s">
        <v>160</v>
      </c>
      <c r="B781" s="12" t="s">
        <v>189</v>
      </c>
      <c r="C781" s="12" t="s">
        <v>20</v>
      </c>
      <c r="D781" s="12">
        <v>2.5771686288291455E-2</v>
      </c>
      <c r="E781" s="12">
        <v>85365</v>
      </c>
      <c r="F781" s="12">
        <v>2200</v>
      </c>
    </row>
    <row r="782" spans="1:6">
      <c r="A782" t="s">
        <v>160</v>
      </c>
      <c r="B782" s="12" t="s">
        <v>191</v>
      </c>
      <c r="C782" s="12" t="s">
        <v>480</v>
      </c>
      <c r="D782" s="12">
        <v>0.43187809193659049</v>
      </c>
      <c r="E782" s="12">
        <v>55386</v>
      </c>
      <c r="F782" s="12">
        <v>23920</v>
      </c>
    </row>
    <row r="783" spans="1:6">
      <c r="A783" t="s">
        <v>160</v>
      </c>
      <c r="B783" s="12" t="s">
        <v>191</v>
      </c>
      <c r="C783" s="12" t="s">
        <v>479</v>
      </c>
      <c r="D783" s="12">
        <v>0.39910807785360919</v>
      </c>
      <c r="E783" s="12">
        <v>55386</v>
      </c>
      <c r="F783" s="12">
        <v>22105</v>
      </c>
    </row>
    <row r="784" spans="1:6">
      <c r="A784" t="s">
        <v>160</v>
      </c>
      <c r="B784" s="12" t="s">
        <v>191</v>
      </c>
      <c r="C784" s="12" t="s">
        <v>22</v>
      </c>
      <c r="D784" s="12">
        <v>9.8165601415520165E-2</v>
      </c>
      <c r="E784" s="12">
        <v>55386</v>
      </c>
      <c r="F784" s="12">
        <v>5437</v>
      </c>
    </row>
    <row r="785" spans="1:6">
      <c r="A785" t="s">
        <v>160</v>
      </c>
      <c r="B785" s="12" t="s">
        <v>191</v>
      </c>
      <c r="C785" s="12" t="s">
        <v>478</v>
      </c>
      <c r="D785" s="12">
        <v>3.7157404398223376E-2</v>
      </c>
      <c r="E785" s="12">
        <v>55386</v>
      </c>
      <c r="F785" s="12">
        <v>2058</v>
      </c>
    </row>
    <row r="786" spans="1:6">
      <c r="A786" t="s">
        <v>160</v>
      </c>
      <c r="B786" s="12" t="s">
        <v>191</v>
      </c>
      <c r="C786" s="12" t="s">
        <v>20</v>
      </c>
      <c r="D786" s="12">
        <v>3.3799155021124475E-2</v>
      </c>
      <c r="E786" s="12">
        <v>55386</v>
      </c>
      <c r="F786" s="12">
        <v>1872</v>
      </c>
    </row>
    <row r="787" spans="1:6">
      <c r="A787" t="s">
        <v>190</v>
      </c>
      <c r="B787" s="12" t="s">
        <v>192</v>
      </c>
      <c r="C787" s="12" t="s">
        <v>480</v>
      </c>
      <c r="D787" s="12">
        <v>0.41716083182850816</v>
      </c>
      <c r="E787" s="12">
        <v>85835</v>
      </c>
      <c r="F787" s="12">
        <v>35807</v>
      </c>
    </row>
    <row r="788" spans="1:6">
      <c r="A788" t="s">
        <v>190</v>
      </c>
      <c r="B788" s="12" t="s">
        <v>192</v>
      </c>
      <c r="C788" s="12" t="s">
        <v>479</v>
      </c>
      <c r="D788" s="12">
        <v>0.38796528222752957</v>
      </c>
      <c r="E788" s="12">
        <v>85835</v>
      </c>
      <c r="F788" s="12">
        <v>33301</v>
      </c>
    </row>
    <row r="789" spans="1:6">
      <c r="A789" t="s">
        <v>190</v>
      </c>
      <c r="B789" s="12" t="s">
        <v>192</v>
      </c>
      <c r="C789" s="12" t="s">
        <v>22</v>
      </c>
      <c r="D789" s="12">
        <v>0.10726393662258986</v>
      </c>
      <c r="E789" s="12">
        <v>85835</v>
      </c>
      <c r="F789" s="12">
        <v>9207</v>
      </c>
    </row>
    <row r="790" spans="1:6">
      <c r="A790" t="s">
        <v>190</v>
      </c>
      <c r="B790" s="12" t="s">
        <v>192</v>
      </c>
      <c r="C790" s="12" t="s">
        <v>478</v>
      </c>
      <c r="D790" s="12">
        <v>4.2791402108696919E-2</v>
      </c>
      <c r="E790" s="12">
        <v>85835</v>
      </c>
      <c r="F790" s="12">
        <v>3673</v>
      </c>
    </row>
    <row r="791" spans="1:6">
      <c r="A791" t="s">
        <v>190</v>
      </c>
      <c r="B791" s="12" t="s">
        <v>192</v>
      </c>
      <c r="C791" s="12" t="s">
        <v>20</v>
      </c>
      <c r="D791" s="12">
        <v>4.4806896953457215E-2</v>
      </c>
      <c r="E791" s="12">
        <v>85835</v>
      </c>
      <c r="F791" s="12">
        <v>3846</v>
      </c>
    </row>
    <row r="792" spans="1:6">
      <c r="A792" t="s">
        <v>190</v>
      </c>
      <c r="B792" s="12" t="s">
        <v>193</v>
      </c>
      <c r="C792" s="12" t="s">
        <v>480</v>
      </c>
      <c r="D792" s="12">
        <v>0.47986309660454535</v>
      </c>
      <c r="E792" s="12">
        <v>239585</v>
      </c>
      <c r="F792" s="12">
        <v>114968</v>
      </c>
    </row>
    <row r="793" spans="1:6">
      <c r="A793" t="s">
        <v>190</v>
      </c>
      <c r="B793" s="12" t="s">
        <v>193</v>
      </c>
      <c r="C793" s="12" t="s">
        <v>479</v>
      </c>
      <c r="D793" s="12">
        <v>0.38459002024333744</v>
      </c>
      <c r="E793" s="12">
        <v>239585</v>
      </c>
      <c r="F793" s="12">
        <v>92142</v>
      </c>
    </row>
    <row r="794" spans="1:6">
      <c r="A794" t="s">
        <v>190</v>
      </c>
      <c r="B794" s="12" t="s">
        <v>193</v>
      </c>
      <c r="C794" s="12" t="s">
        <v>22</v>
      </c>
      <c r="D794" s="12">
        <v>8.4450195129077366E-2</v>
      </c>
      <c r="E794" s="12">
        <v>239585</v>
      </c>
      <c r="F794" s="12">
        <v>20233</v>
      </c>
    </row>
    <row r="795" spans="1:6">
      <c r="A795" t="s">
        <v>190</v>
      </c>
      <c r="B795" s="12" t="s">
        <v>193</v>
      </c>
      <c r="C795" s="12" t="s">
        <v>478</v>
      </c>
      <c r="D795" s="12">
        <v>2.7601894943339523E-2</v>
      </c>
      <c r="E795" s="12">
        <v>239585</v>
      </c>
      <c r="F795" s="12">
        <v>6613</v>
      </c>
    </row>
    <row r="796" spans="1:6">
      <c r="A796" t="s">
        <v>190</v>
      </c>
      <c r="B796" s="12" t="s">
        <v>193</v>
      </c>
      <c r="C796" s="12" t="s">
        <v>20</v>
      </c>
      <c r="D796" s="12">
        <v>2.3494793079700316E-2</v>
      </c>
      <c r="E796" s="12">
        <v>239585</v>
      </c>
      <c r="F796" s="12">
        <v>5629</v>
      </c>
    </row>
    <row r="797" spans="1:6">
      <c r="A797" t="s">
        <v>190</v>
      </c>
      <c r="B797" s="12" t="s">
        <v>194</v>
      </c>
      <c r="C797" s="12" t="s">
        <v>480</v>
      </c>
      <c r="D797" s="12">
        <v>0.45603443141459071</v>
      </c>
      <c r="E797" s="12">
        <v>319011</v>
      </c>
      <c r="F797" s="12">
        <v>145480</v>
      </c>
    </row>
    <row r="798" spans="1:6">
      <c r="A798" t="s">
        <v>190</v>
      </c>
      <c r="B798" s="12" t="s">
        <v>194</v>
      </c>
      <c r="C798" s="12" t="s">
        <v>479</v>
      </c>
      <c r="D798" s="12">
        <v>0.39826526358025272</v>
      </c>
      <c r="E798" s="12">
        <v>319011</v>
      </c>
      <c r="F798" s="12">
        <v>127051</v>
      </c>
    </row>
    <row r="799" spans="1:6">
      <c r="A799" t="s">
        <v>190</v>
      </c>
      <c r="B799" s="12" t="s">
        <v>194</v>
      </c>
      <c r="C799" s="12" t="s">
        <v>22</v>
      </c>
      <c r="D799" s="12">
        <v>8.8213259103918043E-2</v>
      </c>
      <c r="E799" s="12">
        <v>319011</v>
      </c>
      <c r="F799" s="12">
        <v>28141</v>
      </c>
    </row>
    <row r="800" spans="1:6">
      <c r="A800" t="s">
        <v>190</v>
      </c>
      <c r="B800" s="12" t="s">
        <v>194</v>
      </c>
      <c r="C800" s="12" t="s">
        <v>478</v>
      </c>
      <c r="D800" s="12">
        <v>2.9682362050211436E-2</v>
      </c>
      <c r="E800" s="12">
        <v>319011</v>
      </c>
      <c r="F800" s="12">
        <v>9469</v>
      </c>
    </row>
    <row r="801" spans="1:6">
      <c r="A801" t="s">
        <v>190</v>
      </c>
      <c r="B801" s="12" t="s">
        <v>194</v>
      </c>
      <c r="C801" s="12" t="s">
        <v>20</v>
      </c>
      <c r="D801" s="12">
        <v>2.781408791546373E-2</v>
      </c>
      <c r="E801" s="12">
        <v>319011</v>
      </c>
      <c r="F801" s="12">
        <v>8873</v>
      </c>
    </row>
    <row r="802" spans="1:6">
      <c r="A802" t="s">
        <v>190</v>
      </c>
      <c r="B802" s="12" t="s">
        <v>195</v>
      </c>
      <c r="C802" s="12" t="s">
        <v>480</v>
      </c>
      <c r="D802" s="12">
        <v>0.44627788585432404</v>
      </c>
      <c r="E802" s="12">
        <v>316648</v>
      </c>
      <c r="F802" s="12">
        <v>141313</v>
      </c>
    </row>
    <row r="803" spans="1:6">
      <c r="A803" t="s">
        <v>190</v>
      </c>
      <c r="B803" s="12" t="s">
        <v>195</v>
      </c>
      <c r="C803" s="12" t="s">
        <v>479</v>
      </c>
      <c r="D803" s="12">
        <v>0.39206942725044847</v>
      </c>
      <c r="E803" s="12">
        <v>316648</v>
      </c>
      <c r="F803" s="12">
        <v>124148</v>
      </c>
    </row>
    <row r="804" spans="1:6">
      <c r="A804" t="s">
        <v>190</v>
      </c>
      <c r="B804" s="12" t="s">
        <v>195</v>
      </c>
      <c r="C804" s="12" t="s">
        <v>22</v>
      </c>
      <c r="D804" s="12">
        <v>9.5882494125969525E-2</v>
      </c>
      <c r="E804" s="12">
        <v>316648</v>
      </c>
      <c r="F804" s="12">
        <v>30361</v>
      </c>
    </row>
    <row r="805" spans="1:6">
      <c r="A805" t="s">
        <v>190</v>
      </c>
      <c r="B805" s="12" t="s">
        <v>195</v>
      </c>
      <c r="C805" s="12" t="s">
        <v>478</v>
      </c>
      <c r="D805" s="12">
        <v>3.5165230792551981E-2</v>
      </c>
      <c r="E805" s="12">
        <v>316648</v>
      </c>
      <c r="F805" s="12">
        <v>11135</v>
      </c>
    </row>
    <row r="806" spans="1:6">
      <c r="A806" t="s">
        <v>190</v>
      </c>
      <c r="B806" s="12" t="s">
        <v>195</v>
      </c>
      <c r="C806" s="12" t="s">
        <v>20</v>
      </c>
      <c r="D806" s="12">
        <v>3.0614436219398196E-2</v>
      </c>
      <c r="E806" s="12">
        <v>316648</v>
      </c>
      <c r="F806" s="12">
        <v>9694</v>
      </c>
    </row>
    <row r="807" spans="1:6">
      <c r="A807" t="s">
        <v>190</v>
      </c>
      <c r="B807" s="12" t="s">
        <v>196</v>
      </c>
      <c r="C807" s="12" t="s">
        <v>480</v>
      </c>
      <c r="D807" s="12">
        <v>0.46267224338957802</v>
      </c>
      <c r="E807" s="12">
        <v>139628</v>
      </c>
      <c r="F807" s="12">
        <v>64602</v>
      </c>
    </row>
    <row r="808" spans="1:6">
      <c r="A808" t="s">
        <v>190</v>
      </c>
      <c r="B808" s="12" t="s">
        <v>196</v>
      </c>
      <c r="C808" s="12" t="s">
        <v>479</v>
      </c>
      <c r="D808" s="12">
        <v>0.38193628785057437</v>
      </c>
      <c r="E808" s="12">
        <v>139628</v>
      </c>
      <c r="F808" s="12">
        <v>53329</v>
      </c>
    </row>
    <row r="809" spans="1:6">
      <c r="A809" t="s">
        <v>190</v>
      </c>
      <c r="B809" s="12" t="s">
        <v>196</v>
      </c>
      <c r="C809" s="12" t="s">
        <v>22</v>
      </c>
      <c r="D809" s="12">
        <v>9.1271091758100095E-2</v>
      </c>
      <c r="E809" s="12">
        <v>139628</v>
      </c>
      <c r="F809" s="12">
        <v>12744</v>
      </c>
    </row>
    <row r="810" spans="1:6">
      <c r="A810" t="s">
        <v>190</v>
      </c>
      <c r="B810" s="12" t="s">
        <v>196</v>
      </c>
      <c r="C810" s="12" t="s">
        <v>478</v>
      </c>
      <c r="D810" s="12">
        <v>3.3553442003036643E-2</v>
      </c>
      <c r="E810" s="12">
        <v>139628</v>
      </c>
      <c r="F810" s="12">
        <v>4685</v>
      </c>
    </row>
    <row r="811" spans="1:6">
      <c r="A811" t="s">
        <v>190</v>
      </c>
      <c r="B811" s="12" t="s">
        <v>196</v>
      </c>
      <c r="C811" s="12" t="s">
        <v>20</v>
      </c>
      <c r="D811" s="12">
        <v>3.0538287449508695E-2</v>
      </c>
      <c r="E811" s="12">
        <v>139628</v>
      </c>
      <c r="F811" s="12">
        <v>4264</v>
      </c>
    </row>
    <row r="812" spans="1:6">
      <c r="A812" t="s">
        <v>190</v>
      </c>
      <c r="B812" s="12" t="s">
        <v>197</v>
      </c>
      <c r="C812" s="12" t="s">
        <v>480</v>
      </c>
      <c r="D812" s="12">
        <v>0.46048611510638876</v>
      </c>
      <c r="E812" s="12">
        <v>330251</v>
      </c>
      <c r="F812" s="12">
        <v>152076</v>
      </c>
    </row>
    <row r="813" spans="1:6">
      <c r="A813" t="s">
        <v>190</v>
      </c>
      <c r="B813" s="12" t="s">
        <v>197</v>
      </c>
      <c r="C813" s="12" t="s">
        <v>479</v>
      </c>
      <c r="D813" s="12">
        <v>0.39043939306769698</v>
      </c>
      <c r="E813" s="12">
        <v>330251</v>
      </c>
      <c r="F813" s="12">
        <v>128943</v>
      </c>
    </row>
    <row r="814" spans="1:6">
      <c r="A814" t="s">
        <v>190</v>
      </c>
      <c r="B814" s="12" t="s">
        <v>197</v>
      </c>
      <c r="C814" s="12" t="s">
        <v>22</v>
      </c>
      <c r="D814" s="12">
        <v>9.1315393443168982E-2</v>
      </c>
      <c r="E814" s="12">
        <v>330251</v>
      </c>
      <c r="F814" s="12">
        <v>30157</v>
      </c>
    </row>
    <row r="815" spans="1:6">
      <c r="A815" t="s">
        <v>190</v>
      </c>
      <c r="B815" s="12" t="s">
        <v>197</v>
      </c>
      <c r="C815" s="12" t="s">
        <v>478</v>
      </c>
      <c r="D815" s="12">
        <v>3.0906795134609737E-2</v>
      </c>
      <c r="E815" s="12">
        <v>330251</v>
      </c>
      <c r="F815" s="12">
        <v>10207</v>
      </c>
    </row>
    <row r="816" spans="1:6">
      <c r="A816" t="s">
        <v>190</v>
      </c>
      <c r="B816" s="12" t="s">
        <v>197</v>
      </c>
      <c r="C816" s="12" t="s">
        <v>20</v>
      </c>
      <c r="D816" s="12">
        <v>2.6870471247626804E-2</v>
      </c>
      <c r="E816" s="12">
        <v>330251</v>
      </c>
      <c r="F816" s="12">
        <v>8874</v>
      </c>
    </row>
    <row r="817" spans="1:6">
      <c r="A817" t="s">
        <v>190</v>
      </c>
      <c r="B817" s="12" t="s">
        <v>198</v>
      </c>
      <c r="C817" s="12" t="s">
        <v>480</v>
      </c>
      <c r="D817" s="12">
        <v>0.4251443716809023</v>
      </c>
      <c r="E817" s="12">
        <v>103379</v>
      </c>
      <c r="F817" s="12">
        <v>43951</v>
      </c>
    </row>
    <row r="818" spans="1:6">
      <c r="A818" t="s">
        <v>190</v>
      </c>
      <c r="B818" s="12" t="s">
        <v>198</v>
      </c>
      <c r="C818" s="12" t="s">
        <v>479</v>
      </c>
      <c r="D818" s="12">
        <v>0.40137745576954703</v>
      </c>
      <c r="E818" s="12">
        <v>103379</v>
      </c>
      <c r="F818" s="12">
        <v>41494</v>
      </c>
    </row>
    <row r="819" spans="1:6">
      <c r="A819" t="s">
        <v>190</v>
      </c>
      <c r="B819" s="12" t="s">
        <v>198</v>
      </c>
      <c r="C819" s="12" t="s">
        <v>22</v>
      </c>
      <c r="D819" s="12">
        <v>0.10065874113698139</v>
      </c>
      <c r="E819" s="12">
        <v>103379</v>
      </c>
      <c r="F819" s="12">
        <v>10406</v>
      </c>
    </row>
    <row r="820" spans="1:6">
      <c r="A820" t="s">
        <v>190</v>
      </c>
      <c r="B820" s="12" t="s">
        <v>198</v>
      </c>
      <c r="C820" s="12" t="s">
        <v>478</v>
      </c>
      <c r="D820" s="12">
        <v>3.6283964828446785E-2</v>
      </c>
      <c r="E820" s="12">
        <v>103379</v>
      </c>
      <c r="F820" s="12">
        <v>3751</v>
      </c>
    </row>
    <row r="821" spans="1:6">
      <c r="A821" t="s">
        <v>190</v>
      </c>
      <c r="B821" s="12" t="s">
        <v>198</v>
      </c>
      <c r="C821" s="12" t="s">
        <v>20</v>
      </c>
      <c r="D821" s="12">
        <v>3.6554812873020634E-2</v>
      </c>
      <c r="E821" s="12">
        <v>103379</v>
      </c>
      <c r="F821" s="12">
        <v>3779</v>
      </c>
    </row>
    <row r="822" spans="1:6">
      <c r="A822" t="s">
        <v>190</v>
      </c>
      <c r="B822" s="12" t="s">
        <v>190</v>
      </c>
      <c r="C822" s="12" t="s">
        <v>480</v>
      </c>
      <c r="D822" s="12">
        <v>0.44322764334244041</v>
      </c>
      <c r="E822" s="12">
        <v>747406</v>
      </c>
      <c r="F822" s="12">
        <v>331271</v>
      </c>
    </row>
    <row r="823" spans="1:6">
      <c r="A823" t="s">
        <v>190</v>
      </c>
      <c r="B823" s="12" t="s">
        <v>190</v>
      </c>
      <c r="C823" s="12" t="s">
        <v>479</v>
      </c>
      <c r="D823" s="12">
        <v>0.39467705637899614</v>
      </c>
      <c r="E823" s="12">
        <v>747406</v>
      </c>
      <c r="F823" s="12">
        <v>294984</v>
      </c>
    </row>
    <row r="824" spans="1:6">
      <c r="A824" t="s">
        <v>190</v>
      </c>
      <c r="B824" s="12" t="s">
        <v>190</v>
      </c>
      <c r="C824" s="12" t="s">
        <v>22</v>
      </c>
      <c r="D824" s="12">
        <v>9.9223179904897735E-2</v>
      </c>
      <c r="E824" s="12">
        <v>747406</v>
      </c>
      <c r="F824" s="12">
        <v>74160</v>
      </c>
    </row>
    <row r="825" spans="1:6">
      <c r="A825" t="s">
        <v>190</v>
      </c>
      <c r="B825" s="12" t="s">
        <v>190</v>
      </c>
      <c r="C825" s="12" t="s">
        <v>478</v>
      </c>
      <c r="D825" s="12">
        <v>3.4630441821446444E-2</v>
      </c>
      <c r="E825" s="12">
        <v>747406</v>
      </c>
      <c r="F825" s="12">
        <v>25883</v>
      </c>
    </row>
    <row r="826" spans="1:6">
      <c r="A826" t="s">
        <v>190</v>
      </c>
      <c r="B826" s="12" t="s">
        <v>190</v>
      </c>
      <c r="C826" s="12" t="s">
        <v>20</v>
      </c>
      <c r="D826" s="12">
        <v>2.8240340591325196E-2</v>
      </c>
      <c r="E826" s="12">
        <v>747406</v>
      </c>
      <c r="F826" s="12">
        <v>21107</v>
      </c>
    </row>
    <row r="827" spans="1:6">
      <c r="A827" t="s">
        <v>190</v>
      </c>
      <c r="B827" s="12" t="s">
        <v>199</v>
      </c>
      <c r="C827" s="12" t="s">
        <v>480</v>
      </c>
      <c r="D827" s="12">
        <v>0.50863094017794908</v>
      </c>
      <c r="E827" s="12">
        <v>97556</v>
      </c>
      <c r="F827" s="12">
        <v>49620</v>
      </c>
    </row>
    <row r="828" spans="1:6">
      <c r="A828" t="s">
        <v>190</v>
      </c>
      <c r="B828" s="12" t="s">
        <v>199</v>
      </c>
      <c r="C828" s="12" t="s">
        <v>479</v>
      </c>
      <c r="D828" s="12">
        <v>0.37735249497724382</v>
      </c>
      <c r="E828" s="12">
        <v>97556</v>
      </c>
      <c r="F828" s="12">
        <v>36813</v>
      </c>
    </row>
    <row r="829" spans="1:6">
      <c r="A829" t="s">
        <v>190</v>
      </c>
      <c r="B829" s="12" t="s">
        <v>199</v>
      </c>
      <c r="C829" s="12" t="s">
        <v>22</v>
      </c>
      <c r="D829" s="12">
        <v>7.0728607158965104E-2</v>
      </c>
      <c r="E829" s="12">
        <v>97556</v>
      </c>
      <c r="F829" s="12">
        <v>6900</v>
      </c>
    </row>
    <row r="830" spans="1:6">
      <c r="A830" t="s">
        <v>190</v>
      </c>
      <c r="B830" s="12" t="s">
        <v>199</v>
      </c>
      <c r="C830" s="12" t="s">
        <v>478</v>
      </c>
      <c r="D830" s="12">
        <v>2.2735659518635449E-2</v>
      </c>
      <c r="E830" s="12">
        <v>97556</v>
      </c>
      <c r="F830" s="12">
        <v>2218</v>
      </c>
    </row>
    <row r="831" spans="1:6">
      <c r="A831" t="s">
        <v>190</v>
      </c>
      <c r="B831" s="12" t="s">
        <v>199</v>
      </c>
      <c r="C831" s="12" t="s">
        <v>20</v>
      </c>
      <c r="D831" s="12">
        <v>2.0531797121653206E-2</v>
      </c>
      <c r="E831" s="12">
        <v>97556</v>
      </c>
      <c r="F831" s="12">
        <v>2003</v>
      </c>
    </row>
    <row r="832" spans="1:6">
      <c r="A832" t="s">
        <v>190</v>
      </c>
      <c r="B832" s="12" t="s">
        <v>200</v>
      </c>
      <c r="C832" s="12" t="s">
        <v>480</v>
      </c>
      <c r="D832" s="12">
        <v>0.44277957931094464</v>
      </c>
      <c r="E832" s="12">
        <v>80487</v>
      </c>
      <c r="F832" s="12">
        <v>35638</v>
      </c>
    </row>
    <row r="833" spans="1:6">
      <c r="A833" t="s">
        <v>190</v>
      </c>
      <c r="B833" s="12" t="s">
        <v>200</v>
      </c>
      <c r="C833" s="12" t="s">
        <v>479</v>
      </c>
      <c r="D833" s="12">
        <v>0.38899449600556613</v>
      </c>
      <c r="E833" s="12">
        <v>80487</v>
      </c>
      <c r="F833" s="12">
        <v>31309</v>
      </c>
    </row>
    <row r="834" spans="1:6">
      <c r="A834" t="s">
        <v>190</v>
      </c>
      <c r="B834" s="12" t="s">
        <v>200</v>
      </c>
      <c r="C834" s="12" t="s">
        <v>22</v>
      </c>
      <c r="D834" s="12">
        <v>9.9469479543280281E-2</v>
      </c>
      <c r="E834" s="12">
        <v>80487</v>
      </c>
      <c r="F834" s="12">
        <v>8006</v>
      </c>
    </row>
    <row r="835" spans="1:6">
      <c r="A835" t="s">
        <v>190</v>
      </c>
      <c r="B835" s="12" t="s">
        <v>200</v>
      </c>
      <c r="C835" s="12" t="s">
        <v>478</v>
      </c>
      <c r="D835" s="12">
        <v>3.5397020636873035E-2</v>
      </c>
      <c r="E835" s="12">
        <v>80487</v>
      </c>
      <c r="F835" s="12">
        <v>2849</v>
      </c>
    </row>
    <row r="836" spans="1:6">
      <c r="A836" t="s">
        <v>190</v>
      </c>
      <c r="B836" s="12" t="s">
        <v>200</v>
      </c>
      <c r="C836" s="12" t="s">
        <v>20</v>
      </c>
      <c r="D836" s="12">
        <v>3.3322151403332216E-2</v>
      </c>
      <c r="E836" s="12">
        <v>80487</v>
      </c>
      <c r="F836" s="12">
        <v>2682</v>
      </c>
    </row>
    <row r="837" spans="1:6">
      <c r="A837" t="s">
        <v>190</v>
      </c>
      <c r="B837" s="12" t="s">
        <v>201</v>
      </c>
      <c r="C837" s="12" t="s">
        <v>480</v>
      </c>
      <c r="D837" s="12">
        <v>0.44327764884303406</v>
      </c>
      <c r="E837" s="12">
        <v>43519</v>
      </c>
      <c r="F837" s="12">
        <v>19291</v>
      </c>
    </row>
    <row r="838" spans="1:6">
      <c r="A838" t="s">
        <v>190</v>
      </c>
      <c r="B838" s="12" t="s">
        <v>201</v>
      </c>
      <c r="C838" s="12" t="s">
        <v>479</v>
      </c>
      <c r="D838" s="12">
        <v>0.38380937061972931</v>
      </c>
      <c r="E838" s="12">
        <v>43519</v>
      </c>
      <c r="F838" s="12">
        <v>16703</v>
      </c>
    </row>
    <row r="839" spans="1:6">
      <c r="A839" t="s">
        <v>190</v>
      </c>
      <c r="B839" s="12" t="s">
        <v>201</v>
      </c>
      <c r="C839" s="12" t="s">
        <v>22</v>
      </c>
      <c r="D839" s="12">
        <v>0.10128909212068292</v>
      </c>
      <c r="E839" s="12">
        <v>43519</v>
      </c>
      <c r="F839" s="12">
        <v>4408</v>
      </c>
    </row>
    <row r="840" spans="1:6">
      <c r="A840" t="s">
        <v>190</v>
      </c>
      <c r="B840" s="12" t="s">
        <v>201</v>
      </c>
      <c r="C840" s="12" t="s">
        <v>478</v>
      </c>
      <c r="D840" s="12">
        <v>3.8305108113697466E-2</v>
      </c>
      <c r="E840" s="12">
        <v>43519</v>
      </c>
      <c r="F840" s="12">
        <v>1667</v>
      </c>
    </row>
    <row r="841" spans="1:6">
      <c r="A841" t="s">
        <v>190</v>
      </c>
      <c r="B841" s="12" t="s">
        <v>201</v>
      </c>
      <c r="C841" s="12" t="s">
        <v>20</v>
      </c>
      <c r="D841" s="12">
        <v>3.3249844895333072E-2</v>
      </c>
      <c r="E841" s="12">
        <v>43519</v>
      </c>
      <c r="F841" s="12">
        <v>1447</v>
      </c>
    </row>
    <row r="842" spans="1:6">
      <c r="A842" t="s">
        <v>190</v>
      </c>
      <c r="B842" s="12" t="s">
        <v>202</v>
      </c>
      <c r="C842" s="12" t="s">
        <v>480</v>
      </c>
      <c r="D842" s="12">
        <v>0.51004275035227242</v>
      </c>
      <c r="E842" s="12">
        <v>83742</v>
      </c>
      <c r="F842" s="12">
        <v>42712</v>
      </c>
    </row>
    <row r="843" spans="1:6">
      <c r="A843" t="s">
        <v>190</v>
      </c>
      <c r="B843" s="12" t="s">
        <v>202</v>
      </c>
      <c r="C843" s="12" t="s">
        <v>479</v>
      </c>
      <c r="D843" s="12">
        <v>0.36654247569917126</v>
      </c>
      <c r="E843" s="12">
        <v>83742</v>
      </c>
      <c r="F843" s="12">
        <v>30695</v>
      </c>
    </row>
    <row r="844" spans="1:6">
      <c r="A844" t="s">
        <v>190</v>
      </c>
      <c r="B844" s="12" t="s">
        <v>202</v>
      </c>
      <c r="C844" s="12" t="s">
        <v>22</v>
      </c>
      <c r="D844" s="12">
        <v>7.2400945761983235E-2</v>
      </c>
      <c r="E844" s="12">
        <v>83742</v>
      </c>
      <c r="F844" s="12">
        <v>6063</v>
      </c>
    </row>
    <row r="845" spans="1:6">
      <c r="A845" t="s">
        <v>190</v>
      </c>
      <c r="B845" s="12" t="s">
        <v>202</v>
      </c>
      <c r="C845" s="12" t="s">
        <v>478</v>
      </c>
      <c r="D845" s="12">
        <v>2.5745742876931529E-2</v>
      </c>
      <c r="E845" s="12">
        <v>83742</v>
      </c>
      <c r="F845" s="12">
        <v>2156</v>
      </c>
    </row>
    <row r="846" spans="1:6">
      <c r="A846" t="s">
        <v>190</v>
      </c>
      <c r="B846" s="12" t="s">
        <v>202</v>
      </c>
      <c r="C846" s="12" t="s">
        <v>20</v>
      </c>
      <c r="D846" s="12">
        <v>2.5220319552912516E-2</v>
      </c>
      <c r="E846" s="12">
        <v>83742</v>
      </c>
      <c r="F846" s="12">
        <v>2112</v>
      </c>
    </row>
    <row r="847" spans="1:6">
      <c r="A847" t="s">
        <v>190</v>
      </c>
      <c r="B847" s="12" t="s">
        <v>203</v>
      </c>
      <c r="C847" s="12" t="s">
        <v>480</v>
      </c>
      <c r="D847" s="12">
        <v>0.50223044444775988</v>
      </c>
      <c r="E847" s="12">
        <v>67027</v>
      </c>
      <c r="F847" s="12">
        <v>33663</v>
      </c>
    </row>
    <row r="848" spans="1:6">
      <c r="A848" t="s">
        <v>190</v>
      </c>
      <c r="B848" s="12" t="s">
        <v>203</v>
      </c>
      <c r="C848" s="12" t="s">
        <v>479</v>
      </c>
      <c r="D848" s="12">
        <v>0.36655377683620033</v>
      </c>
      <c r="E848" s="12">
        <v>67027</v>
      </c>
      <c r="F848" s="12">
        <v>24569</v>
      </c>
    </row>
    <row r="849" spans="1:6">
      <c r="A849" t="s">
        <v>190</v>
      </c>
      <c r="B849" s="12" t="s">
        <v>203</v>
      </c>
      <c r="C849" s="12" t="s">
        <v>22</v>
      </c>
      <c r="D849" s="12">
        <v>7.3164545630865177E-2</v>
      </c>
      <c r="E849" s="12">
        <v>67027</v>
      </c>
      <c r="F849" s="12">
        <v>4904</v>
      </c>
    </row>
    <row r="850" spans="1:6">
      <c r="A850" t="s">
        <v>190</v>
      </c>
      <c r="B850" s="12" t="s">
        <v>203</v>
      </c>
      <c r="C850" s="12" t="s">
        <v>478</v>
      </c>
      <c r="D850" s="12">
        <v>2.7526220776701926E-2</v>
      </c>
      <c r="E850" s="12">
        <v>67027</v>
      </c>
      <c r="F850" s="12">
        <v>1845</v>
      </c>
    </row>
    <row r="851" spans="1:6">
      <c r="A851" t="s">
        <v>190</v>
      </c>
      <c r="B851" s="12" t="s">
        <v>203</v>
      </c>
      <c r="C851" s="12" t="s">
        <v>20</v>
      </c>
      <c r="D851" s="12">
        <v>3.0539931669327287E-2</v>
      </c>
      <c r="E851" s="12">
        <v>67027</v>
      </c>
      <c r="F851" s="12">
        <v>2047</v>
      </c>
    </row>
    <row r="852" spans="1:6">
      <c r="A852" t="s">
        <v>190</v>
      </c>
      <c r="B852" s="12" t="s">
        <v>204</v>
      </c>
      <c r="C852" s="12" t="s">
        <v>480</v>
      </c>
      <c r="D852" s="12">
        <v>0.44287735849056603</v>
      </c>
      <c r="E852" s="12">
        <v>21200</v>
      </c>
      <c r="F852" s="12">
        <v>9389</v>
      </c>
    </row>
    <row r="853" spans="1:6">
      <c r="A853" t="s">
        <v>190</v>
      </c>
      <c r="B853" s="12" t="s">
        <v>204</v>
      </c>
      <c r="C853" s="12" t="s">
        <v>479</v>
      </c>
      <c r="D853" s="12">
        <v>0.37608490566037733</v>
      </c>
      <c r="E853" s="12">
        <v>21200</v>
      </c>
      <c r="F853" s="12">
        <v>7973</v>
      </c>
    </row>
    <row r="854" spans="1:6">
      <c r="A854" t="s">
        <v>190</v>
      </c>
      <c r="B854" s="12" t="s">
        <v>204</v>
      </c>
      <c r="C854" s="12" t="s">
        <v>22</v>
      </c>
      <c r="D854" s="12">
        <v>0.10235849056603774</v>
      </c>
      <c r="E854" s="12">
        <v>21200</v>
      </c>
      <c r="F854" s="12">
        <v>2170</v>
      </c>
    </row>
    <row r="855" spans="1:6">
      <c r="A855" t="s">
        <v>190</v>
      </c>
      <c r="B855" s="12" t="s">
        <v>204</v>
      </c>
      <c r="C855" s="12" t="s">
        <v>478</v>
      </c>
      <c r="D855" s="12">
        <v>4.0377358490566034E-2</v>
      </c>
      <c r="E855" s="12">
        <v>21200</v>
      </c>
      <c r="F855" s="12">
        <v>856</v>
      </c>
    </row>
    <row r="856" spans="1:6">
      <c r="A856" t="s">
        <v>190</v>
      </c>
      <c r="B856" s="12" t="s">
        <v>204</v>
      </c>
      <c r="C856" s="12" t="s">
        <v>20</v>
      </c>
      <c r="D856" s="12">
        <v>3.858490566037736E-2</v>
      </c>
      <c r="E856" s="12">
        <v>21200</v>
      </c>
      <c r="F856" s="12">
        <v>818</v>
      </c>
    </row>
    <row r="857" spans="1:6">
      <c r="A857" t="s">
        <v>190</v>
      </c>
      <c r="B857" s="12" t="s">
        <v>205</v>
      </c>
      <c r="C857" s="12" t="s">
        <v>480</v>
      </c>
      <c r="D857" s="12">
        <v>0.57524688018631775</v>
      </c>
      <c r="E857" s="12">
        <v>109061</v>
      </c>
      <c r="F857" s="12">
        <v>62737</v>
      </c>
    </row>
    <row r="858" spans="1:6">
      <c r="A858" t="s">
        <v>190</v>
      </c>
      <c r="B858" s="12" t="s">
        <v>205</v>
      </c>
      <c r="C858" s="12" t="s">
        <v>479</v>
      </c>
      <c r="D858" s="12">
        <v>0.32799992664655558</v>
      </c>
      <c r="E858" s="12">
        <v>109061</v>
      </c>
      <c r="F858" s="12">
        <v>35772</v>
      </c>
    </row>
    <row r="859" spans="1:6">
      <c r="A859" t="s">
        <v>190</v>
      </c>
      <c r="B859" s="12" t="s">
        <v>205</v>
      </c>
      <c r="C859" s="12" t="s">
        <v>22</v>
      </c>
      <c r="D859" s="12">
        <v>5.6546336453911113E-2</v>
      </c>
      <c r="E859" s="12">
        <v>109061</v>
      </c>
      <c r="F859" s="12">
        <v>6167</v>
      </c>
    </row>
    <row r="860" spans="1:6">
      <c r="A860" t="s">
        <v>190</v>
      </c>
      <c r="B860" s="12" t="s">
        <v>205</v>
      </c>
      <c r="C860" s="12" t="s">
        <v>478</v>
      </c>
      <c r="D860" s="12">
        <v>2.0346411641191626E-2</v>
      </c>
      <c r="E860" s="12">
        <v>109061</v>
      </c>
      <c r="F860" s="12">
        <v>2219</v>
      </c>
    </row>
    <row r="861" spans="1:6">
      <c r="A861" t="s">
        <v>190</v>
      </c>
      <c r="B861" s="12" t="s">
        <v>205</v>
      </c>
      <c r="C861" s="12" t="s">
        <v>20</v>
      </c>
      <c r="D861" s="12">
        <v>1.9823768349822576E-2</v>
      </c>
      <c r="E861" s="12">
        <v>109061</v>
      </c>
      <c r="F861" s="12">
        <v>2162</v>
      </c>
    </row>
    <row r="862" spans="1:6">
      <c r="A862" t="s">
        <v>190</v>
      </c>
      <c r="B862" s="12" t="s">
        <v>206</v>
      </c>
      <c r="C862" s="12" t="s">
        <v>480</v>
      </c>
      <c r="D862" s="12">
        <v>0.54096356077280505</v>
      </c>
      <c r="E862" s="12">
        <v>77691</v>
      </c>
      <c r="F862" s="12">
        <v>42028</v>
      </c>
    </row>
    <row r="863" spans="1:6">
      <c r="A863" t="s">
        <v>190</v>
      </c>
      <c r="B863" s="12" t="s">
        <v>206</v>
      </c>
      <c r="C863" s="12" t="s">
        <v>479</v>
      </c>
      <c r="D863" s="12">
        <v>0.34238200048911716</v>
      </c>
      <c r="E863" s="12">
        <v>77691</v>
      </c>
      <c r="F863" s="12">
        <v>26600</v>
      </c>
    </row>
    <row r="864" spans="1:6">
      <c r="A864" t="s">
        <v>190</v>
      </c>
      <c r="B864" s="12" t="s">
        <v>206</v>
      </c>
      <c r="C864" s="12" t="s">
        <v>22</v>
      </c>
      <c r="D864" s="12">
        <v>6.5657540770488215E-2</v>
      </c>
      <c r="E864" s="12">
        <v>77691</v>
      </c>
      <c r="F864" s="12">
        <v>5101</v>
      </c>
    </row>
    <row r="865" spans="1:6">
      <c r="A865" t="s">
        <v>190</v>
      </c>
      <c r="B865" s="12" t="s">
        <v>206</v>
      </c>
      <c r="C865" s="12" t="s">
        <v>478</v>
      </c>
      <c r="D865" s="12">
        <v>2.4700415749572022E-2</v>
      </c>
      <c r="E865" s="12">
        <v>77691</v>
      </c>
      <c r="F865" s="12">
        <v>1919</v>
      </c>
    </row>
    <row r="866" spans="1:6">
      <c r="A866" t="s">
        <v>190</v>
      </c>
      <c r="B866" s="12" t="s">
        <v>206</v>
      </c>
      <c r="C866" s="12" t="s">
        <v>20</v>
      </c>
      <c r="D866" s="12">
        <v>2.6219253195350813E-2</v>
      </c>
      <c r="E866" s="12">
        <v>77691</v>
      </c>
      <c r="F866" s="12">
        <v>2037</v>
      </c>
    </row>
    <row r="867" spans="1:6">
      <c r="A867" t="s">
        <v>190</v>
      </c>
      <c r="B867" s="12" t="s">
        <v>207</v>
      </c>
      <c r="C867" s="12" t="s">
        <v>480</v>
      </c>
      <c r="D867" s="12">
        <v>0.58078335373317014</v>
      </c>
      <c r="E867" s="12">
        <v>91504</v>
      </c>
      <c r="F867" s="12">
        <v>53144</v>
      </c>
    </row>
    <row r="868" spans="1:6">
      <c r="A868" t="s">
        <v>190</v>
      </c>
      <c r="B868" s="12" t="s">
        <v>207</v>
      </c>
      <c r="C868" s="12" t="s">
        <v>479</v>
      </c>
      <c r="D868" s="12">
        <v>0.32612781954887216</v>
      </c>
      <c r="E868" s="12">
        <v>91504</v>
      </c>
      <c r="F868" s="12">
        <v>29842</v>
      </c>
    </row>
    <row r="869" spans="1:6">
      <c r="A869" t="s">
        <v>190</v>
      </c>
      <c r="B869" s="12" t="s">
        <v>207</v>
      </c>
      <c r="C869" s="12" t="s">
        <v>22</v>
      </c>
      <c r="D869" s="12">
        <v>5.7975607623710436E-2</v>
      </c>
      <c r="E869" s="12">
        <v>91504</v>
      </c>
      <c r="F869" s="12">
        <v>5305</v>
      </c>
    </row>
    <row r="870" spans="1:6">
      <c r="A870" t="s">
        <v>190</v>
      </c>
      <c r="B870" s="12" t="s">
        <v>207</v>
      </c>
      <c r="C870" s="12" t="s">
        <v>478</v>
      </c>
      <c r="D870" s="12">
        <v>1.8895348837209301E-2</v>
      </c>
      <c r="E870" s="12">
        <v>91504</v>
      </c>
      <c r="F870" s="12">
        <v>1729</v>
      </c>
    </row>
    <row r="871" spans="1:6">
      <c r="A871" t="s">
        <v>190</v>
      </c>
      <c r="B871" s="12" t="s">
        <v>207</v>
      </c>
      <c r="C871" s="12" t="s">
        <v>20</v>
      </c>
      <c r="D871" s="12">
        <v>1.6228798741038643E-2</v>
      </c>
      <c r="E871" s="12">
        <v>91504</v>
      </c>
      <c r="F871" s="12">
        <v>1485</v>
      </c>
    </row>
    <row r="872" spans="1:6">
      <c r="A872" t="s">
        <v>190</v>
      </c>
      <c r="B872" s="12" t="s">
        <v>208</v>
      </c>
      <c r="C872" s="12" t="s">
        <v>480</v>
      </c>
      <c r="D872" s="12">
        <v>0.43617709065354882</v>
      </c>
      <c r="E872" s="12">
        <v>35575</v>
      </c>
      <c r="F872" s="12">
        <v>15517</v>
      </c>
    </row>
    <row r="873" spans="1:6">
      <c r="A873" t="s">
        <v>190</v>
      </c>
      <c r="B873" s="12" t="s">
        <v>208</v>
      </c>
      <c r="C873" s="12" t="s">
        <v>479</v>
      </c>
      <c r="D873" s="12">
        <v>0.37669711876317641</v>
      </c>
      <c r="E873" s="12">
        <v>35575</v>
      </c>
      <c r="F873" s="12">
        <v>13401</v>
      </c>
    </row>
    <row r="874" spans="1:6">
      <c r="A874" t="s">
        <v>190</v>
      </c>
      <c r="B874" s="12" t="s">
        <v>208</v>
      </c>
      <c r="C874" s="12" t="s">
        <v>22</v>
      </c>
      <c r="D874" s="12">
        <v>0.10288123682361208</v>
      </c>
      <c r="E874" s="12">
        <v>35575</v>
      </c>
      <c r="F874" s="12">
        <v>3660</v>
      </c>
    </row>
    <row r="875" spans="1:6">
      <c r="A875" t="s">
        <v>190</v>
      </c>
      <c r="B875" s="12" t="s">
        <v>208</v>
      </c>
      <c r="C875" s="12" t="s">
        <v>478</v>
      </c>
      <c r="D875" s="12">
        <v>4.0421644413211527E-2</v>
      </c>
      <c r="E875" s="12">
        <v>35575</v>
      </c>
      <c r="F875" s="12">
        <v>1438</v>
      </c>
    </row>
    <row r="876" spans="1:6">
      <c r="A876" t="s">
        <v>190</v>
      </c>
      <c r="B876" s="12" t="s">
        <v>208</v>
      </c>
      <c r="C876" s="12" t="s">
        <v>20</v>
      </c>
      <c r="D876" s="12">
        <v>4.3879128601546032E-2</v>
      </c>
      <c r="E876" s="12">
        <v>35575</v>
      </c>
      <c r="F876" s="12">
        <v>1561</v>
      </c>
    </row>
    <row r="877" spans="1:6">
      <c r="A877" t="s">
        <v>190</v>
      </c>
      <c r="B877" s="12" t="s">
        <v>209</v>
      </c>
      <c r="C877" s="12" t="s">
        <v>480</v>
      </c>
      <c r="D877" s="12">
        <v>0.57129348944572689</v>
      </c>
      <c r="E877" s="12">
        <v>71914</v>
      </c>
      <c r="F877" s="12">
        <v>41084</v>
      </c>
    </row>
    <row r="878" spans="1:6">
      <c r="A878" t="s">
        <v>190</v>
      </c>
      <c r="B878" s="12" t="s">
        <v>209</v>
      </c>
      <c r="C878" s="12" t="s">
        <v>479</v>
      </c>
      <c r="D878" s="12">
        <v>0.32925438718469285</v>
      </c>
      <c r="E878" s="12">
        <v>71914</v>
      </c>
      <c r="F878" s="12">
        <v>23678</v>
      </c>
    </row>
    <row r="879" spans="1:6">
      <c r="A879" t="s">
        <v>190</v>
      </c>
      <c r="B879" s="12" t="s">
        <v>209</v>
      </c>
      <c r="C879" s="12" t="s">
        <v>22</v>
      </c>
      <c r="D879" s="12">
        <v>6.0169090858525461E-2</v>
      </c>
      <c r="E879" s="12">
        <v>71914</v>
      </c>
      <c r="F879" s="12">
        <v>4327</v>
      </c>
    </row>
    <row r="880" spans="1:6">
      <c r="A880" t="s">
        <v>190</v>
      </c>
      <c r="B880" s="12" t="s">
        <v>209</v>
      </c>
      <c r="C880" s="12" t="s">
        <v>478</v>
      </c>
      <c r="D880" s="12">
        <v>2.0566231888088551E-2</v>
      </c>
      <c r="E880" s="12">
        <v>71914</v>
      </c>
      <c r="F880" s="12">
        <v>1479</v>
      </c>
    </row>
    <row r="881" spans="1:6">
      <c r="A881" t="s">
        <v>190</v>
      </c>
      <c r="B881" s="12" t="s">
        <v>209</v>
      </c>
      <c r="C881" s="12" t="s">
        <v>20</v>
      </c>
      <c r="D881" s="12">
        <v>1.8675084128264317E-2</v>
      </c>
      <c r="E881" s="12">
        <v>71914</v>
      </c>
      <c r="F881" s="12">
        <v>1343</v>
      </c>
    </row>
    <row r="882" spans="1:6">
      <c r="A882" t="s">
        <v>190</v>
      </c>
      <c r="B882" s="12" t="s">
        <v>210</v>
      </c>
      <c r="C882" s="12" t="s">
        <v>480</v>
      </c>
      <c r="D882" s="12">
        <v>0.45897992549114203</v>
      </c>
      <c r="E882" s="12">
        <v>37311</v>
      </c>
      <c r="F882" s="12">
        <v>17125</v>
      </c>
    </row>
    <row r="883" spans="1:6">
      <c r="A883" t="s">
        <v>190</v>
      </c>
      <c r="B883" s="12" t="s">
        <v>210</v>
      </c>
      <c r="C883" s="12" t="s">
        <v>479</v>
      </c>
      <c r="D883" s="12">
        <v>0.38583795663477261</v>
      </c>
      <c r="E883" s="12">
        <v>37311</v>
      </c>
      <c r="F883" s="12">
        <v>14396</v>
      </c>
    </row>
    <row r="884" spans="1:6">
      <c r="A884" t="s">
        <v>190</v>
      </c>
      <c r="B884" s="12" t="s">
        <v>210</v>
      </c>
      <c r="C884" s="12" t="s">
        <v>22</v>
      </c>
      <c r="D884" s="12">
        <v>9.3002063734555496E-2</v>
      </c>
      <c r="E884" s="12">
        <v>37311</v>
      </c>
      <c r="F884" s="12">
        <v>3470</v>
      </c>
    </row>
    <row r="885" spans="1:6">
      <c r="A885" t="s">
        <v>190</v>
      </c>
      <c r="B885" s="12" t="s">
        <v>210</v>
      </c>
      <c r="C885" s="12" t="s">
        <v>478</v>
      </c>
      <c r="D885" s="12">
        <v>3.2108493473774487E-2</v>
      </c>
      <c r="E885" s="12">
        <v>37311</v>
      </c>
      <c r="F885" s="12">
        <v>1198</v>
      </c>
    </row>
    <row r="886" spans="1:6">
      <c r="A886" t="s">
        <v>190</v>
      </c>
      <c r="B886" s="12" t="s">
        <v>210</v>
      </c>
      <c r="C886" s="12" t="s">
        <v>20</v>
      </c>
      <c r="D886" s="12">
        <v>3.0151965908177213E-2</v>
      </c>
      <c r="E886" s="12">
        <v>37311</v>
      </c>
      <c r="F886" s="12">
        <v>1125</v>
      </c>
    </row>
    <row r="887" spans="1:6">
      <c r="A887" t="s">
        <v>190</v>
      </c>
      <c r="B887" s="12" t="s">
        <v>211</v>
      </c>
      <c r="C887" s="12" t="s">
        <v>480</v>
      </c>
      <c r="D887" s="12">
        <v>0.50749986462338226</v>
      </c>
      <c r="E887" s="12">
        <v>55401</v>
      </c>
      <c r="F887" s="12">
        <v>28116</v>
      </c>
    </row>
    <row r="888" spans="1:6">
      <c r="A888" t="s">
        <v>190</v>
      </c>
      <c r="B888" s="12" t="s">
        <v>211</v>
      </c>
      <c r="C888" s="12" t="s">
        <v>479</v>
      </c>
      <c r="D888" s="12">
        <v>0.36190682478655622</v>
      </c>
      <c r="E888" s="12">
        <v>55401</v>
      </c>
      <c r="F888" s="12">
        <v>20050</v>
      </c>
    </row>
    <row r="889" spans="1:6">
      <c r="A889" t="s">
        <v>190</v>
      </c>
      <c r="B889" s="12" t="s">
        <v>211</v>
      </c>
      <c r="C889" s="12" t="s">
        <v>22</v>
      </c>
      <c r="D889" s="12">
        <v>7.8337936138336853E-2</v>
      </c>
      <c r="E889" s="12">
        <v>55401</v>
      </c>
      <c r="F889" s="12">
        <v>4340</v>
      </c>
    </row>
    <row r="890" spans="1:6">
      <c r="A890" t="s">
        <v>190</v>
      </c>
      <c r="B890" s="12" t="s">
        <v>211</v>
      </c>
      <c r="C890" s="12" t="s">
        <v>478</v>
      </c>
      <c r="D890" s="12">
        <v>2.7689030883919063E-2</v>
      </c>
      <c r="E890" s="12">
        <v>55401</v>
      </c>
      <c r="F890" s="12">
        <v>1534</v>
      </c>
    </row>
    <row r="891" spans="1:6">
      <c r="A891" t="s">
        <v>190</v>
      </c>
      <c r="B891" s="12" t="s">
        <v>211</v>
      </c>
      <c r="C891" s="12" t="s">
        <v>20</v>
      </c>
      <c r="D891" s="12">
        <v>2.4458042273605169E-2</v>
      </c>
      <c r="E891" s="12">
        <v>55401</v>
      </c>
      <c r="F891" s="12">
        <v>1355</v>
      </c>
    </row>
    <row r="892" spans="1:6">
      <c r="A892" t="s">
        <v>190</v>
      </c>
      <c r="B892" s="12" t="s">
        <v>212</v>
      </c>
      <c r="C892" s="12" t="s">
        <v>480</v>
      </c>
      <c r="D892" s="12">
        <v>0.52014259216322745</v>
      </c>
      <c r="E892" s="12">
        <v>34504</v>
      </c>
      <c r="F892" s="12">
        <v>17947</v>
      </c>
    </row>
    <row r="893" spans="1:6">
      <c r="A893" t="s">
        <v>190</v>
      </c>
      <c r="B893" s="12" t="s">
        <v>212</v>
      </c>
      <c r="C893" s="12" t="s">
        <v>479</v>
      </c>
      <c r="D893" s="12">
        <v>0.35813239044748435</v>
      </c>
      <c r="E893" s="12">
        <v>34504</v>
      </c>
      <c r="F893" s="12">
        <v>12357</v>
      </c>
    </row>
    <row r="894" spans="1:6">
      <c r="A894" t="s">
        <v>190</v>
      </c>
      <c r="B894" s="12" t="s">
        <v>212</v>
      </c>
      <c r="C894" s="12" t="s">
        <v>22</v>
      </c>
      <c r="D894" s="12">
        <v>7.3063992580570364E-2</v>
      </c>
      <c r="E894" s="12">
        <v>34504</v>
      </c>
      <c r="F894" s="12">
        <v>2521</v>
      </c>
    </row>
    <row r="895" spans="1:6">
      <c r="A895" t="s">
        <v>190</v>
      </c>
      <c r="B895" s="12" t="s">
        <v>212</v>
      </c>
      <c r="C895" s="12" t="s">
        <v>478</v>
      </c>
      <c r="D895" s="12">
        <v>2.5562253651750522E-2</v>
      </c>
      <c r="E895" s="12">
        <v>34504</v>
      </c>
      <c r="F895" s="12">
        <v>882</v>
      </c>
    </row>
    <row r="896" spans="1:6">
      <c r="A896" t="s">
        <v>190</v>
      </c>
      <c r="B896" s="12" t="s">
        <v>212</v>
      </c>
      <c r="C896" s="12" t="s">
        <v>20</v>
      </c>
      <c r="D896" s="12">
        <v>2.3098771156967308E-2</v>
      </c>
      <c r="E896" s="12">
        <v>34504</v>
      </c>
      <c r="F896" s="12">
        <v>797</v>
      </c>
    </row>
    <row r="897" spans="1:6">
      <c r="A897" t="s">
        <v>190</v>
      </c>
      <c r="B897" s="12" t="s">
        <v>214</v>
      </c>
      <c r="C897" s="12" t="s">
        <v>480</v>
      </c>
      <c r="D897" s="12">
        <v>0.47085306217495926</v>
      </c>
      <c r="E897" s="12">
        <v>38649</v>
      </c>
      <c r="F897" s="12">
        <v>18198</v>
      </c>
    </row>
    <row r="898" spans="1:6">
      <c r="A898" t="s">
        <v>190</v>
      </c>
      <c r="B898" s="12" t="s">
        <v>214</v>
      </c>
      <c r="C898" s="12" t="s">
        <v>479</v>
      </c>
      <c r="D898" s="12">
        <v>0.37566301844808403</v>
      </c>
      <c r="E898" s="12">
        <v>38649</v>
      </c>
      <c r="F898" s="12">
        <v>14519</v>
      </c>
    </row>
    <row r="899" spans="1:6">
      <c r="A899" t="s">
        <v>190</v>
      </c>
      <c r="B899" s="12" t="s">
        <v>214</v>
      </c>
      <c r="C899" s="12" t="s">
        <v>22</v>
      </c>
      <c r="D899" s="12">
        <v>8.8178219358844984E-2</v>
      </c>
      <c r="E899" s="12">
        <v>38649</v>
      </c>
      <c r="F899" s="12">
        <v>3408</v>
      </c>
    </row>
    <row r="900" spans="1:6">
      <c r="A900" t="s">
        <v>190</v>
      </c>
      <c r="B900" s="12" t="s">
        <v>214</v>
      </c>
      <c r="C900" s="12" t="s">
        <v>478</v>
      </c>
      <c r="D900" s="12">
        <v>3.2937462806282181E-2</v>
      </c>
      <c r="E900" s="12">
        <v>38649</v>
      </c>
      <c r="F900" s="12">
        <v>1273</v>
      </c>
    </row>
    <row r="901" spans="1:6">
      <c r="A901" t="s">
        <v>190</v>
      </c>
      <c r="B901" s="12" t="s">
        <v>214</v>
      </c>
      <c r="C901" s="12" t="s">
        <v>20</v>
      </c>
      <c r="D901" s="12">
        <v>3.2212993867887917E-2</v>
      </c>
      <c r="E901" s="12">
        <v>38649</v>
      </c>
      <c r="F901" s="12">
        <v>1245</v>
      </c>
    </row>
    <row r="902" spans="1:6">
      <c r="A902" t="s">
        <v>1012</v>
      </c>
      <c r="B902" s="12" t="s">
        <v>215</v>
      </c>
      <c r="C902" s="12" t="s">
        <v>480</v>
      </c>
      <c r="D902" s="12">
        <v>0.55082621844246549</v>
      </c>
      <c r="E902" s="12">
        <v>119702</v>
      </c>
      <c r="F902" s="12">
        <v>65935</v>
      </c>
    </row>
    <row r="903" spans="1:6">
      <c r="A903" t="s">
        <v>1012</v>
      </c>
      <c r="B903" s="12" t="s">
        <v>215</v>
      </c>
      <c r="C903" s="12" t="s">
        <v>479</v>
      </c>
      <c r="D903" s="12">
        <v>0.33915891129638603</v>
      </c>
      <c r="E903" s="12">
        <v>119702</v>
      </c>
      <c r="F903" s="12">
        <v>40598</v>
      </c>
    </row>
    <row r="904" spans="1:6">
      <c r="A904" t="s">
        <v>1012</v>
      </c>
      <c r="B904" s="12" t="s">
        <v>215</v>
      </c>
      <c r="C904" s="12" t="s">
        <v>22</v>
      </c>
      <c r="D904" s="12">
        <v>6.834472272810814E-2</v>
      </c>
      <c r="E904" s="12">
        <v>119702</v>
      </c>
      <c r="F904" s="12">
        <v>8181</v>
      </c>
    </row>
    <row r="905" spans="1:6">
      <c r="A905" t="s">
        <v>1012</v>
      </c>
      <c r="B905" s="12" t="s">
        <v>215</v>
      </c>
      <c r="C905" s="12" t="s">
        <v>478</v>
      </c>
      <c r="D905" s="12">
        <v>2.1946166313010645E-2</v>
      </c>
      <c r="E905" s="12">
        <v>119702</v>
      </c>
      <c r="F905" s="12">
        <v>2627</v>
      </c>
    </row>
    <row r="906" spans="1:6">
      <c r="A906" t="s">
        <v>1012</v>
      </c>
      <c r="B906" s="12" t="s">
        <v>215</v>
      </c>
      <c r="C906" s="12" t="s">
        <v>20</v>
      </c>
      <c r="D906" s="12">
        <v>1.9707273061435899E-2</v>
      </c>
      <c r="E906" s="12">
        <v>119702</v>
      </c>
      <c r="F906" s="12">
        <v>2359</v>
      </c>
    </row>
    <row r="907" spans="1:6">
      <c r="A907" t="s">
        <v>1012</v>
      </c>
      <c r="B907" s="12" t="s">
        <v>216</v>
      </c>
      <c r="C907" s="12" t="s">
        <v>480</v>
      </c>
      <c r="D907" s="12">
        <v>0.44386886082857635</v>
      </c>
      <c r="E907" s="12">
        <v>227209</v>
      </c>
      <c r="F907" s="12">
        <v>100851</v>
      </c>
    </row>
    <row r="908" spans="1:6">
      <c r="A908" t="s">
        <v>1012</v>
      </c>
      <c r="B908" s="12" t="s">
        <v>216</v>
      </c>
      <c r="C908" s="12" t="s">
        <v>479</v>
      </c>
      <c r="D908" s="12">
        <v>0.38292057092808823</v>
      </c>
      <c r="E908" s="12">
        <v>227209</v>
      </c>
      <c r="F908" s="12">
        <v>87003</v>
      </c>
    </row>
    <row r="909" spans="1:6">
      <c r="A909" t="s">
        <v>1012</v>
      </c>
      <c r="B909" s="12" t="s">
        <v>216</v>
      </c>
      <c r="C909" s="12" t="s">
        <v>22</v>
      </c>
      <c r="D909" s="12">
        <v>9.7839434177343323E-2</v>
      </c>
      <c r="E909" s="12">
        <v>227209</v>
      </c>
      <c r="F909" s="12">
        <v>22230</v>
      </c>
    </row>
    <row r="910" spans="1:6">
      <c r="A910" t="s">
        <v>1012</v>
      </c>
      <c r="B910" s="12" t="s">
        <v>216</v>
      </c>
      <c r="C910" s="12" t="s">
        <v>478</v>
      </c>
      <c r="D910" s="12">
        <v>3.7568934329185906E-2</v>
      </c>
      <c r="E910" s="12">
        <v>227209</v>
      </c>
      <c r="F910" s="12">
        <v>8536</v>
      </c>
    </row>
    <row r="911" spans="1:6">
      <c r="A911" t="s">
        <v>1012</v>
      </c>
      <c r="B911" s="12" t="s">
        <v>216</v>
      </c>
      <c r="C911" s="12" t="s">
        <v>20</v>
      </c>
      <c r="D911" s="12">
        <v>3.7824205907336414E-2</v>
      </c>
      <c r="E911" s="12">
        <v>227209</v>
      </c>
      <c r="F911" s="12">
        <v>8594</v>
      </c>
    </row>
    <row r="912" spans="1:6">
      <c r="A912" t="s">
        <v>1012</v>
      </c>
      <c r="B912" s="12" t="s">
        <v>217</v>
      </c>
      <c r="C912" s="12" t="s">
        <v>480</v>
      </c>
      <c r="D912" s="12">
        <v>0.52668957701975927</v>
      </c>
      <c r="E912" s="12">
        <v>270911</v>
      </c>
      <c r="F912" s="12">
        <v>142686</v>
      </c>
    </row>
    <row r="913" spans="1:6">
      <c r="A913" t="s">
        <v>1012</v>
      </c>
      <c r="B913" s="12" t="s">
        <v>217</v>
      </c>
      <c r="C913" s="12" t="s">
        <v>479</v>
      </c>
      <c r="D913" s="12">
        <v>0.34912941888664545</v>
      </c>
      <c r="E913" s="12">
        <v>270911</v>
      </c>
      <c r="F913" s="12">
        <v>94583</v>
      </c>
    </row>
    <row r="914" spans="1:6">
      <c r="A914" t="s">
        <v>1012</v>
      </c>
      <c r="B914" s="12" t="s">
        <v>217</v>
      </c>
      <c r="C914" s="12" t="s">
        <v>22</v>
      </c>
      <c r="D914" s="12">
        <v>7.6113557589023703E-2</v>
      </c>
      <c r="E914" s="12">
        <v>270911</v>
      </c>
      <c r="F914" s="12">
        <v>20620</v>
      </c>
    </row>
    <row r="915" spans="1:6">
      <c r="A915" t="s">
        <v>1012</v>
      </c>
      <c r="B915" s="12" t="s">
        <v>217</v>
      </c>
      <c r="C915" s="12" t="s">
        <v>478</v>
      </c>
      <c r="D915" s="12">
        <v>2.5617269140049685E-2</v>
      </c>
      <c r="E915" s="12">
        <v>270911</v>
      </c>
      <c r="F915" s="12">
        <v>6940</v>
      </c>
    </row>
    <row r="916" spans="1:6">
      <c r="A916" t="s">
        <v>1012</v>
      </c>
      <c r="B916" s="12" t="s">
        <v>217</v>
      </c>
      <c r="C916" s="12" t="s">
        <v>20</v>
      </c>
      <c r="D916" s="12">
        <v>2.2464942361144435E-2</v>
      </c>
      <c r="E916" s="12">
        <v>270911</v>
      </c>
      <c r="F916" s="12">
        <v>6086</v>
      </c>
    </row>
    <row r="917" spans="1:6">
      <c r="A917" t="s">
        <v>1012</v>
      </c>
      <c r="B917" s="12" t="s">
        <v>218</v>
      </c>
      <c r="C917" s="12" t="s">
        <v>480</v>
      </c>
      <c r="D917" s="12">
        <v>0.42704177748226951</v>
      </c>
      <c r="E917" s="12">
        <v>72192</v>
      </c>
      <c r="F917" s="12">
        <v>30829</v>
      </c>
    </row>
    <row r="918" spans="1:6">
      <c r="A918" t="s">
        <v>1012</v>
      </c>
      <c r="B918" s="12" t="s">
        <v>218</v>
      </c>
      <c r="C918" s="12" t="s">
        <v>479</v>
      </c>
      <c r="D918" s="12">
        <v>0.37545711436170215</v>
      </c>
      <c r="E918" s="12">
        <v>72192</v>
      </c>
      <c r="F918" s="12">
        <v>27105</v>
      </c>
    </row>
    <row r="919" spans="1:6">
      <c r="A919" t="s">
        <v>1012</v>
      </c>
      <c r="B919" s="12" t="s">
        <v>218</v>
      </c>
      <c r="C919" s="12" t="s">
        <v>22</v>
      </c>
      <c r="D919" s="12">
        <v>0.11437555407801418</v>
      </c>
      <c r="E919" s="12">
        <v>72192</v>
      </c>
      <c r="F919" s="12">
        <v>8257</v>
      </c>
    </row>
    <row r="920" spans="1:6">
      <c r="A920" t="s">
        <v>1012</v>
      </c>
      <c r="B920" s="12" t="s">
        <v>218</v>
      </c>
      <c r="C920" s="12" t="s">
        <v>478</v>
      </c>
      <c r="D920" s="12">
        <v>4.2303856382978726E-2</v>
      </c>
      <c r="E920" s="12">
        <v>72192</v>
      </c>
      <c r="F920" s="12">
        <v>3054</v>
      </c>
    </row>
    <row r="921" spans="1:6">
      <c r="A921" t="s">
        <v>1012</v>
      </c>
      <c r="B921" s="12" t="s">
        <v>218</v>
      </c>
      <c r="C921" s="12" t="s">
        <v>20</v>
      </c>
      <c r="D921" s="12">
        <v>4.0821697695035464E-2</v>
      </c>
      <c r="E921" s="12">
        <v>72192</v>
      </c>
      <c r="F921" s="12">
        <v>2947</v>
      </c>
    </row>
    <row r="922" spans="1:6">
      <c r="A922" t="s">
        <v>1012</v>
      </c>
      <c r="B922" s="12" t="s">
        <v>219</v>
      </c>
      <c r="C922" s="12" t="s">
        <v>480</v>
      </c>
      <c r="D922" s="12">
        <v>0.42730741419828011</v>
      </c>
      <c r="E922" s="12">
        <v>309784</v>
      </c>
      <c r="F922" s="12">
        <v>132373</v>
      </c>
    </row>
    <row r="923" spans="1:6">
      <c r="A923" t="s">
        <v>1012</v>
      </c>
      <c r="B923" s="12" t="s">
        <v>219</v>
      </c>
      <c r="C923" s="12" t="s">
        <v>479</v>
      </c>
      <c r="D923" s="12">
        <v>0.38725369935180642</v>
      </c>
      <c r="E923" s="12">
        <v>309784</v>
      </c>
      <c r="F923" s="12">
        <v>119965</v>
      </c>
    </row>
    <row r="924" spans="1:6">
      <c r="A924" t="s">
        <v>1012</v>
      </c>
      <c r="B924" s="12" t="s">
        <v>219</v>
      </c>
      <c r="C924" s="12" t="s">
        <v>22</v>
      </c>
      <c r="D924" s="12">
        <v>0.1055897012111665</v>
      </c>
      <c r="E924" s="12">
        <v>309784</v>
      </c>
      <c r="F924" s="12">
        <v>32710</v>
      </c>
    </row>
    <row r="925" spans="1:6">
      <c r="A925" t="s">
        <v>1012</v>
      </c>
      <c r="B925" s="12" t="s">
        <v>219</v>
      </c>
      <c r="C925" s="12" t="s">
        <v>478</v>
      </c>
      <c r="D925" s="12">
        <v>4.0673501536554503E-2</v>
      </c>
      <c r="E925" s="12">
        <v>309784</v>
      </c>
      <c r="F925" s="12">
        <v>12600</v>
      </c>
    </row>
    <row r="926" spans="1:6">
      <c r="A926" t="s">
        <v>1012</v>
      </c>
      <c r="B926" s="12" t="s">
        <v>219</v>
      </c>
      <c r="C926" s="12" t="s">
        <v>20</v>
      </c>
      <c r="D926" s="12">
        <v>3.9172455646514989E-2</v>
      </c>
      <c r="E926" s="12">
        <v>309784</v>
      </c>
      <c r="F926" s="12">
        <v>12135</v>
      </c>
    </row>
    <row r="927" spans="1:6">
      <c r="A927" t="s">
        <v>1012</v>
      </c>
      <c r="B927" s="12" t="s">
        <v>220</v>
      </c>
      <c r="C927" s="12" t="s">
        <v>480</v>
      </c>
      <c r="D927" s="12">
        <v>0.44128195828511885</v>
      </c>
      <c r="E927" s="12">
        <v>173703</v>
      </c>
      <c r="F927" s="12">
        <v>76652</v>
      </c>
    </row>
    <row r="928" spans="1:6">
      <c r="A928" t="s">
        <v>1012</v>
      </c>
      <c r="B928" s="12" t="s">
        <v>220</v>
      </c>
      <c r="C928" s="12" t="s">
        <v>479</v>
      </c>
      <c r="D928" s="12">
        <v>0.37714374535845668</v>
      </c>
      <c r="E928" s="12">
        <v>173703</v>
      </c>
      <c r="F928" s="12">
        <v>65511</v>
      </c>
    </row>
    <row r="929" spans="1:6">
      <c r="A929" t="s">
        <v>1012</v>
      </c>
      <c r="B929" s="12" t="s">
        <v>220</v>
      </c>
      <c r="C929" s="12" t="s">
        <v>22</v>
      </c>
      <c r="D929" s="12">
        <v>0.103492743360794</v>
      </c>
      <c r="E929" s="12">
        <v>173703</v>
      </c>
      <c r="F929" s="12">
        <v>17977</v>
      </c>
    </row>
    <row r="930" spans="1:6">
      <c r="A930" t="s">
        <v>1012</v>
      </c>
      <c r="B930" s="12" t="s">
        <v>220</v>
      </c>
      <c r="C930" s="12" t="s">
        <v>478</v>
      </c>
      <c r="D930" s="12">
        <v>4.0275642907721801E-2</v>
      </c>
      <c r="E930" s="12">
        <v>173703</v>
      </c>
      <c r="F930" s="12">
        <v>6996</v>
      </c>
    </row>
    <row r="931" spans="1:6">
      <c r="A931" t="s">
        <v>1012</v>
      </c>
      <c r="B931" s="12" t="s">
        <v>220</v>
      </c>
      <c r="C931" s="12" t="s">
        <v>20</v>
      </c>
      <c r="D931" s="12">
        <v>3.7828937899748422E-2</v>
      </c>
      <c r="E931" s="12">
        <v>173703</v>
      </c>
      <c r="F931" s="12">
        <v>6571</v>
      </c>
    </row>
    <row r="932" spans="1:6">
      <c r="A932" t="s">
        <v>1012</v>
      </c>
      <c r="B932" s="12" t="s">
        <v>221</v>
      </c>
      <c r="C932" s="12" t="s">
        <v>480</v>
      </c>
      <c r="D932" s="12">
        <v>0.43787686123302844</v>
      </c>
      <c r="E932" s="12">
        <v>170653</v>
      </c>
      <c r="F932" s="12">
        <v>74725</v>
      </c>
    </row>
    <row r="933" spans="1:6">
      <c r="A933" t="s">
        <v>1012</v>
      </c>
      <c r="B933" s="12" t="s">
        <v>221</v>
      </c>
      <c r="C933" s="12" t="s">
        <v>479</v>
      </c>
      <c r="D933" s="12">
        <v>0.3852730394426116</v>
      </c>
      <c r="E933" s="12">
        <v>170653</v>
      </c>
      <c r="F933" s="12">
        <v>65748</v>
      </c>
    </row>
    <row r="934" spans="1:6">
      <c r="A934" t="s">
        <v>1012</v>
      </c>
      <c r="B934" s="12" t="s">
        <v>221</v>
      </c>
      <c r="C934" s="12" t="s">
        <v>22</v>
      </c>
      <c r="D934" s="12">
        <v>0.10029123425899339</v>
      </c>
      <c r="E934" s="12">
        <v>170653</v>
      </c>
      <c r="F934" s="12">
        <v>17115</v>
      </c>
    </row>
    <row r="935" spans="1:6">
      <c r="A935" t="s">
        <v>1012</v>
      </c>
      <c r="B935" s="12" t="s">
        <v>221</v>
      </c>
      <c r="C935" s="12" t="s">
        <v>478</v>
      </c>
      <c r="D935" s="12">
        <v>3.8393699495467414E-2</v>
      </c>
      <c r="E935" s="12">
        <v>170653</v>
      </c>
      <c r="F935" s="12">
        <v>6552</v>
      </c>
    </row>
    <row r="936" spans="1:6">
      <c r="A936" t="s">
        <v>1012</v>
      </c>
      <c r="B936" s="12" t="s">
        <v>221</v>
      </c>
      <c r="C936" s="12" t="s">
        <v>20</v>
      </c>
      <c r="D936" s="12">
        <v>3.8182745102635175E-2</v>
      </c>
      <c r="E936" s="12">
        <v>170653</v>
      </c>
      <c r="F936" s="12">
        <v>6516</v>
      </c>
    </row>
    <row r="937" spans="1:6">
      <c r="A937" t="s">
        <v>1012</v>
      </c>
      <c r="B937" s="12" t="s">
        <v>222</v>
      </c>
      <c r="C937" s="12" t="s">
        <v>480</v>
      </c>
      <c r="D937" s="12">
        <v>0.4299551489256993</v>
      </c>
      <c r="E937" s="12">
        <v>89407</v>
      </c>
      <c r="F937" s="12">
        <v>38441</v>
      </c>
    </row>
    <row r="938" spans="1:6">
      <c r="A938" t="s">
        <v>1012</v>
      </c>
      <c r="B938" s="12" t="s">
        <v>222</v>
      </c>
      <c r="C938" s="12" t="s">
        <v>479</v>
      </c>
      <c r="D938" s="12">
        <v>0.36685047032111578</v>
      </c>
      <c r="E938" s="12">
        <v>89407</v>
      </c>
      <c r="F938" s="12">
        <v>32799</v>
      </c>
    </row>
    <row r="939" spans="1:6">
      <c r="A939" t="s">
        <v>1012</v>
      </c>
      <c r="B939" s="12" t="s">
        <v>222</v>
      </c>
      <c r="C939" s="12" t="s">
        <v>22</v>
      </c>
      <c r="D939" s="12">
        <v>0.10622210788864407</v>
      </c>
      <c r="E939" s="12">
        <v>89407</v>
      </c>
      <c r="F939" s="12">
        <v>9497</v>
      </c>
    </row>
    <row r="940" spans="1:6">
      <c r="A940" t="s">
        <v>1012</v>
      </c>
      <c r="B940" s="12" t="s">
        <v>222</v>
      </c>
      <c r="C940" s="12" t="s">
        <v>478</v>
      </c>
      <c r="D940" s="12">
        <v>4.5320836176138336E-2</v>
      </c>
      <c r="E940" s="12">
        <v>89407</v>
      </c>
      <c r="F940" s="12">
        <v>4052</v>
      </c>
    </row>
    <row r="941" spans="1:6">
      <c r="A941" t="s">
        <v>1012</v>
      </c>
      <c r="B941" s="12" t="s">
        <v>222</v>
      </c>
      <c r="C941" s="12" t="s">
        <v>20</v>
      </c>
      <c r="D941" s="12">
        <v>5.1595512655608619E-2</v>
      </c>
      <c r="E941" s="12">
        <v>89407</v>
      </c>
      <c r="F941" s="12">
        <v>4613</v>
      </c>
    </row>
    <row r="942" spans="1:6">
      <c r="A942" t="s">
        <v>1012</v>
      </c>
      <c r="B942" s="12" t="s">
        <v>223</v>
      </c>
      <c r="C942" s="12" t="s">
        <v>480</v>
      </c>
      <c r="D942" s="12">
        <v>0.44394512468373931</v>
      </c>
      <c r="E942" s="12">
        <v>3427552</v>
      </c>
      <c r="F942" s="12">
        <v>1521645</v>
      </c>
    </row>
    <row r="943" spans="1:6">
      <c r="A943" t="s">
        <v>1012</v>
      </c>
      <c r="B943" s="12" t="s">
        <v>223</v>
      </c>
      <c r="C943" s="12" t="s">
        <v>479</v>
      </c>
      <c r="D943" s="12">
        <v>0.39527802933405531</v>
      </c>
      <c r="E943" s="12">
        <v>3427552</v>
      </c>
      <c r="F943" s="12">
        <v>1354836</v>
      </c>
    </row>
    <row r="944" spans="1:6">
      <c r="A944" t="s">
        <v>1012</v>
      </c>
      <c r="B944" s="12" t="s">
        <v>223</v>
      </c>
      <c r="C944" s="12" t="s">
        <v>22</v>
      </c>
      <c r="D944" s="12">
        <v>9.7584515129165078E-2</v>
      </c>
      <c r="E944" s="12">
        <v>3427552</v>
      </c>
      <c r="F944" s="12">
        <v>334476</v>
      </c>
    </row>
    <row r="945" spans="1:6">
      <c r="A945" t="s">
        <v>1012</v>
      </c>
      <c r="B945" s="12" t="s">
        <v>223</v>
      </c>
      <c r="C945" s="12" t="s">
        <v>478</v>
      </c>
      <c r="D945" s="12">
        <v>3.4011446069964806E-2</v>
      </c>
      <c r="E945" s="12">
        <v>3427552</v>
      </c>
      <c r="F945" s="12">
        <v>116576</v>
      </c>
    </row>
    <row r="946" spans="1:6">
      <c r="A946" t="s">
        <v>1012</v>
      </c>
      <c r="B946" s="12" t="s">
        <v>223</v>
      </c>
      <c r="C946" s="12" t="s">
        <v>20</v>
      </c>
      <c r="D946" s="12">
        <v>2.9180009522831455E-2</v>
      </c>
      <c r="E946" s="12">
        <v>3427552</v>
      </c>
      <c r="F946" s="12">
        <v>100016</v>
      </c>
    </row>
    <row r="947" spans="1:6">
      <c r="A947" t="s">
        <v>1012</v>
      </c>
      <c r="B947" s="12" t="s">
        <v>224</v>
      </c>
      <c r="C947" s="12" t="s">
        <v>480</v>
      </c>
      <c r="D947" s="12">
        <v>0.44185665475327035</v>
      </c>
      <c r="E947" s="12">
        <v>457748</v>
      </c>
      <c r="F947" s="12">
        <v>202259</v>
      </c>
    </row>
    <row r="948" spans="1:6">
      <c r="A948" t="s">
        <v>1012</v>
      </c>
      <c r="B948" s="12" t="s">
        <v>224</v>
      </c>
      <c r="C948" s="12" t="s">
        <v>479</v>
      </c>
      <c r="D948" s="12">
        <v>0.38738126654840654</v>
      </c>
      <c r="E948" s="12">
        <v>457748</v>
      </c>
      <c r="F948" s="12">
        <v>177323</v>
      </c>
    </row>
    <row r="949" spans="1:6">
      <c r="A949" t="s">
        <v>1012</v>
      </c>
      <c r="B949" s="12" t="s">
        <v>224</v>
      </c>
      <c r="C949" s="12" t="s">
        <v>22</v>
      </c>
      <c r="D949" s="12">
        <v>9.8923425116002689E-2</v>
      </c>
      <c r="E949" s="12">
        <v>457748</v>
      </c>
      <c r="F949" s="12">
        <v>45282</v>
      </c>
    </row>
    <row r="950" spans="1:6">
      <c r="A950" t="s">
        <v>1012</v>
      </c>
      <c r="B950" s="12" t="s">
        <v>224</v>
      </c>
      <c r="C950" s="12" t="s">
        <v>478</v>
      </c>
      <c r="D950" s="12">
        <v>3.7118676651782201E-2</v>
      </c>
      <c r="E950" s="12">
        <v>457748</v>
      </c>
      <c r="F950" s="12">
        <v>16991</v>
      </c>
    </row>
    <row r="951" spans="1:6">
      <c r="A951" t="s">
        <v>1012</v>
      </c>
      <c r="B951" s="12" t="s">
        <v>224</v>
      </c>
      <c r="C951" s="12" t="s">
        <v>20</v>
      </c>
      <c r="D951" s="12">
        <v>3.4704684673663236E-2</v>
      </c>
      <c r="E951" s="12">
        <v>457748</v>
      </c>
      <c r="F951" s="12">
        <v>15886</v>
      </c>
    </row>
    <row r="952" spans="1:6">
      <c r="A952" t="s">
        <v>1012</v>
      </c>
      <c r="B952" s="12" t="s">
        <v>225</v>
      </c>
      <c r="C952" s="12" t="s">
        <v>480</v>
      </c>
      <c r="D952" s="12">
        <v>0.46019090257429229</v>
      </c>
      <c r="E952" s="12">
        <v>159034</v>
      </c>
      <c r="F952" s="12">
        <v>73186</v>
      </c>
    </row>
    <row r="953" spans="1:6">
      <c r="A953" t="s">
        <v>1012</v>
      </c>
      <c r="B953" s="12" t="s">
        <v>225</v>
      </c>
      <c r="C953" s="12" t="s">
        <v>479</v>
      </c>
      <c r="D953" s="12">
        <v>0.39155778009733766</v>
      </c>
      <c r="E953" s="12">
        <v>159034</v>
      </c>
      <c r="F953" s="12">
        <v>62271</v>
      </c>
    </row>
    <row r="954" spans="1:6">
      <c r="A954" t="s">
        <v>1012</v>
      </c>
      <c r="B954" s="12" t="s">
        <v>225</v>
      </c>
      <c r="C954" s="12" t="s">
        <v>22</v>
      </c>
      <c r="D954" s="12">
        <v>9.0056214394406225E-2</v>
      </c>
      <c r="E954" s="12">
        <v>159034</v>
      </c>
      <c r="F954" s="12">
        <v>14322</v>
      </c>
    </row>
    <row r="955" spans="1:6">
      <c r="A955" t="s">
        <v>1012</v>
      </c>
      <c r="B955" s="12" t="s">
        <v>225</v>
      </c>
      <c r="C955" s="12" t="s">
        <v>478</v>
      </c>
      <c r="D955" s="12">
        <v>3.0961932668485983E-2</v>
      </c>
      <c r="E955" s="12">
        <v>159034</v>
      </c>
      <c r="F955" s="12">
        <v>4924</v>
      </c>
    </row>
    <row r="956" spans="1:6">
      <c r="A956" t="s">
        <v>1012</v>
      </c>
      <c r="B956" s="12" t="s">
        <v>225</v>
      </c>
      <c r="C956" s="12" t="s">
        <v>20</v>
      </c>
      <c r="D956" s="12">
        <v>2.7252034156218168E-2</v>
      </c>
      <c r="E956" s="12">
        <v>159034</v>
      </c>
      <c r="F956" s="12">
        <v>4334</v>
      </c>
    </row>
    <row r="957" spans="1:6">
      <c r="A957" t="s">
        <v>1012</v>
      </c>
      <c r="B957" s="12" t="s">
        <v>226</v>
      </c>
      <c r="C957" s="12" t="s">
        <v>480</v>
      </c>
      <c r="D957" s="12">
        <v>0.55657377836814292</v>
      </c>
      <c r="E957" s="12">
        <v>141532</v>
      </c>
      <c r="F957" s="12">
        <v>78773</v>
      </c>
    </row>
    <row r="958" spans="1:6">
      <c r="A958" t="s">
        <v>1012</v>
      </c>
      <c r="B958" s="12" t="s">
        <v>226</v>
      </c>
      <c r="C958" s="12" t="s">
        <v>479</v>
      </c>
      <c r="D958" s="12">
        <v>0.32938134132210384</v>
      </c>
      <c r="E958" s="12">
        <v>141532</v>
      </c>
      <c r="F958" s="12">
        <v>46618</v>
      </c>
    </row>
    <row r="959" spans="1:6">
      <c r="A959" t="s">
        <v>1012</v>
      </c>
      <c r="B959" s="12" t="s">
        <v>226</v>
      </c>
      <c r="C959" s="12" t="s">
        <v>22</v>
      </c>
      <c r="D959" s="12">
        <v>6.8182460503631692E-2</v>
      </c>
      <c r="E959" s="12">
        <v>141532</v>
      </c>
      <c r="F959" s="12">
        <v>9650</v>
      </c>
    </row>
    <row r="960" spans="1:6">
      <c r="A960" t="s">
        <v>1012</v>
      </c>
      <c r="B960" s="12" t="s">
        <v>226</v>
      </c>
      <c r="C960" s="12" t="s">
        <v>478</v>
      </c>
      <c r="D960" s="12">
        <v>2.41288189243422E-2</v>
      </c>
      <c r="E960" s="12">
        <v>141532</v>
      </c>
      <c r="F960" s="12">
        <v>3415</v>
      </c>
    </row>
    <row r="961" spans="1:6">
      <c r="A961" t="s">
        <v>1012</v>
      </c>
      <c r="B961" s="12" t="s">
        <v>226</v>
      </c>
      <c r="C961" s="12" t="s">
        <v>20</v>
      </c>
      <c r="D961" s="12">
        <v>2.1712404261933698E-2</v>
      </c>
      <c r="E961" s="12">
        <v>141532</v>
      </c>
      <c r="F961" s="12">
        <v>3073</v>
      </c>
    </row>
    <row r="962" spans="1:6">
      <c r="A962" t="s">
        <v>1012</v>
      </c>
      <c r="B962" s="12" t="s">
        <v>227</v>
      </c>
      <c r="C962" s="12" t="s">
        <v>480</v>
      </c>
      <c r="D962" s="12">
        <v>0.51762649512718106</v>
      </c>
      <c r="E962" s="12">
        <v>98403</v>
      </c>
      <c r="F962" s="12">
        <v>50936</v>
      </c>
    </row>
    <row r="963" spans="1:6">
      <c r="A963" t="s">
        <v>1012</v>
      </c>
      <c r="B963" s="12" t="s">
        <v>227</v>
      </c>
      <c r="C963" s="12" t="s">
        <v>479</v>
      </c>
      <c r="D963" s="12">
        <v>0.36008048535105636</v>
      </c>
      <c r="E963" s="12">
        <v>98403</v>
      </c>
      <c r="F963" s="12">
        <v>35433</v>
      </c>
    </row>
    <row r="964" spans="1:6">
      <c r="A964" t="s">
        <v>1012</v>
      </c>
      <c r="B964" s="12" t="s">
        <v>227</v>
      </c>
      <c r="C964" s="12" t="s">
        <v>22</v>
      </c>
      <c r="D964" s="12">
        <v>7.7213093096755184E-2</v>
      </c>
      <c r="E964" s="12">
        <v>98403</v>
      </c>
      <c r="F964" s="12">
        <v>7598</v>
      </c>
    </row>
    <row r="965" spans="1:6">
      <c r="A965" t="s">
        <v>1012</v>
      </c>
      <c r="B965" s="12" t="s">
        <v>227</v>
      </c>
      <c r="C965" s="12" t="s">
        <v>478</v>
      </c>
      <c r="D965" s="12">
        <v>2.464355761511336E-2</v>
      </c>
      <c r="E965" s="12">
        <v>98403</v>
      </c>
      <c r="F965" s="12">
        <v>2425</v>
      </c>
    </row>
    <row r="966" spans="1:6">
      <c r="A966" t="s">
        <v>1012</v>
      </c>
      <c r="B966" s="12" t="s">
        <v>227</v>
      </c>
      <c r="C966" s="12" t="s">
        <v>20</v>
      </c>
      <c r="D966" s="12">
        <v>2.0426206518093959E-2</v>
      </c>
      <c r="E966" s="12">
        <v>98403</v>
      </c>
      <c r="F966" s="12">
        <v>2010</v>
      </c>
    </row>
    <row r="967" spans="1:6">
      <c r="A967" t="s">
        <v>1012</v>
      </c>
      <c r="B967" s="12" t="s">
        <v>228</v>
      </c>
      <c r="C967" s="12" t="s">
        <v>480</v>
      </c>
      <c r="D967" s="12">
        <v>0.49040352120407615</v>
      </c>
      <c r="E967" s="12">
        <v>100193</v>
      </c>
      <c r="F967" s="12">
        <v>49135</v>
      </c>
    </row>
    <row r="968" spans="1:6">
      <c r="A968" t="s">
        <v>1012</v>
      </c>
      <c r="B968" s="12" t="s">
        <v>228</v>
      </c>
      <c r="C968" s="12" t="s">
        <v>479</v>
      </c>
      <c r="D968" s="12">
        <v>0.36227081732256744</v>
      </c>
      <c r="E968" s="12">
        <v>100193</v>
      </c>
      <c r="F968" s="12">
        <v>36297</v>
      </c>
    </row>
    <row r="969" spans="1:6">
      <c r="A969" t="s">
        <v>1012</v>
      </c>
      <c r="B969" s="12" t="s">
        <v>228</v>
      </c>
      <c r="C969" s="12" t="s">
        <v>22</v>
      </c>
      <c r="D969" s="12">
        <v>8.5584821294900845E-2</v>
      </c>
      <c r="E969" s="12">
        <v>100193</v>
      </c>
      <c r="F969" s="12">
        <v>8575</v>
      </c>
    </row>
    <row r="970" spans="1:6">
      <c r="A970" t="s">
        <v>1012</v>
      </c>
      <c r="B970" s="12" t="s">
        <v>228</v>
      </c>
      <c r="C970" s="12" t="s">
        <v>478</v>
      </c>
      <c r="D970" s="12">
        <v>3.124968810196321E-2</v>
      </c>
      <c r="E970" s="12">
        <v>100193</v>
      </c>
      <c r="F970" s="12">
        <v>3131</v>
      </c>
    </row>
    <row r="971" spans="1:6">
      <c r="A971" t="s">
        <v>1012</v>
      </c>
      <c r="B971" s="12" t="s">
        <v>228</v>
      </c>
      <c r="C971" s="12" t="s">
        <v>20</v>
      </c>
      <c r="D971" s="12">
        <v>3.0521094288024114E-2</v>
      </c>
      <c r="E971" s="12">
        <v>100193</v>
      </c>
      <c r="F971" s="12">
        <v>3058</v>
      </c>
    </row>
    <row r="972" spans="1:6">
      <c r="A972" t="s">
        <v>1012</v>
      </c>
      <c r="B972" s="12" t="s">
        <v>229</v>
      </c>
      <c r="C972" s="12" t="s">
        <v>480</v>
      </c>
      <c r="D972" s="12">
        <v>0.43857995601633681</v>
      </c>
      <c r="E972" s="12">
        <v>76392</v>
      </c>
      <c r="F972" s="12">
        <v>33504</v>
      </c>
    </row>
    <row r="973" spans="1:6">
      <c r="A973" t="s">
        <v>1012</v>
      </c>
      <c r="B973" s="12" t="s">
        <v>229</v>
      </c>
      <c r="C973" s="12" t="s">
        <v>479</v>
      </c>
      <c r="D973" s="12">
        <v>0.38273641218975807</v>
      </c>
      <c r="E973" s="12">
        <v>76392</v>
      </c>
      <c r="F973" s="12">
        <v>29238</v>
      </c>
    </row>
    <row r="974" spans="1:6">
      <c r="A974" t="s">
        <v>1012</v>
      </c>
      <c r="B974" s="12" t="s">
        <v>229</v>
      </c>
      <c r="C974" s="12" t="s">
        <v>22</v>
      </c>
      <c r="D974" s="12">
        <v>9.7667295004712537E-2</v>
      </c>
      <c r="E974" s="12">
        <v>76392</v>
      </c>
      <c r="F974" s="12">
        <v>7461</v>
      </c>
    </row>
    <row r="975" spans="1:6">
      <c r="A975" t="s">
        <v>1012</v>
      </c>
      <c r="B975" s="12" t="s">
        <v>229</v>
      </c>
      <c r="C975" s="12" t="s">
        <v>478</v>
      </c>
      <c r="D975" s="12">
        <v>3.915331448319196E-2</v>
      </c>
      <c r="E975" s="12">
        <v>76392</v>
      </c>
      <c r="F975" s="12">
        <v>2991</v>
      </c>
    </row>
    <row r="976" spans="1:6">
      <c r="A976" t="s">
        <v>1012</v>
      </c>
      <c r="B976" s="12" t="s">
        <v>229</v>
      </c>
      <c r="C976" s="12" t="s">
        <v>20</v>
      </c>
      <c r="D976" s="12">
        <v>4.1771389674311446E-2</v>
      </c>
      <c r="E976" s="12">
        <v>76392</v>
      </c>
      <c r="F976" s="12">
        <v>3191</v>
      </c>
    </row>
    <row r="977" spans="1:6">
      <c r="A977" t="s">
        <v>1012</v>
      </c>
      <c r="B977" s="12" t="s">
        <v>230</v>
      </c>
      <c r="C977" s="12" t="s">
        <v>480</v>
      </c>
      <c r="D977" s="12">
        <v>0.49074195023185946</v>
      </c>
      <c r="E977" s="12">
        <v>61244</v>
      </c>
      <c r="F977" s="12">
        <v>30055</v>
      </c>
    </row>
    <row r="978" spans="1:6">
      <c r="A978" t="s">
        <v>1012</v>
      </c>
      <c r="B978" s="12" t="s">
        <v>230</v>
      </c>
      <c r="C978" s="12" t="s">
        <v>479</v>
      </c>
      <c r="D978" s="12">
        <v>0.35685128339102606</v>
      </c>
      <c r="E978" s="12">
        <v>61244</v>
      </c>
      <c r="F978" s="12">
        <v>21855</v>
      </c>
    </row>
    <row r="979" spans="1:6">
      <c r="A979" t="s">
        <v>1012</v>
      </c>
      <c r="B979" s="12" t="s">
        <v>230</v>
      </c>
      <c r="C979" s="12" t="s">
        <v>22</v>
      </c>
      <c r="D979" s="12">
        <v>8.5036901574031737E-2</v>
      </c>
      <c r="E979" s="12">
        <v>61244</v>
      </c>
      <c r="F979" s="12">
        <v>5208</v>
      </c>
    </row>
    <row r="980" spans="1:6">
      <c r="A980" t="s">
        <v>1012</v>
      </c>
      <c r="B980" s="12" t="s">
        <v>230</v>
      </c>
      <c r="C980" s="12" t="s">
        <v>478</v>
      </c>
      <c r="D980" s="12">
        <v>3.3113447847952455E-2</v>
      </c>
      <c r="E980" s="12">
        <v>61244</v>
      </c>
      <c r="F980" s="12">
        <v>2028</v>
      </c>
    </row>
    <row r="981" spans="1:6">
      <c r="A981" t="s">
        <v>1012</v>
      </c>
      <c r="B981" s="12" t="s">
        <v>230</v>
      </c>
      <c r="C981" s="12" t="s">
        <v>20</v>
      </c>
      <c r="D981" s="12">
        <v>3.4207432564822678E-2</v>
      </c>
      <c r="E981" s="12">
        <v>61244</v>
      </c>
      <c r="F981" s="12">
        <v>2095</v>
      </c>
    </row>
    <row r="982" spans="1:6">
      <c r="A982" t="s">
        <v>1012</v>
      </c>
      <c r="B982" s="12" t="s">
        <v>231</v>
      </c>
      <c r="C982" s="12" t="s">
        <v>480</v>
      </c>
      <c r="D982" s="12">
        <v>0.47039830767946111</v>
      </c>
      <c r="E982" s="12">
        <v>35927</v>
      </c>
      <c r="F982" s="12">
        <v>16900</v>
      </c>
    </row>
    <row r="983" spans="1:6">
      <c r="A983" t="s">
        <v>1012</v>
      </c>
      <c r="B983" s="12" t="s">
        <v>231</v>
      </c>
      <c r="C983" s="12" t="s">
        <v>479</v>
      </c>
      <c r="D983" s="12">
        <v>0.35243688590753475</v>
      </c>
      <c r="E983" s="12">
        <v>35927</v>
      </c>
      <c r="F983" s="12">
        <v>12662</v>
      </c>
    </row>
    <row r="984" spans="1:6">
      <c r="A984" t="s">
        <v>1012</v>
      </c>
      <c r="B984" s="12" t="s">
        <v>231</v>
      </c>
      <c r="C984" s="12" t="s">
        <v>22</v>
      </c>
      <c r="D984" s="12">
        <v>9.9924847607648845E-2</v>
      </c>
      <c r="E984" s="12">
        <v>35927</v>
      </c>
      <c r="F984" s="12">
        <v>3590</v>
      </c>
    </row>
    <row r="985" spans="1:6">
      <c r="A985" t="s">
        <v>1012</v>
      </c>
      <c r="B985" s="12" t="s">
        <v>231</v>
      </c>
      <c r="C985" s="12" t="s">
        <v>478</v>
      </c>
      <c r="D985" s="12">
        <v>3.8633896512372312E-2</v>
      </c>
      <c r="E985" s="12">
        <v>35927</v>
      </c>
      <c r="F985" s="12">
        <v>1388</v>
      </c>
    </row>
    <row r="986" spans="1:6">
      <c r="A986" t="s">
        <v>1012</v>
      </c>
      <c r="B986" s="12" t="s">
        <v>231</v>
      </c>
      <c r="C986" s="12" t="s">
        <v>20</v>
      </c>
      <c r="D986" s="12">
        <v>3.8773067609318895E-2</v>
      </c>
      <c r="E986" s="12">
        <v>35927</v>
      </c>
      <c r="F986" s="12">
        <v>1393</v>
      </c>
    </row>
    <row r="987" spans="1:6">
      <c r="A987" t="s">
        <v>1012</v>
      </c>
      <c r="B987" s="12" t="s">
        <v>232</v>
      </c>
      <c r="C987" s="12" t="s">
        <v>480</v>
      </c>
      <c r="D987" s="12">
        <v>0.43939682056742985</v>
      </c>
      <c r="E987" s="12">
        <v>52588</v>
      </c>
      <c r="F987" s="12">
        <v>23107</v>
      </c>
    </row>
    <row r="988" spans="1:6">
      <c r="A988" t="s">
        <v>1012</v>
      </c>
      <c r="B988" s="12" t="s">
        <v>232</v>
      </c>
      <c r="C988" s="12" t="s">
        <v>479</v>
      </c>
      <c r="D988" s="12">
        <v>0.38229253822164755</v>
      </c>
      <c r="E988" s="12">
        <v>52588</v>
      </c>
      <c r="F988" s="12">
        <v>20104</v>
      </c>
    </row>
    <row r="989" spans="1:6">
      <c r="A989" t="s">
        <v>1012</v>
      </c>
      <c r="B989" s="12" t="s">
        <v>232</v>
      </c>
      <c r="C989" s="12" t="s">
        <v>22</v>
      </c>
      <c r="D989" s="12">
        <v>9.8862858446793947E-2</v>
      </c>
      <c r="E989" s="12">
        <v>52588</v>
      </c>
      <c r="F989" s="12">
        <v>5199</v>
      </c>
    </row>
    <row r="990" spans="1:6">
      <c r="A990" t="s">
        <v>1012</v>
      </c>
      <c r="B990" s="12" t="s">
        <v>232</v>
      </c>
      <c r="C990" s="12" t="s">
        <v>478</v>
      </c>
      <c r="D990" s="12">
        <v>3.7023655586825889E-2</v>
      </c>
      <c r="E990" s="12">
        <v>52588</v>
      </c>
      <c r="F990" s="12">
        <v>1947</v>
      </c>
    </row>
    <row r="991" spans="1:6">
      <c r="A991" t="s">
        <v>1012</v>
      </c>
      <c r="B991" s="12" t="s">
        <v>232</v>
      </c>
      <c r="C991" s="12" t="s">
        <v>20</v>
      </c>
      <c r="D991" s="12">
        <v>4.2595268882634825E-2</v>
      </c>
      <c r="E991" s="12">
        <v>52588</v>
      </c>
      <c r="F991" s="12">
        <v>2240</v>
      </c>
    </row>
    <row r="992" spans="1:6">
      <c r="A992" t="s">
        <v>1012</v>
      </c>
      <c r="B992" s="12" t="s">
        <v>233</v>
      </c>
      <c r="C992" s="12" t="s">
        <v>480</v>
      </c>
      <c r="D992" s="12">
        <v>0.43888320759449706</v>
      </c>
      <c r="E992" s="12">
        <v>51827</v>
      </c>
      <c r="F992" s="12">
        <v>22746</v>
      </c>
    </row>
    <row r="993" spans="1:6">
      <c r="A993" t="s">
        <v>1012</v>
      </c>
      <c r="B993" s="12" t="s">
        <v>233</v>
      </c>
      <c r="C993" s="12" t="s">
        <v>479</v>
      </c>
      <c r="D993" s="12">
        <v>0.37729368861790186</v>
      </c>
      <c r="E993" s="12">
        <v>51827</v>
      </c>
      <c r="F993" s="12">
        <v>19554</v>
      </c>
    </row>
    <row r="994" spans="1:6">
      <c r="A994" t="s">
        <v>1012</v>
      </c>
      <c r="B994" s="12" t="s">
        <v>233</v>
      </c>
      <c r="C994" s="12" t="s">
        <v>22</v>
      </c>
      <c r="D994" s="12">
        <v>9.8925270611843252E-2</v>
      </c>
      <c r="E994" s="12">
        <v>51827</v>
      </c>
      <c r="F994" s="12">
        <v>5127</v>
      </c>
    </row>
    <row r="995" spans="1:6">
      <c r="A995" t="s">
        <v>1012</v>
      </c>
      <c r="B995" s="12" t="s">
        <v>233</v>
      </c>
      <c r="C995" s="12" t="s">
        <v>478</v>
      </c>
      <c r="D995" s="12">
        <v>4.1175449090242539E-2</v>
      </c>
      <c r="E995" s="12">
        <v>51827</v>
      </c>
      <c r="F995" s="12">
        <v>2134</v>
      </c>
    </row>
    <row r="996" spans="1:6">
      <c r="A996" t="s">
        <v>1012</v>
      </c>
      <c r="B996" s="12" t="s">
        <v>233</v>
      </c>
      <c r="C996" s="12" t="s">
        <v>20</v>
      </c>
      <c r="D996" s="12">
        <v>4.3645204237173676E-2</v>
      </c>
      <c r="E996" s="12">
        <v>51827</v>
      </c>
      <c r="F996" s="12">
        <v>2262</v>
      </c>
    </row>
    <row r="997" spans="1:6">
      <c r="A997" t="s">
        <v>1012</v>
      </c>
      <c r="B997" s="12" t="s">
        <v>234</v>
      </c>
      <c r="C997" s="12" t="s">
        <v>480</v>
      </c>
      <c r="D997" s="12">
        <v>0.43432831066229172</v>
      </c>
      <c r="E997" s="12">
        <v>31391</v>
      </c>
      <c r="F997" s="12">
        <v>13634</v>
      </c>
    </row>
    <row r="998" spans="1:6">
      <c r="A998" t="s">
        <v>1012</v>
      </c>
      <c r="B998" s="12" t="s">
        <v>234</v>
      </c>
      <c r="C998" s="12" t="s">
        <v>479</v>
      </c>
      <c r="D998" s="12">
        <v>0.37341913287247935</v>
      </c>
      <c r="E998" s="12">
        <v>31391</v>
      </c>
      <c r="F998" s="12">
        <v>11722</v>
      </c>
    </row>
    <row r="999" spans="1:6">
      <c r="A999" t="s">
        <v>1012</v>
      </c>
      <c r="B999" s="12" t="s">
        <v>234</v>
      </c>
      <c r="C999" s="12" t="s">
        <v>22</v>
      </c>
      <c r="D999" s="12">
        <v>0.10362842853047052</v>
      </c>
      <c r="E999" s="12">
        <v>31391</v>
      </c>
      <c r="F999" s="12">
        <v>3253</v>
      </c>
    </row>
    <row r="1000" spans="1:6">
      <c r="A1000" t="s">
        <v>1012</v>
      </c>
      <c r="B1000" s="12" t="s">
        <v>234</v>
      </c>
      <c r="C1000" s="12" t="s">
        <v>478</v>
      </c>
      <c r="D1000" s="12">
        <v>4.2305119301710679E-2</v>
      </c>
      <c r="E1000" s="12">
        <v>31391</v>
      </c>
      <c r="F1000" s="12">
        <v>1328</v>
      </c>
    </row>
    <row r="1001" spans="1:6">
      <c r="A1001" t="s">
        <v>1012</v>
      </c>
      <c r="B1001" s="12" t="s">
        <v>234</v>
      </c>
      <c r="C1001" s="12" t="s">
        <v>20</v>
      </c>
      <c r="D1001" s="12">
        <v>4.638272116211653E-2</v>
      </c>
      <c r="E1001" s="12">
        <v>31391</v>
      </c>
      <c r="F1001" s="12">
        <v>1456</v>
      </c>
    </row>
    <row r="1002" spans="1:6">
      <c r="A1002" t="s">
        <v>1012</v>
      </c>
      <c r="B1002" s="12" t="s">
        <v>235</v>
      </c>
      <c r="C1002" s="12" t="s">
        <v>480</v>
      </c>
      <c r="D1002" s="12">
        <v>0.43498999846130176</v>
      </c>
      <c r="E1002" s="12">
        <v>71489</v>
      </c>
      <c r="F1002" s="12">
        <v>31097</v>
      </c>
    </row>
    <row r="1003" spans="1:6">
      <c r="A1003" t="s">
        <v>1012</v>
      </c>
      <c r="B1003" s="12" t="s">
        <v>235</v>
      </c>
      <c r="C1003" s="12" t="s">
        <v>479</v>
      </c>
      <c r="D1003" s="12">
        <v>0.38958441158779672</v>
      </c>
      <c r="E1003" s="12">
        <v>71489</v>
      </c>
      <c r="F1003" s="12">
        <v>27851</v>
      </c>
    </row>
    <row r="1004" spans="1:6">
      <c r="A1004" t="s">
        <v>1012</v>
      </c>
      <c r="B1004" s="12" t="s">
        <v>235</v>
      </c>
      <c r="C1004" s="12" t="s">
        <v>22</v>
      </c>
      <c r="D1004" s="12">
        <v>0.10070080711717887</v>
      </c>
      <c r="E1004" s="12">
        <v>71489</v>
      </c>
      <c r="F1004" s="12">
        <v>7199</v>
      </c>
    </row>
    <row r="1005" spans="1:6">
      <c r="A1005" t="s">
        <v>1012</v>
      </c>
      <c r="B1005" s="12" t="s">
        <v>235</v>
      </c>
      <c r="C1005" s="12" t="s">
        <v>478</v>
      </c>
      <c r="D1005" s="12">
        <v>3.8201681377554586E-2</v>
      </c>
      <c r="E1005" s="12">
        <v>71489</v>
      </c>
      <c r="F1005" s="12">
        <v>2731</v>
      </c>
    </row>
    <row r="1006" spans="1:6">
      <c r="A1006" t="s">
        <v>1012</v>
      </c>
      <c r="B1006" s="12" t="s">
        <v>235</v>
      </c>
      <c r="C1006" s="12" t="s">
        <v>20</v>
      </c>
      <c r="D1006" s="12">
        <v>3.6607030452237406E-2</v>
      </c>
      <c r="E1006" s="12">
        <v>71489</v>
      </c>
      <c r="F1006" s="12">
        <v>2617</v>
      </c>
    </row>
    <row r="1007" spans="1:6">
      <c r="A1007" t="s">
        <v>1012</v>
      </c>
      <c r="B1007" s="12" t="s">
        <v>236</v>
      </c>
      <c r="C1007" s="12" t="s">
        <v>480</v>
      </c>
      <c r="D1007" s="12">
        <v>0.41590813846282793</v>
      </c>
      <c r="E1007" s="12">
        <v>59655</v>
      </c>
      <c r="F1007" s="12">
        <v>24811</v>
      </c>
    </row>
    <row r="1008" spans="1:6">
      <c r="A1008" t="s">
        <v>1012</v>
      </c>
      <c r="B1008" s="12" t="s">
        <v>236</v>
      </c>
      <c r="C1008" s="12" t="s">
        <v>479</v>
      </c>
      <c r="D1008" s="12">
        <v>0.39522252954488307</v>
      </c>
      <c r="E1008" s="12">
        <v>59655</v>
      </c>
      <c r="F1008" s="12">
        <v>23577</v>
      </c>
    </row>
    <row r="1009" spans="1:6">
      <c r="A1009" t="s">
        <v>1012</v>
      </c>
      <c r="B1009" s="12" t="s">
        <v>236</v>
      </c>
      <c r="C1009" s="12" t="s">
        <v>22</v>
      </c>
      <c r="D1009" s="12">
        <v>0.10850725002095382</v>
      </c>
      <c r="E1009" s="12">
        <v>59655</v>
      </c>
      <c r="F1009" s="12">
        <v>6473</v>
      </c>
    </row>
    <row r="1010" spans="1:6">
      <c r="A1010" t="s">
        <v>1012</v>
      </c>
      <c r="B1010" s="12" t="s">
        <v>236</v>
      </c>
      <c r="C1010" s="12" t="s">
        <v>478</v>
      </c>
      <c r="D1010" s="12">
        <v>4.1907635571201071E-2</v>
      </c>
      <c r="E1010" s="12">
        <v>59655</v>
      </c>
      <c r="F1010" s="12">
        <v>2500</v>
      </c>
    </row>
    <row r="1011" spans="1:6">
      <c r="A1011" t="s">
        <v>1012</v>
      </c>
      <c r="B1011" s="12" t="s">
        <v>236</v>
      </c>
      <c r="C1011" s="12" t="s">
        <v>20</v>
      </c>
      <c r="D1011" s="12">
        <v>3.8437683345905624E-2</v>
      </c>
      <c r="E1011" s="12">
        <v>59655</v>
      </c>
      <c r="F1011" s="12">
        <v>2293</v>
      </c>
    </row>
    <row r="1012" spans="1:6">
      <c r="A1012" t="s">
        <v>1012</v>
      </c>
      <c r="B1012" s="12" t="s">
        <v>237</v>
      </c>
      <c r="C1012" s="12" t="s">
        <v>480</v>
      </c>
      <c r="D1012" s="12">
        <v>0.48412554243616912</v>
      </c>
      <c r="E1012" s="12">
        <v>49545</v>
      </c>
      <c r="F1012" s="12">
        <v>23986</v>
      </c>
    </row>
    <row r="1013" spans="1:6">
      <c r="A1013" t="s">
        <v>1012</v>
      </c>
      <c r="B1013" s="12" t="s">
        <v>237</v>
      </c>
      <c r="C1013" s="12" t="s">
        <v>479</v>
      </c>
      <c r="D1013" s="12">
        <v>0.37049147239882935</v>
      </c>
      <c r="E1013" s="12">
        <v>49545</v>
      </c>
      <c r="F1013" s="12">
        <v>18356</v>
      </c>
    </row>
    <row r="1014" spans="1:6">
      <c r="A1014" t="s">
        <v>1012</v>
      </c>
      <c r="B1014" s="12" t="s">
        <v>237</v>
      </c>
      <c r="C1014" s="12" t="s">
        <v>22</v>
      </c>
      <c r="D1014" s="12">
        <v>8.8020991018266229E-2</v>
      </c>
      <c r="E1014" s="12">
        <v>49545</v>
      </c>
      <c r="F1014" s="12">
        <v>4361</v>
      </c>
    </row>
    <row r="1015" spans="1:6">
      <c r="A1015" t="s">
        <v>1012</v>
      </c>
      <c r="B1015" s="12" t="s">
        <v>237</v>
      </c>
      <c r="C1015" s="12" t="s">
        <v>478</v>
      </c>
      <c r="D1015" s="12">
        <v>3.0154405086285196E-2</v>
      </c>
      <c r="E1015" s="12">
        <v>49545</v>
      </c>
      <c r="F1015" s="12">
        <v>1494</v>
      </c>
    </row>
    <row r="1016" spans="1:6">
      <c r="A1016" t="s">
        <v>1012</v>
      </c>
      <c r="B1016" s="12" t="s">
        <v>237</v>
      </c>
      <c r="C1016" s="12" t="s">
        <v>20</v>
      </c>
      <c r="D1016" s="12">
        <v>2.7207589060450097E-2</v>
      </c>
      <c r="E1016" s="12">
        <v>49545</v>
      </c>
      <c r="F1016" s="12">
        <v>1348</v>
      </c>
    </row>
    <row r="1017" spans="1:6">
      <c r="A1017" t="s">
        <v>1012</v>
      </c>
      <c r="B1017" s="12" t="s">
        <v>238</v>
      </c>
      <c r="C1017" s="12" t="s">
        <v>480</v>
      </c>
      <c r="D1017" s="12">
        <v>0.49917435080592132</v>
      </c>
      <c r="E1017" s="12">
        <v>68431</v>
      </c>
      <c r="F1017" s="12">
        <v>34159</v>
      </c>
    </row>
    <row r="1018" spans="1:6">
      <c r="A1018" t="s">
        <v>1012</v>
      </c>
      <c r="B1018" s="12" t="s">
        <v>238</v>
      </c>
      <c r="C1018" s="12" t="s">
        <v>479</v>
      </c>
      <c r="D1018" s="12">
        <v>0.35972000993701686</v>
      </c>
      <c r="E1018" s="12">
        <v>68431</v>
      </c>
      <c r="F1018" s="12">
        <v>24616</v>
      </c>
    </row>
    <row r="1019" spans="1:6">
      <c r="A1019" t="s">
        <v>1012</v>
      </c>
      <c r="B1019" s="12" t="s">
        <v>238</v>
      </c>
      <c r="C1019" s="12" t="s">
        <v>22</v>
      </c>
      <c r="D1019" s="12">
        <v>7.9598427613216227E-2</v>
      </c>
      <c r="E1019" s="12">
        <v>68431</v>
      </c>
      <c r="F1019" s="12">
        <v>5447</v>
      </c>
    </row>
    <row r="1020" spans="1:6">
      <c r="A1020" t="s">
        <v>1012</v>
      </c>
      <c r="B1020" s="12" t="s">
        <v>238</v>
      </c>
      <c r="C1020" s="12" t="s">
        <v>478</v>
      </c>
      <c r="D1020" s="12">
        <v>3.1754614136867795E-2</v>
      </c>
      <c r="E1020" s="12">
        <v>68431</v>
      </c>
      <c r="F1020" s="12">
        <v>2173</v>
      </c>
    </row>
    <row r="1021" spans="1:6">
      <c r="A1021" t="s">
        <v>1012</v>
      </c>
      <c r="B1021" s="12" t="s">
        <v>238</v>
      </c>
      <c r="C1021" s="12" t="s">
        <v>20</v>
      </c>
      <c r="D1021" s="12">
        <v>2.9825663807338778E-2</v>
      </c>
      <c r="E1021" s="12">
        <v>68431</v>
      </c>
      <c r="F1021" s="12">
        <v>2041</v>
      </c>
    </row>
    <row r="1022" spans="1:6">
      <c r="A1022" t="s">
        <v>1012</v>
      </c>
      <c r="B1022" s="12" t="s">
        <v>239</v>
      </c>
      <c r="C1022" s="12" t="s">
        <v>480</v>
      </c>
      <c r="D1022" s="12">
        <v>0.47125624864159965</v>
      </c>
      <c r="E1022" s="12">
        <v>55212</v>
      </c>
      <c r="F1022" s="12">
        <v>26019</v>
      </c>
    </row>
    <row r="1023" spans="1:6">
      <c r="A1023" t="s">
        <v>1012</v>
      </c>
      <c r="B1023" s="12" t="s">
        <v>239</v>
      </c>
      <c r="C1023" s="12" t="s">
        <v>479</v>
      </c>
      <c r="D1023" s="12">
        <v>0.37133231906107367</v>
      </c>
      <c r="E1023" s="12">
        <v>55212</v>
      </c>
      <c r="F1023" s="12">
        <v>20502</v>
      </c>
    </row>
    <row r="1024" spans="1:6">
      <c r="A1024" t="s">
        <v>1012</v>
      </c>
      <c r="B1024" s="12" t="s">
        <v>239</v>
      </c>
      <c r="C1024" s="12" t="s">
        <v>22</v>
      </c>
      <c r="D1024" s="12">
        <v>9.2389335651669929E-2</v>
      </c>
      <c r="E1024" s="12">
        <v>55212</v>
      </c>
      <c r="F1024" s="12">
        <v>5101</v>
      </c>
    </row>
    <row r="1025" spans="1:6">
      <c r="A1025" t="s">
        <v>1012</v>
      </c>
      <c r="B1025" s="12" t="s">
        <v>239</v>
      </c>
      <c r="C1025" s="12" t="s">
        <v>478</v>
      </c>
      <c r="D1025" s="12">
        <v>3.3851336665942186E-2</v>
      </c>
      <c r="E1025" s="12">
        <v>55212</v>
      </c>
      <c r="F1025" s="12">
        <v>1869</v>
      </c>
    </row>
    <row r="1026" spans="1:6">
      <c r="A1026" t="s">
        <v>1012</v>
      </c>
      <c r="B1026" s="12" t="s">
        <v>239</v>
      </c>
      <c r="C1026" s="12" t="s">
        <v>20</v>
      </c>
      <c r="D1026" s="12">
        <v>3.126132000289792E-2</v>
      </c>
      <c r="E1026" s="12">
        <v>55212</v>
      </c>
      <c r="F1026" s="12">
        <v>1726</v>
      </c>
    </row>
    <row r="1027" spans="1:6">
      <c r="A1027" t="s">
        <v>1012</v>
      </c>
      <c r="B1027" s="12" t="s">
        <v>240</v>
      </c>
      <c r="C1027" s="12" t="s">
        <v>480</v>
      </c>
      <c r="D1027" s="12">
        <v>0.52920522885231736</v>
      </c>
      <c r="E1027" s="12">
        <v>55538</v>
      </c>
      <c r="F1027" s="12">
        <v>29391</v>
      </c>
    </row>
    <row r="1028" spans="1:6">
      <c r="A1028" t="s">
        <v>1012</v>
      </c>
      <c r="B1028" s="12" t="s">
        <v>240</v>
      </c>
      <c r="C1028" s="12" t="s">
        <v>479</v>
      </c>
      <c r="D1028" s="12">
        <v>0.34084770787568874</v>
      </c>
      <c r="E1028" s="12">
        <v>55538</v>
      </c>
      <c r="F1028" s="12">
        <v>18930</v>
      </c>
    </row>
    <row r="1029" spans="1:6">
      <c r="A1029" t="s">
        <v>1012</v>
      </c>
      <c r="B1029" s="12" t="s">
        <v>240</v>
      </c>
      <c r="C1029" s="12" t="s">
        <v>22</v>
      </c>
      <c r="D1029" s="12">
        <v>7.5947999567863439E-2</v>
      </c>
      <c r="E1029" s="12">
        <v>55538</v>
      </c>
      <c r="F1029" s="12">
        <v>4218</v>
      </c>
    </row>
    <row r="1030" spans="1:6">
      <c r="A1030" t="s">
        <v>1012</v>
      </c>
      <c r="B1030" s="12" t="s">
        <v>240</v>
      </c>
      <c r="C1030" s="12" t="s">
        <v>478</v>
      </c>
      <c r="D1030" s="12">
        <v>2.8755086607367929E-2</v>
      </c>
      <c r="E1030" s="12">
        <v>55538</v>
      </c>
      <c r="F1030" s="12">
        <v>1597</v>
      </c>
    </row>
    <row r="1031" spans="1:6">
      <c r="A1031" t="s">
        <v>1012</v>
      </c>
      <c r="B1031" s="12" t="s">
        <v>240</v>
      </c>
      <c r="C1031" s="12" t="s">
        <v>20</v>
      </c>
      <c r="D1031" s="12">
        <v>2.518996002736865E-2</v>
      </c>
      <c r="E1031" s="12">
        <v>55538</v>
      </c>
      <c r="F1031" s="12">
        <v>1399</v>
      </c>
    </row>
    <row r="1032" spans="1:6">
      <c r="A1032" t="s">
        <v>1012</v>
      </c>
      <c r="B1032" s="12" t="s">
        <v>241</v>
      </c>
      <c r="C1032" s="12" t="s">
        <v>480</v>
      </c>
      <c r="D1032" s="12">
        <v>0.45024066256151013</v>
      </c>
      <c r="E1032" s="12">
        <v>37189</v>
      </c>
      <c r="F1032" s="12">
        <v>16744</v>
      </c>
    </row>
    <row r="1033" spans="1:6">
      <c r="A1033" t="s">
        <v>1012</v>
      </c>
      <c r="B1033" s="12" t="s">
        <v>241</v>
      </c>
      <c r="C1033" s="12" t="s">
        <v>479</v>
      </c>
      <c r="D1033" s="12">
        <v>0.35303449944876175</v>
      </c>
      <c r="E1033" s="12">
        <v>37189</v>
      </c>
      <c r="F1033" s="12">
        <v>13129</v>
      </c>
    </row>
    <row r="1034" spans="1:6">
      <c r="A1034" t="s">
        <v>1012</v>
      </c>
      <c r="B1034" s="12" t="s">
        <v>241</v>
      </c>
      <c r="C1034" s="12" t="s">
        <v>22</v>
      </c>
      <c r="D1034" s="12">
        <v>0.10887628062061362</v>
      </c>
      <c r="E1034" s="12">
        <v>37189</v>
      </c>
      <c r="F1034" s="12">
        <v>4049</v>
      </c>
    </row>
    <row r="1035" spans="1:6">
      <c r="A1035" t="s">
        <v>1012</v>
      </c>
      <c r="B1035" s="12" t="s">
        <v>241</v>
      </c>
      <c r="C1035" s="12" t="s">
        <v>478</v>
      </c>
      <c r="D1035" s="12">
        <v>4.560488316437656E-2</v>
      </c>
      <c r="E1035" s="12">
        <v>37189</v>
      </c>
      <c r="F1035" s="12">
        <v>1696</v>
      </c>
    </row>
    <row r="1036" spans="1:6">
      <c r="A1036" t="s">
        <v>1012</v>
      </c>
      <c r="B1036" s="12" t="s">
        <v>241</v>
      </c>
      <c r="C1036" s="12" t="s">
        <v>20</v>
      </c>
      <c r="D1036" s="12">
        <v>4.2351232891446398E-2</v>
      </c>
      <c r="E1036" s="12">
        <v>37189</v>
      </c>
      <c r="F1036" s="12">
        <v>1575</v>
      </c>
    </row>
    <row r="1037" spans="1:6">
      <c r="A1037" t="s">
        <v>1012</v>
      </c>
      <c r="B1037" s="12" t="s">
        <v>243</v>
      </c>
      <c r="C1037" s="12" t="s">
        <v>480</v>
      </c>
      <c r="D1037" s="12">
        <v>0.36409464553340298</v>
      </c>
      <c r="E1037" s="12">
        <v>22019</v>
      </c>
      <c r="F1037" s="12">
        <v>8017</v>
      </c>
    </row>
    <row r="1038" spans="1:6">
      <c r="A1038" t="s">
        <v>1012</v>
      </c>
      <c r="B1038" s="12" t="s">
        <v>243</v>
      </c>
      <c r="C1038" s="12" t="s">
        <v>479</v>
      </c>
      <c r="D1038" s="12">
        <v>0.35519324219991827</v>
      </c>
      <c r="E1038" s="12">
        <v>22019</v>
      </c>
      <c r="F1038" s="12">
        <v>7821</v>
      </c>
    </row>
    <row r="1039" spans="1:6">
      <c r="A1039" t="s">
        <v>1012</v>
      </c>
      <c r="B1039" s="12" t="s">
        <v>243</v>
      </c>
      <c r="C1039" s="12" t="s">
        <v>22</v>
      </c>
      <c r="D1039" s="12">
        <v>0.1336118806485308</v>
      </c>
      <c r="E1039" s="12">
        <v>22019</v>
      </c>
      <c r="F1039" s="12">
        <v>2942</v>
      </c>
    </row>
    <row r="1040" spans="1:6">
      <c r="A1040" t="s">
        <v>1012</v>
      </c>
      <c r="B1040" s="12" t="s">
        <v>243</v>
      </c>
      <c r="C1040" s="12" t="s">
        <v>478</v>
      </c>
      <c r="D1040" s="12">
        <v>6.444434352150416E-2</v>
      </c>
      <c r="E1040" s="12">
        <v>22019</v>
      </c>
      <c r="F1040" s="12">
        <v>1419</v>
      </c>
    </row>
    <row r="1041" spans="1:6">
      <c r="A1041" t="s">
        <v>1012</v>
      </c>
      <c r="B1041" s="12" t="s">
        <v>243</v>
      </c>
      <c r="C1041" s="12" t="s">
        <v>20</v>
      </c>
      <c r="D1041" s="12">
        <v>8.2383396157863664E-2</v>
      </c>
      <c r="E1041" s="12">
        <v>22019</v>
      </c>
      <c r="F1041" s="12">
        <v>1814</v>
      </c>
    </row>
    <row r="1042" spans="1:6">
      <c r="A1042" t="s">
        <v>242</v>
      </c>
      <c r="B1042" s="12" t="s">
        <v>244</v>
      </c>
      <c r="C1042" s="12" t="s">
        <v>480</v>
      </c>
      <c r="D1042" s="12">
        <v>0.35647140431028296</v>
      </c>
      <c r="E1042" s="12">
        <v>41807</v>
      </c>
      <c r="F1042" s="12">
        <v>14903</v>
      </c>
    </row>
    <row r="1043" spans="1:6">
      <c r="A1043" t="s">
        <v>242</v>
      </c>
      <c r="B1043" s="12" t="s">
        <v>244</v>
      </c>
      <c r="C1043" s="12" t="s">
        <v>479</v>
      </c>
      <c r="D1043" s="12">
        <v>0.38041476307795347</v>
      </c>
      <c r="E1043" s="12">
        <v>41807</v>
      </c>
      <c r="F1043" s="12">
        <v>15904</v>
      </c>
    </row>
    <row r="1044" spans="1:6">
      <c r="A1044" t="s">
        <v>242</v>
      </c>
      <c r="B1044" s="12" t="s">
        <v>244</v>
      </c>
      <c r="C1044" s="12" t="s">
        <v>22</v>
      </c>
      <c r="D1044" s="12">
        <v>0.12883010022245078</v>
      </c>
      <c r="E1044" s="12">
        <v>41807</v>
      </c>
      <c r="F1044" s="12">
        <v>5386</v>
      </c>
    </row>
    <row r="1045" spans="1:6">
      <c r="A1045" t="s">
        <v>242</v>
      </c>
      <c r="B1045" s="12" t="s">
        <v>244</v>
      </c>
      <c r="C1045" s="12" t="s">
        <v>478</v>
      </c>
      <c r="D1045" s="12">
        <v>5.9487645609586914E-2</v>
      </c>
      <c r="E1045" s="12">
        <v>41807</v>
      </c>
      <c r="F1045" s="12">
        <v>2487</v>
      </c>
    </row>
    <row r="1046" spans="1:6">
      <c r="A1046" t="s">
        <v>242</v>
      </c>
      <c r="B1046" s="12" t="s">
        <v>244</v>
      </c>
      <c r="C1046" s="12" t="s">
        <v>20</v>
      </c>
      <c r="D1046" s="12">
        <v>7.472432846174086E-2</v>
      </c>
      <c r="E1046" s="12">
        <v>41807</v>
      </c>
      <c r="F1046" s="12">
        <v>3124</v>
      </c>
    </row>
    <row r="1047" spans="1:6">
      <c r="A1047" t="s">
        <v>242</v>
      </c>
      <c r="B1047" s="12" t="s">
        <v>242</v>
      </c>
      <c r="C1047" s="12" t="s">
        <v>480</v>
      </c>
      <c r="D1047" s="12">
        <v>0.37020689957961517</v>
      </c>
      <c r="E1047" s="12">
        <v>2277675</v>
      </c>
      <c r="F1047" s="12">
        <v>843211</v>
      </c>
    </row>
    <row r="1048" spans="1:6">
      <c r="A1048" t="s">
        <v>242</v>
      </c>
      <c r="B1048" s="12" t="s">
        <v>242</v>
      </c>
      <c r="C1048" s="12" t="s">
        <v>479</v>
      </c>
      <c r="D1048" s="12">
        <v>0.42240705983074844</v>
      </c>
      <c r="E1048" s="12">
        <v>2277675</v>
      </c>
      <c r="F1048" s="12">
        <v>962106</v>
      </c>
    </row>
    <row r="1049" spans="1:6">
      <c r="A1049" t="s">
        <v>242</v>
      </c>
      <c r="B1049" s="12" t="s">
        <v>242</v>
      </c>
      <c r="C1049" s="12" t="s">
        <v>22</v>
      </c>
      <c r="D1049" s="12">
        <v>0.12194101441162589</v>
      </c>
      <c r="E1049" s="12">
        <v>2277675</v>
      </c>
      <c r="F1049" s="12">
        <v>277742</v>
      </c>
    </row>
    <row r="1050" spans="1:6">
      <c r="A1050" t="s">
        <v>242</v>
      </c>
      <c r="B1050" s="12" t="s">
        <v>242</v>
      </c>
      <c r="C1050" s="12" t="s">
        <v>478</v>
      </c>
      <c r="D1050" s="12">
        <v>4.4987542120803012E-2</v>
      </c>
      <c r="E1050" s="12">
        <v>2277675</v>
      </c>
      <c r="F1050" s="12">
        <v>102467</v>
      </c>
    </row>
    <row r="1051" spans="1:6">
      <c r="A1051" t="s">
        <v>242</v>
      </c>
      <c r="B1051" s="12" t="s">
        <v>242</v>
      </c>
      <c r="C1051" s="12" t="s">
        <v>20</v>
      </c>
      <c r="D1051" s="12">
        <v>4.0458362145609009E-2</v>
      </c>
      <c r="E1051" s="12">
        <v>2277675</v>
      </c>
      <c r="F1051" s="12">
        <v>92151</v>
      </c>
    </row>
    <row r="1052" spans="1:6">
      <c r="A1052" t="s">
        <v>242</v>
      </c>
      <c r="B1052" s="12" t="s">
        <v>245</v>
      </c>
      <c r="C1052" s="12" t="s">
        <v>480</v>
      </c>
      <c r="D1052" s="12">
        <v>0.41040467772808392</v>
      </c>
      <c r="E1052" s="12">
        <v>324431</v>
      </c>
      <c r="F1052" s="12">
        <v>133148</v>
      </c>
    </row>
    <row r="1053" spans="1:6">
      <c r="A1053" t="s">
        <v>242</v>
      </c>
      <c r="B1053" s="12" t="s">
        <v>245</v>
      </c>
      <c r="C1053" s="12" t="s">
        <v>479</v>
      </c>
      <c r="D1053" s="12">
        <v>0.41654465818617825</v>
      </c>
      <c r="E1053" s="12">
        <v>324431</v>
      </c>
      <c r="F1053" s="12">
        <v>135140</v>
      </c>
    </row>
    <row r="1054" spans="1:6">
      <c r="A1054" t="s">
        <v>242</v>
      </c>
      <c r="B1054" s="12" t="s">
        <v>245</v>
      </c>
      <c r="C1054" s="12" t="s">
        <v>22</v>
      </c>
      <c r="D1054" s="12">
        <v>0.10372621605210353</v>
      </c>
      <c r="E1054" s="12">
        <v>324431</v>
      </c>
      <c r="F1054" s="12">
        <v>33652</v>
      </c>
    </row>
    <row r="1055" spans="1:6">
      <c r="A1055" t="s">
        <v>242</v>
      </c>
      <c r="B1055" s="12" t="s">
        <v>245</v>
      </c>
      <c r="C1055" s="12" t="s">
        <v>478</v>
      </c>
      <c r="D1055" s="12">
        <v>3.6802894914481042E-2</v>
      </c>
      <c r="E1055" s="12">
        <v>324431</v>
      </c>
      <c r="F1055" s="12">
        <v>11940</v>
      </c>
    </row>
    <row r="1056" spans="1:6">
      <c r="A1056" t="s">
        <v>242</v>
      </c>
      <c r="B1056" s="12" t="s">
        <v>245</v>
      </c>
      <c r="C1056" s="12" t="s">
        <v>20</v>
      </c>
      <c r="D1056" s="12">
        <v>3.2518470799646149E-2</v>
      </c>
      <c r="E1056" s="12">
        <v>324431</v>
      </c>
      <c r="F1056" s="12">
        <v>10550</v>
      </c>
    </row>
    <row r="1057" spans="1:6">
      <c r="A1057" t="s">
        <v>242</v>
      </c>
      <c r="B1057" s="12" t="s">
        <v>246</v>
      </c>
      <c r="C1057" s="12" t="s">
        <v>480</v>
      </c>
      <c r="D1057" s="12">
        <v>0.35295713510580573</v>
      </c>
      <c r="E1057" s="12">
        <v>33174</v>
      </c>
      <c r="F1057" s="12">
        <v>11709</v>
      </c>
    </row>
    <row r="1058" spans="1:6">
      <c r="A1058" t="s">
        <v>242</v>
      </c>
      <c r="B1058" s="12" t="s">
        <v>246</v>
      </c>
      <c r="C1058" s="12" t="s">
        <v>479</v>
      </c>
      <c r="D1058" s="12">
        <v>0.38267920660758425</v>
      </c>
      <c r="E1058" s="12">
        <v>33174</v>
      </c>
      <c r="F1058" s="12">
        <v>12695</v>
      </c>
    </row>
    <row r="1059" spans="1:6">
      <c r="A1059" t="s">
        <v>242</v>
      </c>
      <c r="B1059" s="12" t="s">
        <v>246</v>
      </c>
      <c r="C1059" s="12" t="s">
        <v>22</v>
      </c>
      <c r="D1059" s="12">
        <v>0.13052390426237415</v>
      </c>
      <c r="E1059" s="12">
        <v>33174</v>
      </c>
      <c r="F1059" s="12">
        <v>4330</v>
      </c>
    </row>
    <row r="1060" spans="1:6">
      <c r="A1060" t="s">
        <v>242</v>
      </c>
      <c r="B1060" s="12" t="s">
        <v>246</v>
      </c>
      <c r="C1060" s="12" t="s">
        <v>478</v>
      </c>
      <c r="D1060" s="12">
        <v>6.1373364683185626E-2</v>
      </c>
      <c r="E1060" s="12">
        <v>33174</v>
      </c>
      <c r="F1060" s="12">
        <v>2036</v>
      </c>
    </row>
    <row r="1061" spans="1:6">
      <c r="A1061" t="s">
        <v>242</v>
      </c>
      <c r="B1061" s="12" t="s">
        <v>246</v>
      </c>
      <c r="C1061" s="12" t="s">
        <v>20</v>
      </c>
      <c r="D1061" s="12">
        <v>7.2496533429794424E-2</v>
      </c>
      <c r="E1061" s="12">
        <v>33174</v>
      </c>
      <c r="F1061" s="12">
        <v>2405</v>
      </c>
    </row>
    <row r="1062" spans="1:6">
      <c r="A1062" t="s">
        <v>242</v>
      </c>
      <c r="B1062" s="12" t="s">
        <v>247</v>
      </c>
      <c r="C1062" s="12" t="s">
        <v>480</v>
      </c>
      <c r="D1062" s="12">
        <v>0.38941719875016984</v>
      </c>
      <c r="E1062" s="12">
        <v>73610</v>
      </c>
      <c r="F1062" s="12">
        <v>28665</v>
      </c>
    </row>
    <row r="1063" spans="1:6">
      <c r="A1063" t="s">
        <v>242</v>
      </c>
      <c r="B1063" s="12" t="s">
        <v>247</v>
      </c>
      <c r="C1063" s="12" t="s">
        <v>479</v>
      </c>
      <c r="D1063" s="12">
        <v>0.41607118598016574</v>
      </c>
      <c r="E1063" s="12">
        <v>73610</v>
      </c>
      <c r="F1063" s="12">
        <v>30627</v>
      </c>
    </row>
    <row r="1064" spans="1:6">
      <c r="A1064" t="s">
        <v>242</v>
      </c>
      <c r="B1064" s="12" t="s">
        <v>247</v>
      </c>
      <c r="C1064" s="12" t="s">
        <v>22</v>
      </c>
      <c r="D1064" s="12">
        <v>0.11139790789294933</v>
      </c>
      <c r="E1064" s="12">
        <v>73610</v>
      </c>
      <c r="F1064" s="12">
        <v>8200</v>
      </c>
    </row>
    <row r="1065" spans="1:6">
      <c r="A1065" t="s">
        <v>242</v>
      </c>
      <c r="B1065" s="12" t="s">
        <v>247</v>
      </c>
      <c r="C1065" s="12" t="s">
        <v>478</v>
      </c>
      <c r="D1065" s="12">
        <v>4.2385545442195353E-2</v>
      </c>
      <c r="E1065" s="12">
        <v>73610</v>
      </c>
      <c r="F1065" s="12">
        <v>3120</v>
      </c>
    </row>
    <row r="1066" spans="1:6">
      <c r="A1066" t="s">
        <v>242</v>
      </c>
      <c r="B1066" s="12" t="s">
        <v>247</v>
      </c>
      <c r="C1066" s="12" t="s">
        <v>20</v>
      </c>
      <c r="D1066" s="12">
        <v>4.0755332155957072E-2</v>
      </c>
      <c r="E1066" s="12">
        <v>73610</v>
      </c>
      <c r="F1066" s="12">
        <v>3000</v>
      </c>
    </row>
    <row r="1067" spans="1:6">
      <c r="A1067" t="s">
        <v>242</v>
      </c>
      <c r="B1067" s="12" t="s">
        <v>248</v>
      </c>
      <c r="C1067" s="12" t="s">
        <v>480</v>
      </c>
      <c r="D1067" s="12">
        <v>0.38941548183254343</v>
      </c>
      <c r="E1067" s="12">
        <v>49374</v>
      </c>
      <c r="F1067" s="12">
        <v>19227</v>
      </c>
    </row>
    <row r="1068" spans="1:6">
      <c r="A1068" t="s">
        <v>242</v>
      </c>
      <c r="B1068" s="12" t="s">
        <v>248</v>
      </c>
      <c r="C1068" s="12" t="s">
        <v>479</v>
      </c>
      <c r="D1068" s="12">
        <v>0.3984688297484506</v>
      </c>
      <c r="E1068" s="12">
        <v>49374</v>
      </c>
      <c r="F1068" s="12">
        <v>19674</v>
      </c>
    </row>
    <row r="1069" spans="1:6">
      <c r="A1069" t="s">
        <v>242</v>
      </c>
      <c r="B1069" s="12" t="s">
        <v>248</v>
      </c>
      <c r="C1069" s="12" t="s">
        <v>22</v>
      </c>
      <c r="D1069" s="12">
        <v>0.11611374407582939</v>
      </c>
      <c r="E1069" s="12">
        <v>49374</v>
      </c>
      <c r="F1069" s="12">
        <v>5733</v>
      </c>
    </row>
    <row r="1070" spans="1:6">
      <c r="A1070" t="s">
        <v>242</v>
      </c>
      <c r="B1070" s="12" t="s">
        <v>248</v>
      </c>
      <c r="C1070" s="12" t="s">
        <v>478</v>
      </c>
      <c r="D1070" s="12">
        <v>4.8304775792927454E-2</v>
      </c>
      <c r="E1070" s="12">
        <v>49374</v>
      </c>
      <c r="F1070" s="12">
        <v>2385</v>
      </c>
    </row>
    <row r="1071" spans="1:6">
      <c r="A1071" t="s">
        <v>242</v>
      </c>
      <c r="B1071" s="12" t="s">
        <v>248</v>
      </c>
      <c r="C1071" s="12" t="s">
        <v>20</v>
      </c>
      <c r="D1071" s="12">
        <v>4.7636407825981289E-2</v>
      </c>
      <c r="E1071" s="12">
        <v>49374</v>
      </c>
      <c r="F1071" s="12">
        <v>2352</v>
      </c>
    </row>
    <row r="1072" spans="1:6">
      <c r="A1072" t="s">
        <v>242</v>
      </c>
      <c r="B1072" s="12" t="s">
        <v>249</v>
      </c>
      <c r="C1072" s="12" t="s">
        <v>480</v>
      </c>
      <c r="D1072" s="12">
        <v>0.40737924236023093</v>
      </c>
      <c r="E1072" s="12">
        <v>35505</v>
      </c>
      <c r="F1072" s="12">
        <v>14464</v>
      </c>
    </row>
    <row r="1073" spans="1:6">
      <c r="A1073" t="s">
        <v>242</v>
      </c>
      <c r="B1073" s="12" t="s">
        <v>249</v>
      </c>
      <c r="C1073" s="12" t="s">
        <v>479</v>
      </c>
      <c r="D1073" s="12">
        <v>0.38662160259118433</v>
      </c>
      <c r="E1073" s="12">
        <v>35505</v>
      </c>
      <c r="F1073" s="12">
        <v>13727</v>
      </c>
    </row>
    <row r="1074" spans="1:6">
      <c r="A1074" t="s">
        <v>242</v>
      </c>
      <c r="B1074" s="12" t="s">
        <v>249</v>
      </c>
      <c r="C1074" s="12" t="s">
        <v>22</v>
      </c>
      <c r="D1074" s="12">
        <v>0.11249119842275736</v>
      </c>
      <c r="E1074" s="12">
        <v>35505</v>
      </c>
      <c r="F1074" s="12">
        <v>3994</v>
      </c>
    </row>
    <row r="1075" spans="1:6">
      <c r="A1075" t="s">
        <v>242</v>
      </c>
      <c r="B1075" s="12" t="s">
        <v>249</v>
      </c>
      <c r="C1075" s="12" t="s">
        <v>478</v>
      </c>
      <c r="D1075" s="12">
        <v>4.4190959019856361E-2</v>
      </c>
      <c r="E1075" s="12">
        <v>35505</v>
      </c>
      <c r="F1075" s="12">
        <v>1569</v>
      </c>
    </row>
    <row r="1076" spans="1:6">
      <c r="A1076" t="s">
        <v>242</v>
      </c>
      <c r="B1076" s="12" t="s">
        <v>249</v>
      </c>
      <c r="C1076" s="12" t="s">
        <v>20</v>
      </c>
      <c r="D1076" s="12">
        <v>4.9457822841853259E-2</v>
      </c>
      <c r="E1076" s="12">
        <v>35505</v>
      </c>
      <c r="F1076" s="12">
        <v>1756</v>
      </c>
    </row>
    <row r="1077" spans="1:6">
      <c r="A1077" t="s">
        <v>242</v>
      </c>
      <c r="B1077" s="12" t="s">
        <v>250</v>
      </c>
      <c r="C1077" s="12" t="s">
        <v>480</v>
      </c>
      <c r="D1077" s="12">
        <v>0.40945970025144035</v>
      </c>
      <c r="E1077" s="12">
        <v>252545</v>
      </c>
      <c r="F1077" s="12">
        <v>103407</v>
      </c>
    </row>
    <row r="1078" spans="1:6">
      <c r="A1078" t="s">
        <v>242</v>
      </c>
      <c r="B1078" s="12" t="s">
        <v>250</v>
      </c>
      <c r="C1078" s="12" t="s">
        <v>479</v>
      </c>
      <c r="D1078" s="12">
        <v>0.41474192718129443</v>
      </c>
      <c r="E1078" s="12">
        <v>252545</v>
      </c>
      <c r="F1078" s="12">
        <v>104741</v>
      </c>
    </row>
    <row r="1079" spans="1:6">
      <c r="A1079" t="s">
        <v>242</v>
      </c>
      <c r="B1079" s="12" t="s">
        <v>250</v>
      </c>
      <c r="C1079" s="12" t="s">
        <v>22</v>
      </c>
      <c r="D1079" s="12">
        <v>0.10509018194777169</v>
      </c>
      <c r="E1079" s="12">
        <v>252545</v>
      </c>
      <c r="F1079" s="12">
        <v>26540</v>
      </c>
    </row>
    <row r="1080" spans="1:6">
      <c r="A1080" t="s">
        <v>242</v>
      </c>
      <c r="B1080" s="12" t="s">
        <v>250</v>
      </c>
      <c r="C1080" s="12" t="s">
        <v>478</v>
      </c>
      <c r="D1080" s="12">
        <v>3.7371557544200046E-2</v>
      </c>
      <c r="E1080" s="12">
        <v>252545</v>
      </c>
      <c r="F1080" s="12">
        <v>9438</v>
      </c>
    </row>
    <row r="1081" spans="1:6">
      <c r="A1081" t="s">
        <v>242</v>
      </c>
      <c r="B1081" s="12" t="s">
        <v>250</v>
      </c>
      <c r="C1081" s="12" t="s">
        <v>20</v>
      </c>
      <c r="D1081" s="12">
        <v>3.3356431527054586E-2</v>
      </c>
      <c r="E1081" s="12">
        <v>252545</v>
      </c>
      <c r="F1081" s="12">
        <v>8424</v>
      </c>
    </row>
    <row r="1082" spans="1:6">
      <c r="A1082" t="s">
        <v>242</v>
      </c>
      <c r="B1082" s="12" t="s">
        <v>251</v>
      </c>
      <c r="C1082" s="12" t="s">
        <v>480</v>
      </c>
      <c r="D1082" s="12">
        <v>0.38542841910807496</v>
      </c>
      <c r="E1082" s="12">
        <v>161314</v>
      </c>
      <c r="F1082" s="12">
        <v>62175</v>
      </c>
    </row>
    <row r="1083" spans="1:6">
      <c r="A1083" t="s">
        <v>242</v>
      </c>
      <c r="B1083" s="12" t="s">
        <v>251</v>
      </c>
      <c r="C1083" s="12" t="s">
        <v>479</v>
      </c>
      <c r="D1083" s="12">
        <v>0.41119183703832279</v>
      </c>
      <c r="E1083" s="12">
        <v>161314</v>
      </c>
      <c r="F1083" s="12">
        <v>66331</v>
      </c>
    </row>
    <row r="1084" spans="1:6">
      <c r="A1084" t="s">
        <v>242</v>
      </c>
      <c r="B1084" s="12" t="s">
        <v>251</v>
      </c>
      <c r="C1084" s="12" t="s">
        <v>22</v>
      </c>
      <c r="D1084" s="12">
        <v>0.11574940798690753</v>
      </c>
      <c r="E1084" s="12">
        <v>161314</v>
      </c>
      <c r="F1084" s="12">
        <v>18672</v>
      </c>
    </row>
    <row r="1085" spans="1:6">
      <c r="A1085" t="s">
        <v>242</v>
      </c>
      <c r="B1085" s="12" t="s">
        <v>251</v>
      </c>
      <c r="C1085" s="12" t="s">
        <v>478</v>
      </c>
      <c r="D1085" s="12">
        <v>4.4292497861313958E-2</v>
      </c>
      <c r="E1085" s="12">
        <v>161314</v>
      </c>
      <c r="F1085" s="12">
        <v>7145</v>
      </c>
    </row>
    <row r="1086" spans="1:6">
      <c r="A1086" t="s">
        <v>242</v>
      </c>
      <c r="B1086" s="12" t="s">
        <v>251</v>
      </c>
      <c r="C1086" s="12" t="s">
        <v>20</v>
      </c>
      <c r="D1086" s="12">
        <v>4.3375032545222361E-2</v>
      </c>
      <c r="E1086" s="12">
        <v>161314</v>
      </c>
      <c r="F1086" s="12">
        <v>6997</v>
      </c>
    </row>
    <row r="1087" spans="1:6">
      <c r="A1087" t="s">
        <v>242</v>
      </c>
      <c r="B1087" s="12" t="s">
        <v>252</v>
      </c>
      <c r="C1087" s="12" t="s">
        <v>480</v>
      </c>
      <c r="D1087" s="12">
        <v>0.40567578824382144</v>
      </c>
      <c r="E1087" s="12">
        <v>369746</v>
      </c>
      <c r="F1087" s="12">
        <v>149997</v>
      </c>
    </row>
    <row r="1088" spans="1:6">
      <c r="A1088" t="s">
        <v>242</v>
      </c>
      <c r="B1088" s="12" t="s">
        <v>252</v>
      </c>
      <c r="C1088" s="12" t="s">
        <v>479</v>
      </c>
      <c r="D1088" s="12">
        <v>0.39835184153445879</v>
      </c>
      <c r="E1088" s="12">
        <v>369746</v>
      </c>
      <c r="F1088" s="12">
        <v>147289</v>
      </c>
    </row>
    <row r="1089" spans="1:6">
      <c r="A1089" t="s">
        <v>242</v>
      </c>
      <c r="B1089" s="12" t="s">
        <v>252</v>
      </c>
      <c r="C1089" s="12" t="s">
        <v>22</v>
      </c>
      <c r="D1089" s="12">
        <v>0.10959144926517123</v>
      </c>
      <c r="E1089" s="12">
        <v>369746</v>
      </c>
      <c r="F1089" s="12">
        <v>40521</v>
      </c>
    </row>
    <row r="1090" spans="1:6">
      <c r="A1090" t="s">
        <v>242</v>
      </c>
      <c r="B1090" s="12" t="s">
        <v>252</v>
      </c>
      <c r="C1090" s="12" t="s">
        <v>478</v>
      </c>
      <c r="D1090" s="12">
        <v>4.2523786599449352E-2</v>
      </c>
      <c r="E1090" s="12">
        <v>369746</v>
      </c>
      <c r="F1090" s="12">
        <v>15723</v>
      </c>
    </row>
    <row r="1091" spans="1:6">
      <c r="A1091" t="s">
        <v>242</v>
      </c>
      <c r="B1091" s="12" t="s">
        <v>252</v>
      </c>
      <c r="C1091" s="12" t="s">
        <v>20</v>
      </c>
      <c r="D1091" s="12">
        <v>4.3857134357099196E-2</v>
      </c>
      <c r="E1091" s="12">
        <v>369746</v>
      </c>
      <c r="F1091" s="12">
        <v>16216</v>
      </c>
    </row>
    <row r="1092" spans="1:6">
      <c r="A1092" t="s">
        <v>242</v>
      </c>
      <c r="B1092" s="12" t="s">
        <v>253</v>
      </c>
      <c r="C1092" s="12" t="s">
        <v>480</v>
      </c>
      <c r="D1092" s="12">
        <v>0.36243153472206946</v>
      </c>
      <c r="E1092" s="12">
        <v>90922</v>
      </c>
      <c r="F1092" s="12">
        <v>32953</v>
      </c>
    </row>
    <row r="1093" spans="1:6">
      <c r="A1093" t="s">
        <v>242</v>
      </c>
      <c r="B1093" s="12" t="s">
        <v>253</v>
      </c>
      <c r="C1093" s="12" t="s">
        <v>479</v>
      </c>
      <c r="D1093" s="12">
        <v>0.39891335430368885</v>
      </c>
      <c r="E1093" s="12">
        <v>90922</v>
      </c>
      <c r="F1093" s="12">
        <v>36270</v>
      </c>
    </row>
    <row r="1094" spans="1:6">
      <c r="A1094" t="s">
        <v>242</v>
      </c>
      <c r="B1094" s="12" t="s">
        <v>253</v>
      </c>
      <c r="C1094" s="12" t="s">
        <v>22</v>
      </c>
      <c r="D1094" s="12">
        <v>0.12615208640373066</v>
      </c>
      <c r="E1094" s="12">
        <v>90922</v>
      </c>
      <c r="F1094" s="12">
        <v>11470</v>
      </c>
    </row>
    <row r="1095" spans="1:6">
      <c r="A1095" t="s">
        <v>242</v>
      </c>
      <c r="B1095" s="12" t="s">
        <v>253</v>
      </c>
      <c r="C1095" s="12" t="s">
        <v>478</v>
      </c>
      <c r="D1095" s="12">
        <v>5.3507401948923256E-2</v>
      </c>
      <c r="E1095" s="12">
        <v>90922</v>
      </c>
      <c r="F1095" s="12">
        <v>4865</v>
      </c>
    </row>
    <row r="1096" spans="1:6">
      <c r="A1096" t="s">
        <v>242</v>
      </c>
      <c r="B1096" s="12" t="s">
        <v>253</v>
      </c>
      <c r="C1096" s="12" t="s">
        <v>20</v>
      </c>
      <c r="D1096" s="12">
        <v>5.8940630430478869E-2</v>
      </c>
      <c r="E1096" s="12">
        <v>90922</v>
      </c>
      <c r="F1096" s="12">
        <v>5359</v>
      </c>
    </row>
    <row r="1097" spans="1:6">
      <c r="A1097" t="s">
        <v>242</v>
      </c>
      <c r="B1097" s="12" t="s">
        <v>254</v>
      </c>
      <c r="C1097" s="12" t="s">
        <v>480</v>
      </c>
      <c r="D1097" s="12">
        <v>0.39727710716988485</v>
      </c>
      <c r="E1097" s="12">
        <v>266922</v>
      </c>
      <c r="F1097" s="12">
        <v>106042</v>
      </c>
    </row>
    <row r="1098" spans="1:6">
      <c r="A1098" t="s">
        <v>242</v>
      </c>
      <c r="B1098" s="12" t="s">
        <v>254</v>
      </c>
      <c r="C1098" s="12" t="s">
        <v>479</v>
      </c>
      <c r="D1098" s="12">
        <v>0.42180861824802751</v>
      </c>
      <c r="E1098" s="12">
        <v>266922</v>
      </c>
      <c r="F1098" s="12">
        <v>112590</v>
      </c>
    </row>
    <row r="1099" spans="1:6">
      <c r="A1099" t="s">
        <v>242</v>
      </c>
      <c r="B1099" s="12" t="s">
        <v>254</v>
      </c>
      <c r="C1099" s="12" t="s">
        <v>22</v>
      </c>
      <c r="D1099" s="12">
        <v>0.10787421044350035</v>
      </c>
      <c r="E1099" s="12">
        <v>266922</v>
      </c>
      <c r="F1099" s="12">
        <v>28794</v>
      </c>
    </row>
    <row r="1100" spans="1:6">
      <c r="A1100" t="s">
        <v>242</v>
      </c>
      <c r="B1100" s="12" t="s">
        <v>254</v>
      </c>
      <c r="C1100" s="12" t="s">
        <v>478</v>
      </c>
      <c r="D1100" s="12">
        <v>3.8760386929514987E-2</v>
      </c>
      <c r="E1100" s="12">
        <v>266922</v>
      </c>
      <c r="F1100" s="12">
        <v>10346</v>
      </c>
    </row>
    <row r="1101" spans="1:6">
      <c r="A1101" t="s">
        <v>242</v>
      </c>
      <c r="B1101" s="12" t="s">
        <v>254</v>
      </c>
      <c r="C1101" s="12" t="s">
        <v>20</v>
      </c>
      <c r="D1101" s="12">
        <v>3.4287170034691783E-2</v>
      </c>
      <c r="E1101" s="12">
        <v>266922</v>
      </c>
      <c r="F1101" s="12">
        <v>9152</v>
      </c>
    </row>
    <row r="1102" spans="1:6">
      <c r="A1102" t="s">
        <v>242</v>
      </c>
      <c r="B1102" s="12" t="s">
        <v>255</v>
      </c>
      <c r="C1102" s="12" t="s">
        <v>480</v>
      </c>
      <c r="D1102" s="12">
        <v>0.36023632030021807</v>
      </c>
      <c r="E1102" s="12">
        <v>39438</v>
      </c>
      <c r="F1102" s="12">
        <v>14207</v>
      </c>
    </row>
    <row r="1103" spans="1:6">
      <c r="A1103" t="s">
        <v>242</v>
      </c>
      <c r="B1103" s="12" t="s">
        <v>255</v>
      </c>
      <c r="C1103" s="12" t="s">
        <v>479</v>
      </c>
      <c r="D1103" s="12">
        <v>0.39601399665297427</v>
      </c>
      <c r="E1103" s="12">
        <v>39438</v>
      </c>
      <c r="F1103" s="12">
        <v>15618</v>
      </c>
    </row>
    <row r="1104" spans="1:6">
      <c r="A1104" t="s">
        <v>242</v>
      </c>
      <c r="B1104" s="12" t="s">
        <v>255</v>
      </c>
      <c r="C1104" s="12" t="s">
        <v>22</v>
      </c>
      <c r="D1104" s="12">
        <v>0.12564024544855215</v>
      </c>
      <c r="E1104" s="12">
        <v>39438</v>
      </c>
      <c r="F1104" s="12">
        <v>4955</v>
      </c>
    </row>
    <row r="1105" spans="1:6">
      <c r="A1105" t="s">
        <v>242</v>
      </c>
      <c r="B1105" s="12" t="s">
        <v>255</v>
      </c>
      <c r="C1105" s="12" t="s">
        <v>478</v>
      </c>
      <c r="D1105" s="12">
        <v>5.7457274709670873E-2</v>
      </c>
      <c r="E1105" s="12">
        <v>39438</v>
      </c>
      <c r="F1105" s="12">
        <v>2266</v>
      </c>
    </row>
    <row r="1106" spans="1:6">
      <c r="A1106" t="s">
        <v>242</v>
      </c>
      <c r="B1106" s="12" t="s">
        <v>255</v>
      </c>
      <c r="C1106" s="12" t="s">
        <v>20</v>
      </c>
      <c r="D1106" s="12">
        <v>6.0905725442466654E-2</v>
      </c>
      <c r="E1106" s="12">
        <v>39438</v>
      </c>
      <c r="F1106" s="12">
        <v>2402</v>
      </c>
    </row>
    <row r="1107" spans="1:6">
      <c r="A1107" t="s">
        <v>242</v>
      </c>
      <c r="B1107" s="12" t="s">
        <v>256</v>
      </c>
      <c r="C1107" s="12" t="s">
        <v>480</v>
      </c>
      <c r="D1107" s="12">
        <v>0.41131869934298687</v>
      </c>
      <c r="E1107" s="12">
        <v>323129</v>
      </c>
      <c r="F1107" s="12">
        <v>132909</v>
      </c>
    </row>
    <row r="1108" spans="1:6">
      <c r="A1108" t="s">
        <v>242</v>
      </c>
      <c r="B1108" s="12" t="s">
        <v>256</v>
      </c>
      <c r="C1108" s="12" t="s">
        <v>479</v>
      </c>
      <c r="D1108" s="12">
        <v>0.40862937093235208</v>
      </c>
      <c r="E1108" s="12">
        <v>323129</v>
      </c>
      <c r="F1108" s="12">
        <v>132040</v>
      </c>
    </row>
    <row r="1109" spans="1:6">
      <c r="A1109" t="s">
        <v>242</v>
      </c>
      <c r="B1109" s="12" t="s">
        <v>256</v>
      </c>
      <c r="C1109" s="12" t="s">
        <v>22</v>
      </c>
      <c r="D1109" s="12">
        <v>0.10569153495972197</v>
      </c>
      <c r="E1109" s="12">
        <v>323129</v>
      </c>
      <c r="F1109" s="12">
        <v>34152</v>
      </c>
    </row>
    <row r="1110" spans="1:6">
      <c r="A1110" t="s">
        <v>242</v>
      </c>
      <c r="B1110" s="12" t="s">
        <v>256</v>
      </c>
      <c r="C1110" s="12" t="s">
        <v>478</v>
      </c>
      <c r="D1110" s="12">
        <v>3.8631630092006597E-2</v>
      </c>
      <c r="E1110" s="12">
        <v>323129</v>
      </c>
      <c r="F1110" s="12">
        <v>12483</v>
      </c>
    </row>
    <row r="1111" spans="1:6">
      <c r="A1111" t="s">
        <v>242</v>
      </c>
      <c r="B1111" s="12" t="s">
        <v>256</v>
      </c>
      <c r="C1111" s="12" t="s">
        <v>20</v>
      </c>
      <c r="D1111" s="12">
        <v>3.5738048890690717E-2</v>
      </c>
      <c r="E1111" s="12">
        <v>323129</v>
      </c>
      <c r="F1111" s="12">
        <v>11548</v>
      </c>
    </row>
    <row r="1112" spans="1:6">
      <c r="A1112" t="s">
        <v>242</v>
      </c>
      <c r="B1112" s="12" t="s">
        <v>257</v>
      </c>
      <c r="C1112" s="12" t="s">
        <v>480</v>
      </c>
      <c r="D1112" s="12">
        <v>0.38144306394619859</v>
      </c>
      <c r="E1112" s="12">
        <v>43865</v>
      </c>
      <c r="F1112" s="12">
        <v>16732</v>
      </c>
    </row>
    <row r="1113" spans="1:6">
      <c r="A1113" t="s">
        <v>242</v>
      </c>
      <c r="B1113" s="12" t="s">
        <v>257</v>
      </c>
      <c r="C1113" s="12" t="s">
        <v>479</v>
      </c>
      <c r="D1113" s="12">
        <v>0.39518978684600481</v>
      </c>
      <c r="E1113" s="12">
        <v>43865</v>
      </c>
      <c r="F1113" s="12">
        <v>17335</v>
      </c>
    </row>
    <row r="1114" spans="1:6">
      <c r="A1114" t="s">
        <v>242</v>
      </c>
      <c r="B1114" s="12" t="s">
        <v>257</v>
      </c>
      <c r="C1114" s="12" t="s">
        <v>22</v>
      </c>
      <c r="D1114" s="12">
        <v>0.11615182947680383</v>
      </c>
      <c r="E1114" s="12">
        <v>43865</v>
      </c>
      <c r="F1114" s="12">
        <v>5095</v>
      </c>
    </row>
    <row r="1115" spans="1:6">
      <c r="A1115" t="s">
        <v>242</v>
      </c>
      <c r="B1115" s="12" t="s">
        <v>257</v>
      </c>
      <c r="C1115" s="12" t="s">
        <v>478</v>
      </c>
      <c r="D1115" s="12">
        <v>5.1362133819674E-2</v>
      </c>
      <c r="E1115" s="12">
        <v>43865</v>
      </c>
      <c r="F1115" s="12">
        <v>2253</v>
      </c>
    </row>
    <row r="1116" spans="1:6">
      <c r="A1116" t="s">
        <v>242</v>
      </c>
      <c r="B1116" s="12" t="s">
        <v>257</v>
      </c>
      <c r="C1116" s="12" t="s">
        <v>20</v>
      </c>
      <c r="D1116" s="12">
        <v>5.5761997036361567E-2</v>
      </c>
      <c r="E1116" s="12">
        <v>43865</v>
      </c>
      <c r="F1116" s="12">
        <v>2446</v>
      </c>
    </row>
    <row r="1117" spans="1:6">
      <c r="A1117" t="s">
        <v>242</v>
      </c>
      <c r="B1117" s="12" t="s">
        <v>258</v>
      </c>
      <c r="C1117" s="12" t="s">
        <v>480</v>
      </c>
      <c r="D1117" s="12">
        <v>0.3803277317950004</v>
      </c>
      <c r="E1117" s="12">
        <v>239220</v>
      </c>
      <c r="F1117" s="12">
        <v>90982</v>
      </c>
    </row>
    <row r="1118" spans="1:6">
      <c r="A1118" t="s">
        <v>242</v>
      </c>
      <c r="B1118" s="12" t="s">
        <v>258</v>
      </c>
      <c r="C1118" s="12" t="s">
        <v>479</v>
      </c>
      <c r="D1118" s="12">
        <v>0.41709723267285342</v>
      </c>
      <c r="E1118" s="12">
        <v>239220</v>
      </c>
      <c r="F1118" s="12">
        <v>99778</v>
      </c>
    </row>
    <row r="1119" spans="1:6">
      <c r="A1119" t="s">
        <v>242</v>
      </c>
      <c r="B1119" s="12" t="s">
        <v>258</v>
      </c>
      <c r="C1119" s="12" t="s">
        <v>22</v>
      </c>
      <c r="D1119" s="12">
        <v>0.1200484909288521</v>
      </c>
      <c r="E1119" s="12">
        <v>239220</v>
      </c>
      <c r="F1119" s="12">
        <v>28718</v>
      </c>
    </row>
    <row r="1120" spans="1:6">
      <c r="A1120" t="s">
        <v>242</v>
      </c>
      <c r="B1120" s="12" t="s">
        <v>258</v>
      </c>
      <c r="C1120" s="12" t="s">
        <v>478</v>
      </c>
      <c r="D1120" s="12">
        <v>4.3779784298971655E-2</v>
      </c>
      <c r="E1120" s="12">
        <v>239220</v>
      </c>
      <c r="F1120" s="12">
        <v>10473</v>
      </c>
    </row>
    <row r="1121" spans="1:6">
      <c r="A1121" t="s">
        <v>242</v>
      </c>
      <c r="B1121" s="12" t="s">
        <v>258</v>
      </c>
      <c r="C1121" s="12" t="s">
        <v>20</v>
      </c>
      <c r="D1121" s="12">
        <v>3.8742580051835132E-2</v>
      </c>
      <c r="E1121" s="12">
        <v>239220</v>
      </c>
      <c r="F1121" s="12">
        <v>9268</v>
      </c>
    </row>
    <row r="1122" spans="1:6">
      <c r="A1122" t="s">
        <v>242</v>
      </c>
      <c r="B1122" s="12" t="s">
        <v>259</v>
      </c>
      <c r="C1122" s="12" t="s">
        <v>480</v>
      </c>
      <c r="D1122" s="12">
        <v>0.39751507951614279</v>
      </c>
      <c r="E1122" s="12">
        <v>152359</v>
      </c>
      <c r="F1122" s="12">
        <v>60565</v>
      </c>
    </row>
    <row r="1123" spans="1:6">
      <c r="A1123" t="s">
        <v>242</v>
      </c>
      <c r="B1123" s="12" t="s">
        <v>259</v>
      </c>
      <c r="C1123" s="12" t="s">
        <v>479</v>
      </c>
      <c r="D1123" s="12">
        <v>0.41990299227482458</v>
      </c>
      <c r="E1123" s="12">
        <v>152359</v>
      </c>
      <c r="F1123" s="12">
        <v>63976</v>
      </c>
    </row>
    <row r="1124" spans="1:6">
      <c r="A1124" t="s">
        <v>242</v>
      </c>
      <c r="B1124" s="12" t="s">
        <v>259</v>
      </c>
      <c r="C1124" s="12" t="s">
        <v>22</v>
      </c>
      <c r="D1124" s="12">
        <v>0.10841499353500614</v>
      </c>
      <c r="E1124" s="12">
        <v>152359</v>
      </c>
      <c r="F1124" s="12">
        <v>16518</v>
      </c>
    </row>
    <row r="1125" spans="1:6">
      <c r="A1125" t="s">
        <v>242</v>
      </c>
      <c r="B1125" s="12" t="s">
        <v>259</v>
      </c>
      <c r="C1125" s="12" t="s">
        <v>478</v>
      </c>
      <c r="D1125" s="12">
        <v>3.8625877040411136E-2</v>
      </c>
      <c r="E1125" s="12">
        <v>152359</v>
      </c>
      <c r="F1125" s="12">
        <v>5885</v>
      </c>
    </row>
    <row r="1126" spans="1:6">
      <c r="A1126" t="s">
        <v>242</v>
      </c>
      <c r="B1126" s="12" t="s">
        <v>259</v>
      </c>
      <c r="C1126" s="12" t="s">
        <v>20</v>
      </c>
      <c r="D1126" s="12">
        <v>3.5560747970254464E-2</v>
      </c>
      <c r="E1126" s="12">
        <v>152359</v>
      </c>
      <c r="F1126" s="12">
        <v>5418</v>
      </c>
    </row>
    <row r="1127" spans="1:6">
      <c r="A1127" t="s">
        <v>242</v>
      </c>
      <c r="B1127" s="12" t="s">
        <v>260</v>
      </c>
      <c r="C1127" s="12" t="s">
        <v>480</v>
      </c>
      <c r="D1127" s="12">
        <v>0.41721274001828712</v>
      </c>
      <c r="E1127" s="12">
        <v>104992</v>
      </c>
      <c r="F1127" s="12">
        <v>43804</v>
      </c>
    </row>
    <row r="1128" spans="1:6">
      <c r="A1128" t="s">
        <v>242</v>
      </c>
      <c r="B1128" s="12" t="s">
        <v>260</v>
      </c>
      <c r="C1128" s="12" t="s">
        <v>479</v>
      </c>
      <c r="D1128" s="12">
        <v>0.39733503505028955</v>
      </c>
      <c r="E1128" s="12">
        <v>104992</v>
      </c>
      <c r="F1128" s="12">
        <v>41717</v>
      </c>
    </row>
    <row r="1129" spans="1:6">
      <c r="A1129" t="s">
        <v>242</v>
      </c>
      <c r="B1129" s="12" t="s">
        <v>260</v>
      </c>
      <c r="C1129" s="12" t="s">
        <v>22</v>
      </c>
      <c r="D1129" s="12">
        <v>0.1054080310880829</v>
      </c>
      <c r="E1129" s="12">
        <v>104992</v>
      </c>
      <c r="F1129" s="12">
        <v>11067</v>
      </c>
    </row>
    <row r="1130" spans="1:6">
      <c r="A1130" t="s">
        <v>242</v>
      </c>
      <c r="B1130" s="12" t="s">
        <v>260</v>
      </c>
      <c r="C1130" s="12" t="s">
        <v>478</v>
      </c>
      <c r="D1130" s="12">
        <v>3.9250609570252969E-2</v>
      </c>
      <c r="E1130" s="12">
        <v>104992</v>
      </c>
      <c r="F1130" s="12">
        <v>4121</v>
      </c>
    </row>
    <row r="1131" spans="1:6">
      <c r="A1131" t="s">
        <v>242</v>
      </c>
      <c r="B1131" s="12" t="s">
        <v>260</v>
      </c>
      <c r="C1131" s="12" t="s">
        <v>20</v>
      </c>
      <c r="D1131" s="12">
        <v>4.079358427308747E-2</v>
      </c>
      <c r="E1131" s="12">
        <v>104992</v>
      </c>
      <c r="F1131" s="12">
        <v>4283</v>
      </c>
    </row>
    <row r="1132" spans="1:6">
      <c r="A1132" t="s">
        <v>242</v>
      </c>
      <c r="B1132" s="12" t="s">
        <v>261</v>
      </c>
      <c r="C1132" s="12" t="s">
        <v>480</v>
      </c>
      <c r="D1132" s="12">
        <v>0.40235479023341097</v>
      </c>
      <c r="E1132" s="12">
        <v>72533</v>
      </c>
      <c r="F1132" s="12">
        <v>29184</v>
      </c>
    </row>
    <row r="1133" spans="1:6">
      <c r="A1133" t="s">
        <v>242</v>
      </c>
      <c r="B1133" s="12" t="s">
        <v>261</v>
      </c>
      <c r="C1133" s="12" t="s">
        <v>479</v>
      </c>
      <c r="D1133" s="12">
        <v>0.40358181793114856</v>
      </c>
      <c r="E1133" s="12">
        <v>72533</v>
      </c>
      <c r="F1133" s="12">
        <v>29273</v>
      </c>
    </row>
    <row r="1134" spans="1:6">
      <c r="A1134" t="s">
        <v>242</v>
      </c>
      <c r="B1134" s="12" t="s">
        <v>261</v>
      </c>
      <c r="C1134" s="12" t="s">
        <v>22</v>
      </c>
      <c r="D1134" s="12">
        <v>0.10891594170929095</v>
      </c>
      <c r="E1134" s="12">
        <v>72533</v>
      </c>
      <c r="F1134" s="12">
        <v>7900</v>
      </c>
    </row>
    <row r="1135" spans="1:6">
      <c r="A1135" t="s">
        <v>242</v>
      </c>
      <c r="B1135" s="12" t="s">
        <v>261</v>
      </c>
      <c r="C1135" s="12" t="s">
        <v>478</v>
      </c>
      <c r="D1135" s="12">
        <v>4.2932182592750882E-2</v>
      </c>
      <c r="E1135" s="12">
        <v>72533</v>
      </c>
      <c r="F1135" s="12">
        <v>3114</v>
      </c>
    </row>
    <row r="1136" spans="1:6">
      <c r="A1136" t="s">
        <v>242</v>
      </c>
      <c r="B1136" s="12" t="s">
        <v>261</v>
      </c>
      <c r="C1136" s="12" t="s">
        <v>20</v>
      </c>
      <c r="D1136" s="12">
        <v>4.2229054361463056E-2</v>
      </c>
      <c r="E1136" s="12">
        <v>72533</v>
      </c>
      <c r="F1136" s="12">
        <v>3063</v>
      </c>
    </row>
    <row r="1137" spans="1:6">
      <c r="A1137" t="s">
        <v>242</v>
      </c>
      <c r="B1137" s="12" t="s">
        <v>262</v>
      </c>
      <c r="C1137" s="12" t="s">
        <v>480</v>
      </c>
      <c r="D1137" s="12">
        <v>0.41250269720415522</v>
      </c>
      <c r="E1137" s="12">
        <v>32441</v>
      </c>
      <c r="F1137" s="12">
        <v>13382</v>
      </c>
    </row>
    <row r="1138" spans="1:6">
      <c r="A1138" t="s">
        <v>242</v>
      </c>
      <c r="B1138" s="12" t="s">
        <v>262</v>
      </c>
      <c r="C1138" s="12" t="s">
        <v>479</v>
      </c>
      <c r="D1138" s="12">
        <v>0.38479085108350541</v>
      </c>
      <c r="E1138" s="12">
        <v>32441</v>
      </c>
      <c r="F1138" s="12">
        <v>12483</v>
      </c>
    </row>
    <row r="1139" spans="1:6">
      <c r="A1139" t="s">
        <v>242</v>
      </c>
      <c r="B1139" s="12" t="s">
        <v>262</v>
      </c>
      <c r="C1139" s="12" t="s">
        <v>22</v>
      </c>
      <c r="D1139" s="12">
        <v>0.11013840510465152</v>
      </c>
      <c r="E1139" s="12">
        <v>32441</v>
      </c>
      <c r="F1139" s="12">
        <v>3573</v>
      </c>
    </row>
    <row r="1140" spans="1:6">
      <c r="A1140" t="s">
        <v>242</v>
      </c>
      <c r="B1140" s="12" t="s">
        <v>262</v>
      </c>
      <c r="C1140" s="12" t="s">
        <v>478</v>
      </c>
      <c r="D1140" s="12">
        <v>4.4758176381739158E-2</v>
      </c>
      <c r="E1140" s="12">
        <v>32441</v>
      </c>
      <c r="F1140" s="12">
        <v>1452</v>
      </c>
    </row>
    <row r="1141" spans="1:6">
      <c r="A1141" t="s">
        <v>242</v>
      </c>
      <c r="B1141" s="12" t="s">
        <v>262</v>
      </c>
      <c r="C1141" s="12" t="s">
        <v>20</v>
      </c>
      <c r="D1141" s="12">
        <v>4.7840695416294196E-2</v>
      </c>
      <c r="E1141" s="12">
        <v>32441</v>
      </c>
      <c r="F1141" s="12">
        <v>1552</v>
      </c>
    </row>
    <row r="1142" spans="1:6">
      <c r="A1142" t="s">
        <v>242</v>
      </c>
      <c r="B1142" s="12" t="s">
        <v>263</v>
      </c>
      <c r="C1142" s="12" t="s">
        <v>480</v>
      </c>
      <c r="D1142" s="12">
        <v>0.37481901893785835</v>
      </c>
      <c r="E1142" s="12">
        <v>34534</v>
      </c>
      <c r="F1142" s="12">
        <v>12944</v>
      </c>
    </row>
    <row r="1143" spans="1:6">
      <c r="A1143" t="s">
        <v>242</v>
      </c>
      <c r="B1143" s="12" t="s">
        <v>263</v>
      </c>
      <c r="C1143" s="12" t="s">
        <v>479</v>
      </c>
      <c r="D1143" s="12">
        <v>0.40331267736144089</v>
      </c>
      <c r="E1143" s="12">
        <v>34534</v>
      </c>
      <c r="F1143" s="12">
        <v>13928</v>
      </c>
    </row>
    <row r="1144" spans="1:6">
      <c r="A1144" t="s">
        <v>242</v>
      </c>
      <c r="B1144" s="12" t="s">
        <v>263</v>
      </c>
      <c r="C1144" s="12" t="s">
        <v>22</v>
      </c>
      <c r="D1144" s="12">
        <v>0.1169861585683674</v>
      </c>
      <c r="E1144" s="12">
        <v>34534</v>
      </c>
      <c r="F1144" s="12">
        <v>4040</v>
      </c>
    </row>
    <row r="1145" spans="1:6">
      <c r="A1145" t="s">
        <v>242</v>
      </c>
      <c r="B1145" s="12" t="s">
        <v>263</v>
      </c>
      <c r="C1145" s="12" t="s">
        <v>478</v>
      </c>
      <c r="D1145" s="12">
        <v>4.9777031331441478E-2</v>
      </c>
      <c r="E1145" s="12">
        <v>34534</v>
      </c>
      <c r="F1145" s="12">
        <v>1719</v>
      </c>
    </row>
    <row r="1146" spans="1:6">
      <c r="A1146" t="s">
        <v>242</v>
      </c>
      <c r="B1146" s="12" t="s">
        <v>263</v>
      </c>
      <c r="C1146" s="12" t="s">
        <v>20</v>
      </c>
      <c r="D1146" s="12">
        <v>5.5076156830949206E-2</v>
      </c>
      <c r="E1146" s="12">
        <v>34534</v>
      </c>
      <c r="F1146" s="12">
        <v>1902</v>
      </c>
    </row>
    <row r="1147" spans="1:6">
      <c r="A1147" t="s">
        <v>242</v>
      </c>
      <c r="B1147" s="12" t="s">
        <v>264</v>
      </c>
      <c r="C1147" s="12" t="s">
        <v>480</v>
      </c>
      <c r="D1147" s="12">
        <v>0.42464940149545904</v>
      </c>
      <c r="E1147" s="12">
        <v>124644</v>
      </c>
      <c r="F1147" s="12">
        <v>52930</v>
      </c>
    </row>
    <row r="1148" spans="1:6">
      <c r="A1148" t="s">
        <v>242</v>
      </c>
      <c r="B1148" s="12" t="s">
        <v>264</v>
      </c>
      <c r="C1148" s="12" t="s">
        <v>479</v>
      </c>
      <c r="D1148" s="12">
        <v>0.41037675299252269</v>
      </c>
      <c r="E1148" s="12">
        <v>124644</v>
      </c>
      <c r="F1148" s="12">
        <v>51151</v>
      </c>
    </row>
    <row r="1149" spans="1:6">
      <c r="A1149" t="s">
        <v>242</v>
      </c>
      <c r="B1149" s="12" t="s">
        <v>264</v>
      </c>
      <c r="C1149" s="12" t="s">
        <v>22</v>
      </c>
      <c r="D1149" s="12">
        <v>9.7750393119604637E-2</v>
      </c>
      <c r="E1149" s="12">
        <v>124644</v>
      </c>
      <c r="F1149" s="12">
        <v>12184</v>
      </c>
    </row>
    <row r="1150" spans="1:6">
      <c r="A1150" t="s">
        <v>242</v>
      </c>
      <c r="B1150" s="12" t="s">
        <v>264</v>
      </c>
      <c r="C1150" s="12" t="s">
        <v>478</v>
      </c>
      <c r="D1150" s="12">
        <v>3.4979621963351623E-2</v>
      </c>
      <c r="E1150" s="12">
        <v>124644</v>
      </c>
      <c r="F1150" s="12">
        <v>4360</v>
      </c>
    </row>
    <row r="1151" spans="1:6">
      <c r="A1151" t="s">
        <v>242</v>
      </c>
      <c r="B1151" s="12" t="s">
        <v>264</v>
      </c>
      <c r="C1151" s="12" t="s">
        <v>20</v>
      </c>
      <c r="D1151" s="12">
        <v>3.2235807579987806E-2</v>
      </c>
      <c r="E1151" s="12">
        <v>124644</v>
      </c>
      <c r="F1151" s="12">
        <v>4018</v>
      </c>
    </row>
    <row r="1152" spans="1:6">
      <c r="A1152" t="s">
        <v>242</v>
      </c>
      <c r="B1152" s="12" t="s">
        <v>265</v>
      </c>
      <c r="C1152" s="12" t="s">
        <v>480</v>
      </c>
      <c r="D1152" s="12">
        <v>0.40918213748118415</v>
      </c>
      <c r="E1152" s="12">
        <v>19930</v>
      </c>
      <c r="F1152" s="12">
        <v>8155</v>
      </c>
    </row>
    <row r="1153" spans="1:6">
      <c r="A1153" t="s">
        <v>242</v>
      </c>
      <c r="B1153" s="12" t="s">
        <v>265</v>
      </c>
      <c r="C1153" s="12" t="s">
        <v>479</v>
      </c>
      <c r="D1153" s="12">
        <v>0.37531359759157051</v>
      </c>
      <c r="E1153" s="12">
        <v>19930</v>
      </c>
      <c r="F1153" s="12">
        <v>7480</v>
      </c>
    </row>
    <row r="1154" spans="1:6">
      <c r="A1154" t="s">
        <v>242</v>
      </c>
      <c r="B1154" s="12" t="s">
        <v>265</v>
      </c>
      <c r="C1154" s="12" t="s">
        <v>22</v>
      </c>
      <c r="D1154" s="12">
        <v>0.1100351229302559</v>
      </c>
      <c r="E1154" s="12">
        <v>19930</v>
      </c>
      <c r="F1154" s="12">
        <v>2193</v>
      </c>
    </row>
    <row r="1155" spans="1:6">
      <c r="A1155" t="s">
        <v>242</v>
      </c>
      <c r="B1155" s="12" t="s">
        <v>265</v>
      </c>
      <c r="C1155" s="12" t="s">
        <v>478</v>
      </c>
      <c r="D1155" s="12">
        <v>5.0627195183140995E-2</v>
      </c>
      <c r="E1155" s="12">
        <v>19930</v>
      </c>
      <c r="F1155" s="12">
        <v>1009</v>
      </c>
    </row>
    <row r="1156" spans="1:6">
      <c r="A1156" t="s">
        <v>242</v>
      </c>
      <c r="B1156" s="12" t="s">
        <v>265</v>
      </c>
      <c r="C1156" s="12" t="s">
        <v>20</v>
      </c>
      <c r="D1156" s="12">
        <v>5.4942298043151032E-2</v>
      </c>
      <c r="E1156" s="12">
        <v>19930</v>
      </c>
      <c r="F1156" s="12">
        <v>1095</v>
      </c>
    </row>
    <row r="1157" spans="1:6">
      <c r="A1157" t="s">
        <v>242</v>
      </c>
      <c r="B1157" s="12" t="s">
        <v>267</v>
      </c>
      <c r="C1157" s="12" t="s">
        <v>480</v>
      </c>
      <c r="D1157" s="12">
        <v>0.34634854771784235</v>
      </c>
      <c r="E1157" s="12">
        <v>24100</v>
      </c>
      <c r="F1157" s="12">
        <v>8347</v>
      </c>
    </row>
    <row r="1158" spans="1:6">
      <c r="A1158" t="s">
        <v>242</v>
      </c>
      <c r="B1158" s="12" t="s">
        <v>267</v>
      </c>
      <c r="C1158" s="12" t="s">
        <v>479</v>
      </c>
      <c r="D1158" s="12">
        <v>0.39095435684647301</v>
      </c>
      <c r="E1158" s="12">
        <v>24100</v>
      </c>
      <c r="F1158" s="12">
        <v>9422</v>
      </c>
    </row>
    <row r="1159" spans="1:6">
      <c r="A1159" t="s">
        <v>242</v>
      </c>
      <c r="B1159" s="12" t="s">
        <v>267</v>
      </c>
      <c r="C1159" s="12" t="s">
        <v>22</v>
      </c>
      <c r="D1159" s="12">
        <v>0.13253112033195022</v>
      </c>
      <c r="E1159" s="12">
        <v>24100</v>
      </c>
      <c r="F1159" s="12">
        <v>3194</v>
      </c>
    </row>
    <row r="1160" spans="1:6">
      <c r="A1160" t="s">
        <v>242</v>
      </c>
      <c r="B1160" s="12" t="s">
        <v>267</v>
      </c>
      <c r="C1160" s="12" t="s">
        <v>478</v>
      </c>
      <c r="D1160" s="12">
        <v>6.1078838174273856E-2</v>
      </c>
      <c r="E1160" s="12">
        <v>24100</v>
      </c>
      <c r="F1160" s="12">
        <v>1472</v>
      </c>
    </row>
    <row r="1161" spans="1:6">
      <c r="A1161" t="s">
        <v>242</v>
      </c>
      <c r="B1161" s="12" t="s">
        <v>267</v>
      </c>
      <c r="C1161" s="12" t="s">
        <v>20</v>
      </c>
      <c r="D1161" s="12">
        <v>6.8755186721991698E-2</v>
      </c>
      <c r="E1161" s="12">
        <v>24100</v>
      </c>
      <c r="F1161" s="12">
        <v>1657</v>
      </c>
    </row>
    <row r="1162" spans="1:6">
      <c r="A1162" t="s">
        <v>1014</v>
      </c>
      <c r="B1162" s="12" t="s">
        <v>268</v>
      </c>
      <c r="C1162" s="12" t="s">
        <v>480</v>
      </c>
      <c r="D1162" s="12">
        <v>0.58122824918816363</v>
      </c>
      <c r="E1162" s="12">
        <v>257749</v>
      </c>
      <c r="F1162" s="12">
        <v>149811</v>
      </c>
    </row>
    <row r="1163" spans="1:6">
      <c r="A1163" t="s">
        <v>1014</v>
      </c>
      <c r="B1163" s="12" t="s">
        <v>268</v>
      </c>
      <c r="C1163" s="12" t="s">
        <v>479</v>
      </c>
      <c r="D1163" s="12">
        <v>0.32366371935487626</v>
      </c>
      <c r="E1163" s="12">
        <v>257749</v>
      </c>
      <c r="F1163" s="12">
        <v>83424</v>
      </c>
    </row>
    <row r="1164" spans="1:6">
      <c r="A1164" t="s">
        <v>1014</v>
      </c>
      <c r="B1164" s="12" t="s">
        <v>268</v>
      </c>
      <c r="C1164" s="12" t="s">
        <v>22</v>
      </c>
      <c r="D1164" s="12">
        <v>5.8153474892240126E-2</v>
      </c>
      <c r="E1164" s="12">
        <v>257749</v>
      </c>
      <c r="F1164" s="12">
        <v>14989</v>
      </c>
    </row>
    <row r="1165" spans="1:6">
      <c r="A1165" t="s">
        <v>1014</v>
      </c>
      <c r="B1165" s="12" t="s">
        <v>268</v>
      </c>
      <c r="C1165" s="12" t="s">
        <v>478</v>
      </c>
      <c r="D1165" s="12">
        <v>1.9553907095662834E-2</v>
      </c>
      <c r="E1165" s="12">
        <v>257749</v>
      </c>
      <c r="F1165" s="12">
        <v>5040</v>
      </c>
    </row>
    <row r="1166" spans="1:6">
      <c r="A1166" t="s">
        <v>1014</v>
      </c>
      <c r="B1166" s="12" t="s">
        <v>268</v>
      </c>
      <c r="C1166" s="12" t="s">
        <v>20</v>
      </c>
      <c r="D1166" s="12">
        <v>1.7408408955999828E-2</v>
      </c>
      <c r="E1166" s="12">
        <v>257749</v>
      </c>
      <c r="F1166" s="12">
        <v>4487</v>
      </c>
    </row>
    <row r="1167" spans="1:6">
      <c r="A1167" t="s">
        <v>1014</v>
      </c>
      <c r="B1167" s="12" t="s">
        <v>269</v>
      </c>
      <c r="C1167" s="12" t="s">
        <v>480</v>
      </c>
      <c r="D1167" s="12">
        <v>0.60394056803088592</v>
      </c>
      <c r="E1167" s="12">
        <v>290618</v>
      </c>
      <c r="F1167" s="12">
        <v>175516</v>
      </c>
    </row>
    <row r="1168" spans="1:6">
      <c r="A1168" t="s">
        <v>1014</v>
      </c>
      <c r="B1168" s="12" t="s">
        <v>269</v>
      </c>
      <c r="C1168" s="12" t="s">
        <v>479</v>
      </c>
      <c r="D1168" s="12">
        <v>0.31649106387078568</v>
      </c>
      <c r="E1168" s="12">
        <v>290618</v>
      </c>
      <c r="F1168" s="12">
        <v>91978</v>
      </c>
    </row>
    <row r="1169" spans="1:6">
      <c r="A1169" t="s">
        <v>1014</v>
      </c>
      <c r="B1169" s="12" t="s">
        <v>269</v>
      </c>
      <c r="C1169" s="12" t="s">
        <v>22</v>
      </c>
      <c r="D1169" s="12">
        <v>4.9384415280540092E-2</v>
      </c>
      <c r="E1169" s="12">
        <v>290618</v>
      </c>
      <c r="F1169" s="12">
        <v>14352</v>
      </c>
    </row>
    <row r="1170" spans="1:6">
      <c r="A1170" t="s">
        <v>1014</v>
      </c>
      <c r="B1170" s="12" t="s">
        <v>269</v>
      </c>
      <c r="C1170" s="12" t="s">
        <v>478</v>
      </c>
      <c r="D1170" s="12">
        <v>1.5639086360789766E-2</v>
      </c>
      <c r="E1170" s="12">
        <v>290618</v>
      </c>
      <c r="F1170" s="12">
        <v>4545</v>
      </c>
    </row>
    <row r="1171" spans="1:6">
      <c r="A1171" t="s">
        <v>1014</v>
      </c>
      <c r="B1171" s="12" t="s">
        <v>269</v>
      </c>
      <c r="C1171" s="12" t="s">
        <v>20</v>
      </c>
      <c r="D1171" s="12">
        <v>1.456207117246695E-2</v>
      </c>
      <c r="E1171" s="12">
        <v>290618</v>
      </c>
      <c r="F1171" s="12">
        <v>4232</v>
      </c>
    </row>
    <row r="1172" spans="1:6">
      <c r="A1172" t="s">
        <v>1014</v>
      </c>
      <c r="B1172" s="12" t="s">
        <v>270</v>
      </c>
      <c r="C1172" s="12" t="s">
        <v>480</v>
      </c>
      <c r="D1172" s="12">
        <v>0.59390218570406439</v>
      </c>
      <c r="E1172" s="12">
        <v>173308</v>
      </c>
      <c r="F1172" s="12">
        <v>102928</v>
      </c>
    </row>
    <row r="1173" spans="1:6">
      <c r="A1173" t="s">
        <v>1014</v>
      </c>
      <c r="B1173" s="12" t="s">
        <v>270</v>
      </c>
      <c r="C1173" s="12" t="s">
        <v>479</v>
      </c>
      <c r="D1173" s="12">
        <v>0.31445172756018186</v>
      </c>
      <c r="E1173" s="12">
        <v>173308</v>
      </c>
      <c r="F1173" s="12">
        <v>54497</v>
      </c>
    </row>
    <row r="1174" spans="1:6">
      <c r="A1174" t="s">
        <v>1014</v>
      </c>
      <c r="B1174" s="12" t="s">
        <v>270</v>
      </c>
      <c r="C1174" s="12" t="s">
        <v>22</v>
      </c>
      <c r="D1174" s="12">
        <v>5.581969672490595E-2</v>
      </c>
      <c r="E1174" s="12">
        <v>173308</v>
      </c>
      <c r="F1174" s="12">
        <v>9674</v>
      </c>
    </row>
    <row r="1175" spans="1:6">
      <c r="A1175" t="s">
        <v>1014</v>
      </c>
      <c r="B1175" s="12" t="s">
        <v>270</v>
      </c>
      <c r="C1175" s="12" t="s">
        <v>478</v>
      </c>
      <c r="D1175" s="12">
        <v>1.8821981674244696E-2</v>
      </c>
      <c r="E1175" s="12">
        <v>173308</v>
      </c>
      <c r="F1175" s="12">
        <v>3262</v>
      </c>
    </row>
    <row r="1176" spans="1:6">
      <c r="A1176" t="s">
        <v>1014</v>
      </c>
      <c r="B1176" s="12" t="s">
        <v>270</v>
      </c>
      <c r="C1176" s="12" t="s">
        <v>20</v>
      </c>
      <c r="D1176" s="12">
        <v>1.7015948484778543E-2</v>
      </c>
      <c r="E1176" s="12">
        <v>173308</v>
      </c>
      <c r="F1176" s="12">
        <v>2949</v>
      </c>
    </row>
    <row r="1177" spans="1:6">
      <c r="A1177" t="s">
        <v>1014</v>
      </c>
      <c r="B1177" s="12" t="s">
        <v>271</v>
      </c>
      <c r="C1177" s="12" t="s">
        <v>480</v>
      </c>
      <c r="D1177" s="12">
        <v>0.52378379676319453</v>
      </c>
      <c r="E1177" s="12">
        <v>166584</v>
      </c>
      <c r="F1177" s="12">
        <v>87254</v>
      </c>
    </row>
    <row r="1178" spans="1:6">
      <c r="A1178" t="s">
        <v>1014</v>
      </c>
      <c r="B1178" s="12" t="s">
        <v>271</v>
      </c>
      <c r="C1178" s="12" t="s">
        <v>479</v>
      </c>
      <c r="D1178" s="12">
        <v>0.35439177832204771</v>
      </c>
      <c r="E1178" s="12">
        <v>166584</v>
      </c>
      <c r="F1178" s="12">
        <v>59036</v>
      </c>
    </row>
    <row r="1179" spans="1:6">
      <c r="A1179" t="s">
        <v>1014</v>
      </c>
      <c r="B1179" s="12" t="s">
        <v>271</v>
      </c>
      <c r="C1179" s="12" t="s">
        <v>22</v>
      </c>
      <c r="D1179" s="12">
        <v>7.709623973490852E-2</v>
      </c>
      <c r="E1179" s="12">
        <v>166584</v>
      </c>
      <c r="F1179" s="12">
        <v>12843</v>
      </c>
    </row>
    <row r="1180" spans="1:6">
      <c r="A1180" t="s">
        <v>1014</v>
      </c>
      <c r="B1180" s="12" t="s">
        <v>271</v>
      </c>
      <c r="C1180" s="12" t="s">
        <v>478</v>
      </c>
      <c r="D1180" s="12">
        <v>2.4738270182010278E-2</v>
      </c>
      <c r="E1180" s="12">
        <v>166584</v>
      </c>
      <c r="F1180" s="12">
        <v>4121</v>
      </c>
    </row>
    <row r="1181" spans="1:6">
      <c r="A1181" t="s">
        <v>1014</v>
      </c>
      <c r="B1181" s="12" t="s">
        <v>271</v>
      </c>
      <c r="C1181" s="12" t="s">
        <v>20</v>
      </c>
      <c r="D1181" s="12">
        <v>2.0019929885223071E-2</v>
      </c>
      <c r="E1181" s="12">
        <v>166584</v>
      </c>
      <c r="F1181" s="12">
        <v>3335</v>
      </c>
    </row>
    <row r="1182" spans="1:6">
      <c r="A1182" t="s">
        <v>1014</v>
      </c>
      <c r="B1182" s="12" t="s">
        <v>272</v>
      </c>
      <c r="C1182" s="12" t="s">
        <v>480</v>
      </c>
      <c r="D1182" s="12">
        <v>0.56871346982646631</v>
      </c>
      <c r="E1182" s="12">
        <v>673587</v>
      </c>
      <c r="F1182" s="12">
        <v>383078</v>
      </c>
    </row>
    <row r="1183" spans="1:6">
      <c r="A1183" t="s">
        <v>1014</v>
      </c>
      <c r="B1183" s="12" t="s">
        <v>272</v>
      </c>
      <c r="C1183" s="12" t="s">
        <v>479</v>
      </c>
      <c r="D1183" s="12">
        <v>0.33821911646157066</v>
      </c>
      <c r="E1183" s="12">
        <v>673587</v>
      </c>
      <c r="F1183" s="12">
        <v>227820</v>
      </c>
    </row>
    <row r="1184" spans="1:6">
      <c r="A1184" t="s">
        <v>1014</v>
      </c>
      <c r="B1184" s="12" t="s">
        <v>272</v>
      </c>
      <c r="C1184" s="12" t="s">
        <v>22</v>
      </c>
      <c r="D1184" s="12">
        <v>6.1724766065853406E-2</v>
      </c>
      <c r="E1184" s="12">
        <v>673587</v>
      </c>
      <c r="F1184" s="12">
        <v>41577</v>
      </c>
    </row>
    <row r="1185" spans="1:6">
      <c r="A1185" t="s">
        <v>1014</v>
      </c>
      <c r="B1185" s="12" t="s">
        <v>272</v>
      </c>
      <c r="C1185" s="12" t="s">
        <v>478</v>
      </c>
      <c r="D1185" s="12">
        <v>1.798134465184156E-2</v>
      </c>
      <c r="E1185" s="12">
        <v>673587</v>
      </c>
      <c r="F1185" s="12">
        <v>12112</v>
      </c>
    </row>
    <row r="1186" spans="1:6">
      <c r="A1186" t="s">
        <v>1014</v>
      </c>
      <c r="B1186" s="12" t="s">
        <v>272</v>
      </c>
      <c r="C1186" s="12" t="s">
        <v>20</v>
      </c>
      <c r="D1186" s="12">
        <v>1.3374664297262268E-2</v>
      </c>
      <c r="E1186" s="12">
        <v>673587</v>
      </c>
      <c r="F1186" s="12">
        <v>9009</v>
      </c>
    </row>
    <row r="1187" spans="1:6">
      <c r="A1187" t="s">
        <v>1014</v>
      </c>
      <c r="B1187" s="12" t="s">
        <v>273</v>
      </c>
      <c r="C1187" s="12" t="s">
        <v>480</v>
      </c>
      <c r="D1187" s="12">
        <v>0.61378518971848228</v>
      </c>
      <c r="E1187" s="12">
        <v>196080</v>
      </c>
      <c r="F1187" s="12">
        <v>120351</v>
      </c>
    </row>
    <row r="1188" spans="1:6">
      <c r="A1188" t="s">
        <v>1014</v>
      </c>
      <c r="B1188" s="12" t="s">
        <v>273</v>
      </c>
      <c r="C1188" s="12" t="s">
        <v>479</v>
      </c>
      <c r="D1188" s="12">
        <v>0.29127396980824155</v>
      </c>
      <c r="E1188" s="12">
        <v>196080</v>
      </c>
      <c r="F1188" s="12">
        <v>57113</v>
      </c>
    </row>
    <row r="1189" spans="1:6">
      <c r="A1189" t="s">
        <v>1014</v>
      </c>
      <c r="B1189" s="12" t="s">
        <v>273</v>
      </c>
      <c r="C1189" s="12" t="s">
        <v>22</v>
      </c>
      <c r="D1189" s="12">
        <v>5.6864545083639334E-2</v>
      </c>
      <c r="E1189" s="12">
        <v>196080</v>
      </c>
      <c r="F1189" s="12">
        <v>11150</v>
      </c>
    </row>
    <row r="1190" spans="1:6">
      <c r="A1190" t="s">
        <v>1014</v>
      </c>
      <c r="B1190" s="12" t="s">
        <v>273</v>
      </c>
      <c r="C1190" s="12" t="s">
        <v>478</v>
      </c>
      <c r="D1190" s="12">
        <v>2.0364137086903305E-2</v>
      </c>
      <c r="E1190" s="12">
        <v>196080</v>
      </c>
      <c r="F1190" s="12">
        <v>3993</v>
      </c>
    </row>
    <row r="1191" spans="1:6">
      <c r="A1191" t="s">
        <v>1014</v>
      </c>
      <c r="B1191" s="12" t="s">
        <v>273</v>
      </c>
      <c r="C1191" s="12" t="s">
        <v>20</v>
      </c>
      <c r="D1191" s="12">
        <v>1.7717258261933905E-2</v>
      </c>
      <c r="E1191" s="12">
        <v>196080</v>
      </c>
      <c r="F1191" s="12">
        <v>3474</v>
      </c>
    </row>
    <row r="1192" spans="1:6">
      <c r="A1192" t="s">
        <v>1014</v>
      </c>
      <c r="B1192" s="12" t="s">
        <v>274</v>
      </c>
      <c r="C1192" s="12" t="s">
        <v>480</v>
      </c>
      <c r="D1192" s="12">
        <v>0.58763544095460152</v>
      </c>
      <c r="E1192" s="12">
        <v>145820</v>
      </c>
      <c r="F1192" s="12">
        <v>85689</v>
      </c>
    </row>
    <row r="1193" spans="1:6">
      <c r="A1193" t="s">
        <v>1014</v>
      </c>
      <c r="B1193" s="12" t="s">
        <v>274</v>
      </c>
      <c r="C1193" s="12" t="s">
        <v>479</v>
      </c>
      <c r="D1193" s="12">
        <v>0.30187217116993553</v>
      </c>
      <c r="E1193" s="12">
        <v>145820</v>
      </c>
      <c r="F1193" s="12">
        <v>44019</v>
      </c>
    </row>
    <row r="1194" spans="1:6">
      <c r="A1194" t="s">
        <v>1014</v>
      </c>
      <c r="B1194" s="12" t="s">
        <v>274</v>
      </c>
      <c r="C1194" s="12" t="s">
        <v>22</v>
      </c>
      <c r="D1194" s="12">
        <v>6.3235495816760384E-2</v>
      </c>
      <c r="E1194" s="12">
        <v>145820</v>
      </c>
      <c r="F1194" s="12">
        <v>9221</v>
      </c>
    </row>
    <row r="1195" spans="1:6">
      <c r="A1195" t="s">
        <v>1014</v>
      </c>
      <c r="B1195" s="12" t="s">
        <v>274</v>
      </c>
      <c r="C1195" s="12" t="s">
        <v>478</v>
      </c>
      <c r="D1195" s="12">
        <v>2.3631874914277876E-2</v>
      </c>
      <c r="E1195" s="12">
        <v>145820</v>
      </c>
      <c r="F1195" s="12">
        <v>3446</v>
      </c>
    </row>
    <row r="1196" spans="1:6">
      <c r="A1196" t="s">
        <v>1014</v>
      </c>
      <c r="B1196" s="12" t="s">
        <v>274</v>
      </c>
      <c r="C1196" s="12" t="s">
        <v>20</v>
      </c>
      <c r="D1196" s="12">
        <v>2.3625017144424634E-2</v>
      </c>
      <c r="E1196" s="12">
        <v>145820</v>
      </c>
      <c r="F1196" s="12">
        <v>3445</v>
      </c>
    </row>
    <row r="1197" spans="1:6">
      <c r="A1197" t="s">
        <v>1014</v>
      </c>
      <c r="B1197" s="12" t="s">
        <v>275</v>
      </c>
      <c r="C1197" s="12" t="s">
        <v>480</v>
      </c>
      <c r="D1197" s="12">
        <v>0.61947429100882845</v>
      </c>
      <c r="E1197" s="12">
        <v>189953</v>
      </c>
      <c r="F1197" s="12">
        <v>117671</v>
      </c>
    </row>
    <row r="1198" spans="1:6">
      <c r="A1198" t="s">
        <v>1014</v>
      </c>
      <c r="B1198" s="12" t="s">
        <v>275</v>
      </c>
      <c r="C1198" s="12" t="s">
        <v>479</v>
      </c>
      <c r="D1198" s="12">
        <v>0.29097197727858998</v>
      </c>
      <c r="E1198" s="12">
        <v>189953</v>
      </c>
      <c r="F1198" s="12">
        <v>55271</v>
      </c>
    </row>
    <row r="1199" spans="1:6">
      <c r="A1199" t="s">
        <v>1014</v>
      </c>
      <c r="B1199" s="12" t="s">
        <v>275</v>
      </c>
      <c r="C1199" s="12" t="s">
        <v>22</v>
      </c>
      <c r="D1199" s="12">
        <v>5.0923123088342903E-2</v>
      </c>
      <c r="E1199" s="12">
        <v>189953</v>
      </c>
      <c r="F1199" s="12">
        <v>9673</v>
      </c>
    </row>
    <row r="1200" spans="1:6">
      <c r="A1200" t="s">
        <v>1014</v>
      </c>
      <c r="B1200" s="12" t="s">
        <v>275</v>
      </c>
      <c r="C1200" s="12" t="s">
        <v>478</v>
      </c>
      <c r="D1200" s="12">
        <v>1.9188957268376914E-2</v>
      </c>
      <c r="E1200" s="12">
        <v>189953</v>
      </c>
      <c r="F1200" s="12">
        <v>3645</v>
      </c>
    </row>
    <row r="1201" spans="1:6">
      <c r="A1201" t="s">
        <v>1014</v>
      </c>
      <c r="B1201" s="12" t="s">
        <v>275</v>
      </c>
      <c r="C1201" s="12" t="s">
        <v>20</v>
      </c>
      <c r="D1201" s="12">
        <v>1.9420593515237981E-2</v>
      </c>
      <c r="E1201" s="12">
        <v>189953</v>
      </c>
      <c r="F1201" s="12">
        <v>3689</v>
      </c>
    </row>
    <row r="1202" spans="1:6">
      <c r="A1202" t="s">
        <v>1014</v>
      </c>
      <c r="B1202" s="12" t="s">
        <v>276</v>
      </c>
      <c r="C1202" s="12" t="s">
        <v>480</v>
      </c>
      <c r="D1202" s="12">
        <v>0.6069320507979411</v>
      </c>
      <c r="E1202" s="12">
        <v>100634</v>
      </c>
      <c r="F1202" s="12">
        <v>61078</v>
      </c>
    </row>
    <row r="1203" spans="1:6">
      <c r="A1203" t="s">
        <v>1014</v>
      </c>
      <c r="B1203" s="12" t="s">
        <v>276</v>
      </c>
      <c r="C1203" s="12" t="s">
        <v>479</v>
      </c>
      <c r="D1203" s="12">
        <v>0.31355207981397937</v>
      </c>
      <c r="E1203" s="12">
        <v>100634</v>
      </c>
      <c r="F1203" s="12">
        <v>31554</v>
      </c>
    </row>
    <row r="1204" spans="1:6">
      <c r="A1204" t="s">
        <v>1014</v>
      </c>
      <c r="B1204" s="12" t="s">
        <v>276</v>
      </c>
      <c r="C1204" s="12" t="s">
        <v>22</v>
      </c>
      <c r="D1204" s="12">
        <v>4.9287517141324004E-2</v>
      </c>
      <c r="E1204" s="12">
        <v>100634</v>
      </c>
      <c r="F1204" s="12">
        <v>4960</v>
      </c>
    </row>
    <row r="1205" spans="1:6">
      <c r="A1205" t="s">
        <v>1014</v>
      </c>
      <c r="B1205" s="12" t="s">
        <v>276</v>
      </c>
      <c r="C1205" s="12" t="s">
        <v>478</v>
      </c>
      <c r="D1205" s="12">
        <v>1.5799829083609912E-2</v>
      </c>
      <c r="E1205" s="12">
        <v>100634</v>
      </c>
      <c r="F1205" s="12">
        <v>1590</v>
      </c>
    </row>
    <row r="1206" spans="1:6">
      <c r="A1206" t="s">
        <v>1014</v>
      </c>
      <c r="B1206" s="12" t="s">
        <v>276</v>
      </c>
      <c r="C1206" s="12" t="s">
        <v>20</v>
      </c>
      <c r="D1206" s="12">
        <v>1.448814515968758E-2</v>
      </c>
      <c r="E1206" s="12">
        <v>100634</v>
      </c>
      <c r="F1206" s="12">
        <v>1458</v>
      </c>
    </row>
    <row r="1207" spans="1:6">
      <c r="A1207" t="s">
        <v>1014</v>
      </c>
      <c r="B1207" s="12" t="s">
        <v>277</v>
      </c>
      <c r="C1207" s="12" t="s">
        <v>480</v>
      </c>
      <c r="D1207" s="12">
        <v>0.57687292082501662</v>
      </c>
      <c r="E1207" s="12">
        <v>75150</v>
      </c>
      <c r="F1207" s="12">
        <v>43352</v>
      </c>
    </row>
    <row r="1208" spans="1:6">
      <c r="A1208" t="s">
        <v>1014</v>
      </c>
      <c r="B1208" s="12" t="s">
        <v>277</v>
      </c>
      <c r="C1208" s="12" t="s">
        <v>479</v>
      </c>
      <c r="D1208" s="12">
        <v>0.31942781104457751</v>
      </c>
      <c r="E1208" s="12">
        <v>75150</v>
      </c>
      <c r="F1208" s="12">
        <v>24005</v>
      </c>
    </row>
    <row r="1209" spans="1:6">
      <c r="A1209" t="s">
        <v>1014</v>
      </c>
      <c r="B1209" s="12" t="s">
        <v>277</v>
      </c>
      <c r="C1209" s="12" t="s">
        <v>22</v>
      </c>
      <c r="D1209" s="12">
        <v>6.4298070525615439E-2</v>
      </c>
      <c r="E1209" s="12">
        <v>75150</v>
      </c>
      <c r="F1209" s="12">
        <v>4832</v>
      </c>
    </row>
    <row r="1210" spans="1:6">
      <c r="A1210" t="s">
        <v>1014</v>
      </c>
      <c r="B1210" s="12" t="s">
        <v>277</v>
      </c>
      <c r="C1210" s="12" t="s">
        <v>478</v>
      </c>
      <c r="D1210" s="12">
        <v>2.2727877578176979E-2</v>
      </c>
      <c r="E1210" s="12">
        <v>75150</v>
      </c>
      <c r="F1210" s="12">
        <v>1708</v>
      </c>
    </row>
    <row r="1211" spans="1:6">
      <c r="A1211" t="s">
        <v>1014</v>
      </c>
      <c r="B1211" s="12" t="s">
        <v>277</v>
      </c>
      <c r="C1211" s="12" t="s">
        <v>20</v>
      </c>
      <c r="D1211" s="12">
        <v>1.6580172987358616E-2</v>
      </c>
      <c r="E1211" s="12">
        <v>75150</v>
      </c>
      <c r="F1211" s="12">
        <v>1246</v>
      </c>
    </row>
    <row r="1212" spans="1:6">
      <c r="A1212" t="s">
        <v>1014</v>
      </c>
      <c r="B1212" s="12" t="s">
        <v>278</v>
      </c>
      <c r="C1212" s="12" t="s">
        <v>480</v>
      </c>
      <c r="D1212" s="12">
        <v>0.60000632001390408</v>
      </c>
      <c r="E1212" s="12">
        <v>63291</v>
      </c>
      <c r="F1212" s="12">
        <v>37975</v>
      </c>
    </row>
    <row r="1213" spans="1:6">
      <c r="A1213" t="s">
        <v>1014</v>
      </c>
      <c r="B1213" s="12" t="s">
        <v>278</v>
      </c>
      <c r="C1213" s="12" t="s">
        <v>479</v>
      </c>
      <c r="D1213" s="12">
        <v>0.30088006193613626</v>
      </c>
      <c r="E1213" s="12">
        <v>63291</v>
      </c>
      <c r="F1213" s="12">
        <v>19043</v>
      </c>
    </row>
    <row r="1214" spans="1:6">
      <c r="A1214" t="s">
        <v>1014</v>
      </c>
      <c r="B1214" s="12" t="s">
        <v>278</v>
      </c>
      <c r="C1214" s="12" t="s">
        <v>22</v>
      </c>
      <c r="D1214" s="12">
        <v>5.5505522112148646E-2</v>
      </c>
      <c r="E1214" s="12">
        <v>63291</v>
      </c>
      <c r="F1214" s="12">
        <v>3513</v>
      </c>
    </row>
    <row r="1215" spans="1:6">
      <c r="A1215" t="s">
        <v>1014</v>
      </c>
      <c r="B1215" s="12" t="s">
        <v>278</v>
      </c>
      <c r="C1215" s="12" t="s">
        <v>478</v>
      </c>
      <c r="D1215" s="12">
        <v>2.0413644910018802E-2</v>
      </c>
      <c r="E1215" s="12">
        <v>63291</v>
      </c>
      <c r="F1215" s="12">
        <v>1292</v>
      </c>
    </row>
    <row r="1216" spans="1:6">
      <c r="A1216" t="s">
        <v>1014</v>
      </c>
      <c r="B1216" s="12" t="s">
        <v>278</v>
      </c>
      <c r="C1216" s="12" t="s">
        <v>20</v>
      </c>
      <c r="D1216" s="12">
        <v>2.3226051097312413E-2</v>
      </c>
      <c r="E1216" s="12">
        <v>63291</v>
      </c>
      <c r="F1216" s="12">
        <v>1470</v>
      </c>
    </row>
    <row r="1217" spans="1:6">
      <c r="A1217" t="s">
        <v>1014</v>
      </c>
      <c r="B1217" s="12" t="s">
        <v>279</v>
      </c>
      <c r="C1217" s="12" t="s">
        <v>480</v>
      </c>
      <c r="D1217" s="12">
        <v>0.60843260684807188</v>
      </c>
      <c r="E1217" s="12">
        <v>69421</v>
      </c>
      <c r="F1217" s="12">
        <v>42238</v>
      </c>
    </row>
    <row r="1218" spans="1:6">
      <c r="A1218" t="s">
        <v>1014</v>
      </c>
      <c r="B1218" s="12" t="s">
        <v>279</v>
      </c>
      <c r="C1218" s="12" t="s">
        <v>479</v>
      </c>
      <c r="D1218" s="12">
        <v>0.29966436669019458</v>
      </c>
      <c r="E1218" s="12">
        <v>69421</v>
      </c>
      <c r="F1218" s="12">
        <v>20803</v>
      </c>
    </row>
    <row r="1219" spans="1:6">
      <c r="A1219" t="s">
        <v>1014</v>
      </c>
      <c r="B1219" s="12" t="s">
        <v>279</v>
      </c>
      <c r="C1219" s="12" t="s">
        <v>22</v>
      </c>
      <c r="D1219" s="12">
        <v>5.3931807378170868E-2</v>
      </c>
      <c r="E1219" s="12">
        <v>69421</v>
      </c>
      <c r="F1219" s="12">
        <v>3744</v>
      </c>
    </row>
    <row r="1220" spans="1:6">
      <c r="A1220" t="s">
        <v>1014</v>
      </c>
      <c r="B1220" s="12" t="s">
        <v>279</v>
      </c>
      <c r="C1220" s="12" t="s">
        <v>478</v>
      </c>
      <c r="D1220" s="12">
        <v>1.928811166649861E-2</v>
      </c>
      <c r="E1220" s="12">
        <v>69421</v>
      </c>
      <c r="F1220" s="12">
        <v>1339</v>
      </c>
    </row>
    <row r="1221" spans="1:6">
      <c r="A1221" t="s">
        <v>1014</v>
      </c>
      <c r="B1221" s="12" t="s">
        <v>279</v>
      </c>
      <c r="C1221" s="12" t="s">
        <v>20</v>
      </c>
      <c r="D1221" s="12">
        <v>1.8711917143227553E-2</v>
      </c>
      <c r="E1221" s="12">
        <v>69421</v>
      </c>
      <c r="F1221" s="12">
        <v>1299</v>
      </c>
    </row>
    <row r="1222" spans="1:6">
      <c r="A1222" t="s">
        <v>1014</v>
      </c>
      <c r="B1222" s="12" t="s">
        <v>280</v>
      </c>
      <c r="C1222" s="12" t="s">
        <v>480</v>
      </c>
      <c r="D1222" s="12">
        <v>0.6463369333425053</v>
      </c>
      <c r="E1222" s="12">
        <v>72685</v>
      </c>
      <c r="F1222" s="12">
        <v>46979</v>
      </c>
    </row>
    <row r="1223" spans="1:6">
      <c r="A1223" t="s">
        <v>1014</v>
      </c>
      <c r="B1223" s="12" t="s">
        <v>280</v>
      </c>
      <c r="C1223" s="12" t="s">
        <v>479</v>
      </c>
      <c r="D1223" s="12">
        <v>0.26486895508014036</v>
      </c>
      <c r="E1223" s="12">
        <v>72685</v>
      </c>
      <c r="F1223" s="12">
        <v>19252</v>
      </c>
    </row>
    <row r="1224" spans="1:6">
      <c r="A1224" t="s">
        <v>1014</v>
      </c>
      <c r="B1224" s="12" t="s">
        <v>280</v>
      </c>
      <c r="C1224" s="12" t="s">
        <v>22</v>
      </c>
      <c r="D1224" s="12">
        <v>5.1165990231822243E-2</v>
      </c>
      <c r="E1224" s="12">
        <v>72685</v>
      </c>
      <c r="F1224" s="12">
        <v>3719</v>
      </c>
    </row>
    <row r="1225" spans="1:6">
      <c r="A1225" t="s">
        <v>1014</v>
      </c>
      <c r="B1225" s="12" t="s">
        <v>280</v>
      </c>
      <c r="C1225" s="12" t="s">
        <v>478</v>
      </c>
      <c r="D1225" s="12">
        <v>1.9550113503473895E-2</v>
      </c>
      <c r="E1225" s="12">
        <v>72685</v>
      </c>
      <c r="F1225" s="12">
        <v>1421</v>
      </c>
    </row>
    <row r="1226" spans="1:6">
      <c r="A1226" t="s">
        <v>1014</v>
      </c>
      <c r="B1226" s="12" t="s">
        <v>280</v>
      </c>
      <c r="C1226" s="12" t="s">
        <v>20</v>
      </c>
      <c r="D1226" s="12">
        <v>1.8036733851551214E-2</v>
      </c>
      <c r="E1226" s="12">
        <v>72685</v>
      </c>
      <c r="F1226" s="12">
        <v>1311</v>
      </c>
    </row>
    <row r="1227" spans="1:6">
      <c r="A1227" t="s">
        <v>1014</v>
      </c>
      <c r="B1227" s="12" t="s">
        <v>281</v>
      </c>
      <c r="C1227" s="12" t="s">
        <v>480</v>
      </c>
      <c r="D1227" s="12">
        <v>0.63702645563110682</v>
      </c>
      <c r="E1227" s="12">
        <v>87505</v>
      </c>
      <c r="F1227" s="12">
        <v>55743</v>
      </c>
    </row>
    <row r="1228" spans="1:6">
      <c r="A1228" t="s">
        <v>1014</v>
      </c>
      <c r="B1228" s="12" t="s">
        <v>281</v>
      </c>
      <c r="C1228" s="12" t="s">
        <v>479</v>
      </c>
      <c r="D1228" s="12">
        <v>0.26848751499914292</v>
      </c>
      <c r="E1228" s="12">
        <v>87505</v>
      </c>
      <c r="F1228" s="12">
        <v>23494</v>
      </c>
    </row>
    <row r="1229" spans="1:6">
      <c r="A1229" t="s">
        <v>1014</v>
      </c>
      <c r="B1229" s="12" t="s">
        <v>281</v>
      </c>
      <c r="C1229" s="12" t="s">
        <v>22</v>
      </c>
      <c r="D1229" s="12">
        <v>5.5356836752185591E-2</v>
      </c>
      <c r="E1229" s="12">
        <v>87505</v>
      </c>
      <c r="F1229" s="12">
        <v>4844</v>
      </c>
    </row>
    <row r="1230" spans="1:6">
      <c r="A1230" t="s">
        <v>1014</v>
      </c>
      <c r="B1230" s="12" t="s">
        <v>281</v>
      </c>
      <c r="C1230" s="12" t="s">
        <v>478</v>
      </c>
      <c r="D1230" s="12">
        <v>2.0318838923490085E-2</v>
      </c>
      <c r="E1230" s="12">
        <v>87505</v>
      </c>
      <c r="F1230" s="12">
        <v>1778</v>
      </c>
    </row>
    <row r="1231" spans="1:6">
      <c r="A1231" t="s">
        <v>1014</v>
      </c>
      <c r="B1231" s="12" t="s">
        <v>281</v>
      </c>
      <c r="C1231" s="12" t="s">
        <v>20</v>
      </c>
      <c r="D1231" s="12">
        <v>1.8856065367693273E-2</v>
      </c>
      <c r="E1231" s="12">
        <v>87505</v>
      </c>
      <c r="F1231" s="12">
        <v>1650</v>
      </c>
    </row>
    <row r="1232" spans="1:6">
      <c r="A1232" t="s">
        <v>1014</v>
      </c>
      <c r="B1232" s="12" t="s">
        <v>282</v>
      </c>
      <c r="C1232" s="12" t="s">
        <v>480</v>
      </c>
      <c r="D1232" s="12">
        <v>0.55850526619535423</v>
      </c>
      <c r="E1232" s="12">
        <v>48517</v>
      </c>
      <c r="F1232" s="12">
        <v>27097</v>
      </c>
    </row>
    <row r="1233" spans="1:6">
      <c r="A1233" t="s">
        <v>1014</v>
      </c>
      <c r="B1233" s="12" t="s">
        <v>282</v>
      </c>
      <c r="C1233" s="12" t="s">
        <v>479</v>
      </c>
      <c r="D1233" s="12">
        <v>0.32396891811117751</v>
      </c>
      <c r="E1233" s="12">
        <v>48517</v>
      </c>
      <c r="F1233" s="12">
        <v>15718</v>
      </c>
    </row>
    <row r="1234" spans="1:6">
      <c r="A1234" t="s">
        <v>1014</v>
      </c>
      <c r="B1234" s="12" t="s">
        <v>282</v>
      </c>
      <c r="C1234" s="12" t="s">
        <v>22</v>
      </c>
      <c r="D1234" s="12">
        <v>6.7563946657872492E-2</v>
      </c>
      <c r="E1234" s="12">
        <v>48517</v>
      </c>
      <c r="F1234" s="12">
        <v>3278</v>
      </c>
    </row>
    <row r="1235" spans="1:6">
      <c r="A1235" t="s">
        <v>1014</v>
      </c>
      <c r="B1235" s="12" t="s">
        <v>282</v>
      </c>
      <c r="C1235" s="12" t="s">
        <v>478</v>
      </c>
      <c r="D1235" s="12">
        <v>2.471298720036276E-2</v>
      </c>
      <c r="E1235" s="12">
        <v>48517</v>
      </c>
      <c r="F1235" s="12">
        <v>1199</v>
      </c>
    </row>
    <row r="1236" spans="1:6">
      <c r="A1236" t="s">
        <v>1014</v>
      </c>
      <c r="B1236" s="12" t="s">
        <v>282</v>
      </c>
      <c r="C1236" s="12" t="s">
        <v>20</v>
      </c>
      <c r="D1236" s="12">
        <v>2.5269493167343407E-2</v>
      </c>
      <c r="E1236" s="12">
        <v>48517</v>
      </c>
      <c r="F1236" s="12">
        <v>1226</v>
      </c>
    </row>
    <row r="1237" spans="1:6">
      <c r="A1237" t="s">
        <v>1014</v>
      </c>
      <c r="B1237" s="12" t="s">
        <v>283</v>
      </c>
      <c r="C1237" s="12" t="s">
        <v>480</v>
      </c>
      <c r="D1237" s="12">
        <v>0.52244679817316098</v>
      </c>
      <c r="E1237" s="12">
        <v>41164</v>
      </c>
      <c r="F1237" s="12">
        <v>21506</v>
      </c>
    </row>
    <row r="1238" spans="1:6">
      <c r="A1238" t="s">
        <v>1014</v>
      </c>
      <c r="B1238" s="12" t="s">
        <v>283</v>
      </c>
      <c r="C1238" s="12" t="s">
        <v>479</v>
      </c>
      <c r="D1238" s="12">
        <v>0.32431250607326789</v>
      </c>
      <c r="E1238" s="12">
        <v>41164</v>
      </c>
      <c r="F1238" s="12">
        <v>13350</v>
      </c>
    </row>
    <row r="1239" spans="1:6">
      <c r="A1239" t="s">
        <v>1014</v>
      </c>
      <c r="B1239" s="12" t="s">
        <v>283</v>
      </c>
      <c r="C1239" s="12" t="s">
        <v>22</v>
      </c>
      <c r="D1239" s="12">
        <v>8.2086288990379938E-2</v>
      </c>
      <c r="E1239" s="12">
        <v>41164</v>
      </c>
      <c r="F1239" s="12">
        <v>3379</v>
      </c>
    </row>
    <row r="1240" spans="1:6">
      <c r="A1240" t="s">
        <v>1014</v>
      </c>
      <c r="B1240" s="12" t="s">
        <v>283</v>
      </c>
      <c r="C1240" s="12" t="s">
        <v>478</v>
      </c>
      <c r="D1240" s="12">
        <v>3.4326110193372852E-2</v>
      </c>
      <c r="E1240" s="12">
        <v>41164</v>
      </c>
      <c r="F1240" s="12">
        <v>1413</v>
      </c>
    </row>
    <row r="1241" spans="1:6">
      <c r="A1241" t="s">
        <v>1014</v>
      </c>
      <c r="B1241" s="12" t="s">
        <v>283</v>
      </c>
      <c r="C1241" s="12" t="s">
        <v>20</v>
      </c>
      <c r="D1241" s="12">
        <v>3.6804003498202315E-2</v>
      </c>
      <c r="E1241" s="12">
        <v>41164</v>
      </c>
      <c r="F1241" s="12">
        <v>1515</v>
      </c>
    </row>
    <row r="1242" spans="1:6">
      <c r="A1242" t="s">
        <v>1014</v>
      </c>
      <c r="B1242" s="12" t="s">
        <v>284</v>
      </c>
      <c r="C1242" s="12" t="s">
        <v>480</v>
      </c>
      <c r="D1242" s="12">
        <v>0.6154048427741865</v>
      </c>
      <c r="E1242" s="12">
        <v>45635</v>
      </c>
      <c r="F1242" s="12">
        <v>28084</v>
      </c>
    </row>
    <row r="1243" spans="1:6">
      <c r="A1243" t="s">
        <v>1014</v>
      </c>
      <c r="B1243" s="12" t="s">
        <v>284</v>
      </c>
      <c r="C1243" s="12" t="s">
        <v>479</v>
      </c>
      <c r="D1243" s="12">
        <v>0.30150104086775503</v>
      </c>
      <c r="E1243" s="12">
        <v>45635</v>
      </c>
      <c r="F1243" s="12">
        <v>13759</v>
      </c>
    </row>
    <row r="1244" spans="1:6">
      <c r="A1244" t="s">
        <v>1014</v>
      </c>
      <c r="B1244" s="12" t="s">
        <v>284</v>
      </c>
      <c r="C1244" s="12" t="s">
        <v>22</v>
      </c>
      <c r="D1244" s="12">
        <v>5.0487564369453272E-2</v>
      </c>
      <c r="E1244" s="12">
        <v>45635</v>
      </c>
      <c r="F1244" s="12">
        <v>2304</v>
      </c>
    </row>
    <row r="1245" spans="1:6">
      <c r="A1245" t="s">
        <v>1014</v>
      </c>
      <c r="B1245" s="12" t="s">
        <v>284</v>
      </c>
      <c r="C1245" s="12" t="s">
        <v>478</v>
      </c>
      <c r="D1245" s="12">
        <v>1.6916840144625835E-2</v>
      </c>
      <c r="E1245" s="12">
        <v>45635</v>
      </c>
      <c r="F1245" s="12">
        <v>772</v>
      </c>
    </row>
    <row r="1246" spans="1:6">
      <c r="A1246" t="s">
        <v>1014</v>
      </c>
      <c r="B1246" s="12" t="s">
        <v>284</v>
      </c>
      <c r="C1246" s="12" t="s">
        <v>20</v>
      </c>
      <c r="D1246" s="12">
        <v>1.5843102881560205E-2</v>
      </c>
      <c r="E1246" s="12">
        <v>45635</v>
      </c>
      <c r="F1246" s="12">
        <v>723</v>
      </c>
    </row>
    <row r="1247" spans="1:6">
      <c r="A1247" t="s">
        <v>1014</v>
      </c>
      <c r="B1247" s="12" t="s">
        <v>285</v>
      </c>
      <c r="C1247" s="12" t="s">
        <v>480</v>
      </c>
      <c r="D1247" s="12">
        <v>0.59118246038312228</v>
      </c>
      <c r="E1247" s="12">
        <v>62852</v>
      </c>
      <c r="F1247" s="12">
        <v>37157</v>
      </c>
    </row>
    <row r="1248" spans="1:6">
      <c r="A1248" t="s">
        <v>1014</v>
      </c>
      <c r="B1248" s="12" t="s">
        <v>285</v>
      </c>
      <c r="C1248" s="12" t="s">
        <v>479</v>
      </c>
      <c r="D1248" s="12">
        <v>0.30145420988990007</v>
      </c>
      <c r="E1248" s="12">
        <v>62852</v>
      </c>
      <c r="F1248" s="12">
        <v>18947</v>
      </c>
    </row>
    <row r="1249" spans="1:6">
      <c r="A1249" t="s">
        <v>1014</v>
      </c>
      <c r="B1249" s="12" t="s">
        <v>285</v>
      </c>
      <c r="C1249" s="12" t="s">
        <v>22</v>
      </c>
      <c r="D1249" s="12">
        <v>6.0952714312989244E-2</v>
      </c>
      <c r="E1249" s="12">
        <v>62852</v>
      </c>
      <c r="F1249" s="12">
        <v>3831</v>
      </c>
    </row>
    <row r="1250" spans="1:6">
      <c r="A1250" t="s">
        <v>1014</v>
      </c>
      <c r="B1250" s="12" t="s">
        <v>285</v>
      </c>
      <c r="C1250" s="12" t="s">
        <v>478</v>
      </c>
      <c r="D1250" s="12">
        <v>2.3420098008018839E-2</v>
      </c>
      <c r="E1250" s="12">
        <v>62852</v>
      </c>
      <c r="F1250" s="12">
        <v>1472</v>
      </c>
    </row>
    <row r="1251" spans="1:6">
      <c r="A1251" t="s">
        <v>1014</v>
      </c>
      <c r="B1251" s="12" t="s">
        <v>285</v>
      </c>
      <c r="C1251" s="12" t="s">
        <v>20</v>
      </c>
      <c r="D1251" s="12">
        <v>2.2958696620632598E-2</v>
      </c>
      <c r="E1251" s="12">
        <v>62852</v>
      </c>
      <c r="F1251" s="12">
        <v>1443</v>
      </c>
    </row>
    <row r="1252" spans="1:6">
      <c r="A1252" t="s">
        <v>1014</v>
      </c>
      <c r="B1252" s="12" t="s">
        <v>287</v>
      </c>
      <c r="C1252" s="12" t="s">
        <v>480</v>
      </c>
      <c r="D1252" s="12">
        <v>0.58168424378875849</v>
      </c>
      <c r="E1252" s="12">
        <v>50634</v>
      </c>
      <c r="F1252" s="12">
        <v>29453</v>
      </c>
    </row>
    <row r="1253" spans="1:6">
      <c r="A1253" t="s">
        <v>1014</v>
      </c>
      <c r="B1253" s="12" t="s">
        <v>287</v>
      </c>
      <c r="C1253" s="12" t="s">
        <v>479</v>
      </c>
      <c r="D1253" s="12">
        <v>0.30673065529091126</v>
      </c>
      <c r="E1253" s="12">
        <v>50634</v>
      </c>
      <c r="F1253" s="12">
        <v>15531</v>
      </c>
    </row>
    <row r="1254" spans="1:6">
      <c r="A1254" t="s">
        <v>1014</v>
      </c>
      <c r="B1254" s="12" t="s">
        <v>287</v>
      </c>
      <c r="C1254" s="12" t="s">
        <v>22</v>
      </c>
      <c r="D1254" s="12">
        <v>6.3060394201524664E-2</v>
      </c>
      <c r="E1254" s="12">
        <v>50634</v>
      </c>
      <c r="F1254" s="12">
        <v>3193</v>
      </c>
    </row>
    <row r="1255" spans="1:6">
      <c r="A1255" t="s">
        <v>1014</v>
      </c>
      <c r="B1255" s="12" t="s">
        <v>287</v>
      </c>
      <c r="C1255" s="12" t="s">
        <v>478</v>
      </c>
      <c r="D1255" s="12">
        <v>2.5022712011691747E-2</v>
      </c>
      <c r="E1255" s="12">
        <v>50634</v>
      </c>
      <c r="F1255" s="12">
        <v>1267</v>
      </c>
    </row>
    <row r="1256" spans="1:6">
      <c r="A1256" t="s">
        <v>1014</v>
      </c>
      <c r="B1256" s="12" t="s">
        <v>287</v>
      </c>
      <c r="C1256" s="12" t="s">
        <v>20</v>
      </c>
      <c r="D1256" s="12">
        <v>2.3462495556345539E-2</v>
      </c>
      <c r="E1256" s="12">
        <v>50634</v>
      </c>
      <c r="F1256" s="12">
        <v>1188</v>
      </c>
    </row>
    <row r="1257" spans="1:6">
      <c r="A1257" t="s">
        <v>286</v>
      </c>
      <c r="B1257" s="12" t="s">
        <v>288</v>
      </c>
      <c r="C1257" s="12" t="s">
        <v>480</v>
      </c>
      <c r="D1257" s="12">
        <v>0.48752989619547799</v>
      </c>
      <c r="E1257" s="12">
        <v>162228</v>
      </c>
      <c r="F1257" s="12">
        <v>79091</v>
      </c>
    </row>
    <row r="1258" spans="1:6">
      <c r="A1258" t="s">
        <v>286</v>
      </c>
      <c r="B1258" s="12" t="s">
        <v>288</v>
      </c>
      <c r="C1258" s="12" t="s">
        <v>479</v>
      </c>
      <c r="D1258" s="12">
        <v>0.37734546440811695</v>
      </c>
      <c r="E1258" s="12">
        <v>162228</v>
      </c>
      <c r="F1258" s="12">
        <v>61216</v>
      </c>
    </row>
    <row r="1259" spans="1:6">
      <c r="A1259" t="s">
        <v>286</v>
      </c>
      <c r="B1259" s="12" t="s">
        <v>288</v>
      </c>
      <c r="C1259" s="12" t="s">
        <v>22</v>
      </c>
      <c r="D1259" s="12">
        <v>7.9215671770594479E-2</v>
      </c>
      <c r="E1259" s="12">
        <v>162228</v>
      </c>
      <c r="F1259" s="12">
        <v>12851</v>
      </c>
    </row>
    <row r="1260" spans="1:6">
      <c r="A1260" t="s">
        <v>286</v>
      </c>
      <c r="B1260" s="12" t="s">
        <v>288</v>
      </c>
      <c r="C1260" s="12" t="s">
        <v>478</v>
      </c>
      <c r="D1260" s="12">
        <v>2.8879108415316716E-2</v>
      </c>
      <c r="E1260" s="12">
        <v>162228</v>
      </c>
      <c r="F1260" s="12">
        <v>4685</v>
      </c>
    </row>
    <row r="1261" spans="1:6">
      <c r="A1261" t="s">
        <v>286</v>
      </c>
      <c r="B1261" s="12" t="s">
        <v>288</v>
      </c>
      <c r="C1261" s="12" t="s">
        <v>20</v>
      </c>
      <c r="D1261" s="12">
        <v>2.7011366718445645E-2</v>
      </c>
      <c r="E1261" s="12">
        <v>162228</v>
      </c>
      <c r="F1261" s="12">
        <v>4382</v>
      </c>
    </row>
    <row r="1262" spans="1:6">
      <c r="A1262" t="s">
        <v>286</v>
      </c>
      <c r="B1262" s="12" t="s">
        <v>289</v>
      </c>
      <c r="C1262" s="12" t="s">
        <v>480</v>
      </c>
      <c r="D1262" s="12">
        <v>0.3841367706674797</v>
      </c>
      <c r="E1262" s="12">
        <v>88557</v>
      </c>
      <c r="F1262" s="12">
        <v>34018</v>
      </c>
    </row>
    <row r="1263" spans="1:6">
      <c r="A1263" t="s">
        <v>286</v>
      </c>
      <c r="B1263" s="12" t="s">
        <v>289</v>
      </c>
      <c r="C1263" s="12" t="s">
        <v>479</v>
      </c>
      <c r="D1263" s="12">
        <v>0.39356572602956286</v>
      </c>
      <c r="E1263" s="12">
        <v>88557</v>
      </c>
      <c r="F1263" s="12">
        <v>34853</v>
      </c>
    </row>
    <row r="1264" spans="1:6">
      <c r="A1264" t="s">
        <v>286</v>
      </c>
      <c r="B1264" s="12" t="s">
        <v>289</v>
      </c>
      <c r="C1264" s="12" t="s">
        <v>22</v>
      </c>
      <c r="D1264" s="12">
        <v>0.123129735650485</v>
      </c>
      <c r="E1264" s="12">
        <v>88557</v>
      </c>
      <c r="F1264" s="12">
        <v>10904</v>
      </c>
    </row>
    <row r="1265" spans="1:6">
      <c r="A1265" t="s">
        <v>286</v>
      </c>
      <c r="B1265" s="12" t="s">
        <v>289</v>
      </c>
      <c r="C1265" s="12" t="s">
        <v>478</v>
      </c>
      <c r="D1265" s="12">
        <v>4.986618787899319E-2</v>
      </c>
      <c r="E1265" s="12">
        <v>88557</v>
      </c>
      <c r="F1265" s="12">
        <v>4416</v>
      </c>
    </row>
    <row r="1266" spans="1:6">
      <c r="A1266" t="s">
        <v>286</v>
      </c>
      <c r="B1266" s="12" t="s">
        <v>289</v>
      </c>
      <c r="C1266" s="12" t="s">
        <v>20</v>
      </c>
      <c r="D1266" s="12">
        <v>4.9290287611368951E-2</v>
      </c>
      <c r="E1266" s="12">
        <v>88557</v>
      </c>
      <c r="F1266" s="12">
        <v>4365</v>
      </c>
    </row>
    <row r="1267" spans="1:6">
      <c r="A1267" t="s">
        <v>286</v>
      </c>
      <c r="B1267" s="12" t="s">
        <v>290</v>
      </c>
      <c r="C1267" s="12" t="s">
        <v>480</v>
      </c>
      <c r="D1267" s="12">
        <v>0.42672544246331995</v>
      </c>
      <c r="E1267" s="12">
        <v>227985</v>
      </c>
      <c r="F1267" s="12">
        <v>97287</v>
      </c>
    </row>
    <row r="1268" spans="1:6">
      <c r="A1268" t="s">
        <v>286</v>
      </c>
      <c r="B1268" s="12" t="s">
        <v>290</v>
      </c>
      <c r="C1268" s="12" t="s">
        <v>479</v>
      </c>
      <c r="D1268" s="12">
        <v>0.39985963988858914</v>
      </c>
      <c r="E1268" s="12">
        <v>227985</v>
      </c>
      <c r="F1268" s="12">
        <v>91162</v>
      </c>
    </row>
    <row r="1269" spans="1:6">
      <c r="A1269" t="s">
        <v>286</v>
      </c>
      <c r="B1269" s="12" t="s">
        <v>290</v>
      </c>
      <c r="C1269" s="12" t="s">
        <v>22</v>
      </c>
      <c r="D1269" s="12">
        <v>0.10045836348882602</v>
      </c>
      <c r="E1269" s="12">
        <v>227985</v>
      </c>
      <c r="F1269" s="12">
        <v>22903</v>
      </c>
    </row>
    <row r="1270" spans="1:6">
      <c r="A1270" t="s">
        <v>286</v>
      </c>
      <c r="B1270" s="12" t="s">
        <v>290</v>
      </c>
      <c r="C1270" s="12" t="s">
        <v>478</v>
      </c>
      <c r="D1270" s="12">
        <v>3.7502467267583391E-2</v>
      </c>
      <c r="E1270" s="12">
        <v>227985</v>
      </c>
      <c r="F1270" s="12">
        <v>8550</v>
      </c>
    </row>
    <row r="1271" spans="1:6">
      <c r="A1271" t="s">
        <v>286</v>
      </c>
      <c r="B1271" s="12" t="s">
        <v>290</v>
      </c>
      <c r="C1271" s="12" t="s">
        <v>20</v>
      </c>
      <c r="D1271" s="12">
        <v>3.5454086891681467E-2</v>
      </c>
      <c r="E1271" s="12">
        <v>227985</v>
      </c>
      <c r="F1271" s="12">
        <v>8083</v>
      </c>
    </row>
    <row r="1272" spans="1:6">
      <c r="A1272" t="s">
        <v>286</v>
      </c>
      <c r="B1272" s="12" t="s">
        <v>291</v>
      </c>
      <c r="C1272" s="12" t="s">
        <v>480</v>
      </c>
      <c r="D1272" s="12">
        <v>0.41232767840497658</v>
      </c>
      <c r="E1272" s="12">
        <v>509585</v>
      </c>
      <c r="F1272" s="12">
        <v>210116</v>
      </c>
    </row>
    <row r="1273" spans="1:6">
      <c r="A1273" t="s">
        <v>286</v>
      </c>
      <c r="B1273" s="12" t="s">
        <v>291</v>
      </c>
      <c r="C1273" s="12" t="s">
        <v>479</v>
      </c>
      <c r="D1273" s="12">
        <v>0.41533404633181903</v>
      </c>
      <c r="E1273" s="12">
        <v>509585</v>
      </c>
      <c r="F1273" s="12">
        <v>211648</v>
      </c>
    </row>
    <row r="1274" spans="1:6">
      <c r="A1274" t="s">
        <v>286</v>
      </c>
      <c r="B1274" s="12" t="s">
        <v>291</v>
      </c>
      <c r="C1274" s="12" t="s">
        <v>22</v>
      </c>
      <c r="D1274" s="12">
        <v>0.10347635821305572</v>
      </c>
      <c r="E1274" s="12">
        <v>509585</v>
      </c>
      <c r="F1274" s="12">
        <v>52730</v>
      </c>
    </row>
    <row r="1275" spans="1:6">
      <c r="A1275" t="s">
        <v>286</v>
      </c>
      <c r="B1275" s="12" t="s">
        <v>291</v>
      </c>
      <c r="C1275" s="12" t="s">
        <v>478</v>
      </c>
      <c r="D1275" s="12">
        <v>3.6684753279629501E-2</v>
      </c>
      <c r="E1275" s="12">
        <v>509585</v>
      </c>
      <c r="F1275" s="12">
        <v>18694</v>
      </c>
    </row>
    <row r="1276" spans="1:6">
      <c r="A1276" t="s">
        <v>286</v>
      </c>
      <c r="B1276" s="12" t="s">
        <v>291</v>
      </c>
      <c r="C1276" s="12" t="s">
        <v>20</v>
      </c>
      <c r="D1276" s="12">
        <v>3.2181088532825732E-2</v>
      </c>
      <c r="E1276" s="12">
        <v>509585</v>
      </c>
      <c r="F1276" s="12">
        <v>16399</v>
      </c>
    </row>
    <row r="1277" spans="1:6">
      <c r="A1277" t="s">
        <v>286</v>
      </c>
      <c r="B1277" s="12" t="s">
        <v>292</v>
      </c>
      <c r="C1277" s="12" t="s">
        <v>480</v>
      </c>
      <c r="D1277" s="12">
        <v>0.41237787795617115</v>
      </c>
      <c r="E1277" s="12">
        <v>140638</v>
      </c>
      <c r="F1277" s="12">
        <v>57996</v>
      </c>
    </row>
    <row r="1278" spans="1:6">
      <c r="A1278" t="s">
        <v>286</v>
      </c>
      <c r="B1278" s="12" t="s">
        <v>292</v>
      </c>
      <c r="C1278" s="12" t="s">
        <v>479</v>
      </c>
      <c r="D1278" s="12">
        <v>0.40375289750991911</v>
      </c>
      <c r="E1278" s="12">
        <v>140638</v>
      </c>
      <c r="F1278" s="12">
        <v>56783</v>
      </c>
    </row>
    <row r="1279" spans="1:6">
      <c r="A1279" t="s">
        <v>286</v>
      </c>
      <c r="B1279" s="12" t="s">
        <v>292</v>
      </c>
      <c r="C1279" s="12" t="s">
        <v>22</v>
      </c>
      <c r="D1279" s="12">
        <v>0.11017648146304697</v>
      </c>
      <c r="E1279" s="12">
        <v>140638</v>
      </c>
      <c r="F1279" s="12">
        <v>15495</v>
      </c>
    </row>
    <row r="1280" spans="1:6">
      <c r="A1280" t="s">
        <v>286</v>
      </c>
      <c r="B1280" s="12" t="s">
        <v>292</v>
      </c>
      <c r="C1280" s="12" t="s">
        <v>478</v>
      </c>
      <c r="D1280" s="12">
        <v>3.9192821285854461E-2</v>
      </c>
      <c r="E1280" s="12">
        <v>140638</v>
      </c>
      <c r="F1280" s="12">
        <v>5512</v>
      </c>
    </row>
    <row r="1281" spans="1:6">
      <c r="A1281" t="s">
        <v>286</v>
      </c>
      <c r="B1281" s="12" t="s">
        <v>292</v>
      </c>
      <c r="C1281" s="12" t="s">
        <v>20</v>
      </c>
      <c r="D1281" s="12">
        <v>3.4514142692586638E-2</v>
      </c>
      <c r="E1281" s="12">
        <v>140638</v>
      </c>
      <c r="F1281" s="12">
        <v>4854</v>
      </c>
    </row>
    <row r="1282" spans="1:6">
      <c r="A1282" t="s">
        <v>286</v>
      </c>
      <c r="B1282" s="12" t="s">
        <v>293</v>
      </c>
      <c r="C1282" s="12" t="s">
        <v>480</v>
      </c>
      <c r="D1282" s="12">
        <v>0.47446017876870544</v>
      </c>
      <c r="E1282" s="12">
        <v>199140</v>
      </c>
      <c r="F1282" s="12">
        <v>94484</v>
      </c>
    </row>
    <row r="1283" spans="1:6">
      <c r="A1283" t="s">
        <v>286</v>
      </c>
      <c r="B1283" s="12" t="s">
        <v>293</v>
      </c>
      <c r="C1283" s="12" t="s">
        <v>479</v>
      </c>
      <c r="D1283" s="12">
        <v>0.39388872150246057</v>
      </c>
      <c r="E1283" s="12">
        <v>199140</v>
      </c>
      <c r="F1283" s="12">
        <v>78439</v>
      </c>
    </row>
    <row r="1284" spans="1:6">
      <c r="A1284" t="s">
        <v>286</v>
      </c>
      <c r="B1284" s="12" t="s">
        <v>293</v>
      </c>
      <c r="C1284" s="12" t="s">
        <v>22</v>
      </c>
      <c r="D1284" s="12">
        <v>8.0004017274279401E-2</v>
      </c>
      <c r="E1284" s="12">
        <v>199140</v>
      </c>
      <c r="F1284" s="12">
        <v>15932</v>
      </c>
    </row>
    <row r="1285" spans="1:6">
      <c r="A1285" t="s">
        <v>286</v>
      </c>
      <c r="B1285" s="12" t="s">
        <v>293</v>
      </c>
      <c r="C1285" s="12" t="s">
        <v>478</v>
      </c>
      <c r="D1285" s="12">
        <v>2.7673998192226573E-2</v>
      </c>
      <c r="E1285" s="12">
        <v>199140</v>
      </c>
      <c r="F1285" s="12">
        <v>5511</v>
      </c>
    </row>
    <row r="1286" spans="1:6">
      <c r="A1286" t="s">
        <v>286</v>
      </c>
      <c r="B1286" s="12" t="s">
        <v>293</v>
      </c>
      <c r="C1286" s="12" t="s">
        <v>20</v>
      </c>
      <c r="D1286" s="12">
        <v>2.3973084262328012E-2</v>
      </c>
      <c r="E1286" s="12">
        <v>199140</v>
      </c>
      <c r="F1286" s="12">
        <v>4774</v>
      </c>
    </row>
    <row r="1287" spans="1:6">
      <c r="A1287" t="s">
        <v>286</v>
      </c>
      <c r="B1287" s="12" t="s">
        <v>294</v>
      </c>
      <c r="C1287" s="12" t="s">
        <v>480</v>
      </c>
      <c r="D1287" s="12">
        <v>0.44622933949122123</v>
      </c>
      <c r="E1287" s="12">
        <v>79681</v>
      </c>
      <c r="F1287" s="12">
        <v>35556</v>
      </c>
    </row>
    <row r="1288" spans="1:6">
      <c r="A1288" t="s">
        <v>286</v>
      </c>
      <c r="B1288" s="12" t="s">
        <v>294</v>
      </c>
      <c r="C1288" s="12" t="s">
        <v>479</v>
      </c>
      <c r="D1288" s="12">
        <v>0.39020594621051441</v>
      </c>
      <c r="E1288" s="12">
        <v>79681</v>
      </c>
      <c r="F1288" s="12">
        <v>31092</v>
      </c>
    </row>
    <row r="1289" spans="1:6">
      <c r="A1289" t="s">
        <v>286</v>
      </c>
      <c r="B1289" s="12" t="s">
        <v>294</v>
      </c>
      <c r="C1289" s="12" t="s">
        <v>22</v>
      </c>
      <c r="D1289" s="12">
        <v>9.5217178499265823E-2</v>
      </c>
      <c r="E1289" s="12">
        <v>79681</v>
      </c>
      <c r="F1289" s="12">
        <v>7587</v>
      </c>
    </row>
    <row r="1290" spans="1:6">
      <c r="A1290" t="s">
        <v>286</v>
      </c>
      <c r="B1290" s="12" t="s">
        <v>294</v>
      </c>
      <c r="C1290" s="12" t="s">
        <v>478</v>
      </c>
      <c r="D1290" s="12">
        <v>3.5403672142668895E-2</v>
      </c>
      <c r="E1290" s="12">
        <v>79681</v>
      </c>
      <c r="F1290" s="12">
        <v>2821</v>
      </c>
    </row>
    <row r="1291" spans="1:6">
      <c r="A1291" t="s">
        <v>286</v>
      </c>
      <c r="B1291" s="12" t="s">
        <v>294</v>
      </c>
      <c r="C1291" s="12" t="s">
        <v>20</v>
      </c>
      <c r="D1291" s="12">
        <v>3.2956413699627263E-2</v>
      </c>
      <c r="E1291" s="12">
        <v>79681</v>
      </c>
      <c r="F1291" s="12">
        <v>2626</v>
      </c>
    </row>
    <row r="1292" spans="1:6">
      <c r="A1292" t="s">
        <v>286</v>
      </c>
      <c r="B1292" s="12" t="s">
        <v>295</v>
      </c>
      <c r="C1292" s="12" t="s">
        <v>480</v>
      </c>
      <c r="D1292" s="12">
        <v>0.42371001634368433</v>
      </c>
      <c r="E1292" s="12">
        <v>102792</v>
      </c>
      <c r="F1292" s="12">
        <v>43554</v>
      </c>
    </row>
    <row r="1293" spans="1:6">
      <c r="A1293" t="s">
        <v>286</v>
      </c>
      <c r="B1293" s="12" t="s">
        <v>295</v>
      </c>
      <c r="C1293" s="12" t="s">
        <v>479</v>
      </c>
      <c r="D1293" s="12">
        <v>0.40613082730173555</v>
      </c>
      <c r="E1293" s="12">
        <v>102792</v>
      </c>
      <c r="F1293" s="12">
        <v>41747</v>
      </c>
    </row>
    <row r="1294" spans="1:6">
      <c r="A1294" t="s">
        <v>286</v>
      </c>
      <c r="B1294" s="12" t="s">
        <v>295</v>
      </c>
      <c r="C1294" s="12" t="s">
        <v>22</v>
      </c>
      <c r="D1294" s="12">
        <v>0.10024126391158845</v>
      </c>
      <c r="E1294" s="12">
        <v>102792</v>
      </c>
      <c r="F1294" s="12">
        <v>10304</v>
      </c>
    </row>
    <row r="1295" spans="1:6">
      <c r="A1295" t="s">
        <v>286</v>
      </c>
      <c r="B1295" s="12" t="s">
        <v>295</v>
      </c>
      <c r="C1295" s="12" t="s">
        <v>478</v>
      </c>
      <c r="D1295" s="12">
        <v>3.6335512491244455E-2</v>
      </c>
      <c r="E1295" s="12">
        <v>102792</v>
      </c>
      <c r="F1295" s="12">
        <v>3735</v>
      </c>
    </row>
    <row r="1296" spans="1:6">
      <c r="A1296" t="s">
        <v>286</v>
      </c>
      <c r="B1296" s="12" t="s">
        <v>295</v>
      </c>
      <c r="C1296" s="12" t="s">
        <v>20</v>
      </c>
      <c r="D1296" s="12">
        <v>3.3592108335279008E-2</v>
      </c>
      <c r="E1296" s="12">
        <v>102792</v>
      </c>
      <c r="F1296" s="12">
        <v>3453</v>
      </c>
    </row>
    <row r="1297" spans="1:6">
      <c r="A1297" t="s">
        <v>286</v>
      </c>
      <c r="B1297" s="12" t="s">
        <v>296</v>
      </c>
      <c r="C1297" s="12" t="s">
        <v>480</v>
      </c>
      <c r="D1297" s="12">
        <v>0.41125570466766076</v>
      </c>
      <c r="E1297" s="12">
        <v>44262</v>
      </c>
      <c r="F1297" s="12">
        <v>18203</v>
      </c>
    </row>
    <row r="1298" spans="1:6">
      <c r="A1298" t="s">
        <v>286</v>
      </c>
      <c r="B1298" s="12" t="s">
        <v>296</v>
      </c>
      <c r="C1298" s="12" t="s">
        <v>479</v>
      </c>
      <c r="D1298" s="12">
        <v>0.37393249288328589</v>
      </c>
      <c r="E1298" s="12">
        <v>44262</v>
      </c>
      <c r="F1298" s="12">
        <v>16551</v>
      </c>
    </row>
    <row r="1299" spans="1:6">
      <c r="A1299" t="s">
        <v>286</v>
      </c>
      <c r="B1299" s="12" t="s">
        <v>296</v>
      </c>
      <c r="C1299" s="12" t="s">
        <v>22</v>
      </c>
      <c r="D1299" s="12">
        <v>0.11522299037549139</v>
      </c>
      <c r="E1299" s="12">
        <v>44262</v>
      </c>
      <c r="F1299" s="12">
        <v>5100</v>
      </c>
    </row>
    <row r="1300" spans="1:6">
      <c r="A1300" t="s">
        <v>286</v>
      </c>
      <c r="B1300" s="12" t="s">
        <v>296</v>
      </c>
      <c r="C1300" s="12" t="s">
        <v>478</v>
      </c>
      <c r="D1300" s="12">
        <v>4.7964393836699655E-2</v>
      </c>
      <c r="E1300" s="12">
        <v>44262</v>
      </c>
      <c r="F1300" s="12">
        <v>2123</v>
      </c>
    </row>
    <row r="1301" spans="1:6">
      <c r="A1301" t="s">
        <v>286</v>
      </c>
      <c r="B1301" s="12" t="s">
        <v>296</v>
      </c>
      <c r="C1301" s="12" t="s">
        <v>20</v>
      </c>
      <c r="D1301" s="12">
        <v>5.1601825493651436E-2</v>
      </c>
      <c r="E1301" s="12">
        <v>44262</v>
      </c>
      <c r="F1301" s="12">
        <v>2284</v>
      </c>
    </row>
    <row r="1302" spans="1:6">
      <c r="A1302" t="s">
        <v>286</v>
      </c>
      <c r="B1302" s="12" t="s">
        <v>298</v>
      </c>
      <c r="C1302" s="12" t="s">
        <v>480</v>
      </c>
      <c r="D1302" s="12">
        <v>0.43327319106576245</v>
      </c>
      <c r="E1302" s="12">
        <v>64292</v>
      </c>
      <c r="F1302" s="12">
        <v>27856</v>
      </c>
    </row>
    <row r="1303" spans="1:6">
      <c r="A1303" t="s">
        <v>286</v>
      </c>
      <c r="B1303" s="12" t="s">
        <v>298</v>
      </c>
      <c r="C1303" s="12" t="s">
        <v>479</v>
      </c>
      <c r="D1303" s="12">
        <v>0.40028308343184221</v>
      </c>
      <c r="E1303" s="12">
        <v>64292</v>
      </c>
      <c r="F1303" s="12">
        <v>25735</v>
      </c>
    </row>
    <row r="1304" spans="1:6">
      <c r="A1304" t="s">
        <v>286</v>
      </c>
      <c r="B1304" s="12" t="s">
        <v>298</v>
      </c>
      <c r="C1304" s="12" t="s">
        <v>22</v>
      </c>
      <c r="D1304" s="12">
        <v>9.8052634853480994E-2</v>
      </c>
      <c r="E1304" s="12">
        <v>64292</v>
      </c>
      <c r="F1304" s="12">
        <v>6304</v>
      </c>
    </row>
    <row r="1305" spans="1:6">
      <c r="A1305" t="s">
        <v>286</v>
      </c>
      <c r="B1305" s="12" t="s">
        <v>298</v>
      </c>
      <c r="C1305" s="12" t="s">
        <v>478</v>
      </c>
      <c r="D1305" s="12">
        <v>3.6583089653456108E-2</v>
      </c>
      <c r="E1305" s="12">
        <v>64292</v>
      </c>
      <c r="F1305" s="12">
        <v>2352</v>
      </c>
    </row>
    <row r="1306" spans="1:6">
      <c r="A1306" t="s">
        <v>286</v>
      </c>
      <c r="B1306" s="12" t="s">
        <v>298</v>
      </c>
      <c r="C1306" s="12" t="s">
        <v>20</v>
      </c>
      <c r="D1306" s="12">
        <v>3.1963541342624274E-2</v>
      </c>
      <c r="E1306" s="12">
        <v>64292</v>
      </c>
      <c r="F1306" s="12">
        <v>2055</v>
      </c>
    </row>
    <row r="1307" spans="1:6">
      <c r="A1307" t="s">
        <v>297</v>
      </c>
      <c r="B1307" s="12" t="s">
        <v>299</v>
      </c>
      <c r="C1307" s="12" t="s">
        <v>480</v>
      </c>
      <c r="D1307" s="12">
        <v>0.3764801555031041</v>
      </c>
      <c r="E1307" s="12">
        <v>100834</v>
      </c>
      <c r="F1307" s="12">
        <v>37962</v>
      </c>
    </row>
    <row r="1308" spans="1:6">
      <c r="A1308" t="s">
        <v>297</v>
      </c>
      <c r="B1308" s="12" t="s">
        <v>299</v>
      </c>
      <c r="C1308" s="12" t="s">
        <v>479</v>
      </c>
      <c r="D1308" s="12">
        <v>0.39182220282841107</v>
      </c>
      <c r="E1308" s="12">
        <v>100834</v>
      </c>
      <c r="F1308" s="12">
        <v>39509</v>
      </c>
    </row>
    <row r="1309" spans="1:6">
      <c r="A1309" t="s">
        <v>297</v>
      </c>
      <c r="B1309" s="12" t="s">
        <v>299</v>
      </c>
      <c r="C1309" s="12" t="s">
        <v>22</v>
      </c>
      <c r="D1309" s="12">
        <v>0.12397603982783585</v>
      </c>
      <c r="E1309" s="12">
        <v>100834</v>
      </c>
      <c r="F1309" s="12">
        <v>12501</v>
      </c>
    </row>
    <row r="1310" spans="1:6">
      <c r="A1310" t="s">
        <v>297</v>
      </c>
      <c r="B1310" s="12" t="s">
        <v>299</v>
      </c>
      <c r="C1310" s="12" t="s">
        <v>478</v>
      </c>
      <c r="D1310" s="12">
        <v>5.4267409802249242E-2</v>
      </c>
      <c r="E1310" s="12">
        <v>100834</v>
      </c>
      <c r="F1310" s="12">
        <v>5472</v>
      </c>
    </row>
    <row r="1311" spans="1:6">
      <c r="A1311" t="s">
        <v>297</v>
      </c>
      <c r="B1311" s="12" t="s">
        <v>299</v>
      </c>
      <c r="C1311" s="12" t="s">
        <v>20</v>
      </c>
      <c r="D1311" s="12">
        <v>5.3483943907808876E-2</v>
      </c>
      <c r="E1311" s="12">
        <v>100834</v>
      </c>
      <c r="F1311" s="12">
        <v>5393</v>
      </c>
    </row>
    <row r="1312" spans="1:6">
      <c r="A1312" t="s">
        <v>297</v>
      </c>
      <c r="B1312" s="12" t="s">
        <v>300</v>
      </c>
      <c r="C1312" s="12" t="s">
        <v>480</v>
      </c>
      <c r="D1312" s="12">
        <v>0.40716008290112415</v>
      </c>
      <c r="E1312" s="12">
        <v>289019</v>
      </c>
      <c r="F1312" s="12">
        <v>117677</v>
      </c>
    </row>
    <row r="1313" spans="1:6">
      <c r="A1313" t="s">
        <v>297</v>
      </c>
      <c r="B1313" s="12" t="s">
        <v>300</v>
      </c>
      <c r="C1313" s="12" t="s">
        <v>479</v>
      </c>
      <c r="D1313" s="12">
        <v>0.39780083662319776</v>
      </c>
      <c r="E1313" s="12">
        <v>289019</v>
      </c>
      <c r="F1313" s="12">
        <v>114972</v>
      </c>
    </row>
    <row r="1314" spans="1:6">
      <c r="A1314" t="s">
        <v>297</v>
      </c>
      <c r="B1314" s="12" t="s">
        <v>300</v>
      </c>
      <c r="C1314" s="12" t="s">
        <v>22</v>
      </c>
      <c r="D1314" s="12">
        <v>0.11070552455028908</v>
      </c>
      <c r="E1314" s="12">
        <v>289019</v>
      </c>
      <c r="F1314" s="12">
        <v>31996</v>
      </c>
    </row>
    <row r="1315" spans="1:6">
      <c r="A1315" t="s">
        <v>297</v>
      </c>
      <c r="B1315" s="12" t="s">
        <v>300</v>
      </c>
      <c r="C1315" s="12" t="s">
        <v>478</v>
      </c>
      <c r="D1315" s="12">
        <v>4.361650964123466E-2</v>
      </c>
      <c r="E1315" s="12">
        <v>289019</v>
      </c>
      <c r="F1315" s="12">
        <v>12606</v>
      </c>
    </row>
    <row r="1316" spans="1:6">
      <c r="A1316" t="s">
        <v>297</v>
      </c>
      <c r="B1316" s="12" t="s">
        <v>300</v>
      </c>
      <c r="C1316" s="12" t="s">
        <v>20</v>
      </c>
      <c r="D1316" s="12">
        <v>4.0741266145132328E-2</v>
      </c>
      <c r="E1316" s="12">
        <v>289019</v>
      </c>
      <c r="F1316" s="12">
        <v>11775</v>
      </c>
    </row>
    <row r="1317" spans="1:6">
      <c r="A1317" t="s">
        <v>297</v>
      </c>
      <c r="B1317" s="12" t="s">
        <v>301</v>
      </c>
      <c r="C1317" s="12" t="s">
        <v>480</v>
      </c>
      <c r="D1317" s="12">
        <v>0.40510158998249507</v>
      </c>
      <c r="E1317" s="12">
        <v>178807</v>
      </c>
      <c r="F1317" s="12">
        <v>72435</v>
      </c>
    </row>
    <row r="1318" spans="1:6">
      <c r="A1318" t="s">
        <v>297</v>
      </c>
      <c r="B1318" s="12" t="s">
        <v>301</v>
      </c>
      <c r="C1318" s="12" t="s">
        <v>479</v>
      </c>
      <c r="D1318" s="12">
        <v>0.39936915221439878</v>
      </c>
      <c r="E1318" s="12">
        <v>178807</v>
      </c>
      <c r="F1318" s="12">
        <v>71410</v>
      </c>
    </row>
    <row r="1319" spans="1:6">
      <c r="A1319" t="s">
        <v>297</v>
      </c>
      <c r="B1319" s="12" t="s">
        <v>301</v>
      </c>
      <c r="C1319" s="12" t="s">
        <v>22</v>
      </c>
      <c r="D1319" s="12">
        <v>0.11352463829715839</v>
      </c>
      <c r="E1319" s="12">
        <v>178807</v>
      </c>
      <c r="F1319" s="12">
        <v>20299</v>
      </c>
    </row>
    <row r="1320" spans="1:6">
      <c r="A1320" t="s">
        <v>297</v>
      </c>
      <c r="B1320" s="12" t="s">
        <v>301</v>
      </c>
      <c r="C1320" s="12" t="s">
        <v>478</v>
      </c>
      <c r="D1320" s="12">
        <v>4.3113524638297158E-2</v>
      </c>
      <c r="E1320" s="12">
        <v>178807</v>
      </c>
      <c r="F1320" s="12">
        <v>7709</v>
      </c>
    </row>
    <row r="1321" spans="1:6">
      <c r="A1321" t="s">
        <v>297</v>
      </c>
      <c r="B1321" s="12" t="s">
        <v>301</v>
      </c>
      <c r="C1321" s="12" t="s">
        <v>20</v>
      </c>
      <c r="D1321" s="12">
        <v>3.8891094867650598E-2</v>
      </c>
      <c r="E1321" s="12">
        <v>178807</v>
      </c>
      <c r="F1321" s="12">
        <v>6954</v>
      </c>
    </row>
    <row r="1322" spans="1:6">
      <c r="A1322" t="s">
        <v>297</v>
      </c>
      <c r="B1322" s="12" t="s">
        <v>297</v>
      </c>
      <c r="C1322" s="12" t="s">
        <v>480</v>
      </c>
      <c r="D1322" s="12">
        <v>0.39358326768758545</v>
      </c>
      <c r="E1322" s="12">
        <v>686767</v>
      </c>
      <c r="F1322" s="12">
        <v>270300</v>
      </c>
    </row>
    <row r="1323" spans="1:6">
      <c r="A1323" t="s">
        <v>297</v>
      </c>
      <c r="B1323" s="12" t="s">
        <v>297</v>
      </c>
      <c r="C1323" s="12" t="s">
        <v>479</v>
      </c>
      <c r="D1323" s="12">
        <v>0.41967799850604354</v>
      </c>
      <c r="E1323" s="12">
        <v>686767</v>
      </c>
      <c r="F1323" s="12">
        <v>288221</v>
      </c>
    </row>
    <row r="1324" spans="1:6">
      <c r="A1324" t="s">
        <v>297</v>
      </c>
      <c r="B1324" s="12" t="s">
        <v>297</v>
      </c>
      <c r="C1324" s="12" t="s">
        <v>22</v>
      </c>
      <c r="D1324" s="12">
        <v>0.1117904616849674</v>
      </c>
      <c r="E1324" s="12">
        <v>686767</v>
      </c>
      <c r="F1324" s="12">
        <v>76774</v>
      </c>
    </row>
    <row r="1325" spans="1:6">
      <c r="A1325" t="s">
        <v>297</v>
      </c>
      <c r="B1325" s="12" t="s">
        <v>297</v>
      </c>
      <c r="C1325" s="12" t="s">
        <v>478</v>
      </c>
      <c r="D1325" s="12">
        <v>4.0159180624578641E-2</v>
      </c>
      <c r="E1325" s="12">
        <v>686767</v>
      </c>
      <c r="F1325" s="12">
        <v>27580</v>
      </c>
    </row>
    <row r="1326" spans="1:6">
      <c r="A1326" t="s">
        <v>297</v>
      </c>
      <c r="B1326" s="12" t="s">
        <v>297</v>
      </c>
      <c r="C1326" s="12" t="s">
        <v>20</v>
      </c>
      <c r="D1326" s="12">
        <v>3.4789091496824978E-2</v>
      </c>
      <c r="E1326" s="12">
        <v>686767</v>
      </c>
      <c r="F1326" s="12">
        <v>23892</v>
      </c>
    </row>
    <row r="1327" spans="1:6">
      <c r="A1327" t="s">
        <v>297</v>
      </c>
      <c r="B1327" s="12" t="s">
        <v>302</v>
      </c>
      <c r="C1327" s="12" t="s">
        <v>480</v>
      </c>
      <c r="D1327" s="12">
        <v>0.44336538690973298</v>
      </c>
      <c r="E1327" s="12">
        <v>125727</v>
      </c>
      <c r="F1327" s="12">
        <v>55743</v>
      </c>
    </row>
    <row r="1328" spans="1:6">
      <c r="A1328" t="s">
        <v>297</v>
      </c>
      <c r="B1328" s="12" t="s">
        <v>302</v>
      </c>
      <c r="C1328" s="12" t="s">
        <v>479</v>
      </c>
      <c r="D1328" s="12">
        <v>0.38531103104345127</v>
      </c>
      <c r="E1328" s="12">
        <v>125727</v>
      </c>
      <c r="F1328" s="12">
        <v>48444</v>
      </c>
    </row>
    <row r="1329" spans="1:6">
      <c r="A1329" t="s">
        <v>297</v>
      </c>
      <c r="B1329" s="12" t="s">
        <v>302</v>
      </c>
      <c r="C1329" s="12" t="s">
        <v>22</v>
      </c>
      <c r="D1329" s="12">
        <v>9.995466367606004E-2</v>
      </c>
      <c r="E1329" s="12">
        <v>125727</v>
      </c>
      <c r="F1329" s="12">
        <v>12567</v>
      </c>
    </row>
    <row r="1330" spans="1:6">
      <c r="A1330" t="s">
        <v>297</v>
      </c>
      <c r="B1330" s="12" t="s">
        <v>302</v>
      </c>
      <c r="C1330" s="12" t="s">
        <v>478</v>
      </c>
      <c r="D1330" s="12">
        <v>3.6308827857182625E-2</v>
      </c>
      <c r="E1330" s="12">
        <v>125727</v>
      </c>
      <c r="F1330" s="12">
        <v>4565</v>
      </c>
    </row>
    <row r="1331" spans="1:6">
      <c r="A1331" t="s">
        <v>297</v>
      </c>
      <c r="B1331" s="12" t="s">
        <v>302</v>
      </c>
      <c r="C1331" s="12" t="s">
        <v>20</v>
      </c>
      <c r="D1331" s="12">
        <v>3.5075997995657256E-2</v>
      </c>
      <c r="E1331" s="12">
        <v>125727</v>
      </c>
      <c r="F1331" s="12">
        <v>4410</v>
      </c>
    </row>
    <row r="1332" spans="1:6">
      <c r="A1332" t="s">
        <v>297</v>
      </c>
      <c r="B1332" s="12" t="s">
        <v>303</v>
      </c>
      <c r="C1332" s="12" t="s">
        <v>480</v>
      </c>
      <c r="D1332" s="12">
        <v>0.42016765139594037</v>
      </c>
      <c r="E1332" s="12">
        <v>101043</v>
      </c>
      <c r="F1332" s="12">
        <v>42455</v>
      </c>
    </row>
    <row r="1333" spans="1:6">
      <c r="A1333" t="s">
        <v>297</v>
      </c>
      <c r="B1333" s="12" t="s">
        <v>303</v>
      </c>
      <c r="C1333" s="12" t="s">
        <v>479</v>
      </c>
      <c r="D1333" s="12">
        <v>0.39634611007194959</v>
      </c>
      <c r="E1333" s="12">
        <v>101043</v>
      </c>
      <c r="F1333" s="12">
        <v>40048</v>
      </c>
    </row>
    <row r="1334" spans="1:6">
      <c r="A1334" t="s">
        <v>297</v>
      </c>
      <c r="B1334" s="12" t="s">
        <v>303</v>
      </c>
      <c r="C1334" s="12" t="s">
        <v>22</v>
      </c>
      <c r="D1334" s="12">
        <v>0.10884474926516434</v>
      </c>
      <c r="E1334" s="12">
        <v>101043</v>
      </c>
      <c r="F1334" s="12">
        <v>10998</v>
      </c>
    </row>
    <row r="1335" spans="1:6">
      <c r="A1335" t="s">
        <v>297</v>
      </c>
      <c r="B1335" s="12" t="s">
        <v>303</v>
      </c>
      <c r="C1335" s="12" t="s">
        <v>478</v>
      </c>
      <c r="D1335" s="12">
        <v>3.9408964500262267E-2</v>
      </c>
      <c r="E1335" s="12">
        <v>101043</v>
      </c>
      <c r="F1335" s="12">
        <v>3982</v>
      </c>
    </row>
    <row r="1336" spans="1:6">
      <c r="A1336" t="s">
        <v>297</v>
      </c>
      <c r="B1336" s="12" t="s">
        <v>303</v>
      </c>
      <c r="C1336" s="12" t="s">
        <v>20</v>
      </c>
      <c r="D1336" s="12">
        <v>3.5242421543303343E-2</v>
      </c>
      <c r="E1336" s="12">
        <v>101043</v>
      </c>
      <c r="F1336" s="12">
        <v>3561</v>
      </c>
    </row>
    <row r="1337" spans="1:6">
      <c r="A1337" t="s">
        <v>297</v>
      </c>
      <c r="B1337" s="12" t="s">
        <v>304</v>
      </c>
      <c r="C1337" s="12" t="s">
        <v>480</v>
      </c>
      <c r="D1337" s="12">
        <v>0.40963623263685262</v>
      </c>
      <c r="E1337" s="12">
        <v>119362</v>
      </c>
      <c r="F1337" s="12">
        <v>48895</v>
      </c>
    </row>
    <row r="1338" spans="1:6">
      <c r="A1338" t="s">
        <v>297</v>
      </c>
      <c r="B1338" s="12" t="s">
        <v>304</v>
      </c>
      <c r="C1338" s="12" t="s">
        <v>479</v>
      </c>
      <c r="D1338" s="12">
        <v>0.40117457817395819</v>
      </c>
      <c r="E1338" s="12">
        <v>119362</v>
      </c>
      <c r="F1338" s="12">
        <v>47885</v>
      </c>
    </row>
    <row r="1339" spans="1:6">
      <c r="A1339" t="s">
        <v>297</v>
      </c>
      <c r="B1339" s="12" t="s">
        <v>304</v>
      </c>
      <c r="C1339" s="12" t="s">
        <v>22</v>
      </c>
      <c r="D1339" s="12">
        <v>0.10691007188217355</v>
      </c>
      <c r="E1339" s="12">
        <v>119362</v>
      </c>
      <c r="F1339" s="12">
        <v>12761</v>
      </c>
    </row>
    <row r="1340" spans="1:6">
      <c r="A1340" t="s">
        <v>297</v>
      </c>
      <c r="B1340" s="12" t="s">
        <v>304</v>
      </c>
      <c r="C1340" s="12" t="s">
        <v>478</v>
      </c>
      <c r="D1340" s="12">
        <v>4.2777433353998758E-2</v>
      </c>
      <c r="E1340" s="12">
        <v>119362</v>
      </c>
      <c r="F1340" s="12">
        <v>5106</v>
      </c>
    </row>
    <row r="1341" spans="1:6">
      <c r="A1341" t="s">
        <v>297</v>
      </c>
      <c r="B1341" s="12" t="s">
        <v>304</v>
      </c>
      <c r="C1341" s="12" t="s">
        <v>20</v>
      </c>
      <c r="D1341" s="12">
        <v>3.9526817580134384E-2</v>
      </c>
      <c r="E1341" s="12">
        <v>119362</v>
      </c>
      <c r="F1341" s="12">
        <v>4718</v>
      </c>
    </row>
    <row r="1342" spans="1:6">
      <c r="A1342" t="s">
        <v>297</v>
      </c>
      <c r="B1342" s="12" t="s">
        <v>305</v>
      </c>
      <c r="C1342" s="12" t="s">
        <v>480</v>
      </c>
      <c r="D1342" s="12">
        <v>0.42388344478817408</v>
      </c>
      <c r="E1342" s="12">
        <v>107966</v>
      </c>
      <c r="F1342" s="12">
        <v>45765</v>
      </c>
    </row>
    <row r="1343" spans="1:6">
      <c r="A1343" t="s">
        <v>297</v>
      </c>
      <c r="B1343" s="12" t="s">
        <v>305</v>
      </c>
      <c r="C1343" s="12" t="s">
        <v>479</v>
      </c>
      <c r="D1343" s="12">
        <v>0.38693662819776597</v>
      </c>
      <c r="E1343" s="12">
        <v>107966</v>
      </c>
      <c r="F1343" s="12">
        <v>41776</v>
      </c>
    </row>
    <row r="1344" spans="1:6">
      <c r="A1344" t="s">
        <v>297</v>
      </c>
      <c r="B1344" s="12" t="s">
        <v>305</v>
      </c>
      <c r="C1344" s="12" t="s">
        <v>22</v>
      </c>
      <c r="D1344" s="12">
        <v>0.10475520071133505</v>
      </c>
      <c r="E1344" s="12">
        <v>107966</v>
      </c>
      <c r="F1344" s="12">
        <v>11310</v>
      </c>
    </row>
    <row r="1345" spans="1:6">
      <c r="A1345" t="s">
        <v>297</v>
      </c>
      <c r="B1345" s="12" t="s">
        <v>305</v>
      </c>
      <c r="C1345" s="12" t="s">
        <v>478</v>
      </c>
      <c r="D1345" s="12">
        <v>4.1624215030657802E-2</v>
      </c>
      <c r="E1345" s="12">
        <v>107966</v>
      </c>
      <c r="F1345" s="12">
        <v>4494</v>
      </c>
    </row>
    <row r="1346" spans="1:6">
      <c r="A1346" t="s">
        <v>297</v>
      </c>
      <c r="B1346" s="12" t="s">
        <v>305</v>
      </c>
      <c r="C1346" s="12" t="s">
        <v>20</v>
      </c>
      <c r="D1346" s="12">
        <v>4.2800511272067132E-2</v>
      </c>
      <c r="E1346" s="12">
        <v>107966</v>
      </c>
      <c r="F1346" s="12">
        <v>4621</v>
      </c>
    </row>
    <row r="1347" spans="1:6">
      <c r="A1347" t="s">
        <v>297</v>
      </c>
      <c r="B1347" s="12" t="s">
        <v>307</v>
      </c>
      <c r="C1347" s="12" t="s">
        <v>480</v>
      </c>
      <c r="D1347" s="12">
        <v>0.42680632531652007</v>
      </c>
      <c r="E1347" s="12">
        <v>39334</v>
      </c>
      <c r="F1347" s="12">
        <v>16788</v>
      </c>
    </row>
    <row r="1348" spans="1:6">
      <c r="A1348" t="s">
        <v>297</v>
      </c>
      <c r="B1348" s="12" t="s">
        <v>307</v>
      </c>
      <c r="C1348" s="12" t="s">
        <v>479</v>
      </c>
      <c r="D1348" s="12">
        <v>0.3871714038745106</v>
      </c>
      <c r="E1348" s="12">
        <v>39334</v>
      </c>
      <c r="F1348" s="12">
        <v>15229</v>
      </c>
    </row>
    <row r="1349" spans="1:6">
      <c r="A1349" t="s">
        <v>297</v>
      </c>
      <c r="B1349" s="12" t="s">
        <v>307</v>
      </c>
      <c r="C1349" s="12" t="s">
        <v>22</v>
      </c>
      <c r="D1349" s="12">
        <v>0.10497279707123608</v>
      </c>
      <c r="E1349" s="12">
        <v>39334</v>
      </c>
      <c r="F1349" s="12">
        <v>4129</v>
      </c>
    </row>
    <row r="1350" spans="1:6">
      <c r="A1350" t="s">
        <v>297</v>
      </c>
      <c r="B1350" s="12" t="s">
        <v>307</v>
      </c>
      <c r="C1350" s="12" t="s">
        <v>478</v>
      </c>
      <c r="D1350" s="12">
        <v>4.1312859104082979E-2</v>
      </c>
      <c r="E1350" s="12">
        <v>39334</v>
      </c>
      <c r="F1350" s="12">
        <v>1625</v>
      </c>
    </row>
    <row r="1351" spans="1:6">
      <c r="A1351" t="s">
        <v>297</v>
      </c>
      <c r="B1351" s="12" t="s">
        <v>307</v>
      </c>
      <c r="C1351" s="12" t="s">
        <v>20</v>
      </c>
      <c r="D1351" s="12">
        <v>3.9812884527380889E-2</v>
      </c>
      <c r="E1351" s="12">
        <v>39334</v>
      </c>
      <c r="F1351" s="12">
        <v>1566</v>
      </c>
    </row>
    <row r="1352" spans="1:6">
      <c r="A1352" t="s">
        <v>1010</v>
      </c>
      <c r="B1352" s="12" t="s">
        <v>308</v>
      </c>
      <c r="C1352" s="12" t="s">
        <v>480</v>
      </c>
      <c r="D1352" s="12">
        <v>0.41499890572185882</v>
      </c>
      <c r="E1352" s="12">
        <v>123369</v>
      </c>
      <c r="F1352" s="12">
        <v>51198</v>
      </c>
    </row>
    <row r="1353" spans="1:6">
      <c r="A1353" t="s">
        <v>1010</v>
      </c>
      <c r="B1353" s="12" t="s">
        <v>308</v>
      </c>
      <c r="C1353" s="12" t="s">
        <v>479</v>
      </c>
      <c r="D1353" s="12">
        <v>0.40685261289302821</v>
      </c>
      <c r="E1353" s="12">
        <v>123369</v>
      </c>
      <c r="F1353" s="12">
        <v>50193</v>
      </c>
    </row>
    <row r="1354" spans="1:6">
      <c r="A1354" t="s">
        <v>1010</v>
      </c>
      <c r="B1354" s="12" t="s">
        <v>308</v>
      </c>
      <c r="C1354" s="12" t="s">
        <v>22</v>
      </c>
      <c r="D1354" s="12">
        <v>0.10569916267457789</v>
      </c>
      <c r="E1354" s="12">
        <v>123369</v>
      </c>
      <c r="F1354" s="12">
        <v>13040</v>
      </c>
    </row>
    <row r="1355" spans="1:6">
      <c r="A1355" t="s">
        <v>1010</v>
      </c>
      <c r="B1355" s="12" t="s">
        <v>308</v>
      </c>
      <c r="C1355" s="12" t="s">
        <v>478</v>
      </c>
      <c r="D1355" s="12">
        <v>3.8170042717376326E-2</v>
      </c>
      <c r="E1355" s="12">
        <v>123369</v>
      </c>
      <c r="F1355" s="12">
        <v>4709</v>
      </c>
    </row>
    <row r="1356" spans="1:6">
      <c r="A1356" t="s">
        <v>1010</v>
      </c>
      <c r="B1356" s="12" t="s">
        <v>308</v>
      </c>
      <c r="C1356" s="12" t="s">
        <v>20</v>
      </c>
      <c r="D1356" s="12">
        <v>3.4327910577211455E-2</v>
      </c>
      <c r="E1356" s="12">
        <v>123369</v>
      </c>
      <c r="F1356" s="12">
        <v>4235</v>
      </c>
    </row>
    <row r="1357" spans="1:6">
      <c r="A1357" t="s">
        <v>1010</v>
      </c>
      <c r="B1357" s="12" t="s">
        <v>309</v>
      </c>
      <c r="C1357" s="12" t="s">
        <v>480</v>
      </c>
      <c r="D1357" s="12">
        <v>0.41822907056384145</v>
      </c>
      <c r="E1357" s="12">
        <v>319753</v>
      </c>
      <c r="F1357" s="12">
        <v>133730</v>
      </c>
    </row>
    <row r="1358" spans="1:6">
      <c r="A1358" t="s">
        <v>1010</v>
      </c>
      <c r="B1358" s="12" t="s">
        <v>309</v>
      </c>
      <c r="C1358" s="12" t="s">
        <v>479</v>
      </c>
      <c r="D1358" s="12">
        <v>0.41506412762350942</v>
      </c>
      <c r="E1358" s="12">
        <v>319753</v>
      </c>
      <c r="F1358" s="12">
        <v>132718</v>
      </c>
    </row>
    <row r="1359" spans="1:6">
      <c r="A1359" t="s">
        <v>1010</v>
      </c>
      <c r="B1359" s="12" t="s">
        <v>309</v>
      </c>
      <c r="C1359" s="12" t="s">
        <v>22</v>
      </c>
      <c r="D1359" s="12">
        <v>0.10096856010733285</v>
      </c>
      <c r="E1359" s="12">
        <v>319753</v>
      </c>
      <c r="F1359" s="12">
        <v>32285</v>
      </c>
    </row>
    <row r="1360" spans="1:6">
      <c r="A1360" t="s">
        <v>1010</v>
      </c>
      <c r="B1360" s="12" t="s">
        <v>309</v>
      </c>
      <c r="C1360" s="12" t="s">
        <v>478</v>
      </c>
      <c r="D1360" s="12">
        <v>3.5680666014079619E-2</v>
      </c>
      <c r="E1360" s="12">
        <v>319753</v>
      </c>
      <c r="F1360" s="12">
        <v>11409</v>
      </c>
    </row>
    <row r="1361" spans="1:6">
      <c r="A1361" t="s">
        <v>1010</v>
      </c>
      <c r="B1361" s="12" t="s">
        <v>309</v>
      </c>
      <c r="C1361" s="12" t="s">
        <v>20</v>
      </c>
      <c r="D1361" s="12">
        <v>3.0041938621373374E-2</v>
      </c>
      <c r="E1361" s="12">
        <v>319753</v>
      </c>
      <c r="F1361" s="12">
        <v>9606</v>
      </c>
    </row>
    <row r="1362" spans="1:6">
      <c r="A1362" t="s">
        <v>1010</v>
      </c>
      <c r="B1362" s="12" t="s">
        <v>310</v>
      </c>
      <c r="C1362" s="12" t="s">
        <v>480</v>
      </c>
      <c r="D1362" s="12">
        <v>0.46643355915623408</v>
      </c>
      <c r="E1362" s="12">
        <v>96093</v>
      </c>
      <c r="F1362" s="12">
        <v>44821</v>
      </c>
    </row>
    <row r="1363" spans="1:6">
      <c r="A1363" t="s">
        <v>1010</v>
      </c>
      <c r="B1363" s="12" t="s">
        <v>310</v>
      </c>
      <c r="C1363" s="12" t="s">
        <v>479</v>
      </c>
      <c r="D1363" s="12">
        <v>0.38705212658570343</v>
      </c>
      <c r="E1363" s="12">
        <v>96093</v>
      </c>
      <c r="F1363" s="12">
        <v>37193</v>
      </c>
    </row>
    <row r="1364" spans="1:6">
      <c r="A1364" t="s">
        <v>1010</v>
      </c>
      <c r="B1364" s="12" t="s">
        <v>310</v>
      </c>
      <c r="C1364" s="12" t="s">
        <v>22</v>
      </c>
      <c r="D1364" s="12">
        <v>8.7789953482563771E-2</v>
      </c>
      <c r="E1364" s="12">
        <v>96093</v>
      </c>
      <c r="F1364" s="12">
        <v>8436</v>
      </c>
    </row>
    <row r="1365" spans="1:6">
      <c r="A1365" t="s">
        <v>1010</v>
      </c>
      <c r="B1365" s="12" t="s">
        <v>310</v>
      </c>
      <c r="C1365" s="12" t="s">
        <v>478</v>
      </c>
      <c r="D1365" s="12">
        <v>3.093877805875558E-2</v>
      </c>
      <c r="E1365" s="12">
        <v>96093</v>
      </c>
      <c r="F1365" s="12">
        <v>2973</v>
      </c>
    </row>
    <row r="1366" spans="1:6">
      <c r="A1366" t="s">
        <v>1010</v>
      </c>
      <c r="B1366" s="12" t="s">
        <v>310</v>
      </c>
      <c r="C1366" s="12" t="s">
        <v>20</v>
      </c>
      <c r="D1366" s="12">
        <v>2.7775176131455984E-2</v>
      </c>
      <c r="E1366" s="12">
        <v>96093</v>
      </c>
      <c r="F1366" s="12">
        <v>2669</v>
      </c>
    </row>
    <row r="1367" spans="1:6">
      <c r="A1367" t="s">
        <v>1010</v>
      </c>
      <c r="B1367" s="12" t="s">
        <v>311</v>
      </c>
      <c r="C1367" s="12" t="s">
        <v>480</v>
      </c>
      <c r="D1367" s="12">
        <v>0.52919371089814182</v>
      </c>
      <c r="E1367" s="12">
        <v>213385</v>
      </c>
      <c r="F1367" s="12">
        <v>112922</v>
      </c>
    </row>
    <row r="1368" spans="1:6">
      <c r="A1368" t="s">
        <v>1010</v>
      </c>
      <c r="B1368" s="12" t="s">
        <v>311</v>
      </c>
      <c r="C1368" s="12" t="s">
        <v>479</v>
      </c>
      <c r="D1368" s="12">
        <v>0.348890503081285</v>
      </c>
      <c r="E1368" s="12">
        <v>213385</v>
      </c>
      <c r="F1368" s="12">
        <v>74448</v>
      </c>
    </row>
    <row r="1369" spans="1:6">
      <c r="A1369" t="s">
        <v>1010</v>
      </c>
      <c r="B1369" s="12" t="s">
        <v>311</v>
      </c>
      <c r="C1369" s="12" t="s">
        <v>22</v>
      </c>
      <c r="D1369" s="12">
        <v>7.5103685826088992E-2</v>
      </c>
      <c r="E1369" s="12">
        <v>213385</v>
      </c>
      <c r="F1369" s="12">
        <v>16026</v>
      </c>
    </row>
    <row r="1370" spans="1:6">
      <c r="A1370" t="s">
        <v>1010</v>
      </c>
      <c r="B1370" s="12" t="s">
        <v>311</v>
      </c>
      <c r="C1370" s="12" t="s">
        <v>478</v>
      </c>
      <c r="D1370" s="12">
        <v>2.5568807554420415E-2</v>
      </c>
      <c r="E1370" s="12">
        <v>213385</v>
      </c>
      <c r="F1370" s="12">
        <v>5456</v>
      </c>
    </row>
    <row r="1371" spans="1:6">
      <c r="A1371" t="s">
        <v>1010</v>
      </c>
      <c r="B1371" s="12" t="s">
        <v>311</v>
      </c>
      <c r="C1371" s="12" t="s">
        <v>20</v>
      </c>
      <c r="D1371" s="12">
        <v>2.1215174449937906E-2</v>
      </c>
      <c r="E1371" s="12">
        <v>213385</v>
      </c>
      <c r="F1371" s="12">
        <v>4527</v>
      </c>
    </row>
    <row r="1372" spans="1:6">
      <c r="A1372" t="s">
        <v>1010</v>
      </c>
      <c r="B1372" s="12" t="s">
        <v>312</v>
      </c>
      <c r="C1372" s="12" t="s">
        <v>480</v>
      </c>
      <c r="D1372" s="12">
        <v>0.47933344224799868</v>
      </c>
      <c r="E1372" s="12">
        <v>48968</v>
      </c>
      <c r="F1372" s="12">
        <v>23472</v>
      </c>
    </row>
    <row r="1373" spans="1:6">
      <c r="A1373" t="s">
        <v>1010</v>
      </c>
      <c r="B1373" s="12" t="s">
        <v>312</v>
      </c>
      <c r="C1373" s="12" t="s">
        <v>479</v>
      </c>
      <c r="D1373" s="12">
        <v>0.36291047214507433</v>
      </c>
      <c r="E1373" s="12">
        <v>48968</v>
      </c>
      <c r="F1373" s="12">
        <v>17771</v>
      </c>
    </row>
    <row r="1374" spans="1:6">
      <c r="A1374" t="s">
        <v>1010</v>
      </c>
      <c r="B1374" s="12" t="s">
        <v>312</v>
      </c>
      <c r="C1374" s="12" t="s">
        <v>22</v>
      </c>
      <c r="D1374" s="12">
        <v>9.1958013396503835E-2</v>
      </c>
      <c r="E1374" s="12">
        <v>48968</v>
      </c>
      <c r="F1374" s="12">
        <v>4503</v>
      </c>
    </row>
    <row r="1375" spans="1:6">
      <c r="A1375" t="s">
        <v>1010</v>
      </c>
      <c r="B1375" s="12" t="s">
        <v>312</v>
      </c>
      <c r="C1375" s="12" t="s">
        <v>478</v>
      </c>
      <c r="D1375" s="12">
        <v>3.394053259271361E-2</v>
      </c>
      <c r="E1375" s="12">
        <v>48968</v>
      </c>
      <c r="F1375" s="12">
        <v>1662</v>
      </c>
    </row>
    <row r="1376" spans="1:6">
      <c r="A1376" t="s">
        <v>1010</v>
      </c>
      <c r="B1376" s="12" t="s">
        <v>312</v>
      </c>
      <c r="C1376" s="12" t="s">
        <v>20</v>
      </c>
      <c r="D1376" s="12">
        <v>3.1816696618199643E-2</v>
      </c>
      <c r="E1376" s="12">
        <v>48968</v>
      </c>
      <c r="F1376" s="12">
        <v>1558</v>
      </c>
    </row>
    <row r="1377" spans="1:6">
      <c r="A1377" t="s">
        <v>1010</v>
      </c>
      <c r="B1377" s="12" t="s">
        <v>313</v>
      </c>
      <c r="C1377" s="12" t="s">
        <v>480</v>
      </c>
      <c r="D1377" s="12">
        <v>0.52011254440973798</v>
      </c>
      <c r="E1377" s="12">
        <v>41939</v>
      </c>
      <c r="F1377" s="12">
        <v>21813</v>
      </c>
    </row>
    <row r="1378" spans="1:6">
      <c r="A1378" t="s">
        <v>1010</v>
      </c>
      <c r="B1378" s="12" t="s">
        <v>313</v>
      </c>
      <c r="C1378" s="12" t="s">
        <v>479</v>
      </c>
      <c r="D1378" s="12">
        <v>0.33870621617110563</v>
      </c>
      <c r="E1378" s="12">
        <v>41939</v>
      </c>
      <c r="F1378" s="12">
        <v>14205</v>
      </c>
    </row>
    <row r="1379" spans="1:6">
      <c r="A1379" t="s">
        <v>1010</v>
      </c>
      <c r="B1379" s="12" t="s">
        <v>313</v>
      </c>
      <c r="C1379" s="12" t="s">
        <v>22</v>
      </c>
      <c r="D1379" s="12">
        <v>8.0736307494217799E-2</v>
      </c>
      <c r="E1379" s="12">
        <v>41939</v>
      </c>
      <c r="F1379" s="12">
        <v>3386</v>
      </c>
    </row>
    <row r="1380" spans="1:6">
      <c r="A1380" t="s">
        <v>1010</v>
      </c>
      <c r="B1380" s="12" t="s">
        <v>313</v>
      </c>
      <c r="C1380" s="12" t="s">
        <v>478</v>
      </c>
      <c r="D1380" s="12">
        <v>2.9209089391735617E-2</v>
      </c>
      <c r="E1380" s="12">
        <v>41939</v>
      </c>
      <c r="F1380" s="12">
        <v>1225</v>
      </c>
    </row>
    <row r="1381" spans="1:6">
      <c r="A1381" t="s">
        <v>1010</v>
      </c>
      <c r="B1381" s="12" t="s">
        <v>313</v>
      </c>
      <c r="C1381" s="12" t="s">
        <v>20</v>
      </c>
      <c r="D1381" s="12">
        <v>3.1188154223991987E-2</v>
      </c>
      <c r="E1381" s="12">
        <v>41939</v>
      </c>
      <c r="F1381" s="12">
        <v>1308</v>
      </c>
    </row>
    <row r="1382" spans="1:6">
      <c r="A1382" t="s">
        <v>1010</v>
      </c>
      <c r="B1382" s="12" t="s">
        <v>314</v>
      </c>
      <c r="C1382" s="12" t="s">
        <v>480</v>
      </c>
      <c r="D1382" s="12">
        <v>0.41901811436915426</v>
      </c>
      <c r="E1382" s="12">
        <v>50678</v>
      </c>
      <c r="F1382" s="12">
        <v>21235</v>
      </c>
    </row>
    <row r="1383" spans="1:6">
      <c r="A1383" t="s">
        <v>1010</v>
      </c>
      <c r="B1383" s="12" t="s">
        <v>314</v>
      </c>
      <c r="C1383" s="12" t="s">
        <v>479</v>
      </c>
      <c r="D1383" s="12">
        <v>0.38987331781048978</v>
      </c>
      <c r="E1383" s="12">
        <v>50678</v>
      </c>
      <c r="F1383" s="12">
        <v>19758</v>
      </c>
    </row>
    <row r="1384" spans="1:6">
      <c r="A1384" t="s">
        <v>1010</v>
      </c>
      <c r="B1384" s="12" t="s">
        <v>314</v>
      </c>
      <c r="C1384" s="12" t="s">
        <v>22</v>
      </c>
      <c r="D1384" s="12">
        <v>0.10732467737479774</v>
      </c>
      <c r="E1384" s="12">
        <v>50678</v>
      </c>
      <c r="F1384" s="12">
        <v>5439</v>
      </c>
    </row>
    <row r="1385" spans="1:6">
      <c r="A1385" t="s">
        <v>1010</v>
      </c>
      <c r="B1385" s="12" t="s">
        <v>314</v>
      </c>
      <c r="C1385" s="12" t="s">
        <v>478</v>
      </c>
      <c r="D1385" s="12">
        <v>4.181301550968862E-2</v>
      </c>
      <c r="E1385" s="12">
        <v>50678</v>
      </c>
      <c r="F1385" s="12">
        <v>2119</v>
      </c>
    </row>
    <row r="1386" spans="1:6">
      <c r="A1386" t="s">
        <v>1010</v>
      </c>
      <c r="B1386" s="12" t="s">
        <v>314</v>
      </c>
      <c r="C1386" s="12" t="s">
        <v>20</v>
      </c>
      <c r="D1386" s="12">
        <v>4.1911677651051742E-2</v>
      </c>
      <c r="E1386" s="12">
        <v>50678</v>
      </c>
      <c r="F1386" s="12">
        <v>2124</v>
      </c>
    </row>
    <row r="1387" spans="1:6">
      <c r="A1387" t="s">
        <v>1010</v>
      </c>
      <c r="B1387" s="12" t="s">
        <v>315</v>
      </c>
      <c r="C1387" s="12" t="s">
        <v>480</v>
      </c>
      <c r="D1387" s="12">
        <v>0.40856531049250533</v>
      </c>
      <c r="E1387" s="12">
        <v>35025</v>
      </c>
      <c r="F1387" s="12">
        <v>14310</v>
      </c>
    </row>
    <row r="1388" spans="1:6">
      <c r="A1388" t="s">
        <v>1010</v>
      </c>
      <c r="B1388" s="12" t="s">
        <v>315</v>
      </c>
      <c r="C1388" s="12" t="s">
        <v>479</v>
      </c>
      <c r="D1388" s="12">
        <v>0.39931477516059954</v>
      </c>
      <c r="E1388" s="12">
        <v>35025</v>
      </c>
      <c r="F1388" s="12">
        <v>13986</v>
      </c>
    </row>
    <row r="1389" spans="1:6">
      <c r="A1389" t="s">
        <v>1010</v>
      </c>
      <c r="B1389" s="12" t="s">
        <v>315</v>
      </c>
      <c r="C1389" s="12" t="s">
        <v>22</v>
      </c>
      <c r="D1389" s="12">
        <v>0.1126338329764454</v>
      </c>
      <c r="E1389" s="12">
        <v>35025</v>
      </c>
      <c r="F1389" s="12">
        <v>3945</v>
      </c>
    </row>
    <row r="1390" spans="1:6">
      <c r="A1390" t="s">
        <v>1010</v>
      </c>
      <c r="B1390" s="12" t="s">
        <v>315</v>
      </c>
      <c r="C1390" s="12" t="s">
        <v>478</v>
      </c>
      <c r="D1390" s="12">
        <v>4.2084225553176299E-2</v>
      </c>
      <c r="E1390" s="12">
        <v>35025</v>
      </c>
      <c r="F1390" s="12">
        <v>1474</v>
      </c>
    </row>
    <row r="1391" spans="1:6">
      <c r="A1391" t="s">
        <v>1010</v>
      </c>
      <c r="B1391" s="12" t="s">
        <v>315</v>
      </c>
      <c r="C1391" s="12" t="s">
        <v>20</v>
      </c>
      <c r="D1391" s="12">
        <v>3.7658815132048537E-2</v>
      </c>
      <c r="E1391" s="12">
        <v>35025</v>
      </c>
      <c r="F1391" s="12">
        <v>1319</v>
      </c>
    </row>
    <row r="1392" spans="1:6">
      <c r="A1392" t="s">
        <v>1010</v>
      </c>
      <c r="B1392" s="12" t="s">
        <v>317</v>
      </c>
      <c r="C1392" s="12" t="s">
        <v>480</v>
      </c>
      <c r="D1392" s="12">
        <v>0.41050834465698061</v>
      </c>
      <c r="E1392" s="12">
        <v>28701</v>
      </c>
      <c r="F1392" s="12">
        <v>11782</v>
      </c>
    </row>
    <row r="1393" spans="1:6">
      <c r="A1393" t="s">
        <v>1010</v>
      </c>
      <c r="B1393" s="12" t="s">
        <v>317</v>
      </c>
      <c r="C1393" s="12" t="s">
        <v>479</v>
      </c>
      <c r="D1393" s="12">
        <v>0.39629281209713946</v>
      </c>
      <c r="E1393" s="12">
        <v>28701</v>
      </c>
      <c r="F1393" s="12">
        <v>11374</v>
      </c>
    </row>
    <row r="1394" spans="1:6">
      <c r="A1394" t="s">
        <v>1010</v>
      </c>
      <c r="B1394" s="12" t="s">
        <v>317</v>
      </c>
      <c r="C1394" s="12" t="s">
        <v>22</v>
      </c>
      <c r="D1394" s="12">
        <v>0.10922964356642625</v>
      </c>
      <c r="E1394" s="12">
        <v>28701</v>
      </c>
      <c r="F1394" s="12">
        <v>3135</v>
      </c>
    </row>
    <row r="1395" spans="1:6">
      <c r="A1395" t="s">
        <v>1010</v>
      </c>
      <c r="B1395" s="12" t="s">
        <v>317</v>
      </c>
      <c r="C1395" s="12" t="s">
        <v>478</v>
      </c>
      <c r="D1395" s="12">
        <v>4.1218076025225599E-2</v>
      </c>
      <c r="E1395" s="12">
        <v>28701</v>
      </c>
      <c r="F1395" s="12">
        <v>1183</v>
      </c>
    </row>
    <row r="1396" spans="1:6">
      <c r="A1396" t="s">
        <v>1010</v>
      </c>
      <c r="B1396" s="12" t="s">
        <v>317</v>
      </c>
      <c r="C1396" s="12" t="s">
        <v>20</v>
      </c>
      <c r="D1396" s="12">
        <v>4.285564962893279E-2</v>
      </c>
      <c r="E1396" s="12">
        <v>28701</v>
      </c>
      <c r="F1396" s="12">
        <v>1230</v>
      </c>
    </row>
    <row r="1397" spans="1:6">
      <c r="A1397" t="s">
        <v>316</v>
      </c>
      <c r="B1397" s="12" t="s">
        <v>318</v>
      </c>
      <c r="C1397" s="12" t="s">
        <v>480</v>
      </c>
      <c r="D1397" s="12">
        <v>0.46171340827442348</v>
      </c>
      <c r="E1397" s="12">
        <v>138064</v>
      </c>
      <c r="F1397" s="12">
        <v>63746</v>
      </c>
    </row>
    <row r="1398" spans="1:6">
      <c r="A1398" t="s">
        <v>316</v>
      </c>
      <c r="B1398" s="12" t="s">
        <v>318</v>
      </c>
      <c r="C1398" s="12" t="s">
        <v>479</v>
      </c>
      <c r="D1398" s="12">
        <v>0.37679626839726504</v>
      </c>
      <c r="E1398" s="12">
        <v>138064</v>
      </c>
      <c r="F1398" s="12">
        <v>52022</v>
      </c>
    </row>
    <row r="1399" spans="1:6">
      <c r="A1399" t="s">
        <v>316</v>
      </c>
      <c r="B1399" s="12" t="s">
        <v>318</v>
      </c>
      <c r="C1399" s="12" t="s">
        <v>22</v>
      </c>
      <c r="D1399" s="12">
        <v>9.1682118437825935E-2</v>
      </c>
      <c r="E1399" s="12">
        <v>138064</v>
      </c>
      <c r="F1399" s="12">
        <v>12658</v>
      </c>
    </row>
    <row r="1400" spans="1:6">
      <c r="A1400" t="s">
        <v>316</v>
      </c>
      <c r="B1400" s="12" t="s">
        <v>318</v>
      </c>
      <c r="C1400" s="12" t="s">
        <v>478</v>
      </c>
      <c r="D1400" s="12">
        <v>3.5642890253795342E-2</v>
      </c>
      <c r="E1400" s="12">
        <v>138064</v>
      </c>
      <c r="F1400" s="12">
        <v>4921</v>
      </c>
    </row>
    <row r="1401" spans="1:6">
      <c r="A1401" t="s">
        <v>316</v>
      </c>
      <c r="B1401" s="12" t="s">
        <v>318</v>
      </c>
      <c r="C1401" s="12" t="s">
        <v>20</v>
      </c>
      <c r="D1401" s="12">
        <v>3.4158071618959326E-2</v>
      </c>
      <c r="E1401" s="12">
        <v>138064</v>
      </c>
      <c r="F1401" s="12">
        <v>4716</v>
      </c>
    </row>
    <row r="1402" spans="1:6">
      <c r="A1402" t="s">
        <v>316</v>
      </c>
      <c r="B1402" s="12" t="s">
        <v>319</v>
      </c>
      <c r="C1402" s="12" t="s">
        <v>480</v>
      </c>
      <c r="D1402" s="12">
        <v>0.399795535244308</v>
      </c>
      <c r="E1402" s="12">
        <v>328663</v>
      </c>
      <c r="F1402" s="12">
        <v>131398</v>
      </c>
    </row>
    <row r="1403" spans="1:6">
      <c r="A1403" t="s">
        <v>316</v>
      </c>
      <c r="B1403" s="12" t="s">
        <v>319</v>
      </c>
      <c r="C1403" s="12" t="s">
        <v>479</v>
      </c>
      <c r="D1403" s="12">
        <v>0.40182192701946978</v>
      </c>
      <c r="E1403" s="12">
        <v>328663</v>
      </c>
      <c r="F1403" s="12">
        <v>132064</v>
      </c>
    </row>
    <row r="1404" spans="1:6">
      <c r="A1404" t="s">
        <v>316</v>
      </c>
      <c r="B1404" s="12" t="s">
        <v>319</v>
      </c>
      <c r="C1404" s="12" t="s">
        <v>22</v>
      </c>
      <c r="D1404" s="12">
        <v>0.11513617291876481</v>
      </c>
      <c r="E1404" s="12">
        <v>328663</v>
      </c>
      <c r="F1404" s="12">
        <v>37841</v>
      </c>
    </row>
    <row r="1405" spans="1:6">
      <c r="A1405" t="s">
        <v>316</v>
      </c>
      <c r="B1405" s="12" t="s">
        <v>319</v>
      </c>
      <c r="C1405" s="12" t="s">
        <v>478</v>
      </c>
      <c r="D1405" s="12">
        <v>4.2362541569936379E-2</v>
      </c>
      <c r="E1405" s="12">
        <v>328663</v>
      </c>
      <c r="F1405" s="12">
        <v>13923</v>
      </c>
    </row>
    <row r="1406" spans="1:6">
      <c r="A1406" t="s">
        <v>316</v>
      </c>
      <c r="B1406" s="12" t="s">
        <v>319</v>
      </c>
      <c r="C1406" s="12" t="s">
        <v>20</v>
      </c>
      <c r="D1406" s="12">
        <v>4.0886865877814052E-2</v>
      </c>
      <c r="E1406" s="12">
        <v>328663</v>
      </c>
      <c r="F1406" s="12">
        <v>13438</v>
      </c>
    </row>
    <row r="1407" spans="1:6">
      <c r="A1407" t="s">
        <v>316</v>
      </c>
      <c r="B1407" s="12" t="s">
        <v>320</v>
      </c>
      <c r="C1407" s="12" t="s">
        <v>480</v>
      </c>
      <c r="D1407" s="12">
        <v>0.42101796712365286</v>
      </c>
      <c r="E1407" s="12">
        <v>510154</v>
      </c>
      <c r="F1407" s="12">
        <v>214784</v>
      </c>
    </row>
    <row r="1408" spans="1:6">
      <c r="A1408" t="s">
        <v>316</v>
      </c>
      <c r="B1408" s="12" t="s">
        <v>320</v>
      </c>
      <c r="C1408" s="12" t="s">
        <v>479</v>
      </c>
      <c r="D1408" s="12">
        <v>0.41568428356927517</v>
      </c>
      <c r="E1408" s="12">
        <v>510154</v>
      </c>
      <c r="F1408" s="12">
        <v>212063</v>
      </c>
    </row>
    <row r="1409" spans="1:6">
      <c r="A1409" t="s">
        <v>316</v>
      </c>
      <c r="B1409" s="12" t="s">
        <v>320</v>
      </c>
      <c r="C1409" s="12" t="s">
        <v>22</v>
      </c>
      <c r="D1409" s="12">
        <v>9.9930609188597946E-2</v>
      </c>
      <c r="E1409" s="12">
        <v>510154</v>
      </c>
      <c r="F1409" s="12">
        <v>50980</v>
      </c>
    </row>
    <row r="1410" spans="1:6">
      <c r="A1410" t="s">
        <v>316</v>
      </c>
      <c r="B1410" s="12" t="s">
        <v>320</v>
      </c>
      <c r="C1410" s="12" t="s">
        <v>478</v>
      </c>
      <c r="D1410" s="12">
        <v>3.3223301199245721E-2</v>
      </c>
      <c r="E1410" s="12">
        <v>510154</v>
      </c>
      <c r="F1410" s="12">
        <v>16949</v>
      </c>
    </row>
    <row r="1411" spans="1:6">
      <c r="A1411" t="s">
        <v>316</v>
      </c>
      <c r="B1411" s="12" t="s">
        <v>320</v>
      </c>
      <c r="C1411" s="12" t="s">
        <v>20</v>
      </c>
      <c r="D1411" s="12">
        <v>3.0132077764753389E-2</v>
      </c>
      <c r="E1411" s="12">
        <v>510154</v>
      </c>
      <c r="F1411" s="12">
        <v>15372</v>
      </c>
    </row>
    <row r="1412" spans="1:6">
      <c r="A1412" t="s">
        <v>316</v>
      </c>
      <c r="B1412" s="12" t="s">
        <v>321</v>
      </c>
      <c r="C1412" s="12" t="s">
        <v>480</v>
      </c>
      <c r="D1412" s="12">
        <v>0.48633597665069661</v>
      </c>
      <c r="E1412" s="12">
        <v>145272</v>
      </c>
      <c r="F1412" s="12">
        <v>70651</v>
      </c>
    </row>
    <row r="1413" spans="1:6">
      <c r="A1413" t="s">
        <v>316</v>
      </c>
      <c r="B1413" s="12" t="s">
        <v>321</v>
      </c>
      <c r="C1413" s="12" t="s">
        <v>479</v>
      </c>
      <c r="D1413" s="12">
        <v>0.37806321934027204</v>
      </c>
      <c r="E1413" s="12">
        <v>145272</v>
      </c>
      <c r="F1413" s="12">
        <v>54922</v>
      </c>
    </row>
    <row r="1414" spans="1:6">
      <c r="A1414" t="s">
        <v>316</v>
      </c>
      <c r="B1414" s="12" t="s">
        <v>321</v>
      </c>
      <c r="C1414" s="12" t="s">
        <v>22</v>
      </c>
      <c r="D1414" s="12">
        <v>8.0986012445619246E-2</v>
      </c>
      <c r="E1414" s="12">
        <v>145272</v>
      </c>
      <c r="F1414" s="12">
        <v>11765</v>
      </c>
    </row>
    <row r="1415" spans="1:6">
      <c r="A1415" t="s">
        <v>316</v>
      </c>
      <c r="B1415" s="12" t="s">
        <v>321</v>
      </c>
      <c r="C1415" s="12" t="s">
        <v>478</v>
      </c>
      <c r="D1415" s="12">
        <v>2.8945701855829065E-2</v>
      </c>
      <c r="E1415" s="12">
        <v>145272</v>
      </c>
      <c r="F1415" s="12">
        <v>4205</v>
      </c>
    </row>
    <row r="1416" spans="1:6">
      <c r="A1416" t="s">
        <v>316</v>
      </c>
      <c r="B1416" s="12" t="s">
        <v>321</v>
      </c>
      <c r="C1416" s="12" t="s">
        <v>20</v>
      </c>
      <c r="D1416" s="12">
        <v>2.5710391541384436E-2</v>
      </c>
      <c r="E1416" s="12">
        <v>145272</v>
      </c>
      <c r="F1416" s="12">
        <v>3735</v>
      </c>
    </row>
    <row r="1417" spans="1:6">
      <c r="A1417" t="s">
        <v>316</v>
      </c>
      <c r="B1417" s="12" t="s">
        <v>322</v>
      </c>
      <c r="C1417" s="12" t="s">
        <v>480</v>
      </c>
      <c r="D1417" s="12">
        <v>0.43895001536063355</v>
      </c>
      <c r="E1417" s="12">
        <v>175774</v>
      </c>
      <c r="F1417" s="12">
        <v>77156</v>
      </c>
    </row>
    <row r="1418" spans="1:6">
      <c r="A1418" t="s">
        <v>316</v>
      </c>
      <c r="B1418" s="12" t="s">
        <v>322</v>
      </c>
      <c r="C1418" s="12" t="s">
        <v>479</v>
      </c>
      <c r="D1418" s="12">
        <v>0.39898392253689396</v>
      </c>
      <c r="E1418" s="12">
        <v>175774</v>
      </c>
      <c r="F1418" s="12">
        <v>70131</v>
      </c>
    </row>
    <row r="1419" spans="1:6">
      <c r="A1419" t="s">
        <v>316</v>
      </c>
      <c r="B1419" s="12" t="s">
        <v>322</v>
      </c>
      <c r="C1419" s="12" t="s">
        <v>22</v>
      </c>
      <c r="D1419" s="12">
        <v>9.7727764060668812E-2</v>
      </c>
      <c r="E1419" s="12">
        <v>175774</v>
      </c>
      <c r="F1419" s="12">
        <v>17178</v>
      </c>
    </row>
    <row r="1420" spans="1:6">
      <c r="A1420" t="s">
        <v>316</v>
      </c>
      <c r="B1420" s="12" t="s">
        <v>322</v>
      </c>
      <c r="C1420" s="12" t="s">
        <v>478</v>
      </c>
      <c r="D1420" s="12">
        <v>3.3508937613071332E-2</v>
      </c>
      <c r="E1420" s="12">
        <v>175774</v>
      </c>
      <c r="F1420" s="12">
        <v>5890</v>
      </c>
    </row>
    <row r="1421" spans="1:6">
      <c r="A1421" t="s">
        <v>316</v>
      </c>
      <c r="B1421" s="12" t="s">
        <v>322</v>
      </c>
      <c r="C1421" s="12" t="s">
        <v>20</v>
      </c>
      <c r="D1421" s="12">
        <v>3.0852116922866862E-2</v>
      </c>
      <c r="E1421" s="12">
        <v>175774</v>
      </c>
      <c r="F1421" s="12">
        <v>5423</v>
      </c>
    </row>
    <row r="1422" spans="1:6">
      <c r="A1422" t="s">
        <v>316</v>
      </c>
      <c r="B1422" s="12" t="s">
        <v>323</v>
      </c>
      <c r="C1422" s="12" t="s">
        <v>480</v>
      </c>
      <c r="D1422" s="12">
        <v>0.46026103628547271</v>
      </c>
      <c r="E1422" s="12">
        <v>167946</v>
      </c>
      <c r="F1422" s="12">
        <v>77299</v>
      </c>
    </row>
    <row r="1423" spans="1:6">
      <c r="A1423" t="s">
        <v>316</v>
      </c>
      <c r="B1423" s="12" t="s">
        <v>323</v>
      </c>
      <c r="C1423" s="12" t="s">
        <v>479</v>
      </c>
      <c r="D1423" s="12">
        <v>0.39428744953735129</v>
      </c>
      <c r="E1423" s="12">
        <v>167946</v>
      </c>
      <c r="F1423" s="12">
        <v>66219</v>
      </c>
    </row>
    <row r="1424" spans="1:6">
      <c r="A1424" t="s">
        <v>316</v>
      </c>
      <c r="B1424" s="12" t="s">
        <v>323</v>
      </c>
      <c r="C1424" s="12" t="s">
        <v>22</v>
      </c>
      <c r="D1424" s="12">
        <v>8.677193859931169E-2</v>
      </c>
      <c r="E1424" s="12">
        <v>167946</v>
      </c>
      <c r="F1424" s="12">
        <v>14573</v>
      </c>
    </row>
    <row r="1425" spans="1:6">
      <c r="A1425" t="s">
        <v>316</v>
      </c>
      <c r="B1425" s="12" t="s">
        <v>323</v>
      </c>
      <c r="C1425" s="12" t="s">
        <v>478</v>
      </c>
      <c r="D1425" s="12">
        <v>2.9527348076167338E-2</v>
      </c>
      <c r="E1425" s="12">
        <v>167946</v>
      </c>
      <c r="F1425" s="12">
        <v>4959</v>
      </c>
    </row>
    <row r="1426" spans="1:6">
      <c r="A1426" t="s">
        <v>316</v>
      </c>
      <c r="B1426" s="12" t="s">
        <v>323</v>
      </c>
      <c r="C1426" s="12" t="s">
        <v>20</v>
      </c>
      <c r="D1426" s="12">
        <v>2.9152227501696975E-2</v>
      </c>
      <c r="E1426" s="12">
        <v>167946</v>
      </c>
      <c r="F1426" s="12">
        <v>4896</v>
      </c>
    </row>
    <row r="1427" spans="1:6">
      <c r="A1427" t="s">
        <v>316</v>
      </c>
      <c r="B1427" s="12" t="s">
        <v>324</v>
      </c>
      <c r="C1427" s="12" t="s">
        <v>480</v>
      </c>
      <c r="D1427" s="12">
        <v>0.43363420048652745</v>
      </c>
      <c r="E1427" s="12">
        <v>75227</v>
      </c>
      <c r="F1427" s="12">
        <v>32621</v>
      </c>
    </row>
    <row r="1428" spans="1:6">
      <c r="A1428" t="s">
        <v>316</v>
      </c>
      <c r="B1428" s="12" t="s">
        <v>324</v>
      </c>
      <c r="C1428" s="12" t="s">
        <v>479</v>
      </c>
      <c r="D1428" s="12">
        <v>0.38716152445265661</v>
      </c>
      <c r="E1428" s="12">
        <v>75227</v>
      </c>
      <c r="F1428" s="12">
        <v>29125</v>
      </c>
    </row>
    <row r="1429" spans="1:6">
      <c r="A1429" t="s">
        <v>316</v>
      </c>
      <c r="B1429" s="12" t="s">
        <v>324</v>
      </c>
      <c r="C1429" s="12" t="s">
        <v>22</v>
      </c>
      <c r="D1429" s="12">
        <v>0.10008374652717775</v>
      </c>
      <c r="E1429" s="12">
        <v>75227</v>
      </c>
      <c r="F1429" s="12">
        <v>7529</v>
      </c>
    </row>
    <row r="1430" spans="1:6">
      <c r="A1430" t="s">
        <v>316</v>
      </c>
      <c r="B1430" s="12" t="s">
        <v>324</v>
      </c>
      <c r="C1430" s="12" t="s">
        <v>478</v>
      </c>
      <c r="D1430" s="12">
        <v>3.9427333271298867E-2</v>
      </c>
      <c r="E1430" s="12">
        <v>75227</v>
      </c>
      <c r="F1430" s="12">
        <v>2966</v>
      </c>
    </row>
    <row r="1431" spans="1:6">
      <c r="A1431" t="s">
        <v>316</v>
      </c>
      <c r="B1431" s="12" t="s">
        <v>324</v>
      </c>
      <c r="C1431" s="12" t="s">
        <v>20</v>
      </c>
      <c r="D1431" s="12">
        <v>3.9706488361891341E-2</v>
      </c>
      <c r="E1431" s="12">
        <v>75227</v>
      </c>
      <c r="F1431" s="12">
        <v>2987</v>
      </c>
    </row>
    <row r="1432" spans="1:6">
      <c r="A1432" t="s">
        <v>316</v>
      </c>
      <c r="B1432" s="12" t="s">
        <v>325</v>
      </c>
      <c r="C1432" s="12" t="s">
        <v>480</v>
      </c>
      <c r="D1432" s="12">
        <v>0.43064328119493617</v>
      </c>
      <c r="E1432" s="12">
        <v>73778</v>
      </c>
      <c r="F1432" s="12">
        <v>31772</v>
      </c>
    </row>
    <row r="1433" spans="1:6">
      <c r="A1433" t="s">
        <v>316</v>
      </c>
      <c r="B1433" s="12" t="s">
        <v>325</v>
      </c>
      <c r="C1433" s="12" t="s">
        <v>479</v>
      </c>
      <c r="D1433" s="12">
        <v>0.41329393586163898</v>
      </c>
      <c r="E1433" s="12">
        <v>73778</v>
      </c>
      <c r="F1433" s="12">
        <v>30492</v>
      </c>
    </row>
    <row r="1434" spans="1:6">
      <c r="A1434" t="s">
        <v>316</v>
      </c>
      <c r="B1434" s="12" t="s">
        <v>325</v>
      </c>
      <c r="C1434" s="12" t="s">
        <v>22</v>
      </c>
      <c r="D1434" s="12">
        <v>9.3727127327929732E-2</v>
      </c>
      <c r="E1434" s="12">
        <v>73778</v>
      </c>
      <c r="F1434" s="12">
        <v>6915</v>
      </c>
    </row>
    <row r="1435" spans="1:6">
      <c r="A1435" t="s">
        <v>316</v>
      </c>
      <c r="B1435" s="12" t="s">
        <v>325</v>
      </c>
      <c r="C1435" s="12" t="s">
        <v>478</v>
      </c>
      <c r="D1435" s="12">
        <v>3.1581230177017541E-2</v>
      </c>
      <c r="E1435" s="12">
        <v>73778</v>
      </c>
      <c r="F1435" s="12">
        <v>2330</v>
      </c>
    </row>
    <row r="1436" spans="1:6">
      <c r="A1436" t="s">
        <v>316</v>
      </c>
      <c r="B1436" s="12" t="s">
        <v>325</v>
      </c>
      <c r="C1436" s="12" t="s">
        <v>20</v>
      </c>
      <c r="D1436" s="12">
        <v>3.0740871262435958E-2</v>
      </c>
      <c r="E1436" s="12">
        <v>73778</v>
      </c>
      <c r="F1436" s="12">
        <v>2268</v>
      </c>
    </row>
    <row r="1437" spans="1:6">
      <c r="A1437" t="s">
        <v>316</v>
      </c>
      <c r="B1437" s="12" t="s">
        <v>326</v>
      </c>
      <c r="C1437" s="12" t="s">
        <v>480</v>
      </c>
      <c r="D1437" s="12">
        <v>0.43463354168315005</v>
      </c>
      <c r="E1437" s="12">
        <v>75834</v>
      </c>
      <c r="F1437" s="12">
        <v>32960</v>
      </c>
    </row>
    <row r="1438" spans="1:6">
      <c r="A1438" t="s">
        <v>316</v>
      </c>
      <c r="B1438" s="12" t="s">
        <v>326</v>
      </c>
      <c r="C1438" s="12" t="s">
        <v>479</v>
      </c>
      <c r="D1438" s="12">
        <v>0.4000184613761637</v>
      </c>
      <c r="E1438" s="12">
        <v>75834</v>
      </c>
      <c r="F1438" s="12">
        <v>30335</v>
      </c>
    </row>
    <row r="1439" spans="1:6">
      <c r="A1439" t="s">
        <v>316</v>
      </c>
      <c r="B1439" s="12" t="s">
        <v>326</v>
      </c>
      <c r="C1439" s="12" t="s">
        <v>22</v>
      </c>
      <c r="D1439" s="12">
        <v>9.7766173484189145E-2</v>
      </c>
      <c r="E1439" s="12">
        <v>75834</v>
      </c>
      <c r="F1439" s="12">
        <v>7414</v>
      </c>
    </row>
    <row r="1440" spans="1:6">
      <c r="A1440" t="s">
        <v>316</v>
      </c>
      <c r="B1440" s="12" t="s">
        <v>326</v>
      </c>
      <c r="C1440" s="12" t="s">
        <v>478</v>
      </c>
      <c r="D1440" s="12">
        <v>3.4232666086451986E-2</v>
      </c>
      <c r="E1440" s="12">
        <v>75834</v>
      </c>
      <c r="F1440" s="12">
        <v>2596</v>
      </c>
    </row>
    <row r="1441" spans="1:6">
      <c r="A1441" t="s">
        <v>316</v>
      </c>
      <c r="B1441" s="12" t="s">
        <v>326</v>
      </c>
      <c r="C1441" s="12" t="s">
        <v>20</v>
      </c>
      <c r="D1441" s="12">
        <v>3.3322783975525488E-2</v>
      </c>
      <c r="E1441" s="12">
        <v>75834</v>
      </c>
      <c r="F1441" s="12">
        <v>2527</v>
      </c>
    </row>
    <row r="1442" spans="1:6">
      <c r="A1442" t="s">
        <v>316</v>
      </c>
      <c r="B1442" s="12" t="s">
        <v>327</v>
      </c>
      <c r="C1442" s="12" t="s">
        <v>480</v>
      </c>
      <c r="D1442" s="12">
        <v>0.45110478579698959</v>
      </c>
      <c r="E1442" s="12">
        <v>41456</v>
      </c>
      <c r="F1442" s="12">
        <v>18701</v>
      </c>
    </row>
    <row r="1443" spans="1:6">
      <c r="A1443" t="s">
        <v>316</v>
      </c>
      <c r="B1443" s="12" t="s">
        <v>327</v>
      </c>
      <c r="C1443" s="12" t="s">
        <v>479</v>
      </c>
      <c r="D1443" s="12">
        <v>0.38247780779621765</v>
      </c>
      <c r="E1443" s="12">
        <v>41456</v>
      </c>
      <c r="F1443" s="12">
        <v>15856</v>
      </c>
    </row>
    <row r="1444" spans="1:6">
      <c r="A1444" t="s">
        <v>316</v>
      </c>
      <c r="B1444" s="12" t="s">
        <v>327</v>
      </c>
      <c r="C1444" s="12" t="s">
        <v>22</v>
      </c>
      <c r="D1444" s="12">
        <v>9.7235623311462752E-2</v>
      </c>
      <c r="E1444" s="12">
        <v>41456</v>
      </c>
      <c r="F1444" s="12">
        <v>4031</v>
      </c>
    </row>
    <row r="1445" spans="1:6">
      <c r="A1445" t="s">
        <v>316</v>
      </c>
      <c r="B1445" s="12" t="s">
        <v>327</v>
      </c>
      <c r="C1445" s="12" t="s">
        <v>478</v>
      </c>
      <c r="D1445" s="12">
        <v>3.4639135468930916E-2</v>
      </c>
      <c r="E1445" s="12">
        <v>41456</v>
      </c>
      <c r="F1445" s="12">
        <v>1436</v>
      </c>
    </row>
    <row r="1446" spans="1:6">
      <c r="A1446" t="s">
        <v>316</v>
      </c>
      <c r="B1446" s="12" t="s">
        <v>327</v>
      </c>
      <c r="C1446" s="12" t="s">
        <v>20</v>
      </c>
      <c r="D1446" s="12">
        <v>3.4494403705133153E-2</v>
      </c>
      <c r="E1446" s="12">
        <v>41456</v>
      </c>
      <c r="F1446" s="12">
        <v>1430</v>
      </c>
    </row>
    <row r="1447" spans="1:6">
      <c r="A1447" t="s">
        <v>316</v>
      </c>
      <c r="B1447" s="12" t="s">
        <v>329</v>
      </c>
      <c r="C1447" s="12" t="s">
        <v>480</v>
      </c>
      <c r="D1447" s="12">
        <v>0.47207443390649495</v>
      </c>
      <c r="E1447" s="12">
        <v>38907</v>
      </c>
      <c r="F1447" s="12">
        <v>18367</v>
      </c>
    </row>
    <row r="1448" spans="1:6">
      <c r="A1448" t="s">
        <v>316</v>
      </c>
      <c r="B1448" s="12" t="s">
        <v>329</v>
      </c>
      <c r="C1448" s="12" t="s">
        <v>479</v>
      </c>
      <c r="D1448" s="12">
        <v>0.39113784151952091</v>
      </c>
      <c r="E1448" s="12">
        <v>38907</v>
      </c>
      <c r="F1448" s="12">
        <v>15218</v>
      </c>
    </row>
    <row r="1449" spans="1:6">
      <c r="A1449" t="s">
        <v>316</v>
      </c>
      <c r="B1449" s="12" t="s">
        <v>329</v>
      </c>
      <c r="C1449" s="12" t="s">
        <v>22</v>
      </c>
      <c r="D1449" s="12">
        <v>8.2401624386357217E-2</v>
      </c>
      <c r="E1449" s="12">
        <v>38907</v>
      </c>
      <c r="F1449" s="12">
        <v>3206</v>
      </c>
    </row>
    <row r="1450" spans="1:6">
      <c r="A1450" t="s">
        <v>316</v>
      </c>
      <c r="B1450" s="12" t="s">
        <v>329</v>
      </c>
      <c r="C1450" s="12" t="s">
        <v>478</v>
      </c>
      <c r="D1450" s="12">
        <v>2.7424370935821316E-2</v>
      </c>
      <c r="E1450" s="12">
        <v>38907</v>
      </c>
      <c r="F1450" s="12">
        <v>1067</v>
      </c>
    </row>
    <row r="1451" spans="1:6">
      <c r="A1451" t="s">
        <v>316</v>
      </c>
      <c r="B1451" s="12" t="s">
        <v>329</v>
      </c>
      <c r="C1451" s="12" t="s">
        <v>20</v>
      </c>
      <c r="D1451" s="12">
        <v>2.6884622304469634E-2</v>
      </c>
      <c r="E1451" s="12">
        <v>38907</v>
      </c>
      <c r="F1451" s="12">
        <v>1046</v>
      </c>
    </row>
    <row r="1452" spans="1:6">
      <c r="A1452" t="s">
        <v>328</v>
      </c>
      <c r="B1452" s="12" t="s">
        <v>328</v>
      </c>
      <c r="C1452" s="12" t="s">
        <v>480</v>
      </c>
      <c r="D1452" s="12">
        <v>0.4268270709457902</v>
      </c>
      <c r="E1452" s="12">
        <v>238647</v>
      </c>
      <c r="F1452" s="12">
        <v>101861</v>
      </c>
    </row>
    <row r="1453" spans="1:6">
      <c r="A1453" t="s">
        <v>328</v>
      </c>
      <c r="B1453" s="12" t="s">
        <v>328</v>
      </c>
      <c r="C1453" s="12" t="s">
        <v>479</v>
      </c>
      <c r="D1453" s="12">
        <v>0.41856801049248471</v>
      </c>
      <c r="E1453" s="12">
        <v>238647</v>
      </c>
      <c r="F1453" s="12">
        <v>99890</v>
      </c>
    </row>
    <row r="1454" spans="1:6">
      <c r="A1454" t="s">
        <v>328</v>
      </c>
      <c r="B1454" s="12" t="s">
        <v>328</v>
      </c>
      <c r="C1454" s="12" t="s">
        <v>22</v>
      </c>
      <c r="D1454" s="12">
        <v>9.4382078970194475E-2</v>
      </c>
      <c r="E1454" s="12">
        <v>238647</v>
      </c>
      <c r="F1454" s="12">
        <v>22524</v>
      </c>
    </row>
    <row r="1455" spans="1:6">
      <c r="A1455" t="s">
        <v>328</v>
      </c>
      <c r="B1455" s="12" t="s">
        <v>328</v>
      </c>
      <c r="C1455" s="12" t="s">
        <v>478</v>
      </c>
      <c r="D1455" s="12">
        <v>3.185038990643084E-2</v>
      </c>
      <c r="E1455" s="12">
        <v>238647</v>
      </c>
      <c r="F1455" s="12">
        <v>7601</v>
      </c>
    </row>
    <row r="1456" spans="1:6">
      <c r="A1456" t="s">
        <v>328</v>
      </c>
      <c r="B1456" s="12" t="s">
        <v>328</v>
      </c>
      <c r="C1456" s="12" t="s">
        <v>20</v>
      </c>
      <c r="D1456" s="12">
        <v>2.836825939567646E-2</v>
      </c>
      <c r="E1456" s="12">
        <v>238647</v>
      </c>
      <c r="F1456" s="12">
        <v>6770</v>
      </c>
    </row>
    <row r="1457" spans="1:6">
      <c r="A1457" t="s">
        <v>328</v>
      </c>
      <c r="B1457" s="12" t="s">
        <v>330</v>
      </c>
      <c r="C1457" s="12" t="s">
        <v>480</v>
      </c>
      <c r="D1457" s="12">
        <v>0.42686897924110173</v>
      </c>
      <c r="E1457" s="12">
        <v>44222</v>
      </c>
      <c r="F1457" s="12">
        <v>18877</v>
      </c>
    </row>
    <row r="1458" spans="1:6">
      <c r="A1458" t="s">
        <v>328</v>
      </c>
      <c r="B1458" s="12" t="s">
        <v>330</v>
      </c>
      <c r="C1458" s="12" t="s">
        <v>479</v>
      </c>
      <c r="D1458" s="12">
        <v>0.41576590837139887</v>
      </c>
      <c r="E1458" s="12">
        <v>44222</v>
      </c>
      <c r="F1458" s="12">
        <v>18386</v>
      </c>
    </row>
    <row r="1459" spans="1:6">
      <c r="A1459" t="s">
        <v>328</v>
      </c>
      <c r="B1459" s="12" t="s">
        <v>330</v>
      </c>
      <c r="C1459" s="12" t="s">
        <v>22</v>
      </c>
      <c r="D1459" s="12">
        <v>9.3776853150015826E-2</v>
      </c>
      <c r="E1459" s="12">
        <v>44222</v>
      </c>
      <c r="F1459" s="12">
        <v>4147</v>
      </c>
    </row>
    <row r="1460" spans="1:6">
      <c r="A1460" t="s">
        <v>328</v>
      </c>
      <c r="B1460" s="12" t="s">
        <v>330</v>
      </c>
      <c r="C1460" s="12" t="s">
        <v>478</v>
      </c>
      <c r="D1460" s="12">
        <v>3.2404685450680655E-2</v>
      </c>
      <c r="E1460" s="12">
        <v>44222</v>
      </c>
      <c r="F1460" s="12">
        <v>1433</v>
      </c>
    </row>
    <row r="1461" spans="1:6">
      <c r="A1461" t="s">
        <v>328</v>
      </c>
      <c r="B1461" s="12" t="s">
        <v>330</v>
      </c>
      <c r="C1461" s="12" t="s">
        <v>20</v>
      </c>
      <c r="D1461" s="12">
        <v>3.1206186965763646E-2</v>
      </c>
      <c r="E1461" s="12">
        <v>44222</v>
      </c>
      <c r="F1461" s="12">
        <v>1380</v>
      </c>
    </row>
    <row r="1462" spans="1:6">
      <c r="A1462" t="s">
        <v>328</v>
      </c>
      <c r="B1462" s="12" t="s">
        <v>331</v>
      </c>
      <c r="C1462" s="12" t="s">
        <v>480</v>
      </c>
      <c r="D1462" s="12">
        <v>0.4470361619840183</v>
      </c>
      <c r="E1462" s="12">
        <v>66451</v>
      </c>
      <c r="F1462" s="12">
        <v>29706</v>
      </c>
    </row>
    <row r="1463" spans="1:6">
      <c r="A1463" t="s">
        <v>328</v>
      </c>
      <c r="B1463" s="12" t="s">
        <v>331</v>
      </c>
      <c r="C1463" s="12" t="s">
        <v>479</v>
      </c>
      <c r="D1463" s="12">
        <v>0.40798483092805227</v>
      </c>
      <c r="E1463" s="12">
        <v>66451</v>
      </c>
      <c r="F1463" s="12">
        <v>27111</v>
      </c>
    </row>
    <row r="1464" spans="1:6">
      <c r="A1464" t="s">
        <v>328</v>
      </c>
      <c r="B1464" s="12" t="s">
        <v>331</v>
      </c>
      <c r="C1464" s="12" t="s">
        <v>22</v>
      </c>
      <c r="D1464" s="12">
        <v>8.5988171735564556E-2</v>
      </c>
      <c r="E1464" s="12">
        <v>66451</v>
      </c>
      <c r="F1464" s="12">
        <v>5714</v>
      </c>
    </row>
    <row r="1465" spans="1:6">
      <c r="A1465" t="s">
        <v>328</v>
      </c>
      <c r="B1465" s="12" t="s">
        <v>331</v>
      </c>
      <c r="C1465" s="12" t="s">
        <v>478</v>
      </c>
      <c r="D1465" s="12">
        <v>2.9931829468330048E-2</v>
      </c>
      <c r="E1465" s="12">
        <v>66451</v>
      </c>
      <c r="F1465" s="12">
        <v>1989</v>
      </c>
    </row>
    <row r="1466" spans="1:6">
      <c r="A1466" t="s">
        <v>328</v>
      </c>
      <c r="B1466" s="12" t="s">
        <v>331</v>
      </c>
      <c r="C1466" s="12" t="s">
        <v>20</v>
      </c>
      <c r="D1466" s="12">
        <v>2.908910324901055E-2</v>
      </c>
      <c r="E1466" s="12">
        <v>66451</v>
      </c>
      <c r="F1466" s="12">
        <v>1933</v>
      </c>
    </row>
    <row r="1467" spans="1:6">
      <c r="A1467" t="s">
        <v>328</v>
      </c>
      <c r="B1467" s="12" t="s">
        <v>332</v>
      </c>
      <c r="C1467" s="12" t="s">
        <v>480</v>
      </c>
      <c r="D1467" s="12">
        <v>0.421753433241084</v>
      </c>
      <c r="E1467" s="12">
        <v>57453</v>
      </c>
      <c r="F1467" s="12">
        <v>24231</v>
      </c>
    </row>
    <row r="1468" spans="1:6">
      <c r="A1468" t="s">
        <v>328</v>
      </c>
      <c r="B1468" s="12" t="s">
        <v>332</v>
      </c>
      <c r="C1468" s="12" t="s">
        <v>479</v>
      </c>
      <c r="D1468" s="12">
        <v>0.40852522931787721</v>
      </c>
      <c r="E1468" s="12">
        <v>57453</v>
      </c>
      <c r="F1468" s="12">
        <v>23471</v>
      </c>
    </row>
    <row r="1469" spans="1:6">
      <c r="A1469" t="s">
        <v>328</v>
      </c>
      <c r="B1469" s="12" t="s">
        <v>332</v>
      </c>
      <c r="C1469" s="12" t="s">
        <v>22</v>
      </c>
      <c r="D1469" s="12">
        <v>0.10098689363479714</v>
      </c>
      <c r="E1469" s="12">
        <v>57453</v>
      </c>
      <c r="F1469" s="12">
        <v>5802</v>
      </c>
    </row>
    <row r="1470" spans="1:6">
      <c r="A1470" t="s">
        <v>328</v>
      </c>
      <c r="B1470" s="12" t="s">
        <v>332</v>
      </c>
      <c r="C1470" s="12" t="s">
        <v>478</v>
      </c>
      <c r="D1470" s="12">
        <v>3.4010408507823789E-2</v>
      </c>
      <c r="E1470" s="12">
        <v>57453</v>
      </c>
      <c r="F1470" s="12">
        <v>1954</v>
      </c>
    </row>
    <row r="1471" spans="1:6">
      <c r="A1471" t="s">
        <v>328</v>
      </c>
      <c r="B1471" s="12" t="s">
        <v>332</v>
      </c>
      <c r="C1471" s="12" t="s">
        <v>20</v>
      </c>
      <c r="D1471" s="12">
        <v>3.4758846361373642E-2</v>
      </c>
      <c r="E1471" s="12">
        <v>57453</v>
      </c>
      <c r="F1471" s="12">
        <v>1997</v>
      </c>
    </row>
    <row r="1472" spans="1:6">
      <c r="A1472" t="s">
        <v>328</v>
      </c>
      <c r="B1472" s="12" t="s">
        <v>333</v>
      </c>
      <c r="C1472" s="12" t="s">
        <v>480</v>
      </c>
      <c r="D1472" s="12">
        <v>0.4640444974175606</v>
      </c>
      <c r="E1472" s="12">
        <v>30204</v>
      </c>
      <c r="F1472" s="12">
        <v>14016</v>
      </c>
    </row>
    <row r="1473" spans="1:6">
      <c r="A1473" t="s">
        <v>328</v>
      </c>
      <c r="B1473" s="12" t="s">
        <v>333</v>
      </c>
      <c r="C1473" s="12" t="s">
        <v>479</v>
      </c>
      <c r="D1473" s="12">
        <v>0.39772877764534498</v>
      </c>
      <c r="E1473" s="12">
        <v>30204</v>
      </c>
      <c r="F1473" s="12">
        <v>12013</v>
      </c>
    </row>
    <row r="1474" spans="1:6">
      <c r="A1474" t="s">
        <v>328</v>
      </c>
      <c r="B1474" s="12" t="s">
        <v>333</v>
      </c>
      <c r="C1474" s="12" t="s">
        <v>22</v>
      </c>
      <c r="D1474" s="12">
        <v>8.0121838167130185E-2</v>
      </c>
      <c r="E1474" s="12">
        <v>30204</v>
      </c>
      <c r="F1474" s="12">
        <v>2420</v>
      </c>
    </row>
    <row r="1475" spans="1:6">
      <c r="A1475" t="s">
        <v>328</v>
      </c>
      <c r="B1475" s="12" t="s">
        <v>333</v>
      </c>
      <c r="C1475" s="12" t="s">
        <v>478</v>
      </c>
      <c r="D1475" s="12">
        <v>2.9433187657263937E-2</v>
      </c>
      <c r="E1475" s="12">
        <v>30204</v>
      </c>
      <c r="F1475" s="12">
        <v>889</v>
      </c>
    </row>
    <row r="1476" spans="1:6">
      <c r="A1476" t="s">
        <v>328</v>
      </c>
      <c r="B1476" s="12" t="s">
        <v>333</v>
      </c>
      <c r="C1476" s="12" t="s">
        <v>20</v>
      </c>
      <c r="D1476" s="12">
        <v>2.8473049927161966E-2</v>
      </c>
      <c r="E1476" s="12">
        <v>30204</v>
      </c>
      <c r="F1476" s="12">
        <v>860</v>
      </c>
    </row>
    <row r="1477" spans="1:6">
      <c r="A1477" t="s">
        <v>328</v>
      </c>
      <c r="B1477" s="12" t="s">
        <v>334</v>
      </c>
      <c r="C1477" s="12" t="s">
        <v>480</v>
      </c>
      <c r="D1477" s="12">
        <v>0.42364090814413663</v>
      </c>
      <c r="E1477" s="12">
        <v>48010</v>
      </c>
      <c r="F1477" s="12">
        <v>20339</v>
      </c>
    </row>
    <row r="1478" spans="1:6">
      <c r="A1478" t="s">
        <v>328</v>
      </c>
      <c r="B1478" s="12" t="s">
        <v>334</v>
      </c>
      <c r="C1478" s="12" t="s">
        <v>479</v>
      </c>
      <c r="D1478" s="12">
        <v>0.41174755259320972</v>
      </c>
      <c r="E1478" s="12">
        <v>48010</v>
      </c>
      <c r="F1478" s="12">
        <v>19768</v>
      </c>
    </row>
    <row r="1479" spans="1:6">
      <c r="A1479" t="s">
        <v>328</v>
      </c>
      <c r="B1479" s="12" t="s">
        <v>334</v>
      </c>
      <c r="C1479" s="12" t="s">
        <v>22</v>
      </c>
      <c r="D1479" s="12">
        <v>9.4938554467819208E-2</v>
      </c>
      <c r="E1479" s="12">
        <v>48010</v>
      </c>
      <c r="F1479" s="12">
        <v>4558</v>
      </c>
    </row>
    <row r="1480" spans="1:6">
      <c r="A1480" t="s">
        <v>328</v>
      </c>
      <c r="B1480" s="12" t="s">
        <v>334</v>
      </c>
      <c r="C1480" s="12" t="s">
        <v>478</v>
      </c>
      <c r="D1480" s="12">
        <v>3.4451156009164756E-2</v>
      </c>
      <c r="E1480" s="12">
        <v>48010</v>
      </c>
      <c r="F1480" s="12">
        <v>1654</v>
      </c>
    </row>
    <row r="1481" spans="1:6">
      <c r="A1481" t="s">
        <v>328</v>
      </c>
      <c r="B1481" s="12" t="s">
        <v>334</v>
      </c>
      <c r="C1481" s="12" t="s">
        <v>20</v>
      </c>
      <c r="D1481" s="12">
        <v>3.5159341803790878E-2</v>
      </c>
      <c r="E1481" s="12">
        <v>48010</v>
      </c>
      <c r="F1481" s="12">
        <v>1688</v>
      </c>
    </row>
    <row r="1482" spans="1:6">
      <c r="A1482" t="s">
        <v>328</v>
      </c>
      <c r="B1482" s="12" t="s">
        <v>335</v>
      </c>
      <c r="C1482" s="12" t="s">
        <v>480</v>
      </c>
      <c r="D1482" s="12">
        <v>0.39437891189215213</v>
      </c>
      <c r="E1482" s="12">
        <v>49848</v>
      </c>
      <c r="F1482" s="12">
        <v>19659</v>
      </c>
    </row>
    <row r="1483" spans="1:6">
      <c r="A1483" t="s">
        <v>328</v>
      </c>
      <c r="B1483" s="12" t="s">
        <v>335</v>
      </c>
      <c r="C1483" s="12" t="s">
        <v>479</v>
      </c>
      <c r="D1483" s="12">
        <v>0.41957550954902906</v>
      </c>
      <c r="E1483" s="12">
        <v>49848</v>
      </c>
      <c r="F1483" s="12">
        <v>20915</v>
      </c>
    </row>
    <row r="1484" spans="1:6">
      <c r="A1484" t="s">
        <v>328</v>
      </c>
      <c r="B1484" s="12" t="s">
        <v>335</v>
      </c>
      <c r="C1484" s="12" t="s">
        <v>22</v>
      </c>
      <c r="D1484" s="12">
        <v>0.11031535869041888</v>
      </c>
      <c r="E1484" s="12">
        <v>49848</v>
      </c>
      <c r="F1484" s="12">
        <v>5499</v>
      </c>
    </row>
    <row r="1485" spans="1:6">
      <c r="A1485" t="s">
        <v>328</v>
      </c>
      <c r="B1485" s="12" t="s">
        <v>335</v>
      </c>
      <c r="C1485" s="12" t="s">
        <v>478</v>
      </c>
      <c r="D1485" s="12">
        <v>3.7774835499919758E-2</v>
      </c>
      <c r="E1485" s="12">
        <v>49848</v>
      </c>
      <c r="F1485" s="12">
        <v>1883</v>
      </c>
    </row>
    <row r="1486" spans="1:6">
      <c r="A1486" t="s">
        <v>328</v>
      </c>
      <c r="B1486" s="12" t="s">
        <v>335</v>
      </c>
      <c r="C1486" s="12" t="s">
        <v>20</v>
      </c>
      <c r="D1486" s="12">
        <v>3.7995506339271387E-2</v>
      </c>
      <c r="E1486" s="12">
        <v>49848</v>
      </c>
      <c r="F1486" s="12">
        <v>1894</v>
      </c>
    </row>
    <row r="1487" spans="1:6">
      <c r="A1487" t="s">
        <v>328</v>
      </c>
      <c r="B1487" s="12" t="s">
        <v>336</v>
      </c>
      <c r="C1487" s="12" t="s">
        <v>480</v>
      </c>
      <c r="D1487" s="12">
        <v>0.42916354556803993</v>
      </c>
      <c r="E1487" s="12">
        <v>20025</v>
      </c>
      <c r="F1487" s="12">
        <v>8594</v>
      </c>
    </row>
    <row r="1488" spans="1:6">
      <c r="A1488" t="s">
        <v>328</v>
      </c>
      <c r="B1488" s="12" t="s">
        <v>336</v>
      </c>
      <c r="C1488" s="12" t="s">
        <v>479</v>
      </c>
      <c r="D1488" s="12">
        <v>0.40409488139825217</v>
      </c>
      <c r="E1488" s="12">
        <v>20025</v>
      </c>
      <c r="F1488" s="12">
        <v>8092</v>
      </c>
    </row>
    <row r="1489" spans="1:6">
      <c r="A1489" t="s">
        <v>328</v>
      </c>
      <c r="B1489" s="12" t="s">
        <v>336</v>
      </c>
      <c r="C1489" s="12" t="s">
        <v>22</v>
      </c>
      <c r="D1489" s="12">
        <v>9.7228464419475649E-2</v>
      </c>
      <c r="E1489" s="12">
        <v>20025</v>
      </c>
      <c r="F1489" s="12">
        <v>1947</v>
      </c>
    </row>
    <row r="1490" spans="1:6">
      <c r="A1490" t="s">
        <v>328</v>
      </c>
      <c r="B1490" s="12" t="s">
        <v>336</v>
      </c>
      <c r="C1490" s="12" t="s">
        <v>478</v>
      </c>
      <c r="D1490" s="12">
        <v>3.6853932584269666E-2</v>
      </c>
      <c r="E1490" s="12">
        <v>20025</v>
      </c>
      <c r="F1490" s="12">
        <v>738</v>
      </c>
    </row>
    <row r="1491" spans="1:6">
      <c r="A1491" t="s">
        <v>328</v>
      </c>
      <c r="B1491" s="12" t="s">
        <v>336</v>
      </c>
      <c r="C1491" s="12" t="s">
        <v>20</v>
      </c>
      <c r="D1491" s="12">
        <v>3.270911360799001E-2</v>
      </c>
      <c r="E1491" s="12">
        <v>20025</v>
      </c>
      <c r="F1491" s="12">
        <v>655</v>
      </c>
    </row>
    <row r="1492" spans="1:6">
      <c r="A1492" t="s">
        <v>328</v>
      </c>
      <c r="B1492" s="12" t="s">
        <v>337</v>
      </c>
      <c r="C1492" s="12" t="s">
        <v>480</v>
      </c>
      <c r="D1492" s="12">
        <v>0.38711703538279013</v>
      </c>
      <c r="E1492" s="12">
        <v>14329</v>
      </c>
      <c r="F1492" s="12">
        <v>5547</v>
      </c>
    </row>
    <row r="1493" spans="1:6">
      <c r="A1493" t="s">
        <v>328</v>
      </c>
      <c r="B1493" s="12" t="s">
        <v>337</v>
      </c>
      <c r="C1493" s="12" t="s">
        <v>479</v>
      </c>
      <c r="D1493" s="12">
        <v>0.40058622374206154</v>
      </c>
      <c r="E1493" s="12">
        <v>14329</v>
      </c>
      <c r="F1493" s="12">
        <v>5740</v>
      </c>
    </row>
    <row r="1494" spans="1:6">
      <c r="A1494" t="s">
        <v>328</v>
      </c>
      <c r="B1494" s="12" t="s">
        <v>337</v>
      </c>
      <c r="C1494" s="12" t="s">
        <v>22</v>
      </c>
      <c r="D1494" s="12">
        <v>0.11584897759787843</v>
      </c>
      <c r="E1494" s="12">
        <v>14329</v>
      </c>
      <c r="F1494" s="12">
        <v>1660</v>
      </c>
    </row>
    <row r="1495" spans="1:6">
      <c r="A1495" t="s">
        <v>328</v>
      </c>
      <c r="B1495" s="12" t="s">
        <v>337</v>
      </c>
      <c r="C1495" s="12" t="s">
        <v>478</v>
      </c>
      <c r="D1495" s="12">
        <v>4.5502128550492009E-2</v>
      </c>
      <c r="E1495" s="12">
        <v>14329</v>
      </c>
      <c r="F1495" s="12">
        <v>652</v>
      </c>
    </row>
    <row r="1496" spans="1:6">
      <c r="A1496" t="s">
        <v>328</v>
      </c>
      <c r="B1496" s="12" t="s">
        <v>337</v>
      </c>
      <c r="C1496" s="12" t="s">
        <v>20</v>
      </c>
      <c r="D1496" s="12">
        <v>5.0875846186056249E-2</v>
      </c>
      <c r="E1496" s="12">
        <v>14329</v>
      </c>
      <c r="F1496" s="12">
        <v>729</v>
      </c>
    </row>
    <row r="1497" spans="1:6">
      <c r="A1497" t="s">
        <v>328</v>
      </c>
      <c r="B1497" s="12" t="s">
        <v>339</v>
      </c>
      <c r="C1497" s="12" t="s">
        <v>480</v>
      </c>
      <c r="D1497" s="12">
        <v>0.39130157921548653</v>
      </c>
      <c r="E1497" s="12">
        <v>15704</v>
      </c>
      <c r="F1497" s="12">
        <v>6145</v>
      </c>
    </row>
    <row r="1498" spans="1:6">
      <c r="A1498" t="s">
        <v>328</v>
      </c>
      <c r="B1498" s="12" t="s">
        <v>339</v>
      </c>
      <c r="C1498" s="12" t="s">
        <v>479</v>
      </c>
      <c r="D1498" s="12">
        <v>0.41142384105960267</v>
      </c>
      <c r="E1498" s="12">
        <v>15704</v>
      </c>
      <c r="F1498" s="12">
        <v>6461</v>
      </c>
    </row>
    <row r="1499" spans="1:6">
      <c r="A1499" t="s">
        <v>328</v>
      </c>
      <c r="B1499" s="12" t="s">
        <v>339</v>
      </c>
      <c r="C1499" s="12" t="s">
        <v>22</v>
      </c>
      <c r="D1499" s="12">
        <v>0.10895313295975548</v>
      </c>
      <c r="E1499" s="12">
        <v>15704</v>
      </c>
      <c r="F1499" s="12">
        <v>1711</v>
      </c>
    </row>
    <row r="1500" spans="1:6">
      <c r="A1500" t="s">
        <v>328</v>
      </c>
      <c r="B1500" s="12" t="s">
        <v>339</v>
      </c>
      <c r="C1500" s="12" t="s">
        <v>478</v>
      </c>
      <c r="D1500" s="12">
        <v>4.584819154355578E-2</v>
      </c>
      <c r="E1500" s="12">
        <v>15704</v>
      </c>
      <c r="F1500" s="12">
        <v>720</v>
      </c>
    </row>
    <row r="1501" spans="1:6">
      <c r="A1501" t="s">
        <v>328</v>
      </c>
      <c r="B1501" s="12" t="s">
        <v>339</v>
      </c>
      <c r="C1501" s="12" t="s">
        <v>20</v>
      </c>
      <c r="D1501" s="12">
        <v>4.2536933265410089E-2</v>
      </c>
      <c r="E1501" s="12">
        <v>15704</v>
      </c>
      <c r="F1501" s="12">
        <v>668</v>
      </c>
    </row>
    <row r="1502" spans="1:6">
      <c r="A1502" t="s">
        <v>1015</v>
      </c>
      <c r="B1502" s="12" t="s">
        <v>340</v>
      </c>
      <c r="C1502" s="12" t="s">
        <v>480</v>
      </c>
      <c r="D1502" s="12">
        <v>0.49183591805662641</v>
      </c>
      <c r="E1502" s="12">
        <v>307383</v>
      </c>
      <c r="F1502" s="12">
        <v>151182</v>
      </c>
    </row>
    <row r="1503" spans="1:6">
      <c r="A1503" t="s">
        <v>1015</v>
      </c>
      <c r="B1503" s="12" t="s">
        <v>340</v>
      </c>
      <c r="C1503" s="12" t="s">
        <v>479</v>
      </c>
      <c r="D1503" s="12">
        <v>0.38598100740769659</v>
      </c>
      <c r="E1503" s="12">
        <v>307383</v>
      </c>
      <c r="F1503" s="12">
        <v>118644</v>
      </c>
    </row>
    <row r="1504" spans="1:6">
      <c r="A1504" t="s">
        <v>1015</v>
      </c>
      <c r="B1504" s="12" t="s">
        <v>340</v>
      </c>
      <c r="C1504" s="12" t="s">
        <v>22</v>
      </c>
      <c r="D1504" s="12">
        <v>7.743759414151076E-2</v>
      </c>
      <c r="E1504" s="12">
        <v>307383</v>
      </c>
      <c r="F1504" s="12">
        <v>23803</v>
      </c>
    </row>
    <row r="1505" spans="1:6">
      <c r="A1505" t="s">
        <v>1015</v>
      </c>
      <c r="B1505" s="12" t="s">
        <v>340</v>
      </c>
      <c r="C1505" s="12" t="s">
        <v>478</v>
      </c>
      <c r="D1505" s="12">
        <v>2.3787912799341539E-2</v>
      </c>
      <c r="E1505" s="12">
        <v>307383</v>
      </c>
      <c r="F1505" s="12">
        <v>7312</v>
      </c>
    </row>
    <row r="1506" spans="1:6">
      <c r="A1506" t="s">
        <v>1015</v>
      </c>
      <c r="B1506" s="12" t="s">
        <v>340</v>
      </c>
      <c r="C1506" s="12" t="s">
        <v>20</v>
      </c>
      <c r="D1506" s="12">
        <v>2.095106105412466E-2</v>
      </c>
      <c r="E1506" s="12">
        <v>307383</v>
      </c>
      <c r="F1506" s="12">
        <v>6440</v>
      </c>
    </row>
    <row r="1507" spans="1:6">
      <c r="A1507" t="s">
        <v>1015</v>
      </c>
      <c r="B1507" s="12" t="s">
        <v>341</v>
      </c>
      <c r="C1507" s="12" t="s">
        <v>480</v>
      </c>
      <c r="D1507" s="12">
        <v>0.48306785019455251</v>
      </c>
      <c r="E1507" s="12">
        <v>131584</v>
      </c>
      <c r="F1507" s="12">
        <v>63564</v>
      </c>
    </row>
    <row r="1508" spans="1:6">
      <c r="A1508" t="s">
        <v>1015</v>
      </c>
      <c r="B1508" s="12" t="s">
        <v>341</v>
      </c>
      <c r="C1508" s="12" t="s">
        <v>479</v>
      </c>
      <c r="D1508" s="12">
        <v>0.37340406128404668</v>
      </c>
      <c r="E1508" s="12">
        <v>131584</v>
      </c>
      <c r="F1508" s="12">
        <v>49134</v>
      </c>
    </row>
    <row r="1509" spans="1:6">
      <c r="A1509" t="s">
        <v>1015</v>
      </c>
      <c r="B1509" s="12" t="s">
        <v>341</v>
      </c>
      <c r="C1509" s="12" t="s">
        <v>22</v>
      </c>
      <c r="D1509" s="12">
        <v>8.4546753404669259E-2</v>
      </c>
      <c r="E1509" s="12">
        <v>131584</v>
      </c>
      <c r="F1509" s="12">
        <v>11125</v>
      </c>
    </row>
    <row r="1510" spans="1:6">
      <c r="A1510" t="s">
        <v>1015</v>
      </c>
      <c r="B1510" s="12" t="s">
        <v>341</v>
      </c>
      <c r="C1510" s="12" t="s">
        <v>478</v>
      </c>
      <c r="D1510" s="12">
        <v>2.8802893968871594E-2</v>
      </c>
      <c r="E1510" s="12">
        <v>131584</v>
      </c>
      <c r="F1510" s="12">
        <v>3790</v>
      </c>
    </row>
    <row r="1511" spans="1:6">
      <c r="A1511" t="s">
        <v>1015</v>
      </c>
      <c r="B1511" s="12" t="s">
        <v>341</v>
      </c>
      <c r="C1511" s="12" t="s">
        <v>20</v>
      </c>
      <c r="D1511" s="12">
        <v>3.0186040856031129E-2</v>
      </c>
      <c r="E1511" s="12">
        <v>131584</v>
      </c>
      <c r="F1511" s="12">
        <v>3972</v>
      </c>
    </row>
    <row r="1512" spans="1:6">
      <c r="A1512" t="s">
        <v>1015</v>
      </c>
      <c r="B1512" s="12" t="s">
        <v>342</v>
      </c>
      <c r="C1512" s="12" t="s">
        <v>480</v>
      </c>
      <c r="D1512" s="12">
        <v>0.43092139344719582</v>
      </c>
      <c r="E1512" s="12">
        <v>125473</v>
      </c>
      <c r="F1512" s="12">
        <v>54069</v>
      </c>
    </row>
    <row r="1513" spans="1:6">
      <c r="A1513" t="s">
        <v>1015</v>
      </c>
      <c r="B1513" s="12" t="s">
        <v>342</v>
      </c>
      <c r="C1513" s="12" t="s">
        <v>479</v>
      </c>
      <c r="D1513" s="12">
        <v>0.4125349676822902</v>
      </c>
      <c r="E1513" s="12">
        <v>125473</v>
      </c>
      <c r="F1513" s="12">
        <v>51762</v>
      </c>
    </row>
    <row r="1514" spans="1:6">
      <c r="A1514" t="s">
        <v>1015</v>
      </c>
      <c r="B1514" s="12" t="s">
        <v>342</v>
      </c>
      <c r="C1514" s="12" t="s">
        <v>22</v>
      </c>
      <c r="D1514" s="12">
        <v>9.6283662620643487E-2</v>
      </c>
      <c r="E1514" s="12">
        <v>125473</v>
      </c>
      <c r="F1514" s="12">
        <v>12081</v>
      </c>
    </row>
    <row r="1515" spans="1:6">
      <c r="A1515" t="s">
        <v>1015</v>
      </c>
      <c r="B1515" s="12" t="s">
        <v>342</v>
      </c>
      <c r="C1515" s="12" t="s">
        <v>478</v>
      </c>
      <c r="D1515" s="12">
        <v>3.2421317733695693E-2</v>
      </c>
      <c r="E1515" s="12">
        <v>125473</v>
      </c>
      <c r="F1515" s="12">
        <v>4068</v>
      </c>
    </row>
    <row r="1516" spans="1:6">
      <c r="A1516" t="s">
        <v>1015</v>
      </c>
      <c r="B1516" s="12" t="s">
        <v>342</v>
      </c>
      <c r="C1516" s="12" t="s">
        <v>20</v>
      </c>
      <c r="D1516" s="12">
        <v>2.7814748989822512E-2</v>
      </c>
      <c r="E1516" s="12">
        <v>125473</v>
      </c>
      <c r="F1516" s="12">
        <v>3490</v>
      </c>
    </row>
    <row r="1517" spans="1:6">
      <c r="A1517" t="s">
        <v>1015</v>
      </c>
      <c r="B1517" s="12" t="s">
        <v>343</v>
      </c>
      <c r="C1517" s="12" t="s">
        <v>480</v>
      </c>
      <c r="D1517" s="12">
        <v>0.45584387527305026</v>
      </c>
      <c r="E1517" s="12">
        <v>41659</v>
      </c>
      <c r="F1517" s="12">
        <v>18990</v>
      </c>
    </row>
    <row r="1518" spans="1:6">
      <c r="A1518" t="s">
        <v>1015</v>
      </c>
      <c r="B1518" s="12" t="s">
        <v>343</v>
      </c>
      <c r="C1518" s="12" t="s">
        <v>479</v>
      </c>
      <c r="D1518" s="12">
        <v>0.38363858950046809</v>
      </c>
      <c r="E1518" s="12">
        <v>41659</v>
      </c>
      <c r="F1518" s="12">
        <v>15982</v>
      </c>
    </row>
    <row r="1519" spans="1:6">
      <c r="A1519" t="s">
        <v>1015</v>
      </c>
      <c r="B1519" s="12" t="s">
        <v>343</v>
      </c>
      <c r="C1519" s="12" t="s">
        <v>22</v>
      </c>
      <c r="D1519" s="12">
        <v>9.1744881058114694E-2</v>
      </c>
      <c r="E1519" s="12">
        <v>41659</v>
      </c>
      <c r="F1519" s="12">
        <v>3822</v>
      </c>
    </row>
    <row r="1520" spans="1:6">
      <c r="A1520" t="s">
        <v>1015</v>
      </c>
      <c r="B1520" s="12" t="s">
        <v>343</v>
      </c>
      <c r="C1520" s="12" t="s">
        <v>478</v>
      </c>
      <c r="D1520" s="12">
        <v>3.4542355793465998E-2</v>
      </c>
      <c r="E1520" s="12">
        <v>41659</v>
      </c>
      <c r="F1520" s="12">
        <v>1439</v>
      </c>
    </row>
    <row r="1521" spans="1:6">
      <c r="A1521" t="s">
        <v>1015</v>
      </c>
      <c r="B1521" s="12" t="s">
        <v>343</v>
      </c>
      <c r="C1521" s="12" t="s">
        <v>20</v>
      </c>
      <c r="D1521" s="12">
        <v>3.4230298374900985E-2</v>
      </c>
      <c r="E1521" s="12">
        <v>41659</v>
      </c>
      <c r="F1521" s="12">
        <v>1426</v>
      </c>
    </row>
    <row r="1522" spans="1:6">
      <c r="A1522" t="s">
        <v>1015</v>
      </c>
      <c r="B1522" s="12" t="s">
        <v>344</v>
      </c>
      <c r="C1522" s="12" t="s">
        <v>480</v>
      </c>
      <c r="D1522" s="12">
        <v>0.52072599228439009</v>
      </c>
      <c r="E1522" s="12">
        <v>38623</v>
      </c>
      <c r="F1522" s="12">
        <v>20112</v>
      </c>
    </row>
    <row r="1523" spans="1:6">
      <c r="A1523" t="s">
        <v>1015</v>
      </c>
      <c r="B1523" s="12" t="s">
        <v>344</v>
      </c>
      <c r="C1523" s="12" t="s">
        <v>479</v>
      </c>
      <c r="D1523" s="12">
        <v>0.35851694586127436</v>
      </c>
      <c r="E1523" s="12">
        <v>38623</v>
      </c>
      <c r="F1523" s="12">
        <v>13847</v>
      </c>
    </row>
    <row r="1524" spans="1:6">
      <c r="A1524" t="s">
        <v>1015</v>
      </c>
      <c r="B1524" s="12" t="s">
        <v>344</v>
      </c>
      <c r="C1524" s="12" t="s">
        <v>22</v>
      </c>
      <c r="D1524" s="12">
        <v>7.2288532739559333E-2</v>
      </c>
      <c r="E1524" s="12">
        <v>38623</v>
      </c>
      <c r="F1524" s="12">
        <v>2792</v>
      </c>
    </row>
    <row r="1525" spans="1:6">
      <c r="A1525" t="s">
        <v>1015</v>
      </c>
      <c r="B1525" s="12" t="s">
        <v>344</v>
      </c>
      <c r="C1525" s="12" t="s">
        <v>478</v>
      </c>
      <c r="D1525" s="12">
        <v>2.4881547264583279E-2</v>
      </c>
      <c r="E1525" s="12">
        <v>38623</v>
      </c>
      <c r="F1525" s="12">
        <v>961</v>
      </c>
    </row>
    <row r="1526" spans="1:6">
      <c r="A1526" t="s">
        <v>1015</v>
      </c>
      <c r="B1526" s="12" t="s">
        <v>344</v>
      </c>
      <c r="C1526" s="12" t="s">
        <v>20</v>
      </c>
      <c r="D1526" s="12">
        <v>2.3690547083344123E-2</v>
      </c>
      <c r="E1526" s="12">
        <v>38623</v>
      </c>
      <c r="F1526" s="12">
        <v>915</v>
      </c>
    </row>
    <row r="1527" spans="1:6">
      <c r="A1527" t="s">
        <v>1015</v>
      </c>
      <c r="B1527" s="12" t="s">
        <v>345</v>
      </c>
      <c r="C1527" s="12" t="s">
        <v>480</v>
      </c>
      <c r="D1527" s="12">
        <v>0.43824353221094481</v>
      </c>
      <c r="E1527" s="12">
        <v>33203</v>
      </c>
      <c r="F1527" s="12">
        <v>14551</v>
      </c>
    </row>
    <row r="1528" spans="1:6">
      <c r="A1528" t="s">
        <v>1015</v>
      </c>
      <c r="B1528" s="12" t="s">
        <v>345</v>
      </c>
      <c r="C1528" s="12" t="s">
        <v>479</v>
      </c>
      <c r="D1528" s="12">
        <v>0.39562690118362798</v>
      </c>
      <c r="E1528" s="12">
        <v>33203</v>
      </c>
      <c r="F1528" s="12">
        <v>13136</v>
      </c>
    </row>
    <row r="1529" spans="1:6">
      <c r="A1529" t="s">
        <v>1015</v>
      </c>
      <c r="B1529" s="12" t="s">
        <v>345</v>
      </c>
      <c r="C1529" s="12" t="s">
        <v>22</v>
      </c>
      <c r="D1529" s="12">
        <v>9.601542029334699E-2</v>
      </c>
      <c r="E1529" s="12">
        <v>33203</v>
      </c>
      <c r="F1529" s="12">
        <v>3188</v>
      </c>
    </row>
    <row r="1530" spans="1:6">
      <c r="A1530" t="s">
        <v>1015</v>
      </c>
      <c r="B1530" s="12" t="s">
        <v>345</v>
      </c>
      <c r="C1530" s="12" t="s">
        <v>478</v>
      </c>
      <c r="D1530" s="12">
        <v>3.4514953468060112E-2</v>
      </c>
      <c r="E1530" s="12">
        <v>33203</v>
      </c>
      <c r="F1530" s="12">
        <v>1146</v>
      </c>
    </row>
    <row r="1531" spans="1:6">
      <c r="A1531" t="s">
        <v>1015</v>
      </c>
      <c r="B1531" s="12" t="s">
        <v>345</v>
      </c>
      <c r="C1531" s="12" t="s">
        <v>20</v>
      </c>
      <c r="D1531" s="12">
        <v>3.5629310604463449E-2</v>
      </c>
      <c r="E1531" s="12">
        <v>33203</v>
      </c>
      <c r="F1531" s="12">
        <v>1183</v>
      </c>
    </row>
    <row r="1532" spans="1:6">
      <c r="A1532" t="s">
        <v>1015</v>
      </c>
      <c r="B1532" s="12" t="s">
        <v>346</v>
      </c>
      <c r="C1532" s="12" t="s">
        <v>480</v>
      </c>
      <c r="D1532" s="12">
        <v>0.43642595766362502</v>
      </c>
      <c r="E1532" s="12">
        <v>21589</v>
      </c>
      <c r="F1532" s="12">
        <v>9422</v>
      </c>
    </row>
    <row r="1533" spans="1:6">
      <c r="A1533" t="s">
        <v>1015</v>
      </c>
      <c r="B1533" s="12" t="s">
        <v>346</v>
      </c>
      <c r="C1533" s="12" t="s">
        <v>479</v>
      </c>
      <c r="D1533" s="12">
        <v>0.40001852795405068</v>
      </c>
      <c r="E1533" s="12">
        <v>21589</v>
      </c>
      <c r="F1533" s="12">
        <v>8636</v>
      </c>
    </row>
    <row r="1534" spans="1:6">
      <c r="A1534" t="s">
        <v>1015</v>
      </c>
      <c r="B1534" s="12" t="s">
        <v>346</v>
      </c>
      <c r="C1534" s="12" t="s">
        <v>22</v>
      </c>
      <c r="D1534" s="12">
        <v>9.2408170827736349E-2</v>
      </c>
      <c r="E1534" s="12">
        <v>21589</v>
      </c>
      <c r="F1534" s="12">
        <v>1995</v>
      </c>
    </row>
    <row r="1535" spans="1:6">
      <c r="A1535" t="s">
        <v>1015</v>
      </c>
      <c r="B1535" s="12" t="s">
        <v>346</v>
      </c>
      <c r="C1535" s="12" t="s">
        <v>478</v>
      </c>
      <c r="D1535" s="12">
        <v>3.4091435453240074E-2</v>
      </c>
      <c r="E1535" s="12">
        <v>21589</v>
      </c>
      <c r="F1535" s="12">
        <v>736</v>
      </c>
    </row>
    <row r="1536" spans="1:6">
      <c r="A1536" t="s">
        <v>1015</v>
      </c>
      <c r="B1536" s="12" t="s">
        <v>346</v>
      </c>
      <c r="C1536" s="12" t="s">
        <v>20</v>
      </c>
      <c r="D1536" s="12">
        <v>3.6963268331094541E-2</v>
      </c>
      <c r="E1536" s="12">
        <v>21589</v>
      </c>
      <c r="F1536" s="12">
        <v>798</v>
      </c>
    </row>
    <row r="1537" spans="1:6">
      <c r="A1537" t="s">
        <v>1015</v>
      </c>
      <c r="B1537" s="12" t="s">
        <v>348</v>
      </c>
      <c r="C1537" s="12" t="s">
        <v>480</v>
      </c>
      <c r="D1537" s="12">
        <v>0.46683451590753033</v>
      </c>
      <c r="E1537" s="12">
        <v>21845</v>
      </c>
      <c r="F1537" s="12">
        <v>10198</v>
      </c>
    </row>
    <row r="1538" spans="1:6">
      <c r="A1538" t="s">
        <v>1015</v>
      </c>
      <c r="B1538" s="12" t="s">
        <v>348</v>
      </c>
      <c r="C1538" s="12" t="s">
        <v>479</v>
      </c>
      <c r="D1538" s="12">
        <v>0.37308308537422752</v>
      </c>
      <c r="E1538" s="12">
        <v>21845</v>
      </c>
      <c r="F1538" s="12">
        <v>8150</v>
      </c>
    </row>
    <row r="1539" spans="1:6">
      <c r="A1539" t="s">
        <v>1015</v>
      </c>
      <c r="B1539" s="12" t="s">
        <v>348</v>
      </c>
      <c r="C1539" s="12" t="s">
        <v>22</v>
      </c>
      <c r="D1539" s="12">
        <v>9.0409704737926297E-2</v>
      </c>
      <c r="E1539" s="12">
        <v>21845</v>
      </c>
      <c r="F1539" s="12">
        <v>1975</v>
      </c>
    </row>
    <row r="1540" spans="1:6">
      <c r="A1540" t="s">
        <v>1015</v>
      </c>
      <c r="B1540" s="12" t="s">
        <v>348</v>
      </c>
      <c r="C1540" s="12" t="s">
        <v>478</v>
      </c>
      <c r="D1540" s="12">
        <v>3.3279926756694896E-2</v>
      </c>
      <c r="E1540" s="12">
        <v>21845</v>
      </c>
      <c r="F1540" s="12">
        <v>727</v>
      </c>
    </row>
    <row r="1541" spans="1:6">
      <c r="A1541" t="s">
        <v>1015</v>
      </c>
      <c r="B1541" s="12" t="s">
        <v>348</v>
      </c>
      <c r="C1541" s="12" t="s">
        <v>20</v>
      </c>
      <c r="D1541" s="12">
        <v>3.6484321355001147E-2</v>
      </c>
      <c r="E1541" s="12">
        <v>21845</v>
      </c>
      <c r="F1541" s="12">
        <v>797</v>
      </c>
    </row>
    <row r="1542" spans="1:6">
      <c r="A1542" t="s">
        <v>347</v>
      </c>
      <c r="B1542" s="12" t="s">
        <v>347</v>
      </c>
      <c r="C1542" s="12" t="s">
        <v>480</v>
      </c>
      <c r="D1542" s="12">
        <v>0.45435434355455151</v>
      </c>
      <c r="E1542" s="12">
        <v>305867</v>
      </c>
      <c r="F1542" s="12">
        <v>138972</v>
      </c>
    </row>
    <row r="1543" spans="1:6">
      <c r="A1543" t="s">
        <v>347</v>
      </c>
      <c r="B1543" s="12" t="s">
        <v>347</v>
      </c>
      <c r="C1543" s="12" t="s">
        <v>479</v>
      </c>
      <c r="D1543" s="12">
        <v>0.41158411989524857</v>
      </c>
      <c r="E1543" s="12">
        <v>305867</v>
      </c>
      <c r="F1543" s="12">
        <v>125890</v>
      </c>
    </row>
    <row r="1544" spans="1:6">
      <c r="A1544" t="s">
        <v>347</v>
      </c>
      <c r="B1544" s="12" t="s">
        <v>347</v>
      </c>
      <c r="C1544" s="12" t="s">
        <v>22</v>
      </c>
      <c r="D1544" s="12">
        <v>8.738111662912311E-2</v>
      </c>
      <c r="E1544" s="12">
        <v>305867</v>
      </c>
      <c r="F1544" s="12">
        <v>26727</v>
      </c>
    </row>
    <row r="1545" spans="1:6">
      <c r="A1545" t="s">
        <v>347</v>
      </c>
      <c r="B1545" s="12" t="s">
        <v>347</v>
      </c>
      <c r="C1545" s="12" t="s">
        <v>478</v>
      </c>
      <c r="D1545" s="12">
        <v>2.6714225464008867E-2</v>
      </c>
      <c r="E1545" s="12">
        <v>305867</v>
      </c>
      <c r="F1545" s="12">
        <v>8171</v>
      </c>
    </row>
    <row r="1546" spans="1:6">
      <c r="A1546" t="s">
        <v>347</v>
      </c>
      <c r="B1546" s="12" t="s">
        <v>347</v>
      </c>
      <c r="C1546" s="12" t="s">
        <v>20</v>
      </c>
      <c r="D1546" s="12">
        <v>1.9976002641671053E-2</v>
      </c>
      <c r="E1546" s="12">
        <v>305867</v>
      </c>
      <c r="F1546" s="12">
        <v>6110</v>
      </c>
    </row>
    <row r="1547" spans="1:6">
      <c r="A1547" t="s">
        <v>347</v>
      </c>
      <c r="B1547" s="12" t="s">
        <v>349</v>
      </c>
      <c r="C1547" s="12" t="s">
        <v>480</v>
      </c>
      <c r="D1547" s="12">
        <v>0.46363962027583738</v>
      </c>
      <c r="E1547" s="12">
        <v>78162</v>
      </c>
      <c r="F1547" s="12">
        <v>36239</v>
      </c>
    </row>
    <row r="1548" spans="1:6">
      <c r="A1548" t="s">
        <v>347</v>
      </c>
      <c r="B1548" s="12" t="s">
        <v>349</v>
      </c>
      <c r="C1548" s="12" t="s">
        <v>479</v>
      </c>
      <c r="D1548" s="12">
        <v>0.38211662956423836</v>
      </c>
      <c r="E1548" s="12">
        <v>78162</v>
      </c>
      <c r="F1548" s="12">
        <v>29867</v>
      </c>
    </row>
    <row r="1549" spans="1:6">
      <c r="A1549" t="s">
        <v>347</v>
      </c>
      <c r="B1549" s="12" t="s">
        <v>349</v>
      </c>
      <c r="C1549" s="12" t="s">
        <v>22</v>
      </c>
      <c r="D1549" s="12">
        <v>9.3587676876231415E-2</v>
      </c>
      <c r="E1549" s="12">
        <v>78162</v>
      </c>
      <c r="F1549" s="12">
        <v>7315</v>
      </c>
    </row>
    <row r="1550" spans="1:6">
      <c r="A1550" t="s">
        <v>347</v>
      </c>
      <c r="B1550" s="12" t="s">
        <v>349</v>
      </c>
      <c r="C1550" s="12" t="s">
        <v>478</v>
      </c>
      <c r="D1550" s="12">
        <v>3.2291906553056471E-2</v>
      </c>
      <c r="E1550" s="12">
        <v>78162</v>
      </c>
      <c r="F1550" s="12">
        <v>2524</v>
      </c>
    </row>
    <row r="1551" spans="1:6">
      <c r="A1551" t="s">
        <v>347</v>
      </c>
      <c r="B1551" s="12" t="s">
        <v>349</v>
      </c>
      <c r="C1551" s="12" t="s">
        <v>20</v>
      </c>
      <c r="D1551" s="12">
        <v>2.8389754612215656E-2</v>
      </c>
      <c r="E1551" s="12">
        <v>78162</v>
      </c>
      <c r="F1551" s="12">
        <v>2219</v>
      </c>
    </row>
    <row r="1552" spans="1:6">
      <c r="A1552" t="s">
        <v>347</v>
      </c>
      <c r="B1552" s="12" t="s">
        <v>350</v>
      </c>
      <c r="C1552" s="12" t="s">
        <v>480</v>
      </c>
      <c r="D1552" s="12">
        <v>0.44892218965680247</v>
      </c>
      <c r="E1552" s="12">
        <v>253848</v>
      </c>
      <c r="F1552" s="12">
        <v>113958</v>
      </c>
    </row>
    <row r="1553" spans="1:6">
      <c r="A1553" t="s">
        <v>347</v>
      </c>
      <c r="B1553" s="12" t="s">
        <v>350</v>
      </c>
      <c r="C1553" s="12" t="s">
        <v>479</v>
      </c>
      <c r="D1553" s="12">
        <v>0.38750354542876053</v>
      </c>
      <c r="E1553" s="12">
        <v>253848</v>
      </c>
      <c r="F1553" s="12">
        <v>98367</v>
      </c>
    </row>
    <row r="1554" spans="1:6">
      <c r="A1554" t="s">
        <v>347</v>
      </c>
      <c r="B1554" s="12" t="s">
        <v>350</v>
      </c>
      <c r="C1554" s="12" t="s">
        <v>22</v>
      </c>
      <c r="D1554" s="12">
        <v>9.6597176262960507E-2</v>
      </c>
      <c r="E1554" s="12">
        <v>253848</v>
      </c>
      <c r="F1554" s="12">
        <v>24521</v>
      </c>
    </row>
    <row r="1555" spans="1:6">
      <c r="A1555" t="s">
        <v>347</v>
      </c>
      <c r="B1555" s="12" t="s">
        <v>350</v>
      </c>
      <c r="C1555" s="12" t="s">
        <v>478</v>
      </c>
      <c r="D1555" s="12">
        <v>3.4776716775393152E-2</v>
      </c>
      <c r="E1555" s="12">
        <v>253848</v>
      </c>
      <c r="F1555" s="12">
        <v>8828</v>
      </c>
    </row>
    <row r="1556" spans="1:6">
      <c r="A1556" t="s">
        <v>347</v>
      </c>
      <c r="B1556" s="12" t="s">
        <v>350</v>
      </c>
      <c r="C1556" s="12" t="s">
        <v>20</v>
      </c>
      <c r="D1556" s="12">
        <v>3.2172796319057076E-2</v>
      </c>
      <c r="E1556" s="12">
        <v>253848</v>
      </c>
      <c r="F1556" s="12">
        <v>8167</v>
      </c>
    </row>
    <row r="1557" spans="1:6">
      <c r="A1557" t="s">
        <v>347</v>
      </c>
      <c r="B1557" s="12" t="s">
        <v>351</v>
      </c>
      <c r="C1557" s="12" t="s">
        <v>480</v>
      </c>
      <c r="D1557" s="12">
        <v>0.46428735052916115</v>
      </c>
      <c r="E1557" s="12">
        <v>87308</v>
      </c>
      <c r="F1557" s="12">
        <v>40536</v>
      </c>
    </row>
    <row r="1558" spans="1:6">
      <c r="A1558" t="s">
        <v>347</v>
      </c>
      <c r="B1558" s="12" t="s">
        <v>351</v>
      </c>
      <c r="C1558" s="12" t="s">
        <v>479</v>
      </c>
      <c r="D1558" s="12">
        <v>0.3762427268978788</v>
      </c>
      <c r="E1558" s="12">
        <v>87308</v>
      </c>
      <c r="F1558" s="12">
        <v>32849</v>
      </c>
    </row>
    <row r="1559" spans="1:6">
      <c r="A1559" t="s">
        <v>347</v>
      </c>
      <c r="B1559" s="12" t="s">
        <v>351</v>
      </c>
      <c r="C1559" s="12" t="s">
        <v>22</v>
      </c>
      <c r="D1559" s="12">
        <v>9.2889540477390384E-2</v>
      </c>
      <c r="E1559" s="12">
        <v>87308</v>
      </c>
      <c r="F1559" s="12">
        <v>8110</v>
      </c>
    </row>
    <row r="1560" spans="1:6">
      <c r="A1560" t="s">
        <v>347</v>
      </c>
      <c r="B1560" s="12" t="s">
        <v>351</v>
      </c>
      <c r="C1560" s="12" t="s">
        <v>478</v>
      </c>
      <c r="D1560" s="12">
        <v>3.3719704952581663E-2</v>
      </c>
      <c r="E1560" s="12">
        <v>87308</v>
      </c>
      <c r="F1560" s="12">
        <v>2944</v>
      </c>
    </row>
    <row r="1561" spans="1:6">
      <c r="A1561" t="s">
        <v>347</v>
      </c>
      <c r="B1561" s="12" t="s">
        <v>351</v>
      </c>
      <c r="C1561" s="12" t="s">
        <v>20</v>
      </c>
      <c r="D1561" s="12">
        <v>3.288358455124387E-2</v>
      </c>
      <c r="E1561" s="12">
        <v>87308</v>
      </c>
      <c r="F1561" s="12">
        <v>2871</v>
      </c>
    </row>
    <row r="1562" spans="1:6">
      <c r="A1562" t="s">
        <v>347</v>
      </c>
      <c r="B1562" s="12" t="s">
        <v>352</v>
      </c>
      <c r="C1562" s="12" t="s">
        <v>480</v>
      </c>
      <c r="D1562" s="12">
        <v>0.48160627217209595</v>
      </c>
      <c r="E1562" s="12">
        <v>61733</v>
      </c>
      <c r="F1562" s="12">
        <v>29731</v>
      </c>
    </row>
    <row r="1563" spans="1:6">
      <c r="A1563" t="s">
        <v>347</v>
      </c>
      <c r="B1563" s="12" t="s">
        <v>352</v>
      </c>
      <c r="C1563" s="12" t="s">
        <v>479</v>
      </c>
      <c r="D1563" s="12">
        <v>0.38719971490126837</v>
      </c>
      <c r="E1563" s="12">
        <v>61733</v>
      </c>
      <c r="F1563" s="12">
        <v>23903</v>
      </c>
    </row>
    <row r="1564" spans="1:6">
      <c r="A1564" t="s">
        <v>347</v>
      </c>
      <c r="B1564" s="12" t="s">
        <v>352</v>
      </c>
      <c r="C1564" s="12" t="s">
        <v>22</v>
      </c>
      <c r="D1564" s="12">
        <v>8.2921614047592046E-2</v>
      </c>
      <c r="E1564" s="12">
        <v>61733</v>
      </c>
      <c r="F1564" s="12">
        <v>5119</v>
      </c>
    </row>
    <row r="1565" spans="1:6">
      <c r="A1565" t="s">
        <v>347</v>
      </c>
      <c r="B1565" s="12" t="s">
        <v>352</v>
      </c>
      <c r="C1565" s="12" t="s">
        <v>478</v>
      </c>
      <c r="D1565" s="12">
        <v>2.5918066512238186E-2</v>
      </c>
      <c r="E1565" s="12">
        <v>61733</v>
      </c>
      <c r="F1565" s="12">
        <v>1600</v>
      </c>
    </row>
    <row r="1566" spans="1:6">
      <c r="A1566" t="s">
        <v>347</v>
      </c>
      <c r="B1566" s="12" t="s">
        <v>352</v>
      </c>
      <c r="C1566" s="12" t="s">
        <v>20</v>
      </c>
      <c r="D1566" s="12">
        <v>2.2370531158375586E-2</v>
      </c>
      <c r="E1566" s="12">
        <v>61733</v>
      </c>
      <c r="F1566" s="12">
        <v>1381</v>
      </c>
    </row>
    <row r="1567" spans="1:6">
      <c r="A1567" t="s">
        <v>347</v>
      </c>
      <c r="B1567" s="12" t="s">
        <v>353</v>
      </c>
      <c r="C1567" s="12" t="s">
        <v>480</v>
      </c>
      <c r="D1567" s="12">
        <v>0.42316020977837931</v>
      </c>
      <c r="E1567" s="12">
        <v>118220</v>
      </c>
      <c r="F1567" s="12">
        <v>50026</v>
      </c>
    </row>
    <row r="1568" spans="1:6">
      <c r="A1568" t="s">
        <v>347</v>
      </c>
      <c r="B1568" s="12" t="s">
        <v>353</v>
      </c>
      <c r="C1568" s="12" t="s">
        <v>479</v>
      </c>
      <c r="D1568" s="12">
        <v>0.48064625274911182</v>
      </c>
      <c r="E1568" s="12">
        <v>118220</v>
      </c>
      <c r="F1568" s="12">
        <v>56822</v>
      </c>
    </row>
    <row r="1569" spans="1:6">
      <c r="A1569" t="s">
        <v>347</v>
      </c>
      <c r="B1569" s="12" t="s">
        <v>353</v>
      </c>
      <c r="C1569" s="12" t="s">
        <v>22</v>
      </c>
      <c r="D1569" s="12">
        <v>6.7196751818643208E-2</v>
      </c>
      <c r="E1569" s="12">
        <v>118220</v>
      </c>
      <c r="F1569" s="12">
        <v>7944</v>
      </c>
    </row>
    <row r="1570" spans="1:6">
      <c r="A1570" t="s">
        <v>347</v>
      </c>
      <c r="B1570" s="12" t="s">
        <v>353</v>
      </c>
      <c r="C1570" s="12" t="s">
        <v>478</v>
      </c>
      <c r="D1570" s="12">
        <v>1.7061410928776857E-2</v>
      </c>
      <c r="E1570" s="12">
        <v>118220</v>
      </c>
      <c r="F1570" s="12">
        <v>2017</v>
      </c>
    </row>
    <row r="1571" spans="1:6">
      <c r="A1571" t="s">
        <v>347</v>
      </c>
      <c r="B1571" s="12" t="s">
        <v>353</v>
      </c>
      <c r="C1571" s="12" t="s">
        <v>20</v>
      </c>
      <c r="D1571" s="12">
        <v>1.1994586364405346E-2</v>
      </c>
      <c r="E1571" s="12">
        <v>118220</v>
      </c>
      <c r="F1571" s="12">
        <v>1418</v>
      </c>
    </row>
    <row r="1572" spans="1:6">
      <c r="A1572" t="s">
        <v>347</v>
      </c>
      <c r="B1572" s="12" t="s">
        <v>354</v>
      </c>
      <c r="C1572" s="12" t="s">
        <v>480</v>
      </c>
      <c r="D1572" s="12">
        <v>0.45618091802272032</v>
      </c>
      <c r="E1572" s="12">
        <v>104224</v>
      </c>
      <c r="F1572" s="12">
        <v>47545</v>
      </c>
    </row>
    <row r="1573" spans="1:6">
      <c r="A1573" t="s">
        <v>347</v>
      </c>
      <c r="B1573" s="12" t="s">
        <v>354</v>
      </c>
      <c r="C1573" s="12" t="s">
        <v>479</v>
      </c>
      <c r="D1573" s="12">
        <v>0.39518728891618055</v>
      </c>
      <c r="E1573" s="12">
        <v>104224</v>
      </c>
      <c r="F1573" s="12">
        <v>41188</v>
      </c>
    </row>
    <row r="1574" spans="1:6">
      <c r="A1574" t="s">
        <v>347</v>
      </c>
      <c r="B1574" s="12" t="s">
        <v>354</v>
      </c>
      <c r="C1574" s="12" t="s">
        <v>22</v>
      </c>
      <c r="D1574" s="12">
        <v>8.9182913724286147E-2</v>
      </c>
      <c r="E1574" s="12">
        <v>104224</v>
      </c>
      <c r="F1574" s="12">
        <v>9295</v>
      </c>
    </row>
    <row r="1575" spans="1:6">
      <c r="A1575" t="s">
        <v>347</v>
      </c>
      <c r="B1575" s="12" t="s">
        <v>354</v>
      </c>
      <c r="C1575" s="12" t="s">
        <v>478</v>
      </c>
      <c r="D1575" s="12">
        <v>3.1461083819465767E-2</v>
      </c>
      <c r="E1575" s="12">
        <v>104224</v>
      </c>
      <c r="F1575" s="12">
        <v>3279</v>
      </c>
    </row>
    <row r="1576" spans="1:6">
      <c r="A1576" t="s">
        <v>347</v>
      </c>
      <c r="B1576" s="12" t="s">
        <v>354</v>
      </c>
      <c r="C1576" s="12" t="s">
        <v>20</v>
      </c>
      <c r="D1576" s="12">
        <v>2.8035769112680381E-2</v>
      </c>
      <c r="E1576" s="12">
        <v>104224</v>
      </c>
      <c r="F1576" s="12">
        <v>2922</v>
      </c>
    </row>
    <row r="1577" spans="1:6">
      <c r="A1577" t="s">
        <v>347</v>
      </c>
      <c r="B1577" s="12" t="s">
        <v>355</v>
      </c>
      <c r="C1577" s="12" t="s">
        <v>480</v>
      </c>
      <c r="D1577" s="12">
        <v>0.45048203330411918</v>
      </c>
      <c r="E1577" s="12">
        <v>35371</v>
      </c>
      <c r="F1577" s="12">
        <v>15934</v>
      </c>
    </row>
    <row r="1578" spans="1:6">
      <c r="A1578" t="s">
        <v>347</v>
      </c>
      <c r="B1578" s="12" t="s">
        <v>355</v>
      </c>
      <c r="C1578" s="12" t="s">
        <v>479</v>
      </c>
      <c r="D1578" s="12">
        <v>0.39761386446523989</v>
      </c>
      <c r="E1578" s="12">
        <v>35371</v>
      </c>
      <c r="F1578" s="12">
        <v>14064</v>
      </c>
    </row>
    <row r="1579" spans="1:6">
      <c r="A1579" t="s">
        <v>347</v>
      </c>
      <c r="B1579" s="12" t="s">
        <v>355</v>
      </c>
      <c r="C1579" s="12" t="s">
        <v>22</v>
      </c>
      <c r="D1579" s="12">
        <v>8.9169093325040291E-2</v>
      </c>
      <c r="E1579" s="12">
        <v>35371</v>
      </c>
      <c r="F1579" s="12">
        <v>3154</v>
      </c>
    </row>
    <row r="1580" spans="1:6">
      <c r="A1580" t="s">
        <v>347</v>
      </c>
      <c r="B1580" s="12" t="s">
        <v>355</v>
      </c>
      <c r="C1580" s="12" t="s">
        <v>478</v>
      </c>
      <c r="D1580" s="12">
        <v>3.3473749681942833E-2</v>
      </c>
      <c r="E1580" s="12">
        <v>35371</v>
      </c>
      <c r="F1580" s="12">
        <v>1184</v>
      </c>
    </row>
    <row r="1581" spans="1:6">
      <c r="A1581" t="s">
        <v>347</v>
      </c>
      <c r="B1581" s="12" t="s">
        <v>355</v>
      </c>
      <c r="C1581" s="12" t="s">
        <v>20</v>
      </c>
      <c r="D1581" s="12">
        <v>2.9430889711910886E-2</v>
      </c>
      <c r="E1581" s="12">
        <v>35371</v>
      </c>
      <c r="F1581" s="12">
        <v>1041</v>
      </c>
    </row>
    <row r="1582" spans="1:6">
      <c r="A1582" t="s">
        <v>347</v>
      </c>
      <c r="B1582" s="12" t="s">
        <v>356</v>
      </c>
      <c r="C1582" s="12" t="s">
        <v>480</v>
      </c>
      <c r="D1582" s="12">
        <v>0.49209818196719074</v>
      </c>
      <c r="E1582" s="12">
        <v>73211</v>
      </c>
      <c r="F1582" s="12">
        <v>36027</v>
      </c>
    </row>
    <row r="1583" spans="1:6">
      <c r="A1583" t="s">
        <v>347</v>
      </c>
      <c r="B1583" s="12" t="s">
        <v>356</v>
      </c>
      <c r="C1583" s="12" t="s">
        <v>479</v>
      </c>
      <c r="D1583" s="12">
        <v>0.40735681796451351</v>
      </c>
      <c r="E1583" s="12">
        <v>73211</v>
      </c>
      <c r="F1583" s="12">
        <v>29823</v>
      </c>
    </row>
    <row r="1584" spans="1:6">
      <c r="A1584" t="s">
        <v>347</v>
      </c>
      <c r="B1584" s="12" t="s">
        <v>356</v>
      </c>
      <c r="C1584" s="12" t="s">
        <v>22</v>
      </c>
      <c r="D1584" s="12">
        <v>6.5195120951769547E-2</v>
      </c>
      <c r="E1584" s="12">
        <v>73211</v>
      </c>
      <c r="F1584" s="12">
        <v>4773</v>
      </c>
    </row>
    <row r="1585" spans="1:6">
      <c r="A1585" t="s">
        <v>347</v>
      </c>
      <c r="B1585" s="12" t="s">
        <v>356</v>
      </c>
      <c r="C1585" s="12" t="s">
        <v>478</v>
      </c>
      <c r="D1585" s="12">
        <v>1.9300378358443403E-2</v>
      </c>
      <c r="E1585" s="12">
        <v>73211</v>
      </c>
      <c r="F1585" s="12">
        <v>1413</v>
      </c>
    </row>
    <row r="1586" spans="1:6">
      <c r="A1586" t="s">
        <v>347</v>
      </c>
      <c r="B1586" s="12" t="s">
        <v>356</v>
      </c>
      <c r="C1586" s="12" t="s">
        <v>20</v>
      </c>
      <c r="D1586" s="12">
        <v>1.6035841608501456E-2</v>
      </c>
      <c r="E1586" s="12">
        <v>73211</v>
      </c>
      <c r="F1586" s="12">
        <v>1174</v>
      </c>
    </row>
    <row r="1587" spans="1:6">
      <c r="A1587" t="s">
        <v>347</v>
      </c>
      <c r="B1587" s="12" t="s">
        <v>358</v>
      </c>
      <c r="C1587" s="12" t="s">
        <v>480</v>
      </c>
      <c r="D1587" s="12">
        <v>0.40101656296555954</v>
      </c>
      <c r="E1587" s="12">
        <v>79877</v>
      </c>
      <c r="F1587" s="12">
        <v>32032</v>
      </c>
    </row>
    <row r="1588" spans="1:6">
      <c r="A1588" t="s">
        <v>347</v>
      </c>
      <c r="B1588" s="12" t="s">
        <v>358</v>
      </c>
      <c r="C1588" s="12" t="s">
        <v>479</v>
      </c>
      <c r="D1588" s="12">
        <v>0.49981847089900722</v>
      </c>
      <c r="E1588" s="12">
        <v>79877</v>
      </c>
      <c r="F1588" s="12">
        <v>39924</v>
      </c>
    </row>
    <row r="1589" spans="1:6">
      <c r="A1589" t="s">
        <v>347</v>
      </c>
      <c r="B1589" s="12" t="s">
        <v>358</v>
      </c>
      <c r="C1589" s="12" t="s">
        <v>22</v>
      </c>
      <c r="D1589" s="12">
        <v>7.0445810433541575E-2</v>
      </c>
      <c r="E1589" s="12">
        <v>79877</v>
      </c>
      <c r="F1589" s="12">
        <v>5627</v>
      </c>
    </row>
    <row r="1590" spans="1:6">
      <c r="A1590" t="s">
        <v>347</v>
      </c>
      <c r="B1590" s="12" t="s">
        <v>358</v>
      </c>
      <c r="C1590" s="12" t="s">
        <v>478</v>
      </c>
      <c r="D1590" s="12">
        <v>1.6976100754910677E-2</v>
      </c>
      <c r="E1590" s="12">
        <v>79877</v>
      </c>
      <c r="F1590" s="12">
        <v>1356</v>
      </c>
    </row>
    <row r="1591" spans="1:6">
      <c r="A1591" t="s">
        <v>347</v>
      </c>
      <c r="B1591" s="12" t="s">
        <v>358</v>
      </c>
      <c r="C1591" s="12" t="s">
        <v>20</v>
      </c>
      <c r="D1591" s="12">
        <v>1.1743054946980983E-2</v>
      </c>
      <c r="E1591" s="12">
        <v>79877</v>
      </c>
      <c r="F1591" s="12">
        <v>938</v>
      </c>
    </row>
    <row r="1592" spans="1:6">
      <c r="A1592" t="s">
        <v>357</v>
      </c>
      <c r="B1592" s="12" t="s">
        <v>359</v>
      </c>
      <c r="C1592" s="12" t="s">
        <v>480</v>
      </c>
      <c r="D1592" s="12">
        <v>0.40973170509669282</v>
      </c>
      <c r="E1592" s="12">
        <v>153786</v>
      </c>
      <c r="F1592" s="12">
        <v>63011</v>
      </c>
    </row>
    <row r="1593" spans="1:6">
      <c r="A1593" t="s">
        <v>357</v>
      </c>
      <c r="B1593" s="12" t="s">
        <v>359</v>
      </c>
      <c r="C1593" s="12" t="s">
        <v>479</v>
      </c>
      <c r="D1593" s="12">
        <v>0.41421195687513818</v>
      </c>
      <c r="E1593" s="12">
        <v>153786</v>
      </c>
      <c r="F1593" s="12">
        <v>63700</v>
      </c>
    </row>
    <row r="1594" spans="1:6">
      <c r="A1594" t="s">
        <v>357</v>
      </c>
      <c r="B1594" s="12" t="s">
        <v>359</v>
      </c>
      <c r="C1594" s="12" t="s">
        <v>22</v>
      </c>
      <c r="D1594" s="12">
        <v>0.10378057820607858</v>
      </c>
      <c r="E1594" s="12">
        <v>153786</v>
      </c>
      <c r="F1594" s="12">
        <v>15960</v>
      </c>
    </row>
    <row r="1595" spans="1:6">
      <c r="A1595" t="s">
        <v>357</v>
      </c>
      <c r="B1595" s="12" t="s">
        <v>359</v>
      </c>
      <c r="C1595" s="12" t="s">
        <v>478</v>
      </c>
      <c r="D1595" s="12">
        <v>3.7870807485726916E-2</v>
      </c>
      <c r="E1595" s="12">
        <v>153786</v>
      </c>
      <c r="F1595" s="12">
        <v>5824</v>
      </c>
    </row>
    <row r="1596" spans="1:6">
      <c r="A1596" t="s">
        <v>357</v>
      </c>
      <c r="B1596" s="12" t="s">
        <v>359</v>
      </c>
      <c r="C1596" s="12" t="s">
        <v>20</v>
      </c>
      <c r="D1596" s="12">
        <v>3.438544470888117E-2</v>
      </c>
      <c r="E1596" s="12">
        <v>153786</v>
      </c>
      <c r="F1596" s="12">
        <v>5288</v>
      </c>
    </row>
    <row r="1597" spans="1:6">
      <c r="A1597" t="s">
        <v>357</v>
      </c>
      <c r="B1597" s="12" t="s">
        <v>360</v>
      </c>
      <c r="C1597" s="12" t="s">
        <v>480</v>
      </c>
      <c r="D1597" s="12">
        <v>0.46337852861562256</v>
      </c>
      <c r="E1597" s="12">
        <v>165504</v>
      </c>
      <c r="F1597" s="12">
        <v>76691</v>
      </c>
    </row>
    <row r="1598" spans="1:6">
      <c r="A1598" t="s">
        <v>357</v>
      </c>
      <c r="B1598" s="12" t="s">
        <v>360</v>
      </c>
      <c r="C1598" s="12" t="s">
        <v>479</v>
      </c>
      <c r="D1598" s="12">
        <v>0.37830505607115233</v>
      </c>
      <c r="E1598" s="12">
        <v>165504</v>
      </c>
      <c r="F1598" s="12">
        <v>62611</v>
      </c>
    </row>
    <row r="1599" spans="1:6">
      <c r="A1599" t="s">
        <v>357</v>
      </c>
      <c r="B1599" s="12" t="s">
        <v>360</v>
      </c>
      <c r="C1599" s="12" t="s">
        <v>22</v>
      </c>
      <c r="D1599" s="12">
        <v>9.3478103248259864E-2</v>
      </c>
      <c r="E1599" s="12">
        <v>165504</v>
      </c>
      <c r="F1599" s="12">
        <v>15471</v>
      </c>
    </row>
    <row r="1600" spans="1:6">
      <c r="A1600" t="s">
        <v>357</v>
      </c>
      <c r="B1600" s="12" t="s">
        <v>360</v>
      </c>
      <c r="C1600" s="12" t="s">
        <v>478</v>
      </c>
      <c r="D1600" s="12">
        <v>3.3074729311678271E-2</v>
      </c>
      <c r="E1600" s="12">
        <v>165504</v>
      </c>
      <c r="F1600" s="12">
        <v>5474</v>
      </c>
    </row>
    <row r="1601" spans="1:6">
      <c r="A1601" t="s">
        <v>357</v>
      </c>
      <c r="B1601" s="12" t="s">
        <v>360</v>
      </c>
      <c r="C1601" s="12" t="s">
        <v>20</v>
      </c>
      <c r="D1601" s="12">
        <v>3.1793793503480279E-2</v>
      </c>
      <c r="E1601" s="12">
        <v>165504</v>
      </c>
      <c r="F1601" s="12">
        <v>5262</v>
      </c>
    </row>
    <row r="1602" spans="1:6">
      <c r="A1602" t="s">
        <v>357</v>
      </c>
      <c r="B1602" s="12" t="s">
        <v>357</v>
      </c>
      <c r="C1602" s="12" t="s">
        <v>480</v>
      </c>
      <c r="D1602" s="12">
        <v>0.41338932881130103</v>
      </c>
      <c r="E1602" s="12">
        <v>528376</v>
      </c>
      <c r="F1602" s="12">
        <v>218425</v>
      </c>
    </row>
    <row r="1603" spans="1:6">
      <c r="A1603" t="s">
        <v>357</v>
      </c>
      <c r="B1603" s="12" t="s">
        <v>357</v>
      </c>
      <c r="C1603" s="12" t="s">
        <v>479</v>
      </c>
      <c r="D1603" s="12">
        <v>0.41286129574393993</v>
      </c>
      <c r="E1603" s="12">
        <v>528376</v>
      </c>
      <c r="F1603" s="12">
        <v>218146</v>
      </c>
    </row>
    <row r="1604" spans="1:6">
      <c r="A1604" t="s">
        <v>357</v>
      </c>
      <c r="B1604" s="12" t="s">
        <v>357</v>
      </c>
      <c r="C1604" s="12" t="s">
        <v>22</v>
      </c>
      <c r="D1604" s="12">
        <v>0.10186685239299287</v>
      </c>
      <c r="E1604" s="12">
        <v>528376</v>
      </c>
      <c r="F1604" s="12">
        <v>53824</v>
      </c>
    </row>
    <row r="1605" spans="1:6">
      <c r="A1605" t="s">
        <v>357</v>
      </c>
      <c r="B1605" s="12" t="s">
        <v>357</v>
      </c>
      <c r="C1605" s="12" t="s">
        <v>478</v>
      </c>
      <c r="D1605" s="12">
        <v>3.8097869698850817E-2</v>
      </c>
      <c r="E1605" s="12">
        <v>528376</v>
      </c>
      <c r="F1605" s="12">
        <v>20130</v>
      </c>
    </row>
    <row r="1606" spans="1:6">
      <c r="A1606" t="s">
        <v>357</v>
      </c>
      <c r="B1606" s="12" t="s">
        <v>357</v>
      </c>
      <c r="C1606" s="12" t="s">
        <v>20</v>
      </c>
      <c r="D1606" s="12">
        <v>3.379790149439036E-2</v>
      </c>
      <c r="E1606" s="12">
        <v>528376</v>
      </c>
      <c r="F1606" s="12">
        <v>17858</v>
      </c>
    </row>
    <row r="1607" spans="1:6">
      <c r="A1607" t="s">
        <v>357</v>
      </c>
      <c r="B1607" s="12" t="s">
        <v>361</v>
      </c>
      <c r="C1607" s="12" t="s">
        <v>480</v>
      </c>
      <c r="D1607" s="12">
        <v>0.43526640675763484</v>
      </c>
      <c r="E1607" s="12">
        <v>36936</v>
      </c>
      <c r="F1607" s="12">
        <v>16077</v>
      </c>
    </row>
    <row r="1608" spans="1:6">
      <c r="A1608" t="s">
        <v>357</v>
      </c>
      <c r="B1608" s="12" t="s">
        <v>361</v>
      </c>
      <c r="C1608" s="12" t="s">
        <v>479</v>
      </c>
      <c r="D1608" s="12">
        <v>0.37394411955815465</v>
      </c>
      <c r="E1608" s="12">
        <v>36936</v>
      </c>
      <c r="F1608" s="12">
        <v>13812</v>
      </c>
    </row>
    <row r="1609" spans="1:6">
      <c r="A1609" t="s">
        <v>357</v>
      </c>
      <c r="B1609" s="12" t="s">
        <v>361</v>
      </c>
      <c r="C1609" s="12" t="s">
        <v>22</v>
      </c>
      <c r="D1609" s="12">
        <v>0.10120207927225471</v>
      </c>
      <c r="E1609" s="12">
        <v>36936</v>
      </c>
      <c r="F1609" s="12">
        <v>3738</v>
      </c>
    </row>
    <row r="1610" spans="1:6">
      <c r="A1610" t="s">
        <v>357</v>
      </c>
      <c r="B1610" s="12" t="s">
        <v>361</v>
      </c>
      <c r="C1610" s="12" t="s">
        <v>478</v>
      </c>
      <c r="D1610" s="12">
        <v>4.3886722980290234E-2</v>
      </c>
      <c r="E1610" s="12">
        <v>36936</v>
      </c>
      <c r="F1610" s="12">
        <v>1621</v>
      </c>
    </row>
    <row r="1611" spans="1:6">
      <c r="A1611" t="s">
        <v>357</v>
      </c>
      <c r="B1611" s="12" t="s">
        <v>361</v>
      </c>
      <c r="C1611" s="12" t="s">
        <v>20</v>
      </c>
      <c r="D1611" s="12">
        <v>4.5781893004115226E-2</v>
      </c>
      <c r="E1611" s="12">
        <v>36936</v>
      </c>
      <c r="F1611" s="12">
        <v>1691</v>
      </c>
    </row>
    <row r="1612" spans="1:6">
      <c r="A1612" t="s">
        <v>357</v>
      </c>
      <c r="B1612" s="12" t="s">
        <v>362</v>
      </c>
      <c r="C1612" s="12" t="s">
        <v>480</v>
      </c>
      <c r="D1612" s="12">
        <v>0.41270163630033657</v>
      </c>
      <c r="E1612" s="12">
        <v>68936</v>
      </c>
      <c r="F1612" s="12">
        <v>28450</v>
      </c>
    </row>
    <row r="1613" spans="1:6">
      <c r="A1613" t="s">
        <v>357</v>
      </c>
      <c r="B1613" s="12" t="s">
        <v>362</v>
      </c>
      <c r="C1613" s="12" t="s">
        <v>479</v>
      </c>
      <c r="D1613" s="12">
        <v>0.41384762678426368</v>
      </c>
      <c r="E1613" s="12">
        <v>68936</v>
      </c>
      <c r="F1613" s="12">
        <v>28529</v>
      </c>
    </row>
    <row r="1614" spans="1:6">
      <c r="A1614" t="s">
        <v>357</v>
      </c>
      <c r="B1614" s="12" t="s">
        <v>362</v>
      </c>
      <c r="C1614" s="12" t="s">
        <v>22</v>
      </c>
      <c r="D1614" s="12">
        <v>0.10564871765115469</v>
      </c>
      <c r="E1614" s="12">
        <v>68936</v>
      </c>
      <c r="F1614" s="12">
        <v>7283</v>
      </c>
    </row>
    <row r="1615" spans="1:6">
      <c r="A1615" t="s">
        <v>357</v>
      </c>
      <c r="B1615" s="12" t="s">
        <v>362</v>
      </c>
      <c r="C1615" s="12" t="s">
        <v>478</v>
      </c>
      <c r="D1615" s="12">
        <v>3.5917372635487992E-2</v>
      </c>
      <c r="E1615" s="12">
        <v>68936</v>
      </c>
      <c r="F1615" s="12">
        <v>2476</v>
      </c>
    </row>
    <row r="1616" spans="1:6">
      <c r="A1616" t="s">
        <v>357</v>
      </c>
      <c r="B1616" s="12" t="s">
        <v>362</v>
      </c>
      <c r="C1616" s="12" t="s">
        <v>20</v>
      </c>
      <c r="D1616" s="12">
        <v>3.1739584542184056E-2</v>
      </c>
      <c r="E1616" s="12">
        <v>68936</v>
      </c>
      <c r="F1616" s="12">
        <v>2188</v>
      </c>
    </row>
    <row r="1617" spans="1:6">
      <c r="A1617" t="s">
        <v>357</v>
      </c>
      <c r="B1617" s="12" t="s">
        <v>363</v>
      </c>
      <c r="C1617" s="12" t="s">
        <v>480</v>
      </c>
      <c r="D1617" s="12">
        <v>0.422301731803362</v>
      </c>
      <c r="E1617" s="12">
        <v>47234</v>
      </c>
      <c r="F1617" s="12">
        <v>19947</v>
      </c>
    </row>
    <row r="1618" spans="1:6">
      <c r="A1618" t="s">
        <v>357</v>
      </c>
      <c r="B1618" s="12" t="s">
        <v>363</v>
      </c>
      <c r="C1618" s="12" t="s">
        <v>479</v>
      </c>
      <c r="D1618" s="12">
        <v>0.38883008002709912</v>
      </c>
      <c r="E1618" s="12">
        <v>47234</v>
      </c>
      <c r="F1618" s="12">
        <v>18366</v>
      </c>
    </row>
    <row r="1619" spans="1:6">
      <c r="A1619" t="s">
        <v>357</v>
      </c>
      <c r="B1619" s="12" t="s">
        <v>363</v>
      </c>
      <c r="C1619" s="12" t="s">
        <v>22</v>
      </c>
      <c r="D1619" s="12">
        <v>0.10640640216792988</v>
      </c>
      <c r="E1619" s="12">
        <v>47234</v>
      </c>
      <c r="F1619" s="12">
        <v>5026</v>
      </c>
    </row>
    <row r="1620" spans="1:6">
      <c r="A1620" t="s">
        <v>357</v>
      </c>
      <c r="B1620" s="12" t="s">
        <v>363</v>
      </c>
      <c r="C1620" s="12" t="s">
        <v>478</v>
      </c>
      <c r="D1620" s="12">
        <v>4.1559046449591394E-2</v>
      </c>
      <c r="E1620" s="12">
        <v>47234</v>
      </c>
      <c r="F1620" s="12">
        <v>1963</v>
      </c>
    </row>
    <row r="1621" spans="1:6">
      <c r="A1621" t="s">
        <v>357</v>
      </c>
      <c r="B1621" s="12" t="s">
        <v>363</v>
      </c>
      <c r="C1621" s="12" t="s">
        <v>20</v>
      </c>
      <c r="D1621" s="12">
        <v>4.0839225981284664E-2</v>
      </c>
      <c r="E1621" s="12">
        <v>47234</v>
      </c>
      <c r="F1621" s="12">
        <v>1929</v>
      </c>
    </row>
    <row r="1622" spans="1:6">
      <c r="A1622" t="s">
        <v>357</v>
      </c>
      <c r="B1622" s="12" t="s">
        <v>364</v>
      </c>
      <c r="C1622" s="12" t="s">
        <v>480</v>
      </c>
      <c r="D1622" s="12">
        <v>0.46171314842693478</v>
      </c>
      <c r="E1622" s="12">
        <v>39191</v>
      </c>
      <c r="F1622" s="12">
        <v>18095</v>
      </c>
    </row>
    <row r="1623" spans="1:6">
      <c r="A1623" t="s">
        <v>357</v>
      </c>
      <c r="B1623" s="12" t="s">
        <v>364</v>
      </c>
      <c r="C1623" s="12" t="s">
        <v>479</v>
      </c>
      <c r="D1623" s="12">
        <v>0.36903880993085147</v>
      </c>
      <c r="E1623" s="12">
        <v>39191</v>
      </c>
      <c r="F1623" s="12">
        <v>14463</v>
      </c>
    </row>
    <row r="1624" spans="1:6">
      <c r="A1624" t="s">
        <v>357</v>
      </c>
      <c r="B1624" s="12" t="s">
        <v>364</v>
      </c>
      <c r="C1624" s="12" t="s">
        <v>22</v>
      </c>
      <c r="D1624" s="12">
        <v>9.4307366487203698E-2</v>
      </c>
      <c r="E1624" s="12">
        <v>39191</v>
      </c>
      <c r="F1624" s="12">
        <v>3696</v>
      </c>
    </row>
    <row r="1625" spans="1:6">
      <c r="A1625" t="s">
        <v>357</v>
      </c>
      <c r="B1625" s="12" t="s">
        <v>364</v>
      </c>
      <c r="C1625" s="12" t="s">
        <v>478</v>
      </c>
      <c r="D1625" s="12">
        <v>3.7661708045214459E-2</v>
      </c>
      <c r="E1625" s="12">
        <v>39191</v>
      </c>
      <c r="F1625" s="12">
        <v>1476</v>
      </c>
    </row>
    <row r="1626" spans="1:6">
      <c r="A1626" t="s">
        <v>357</v>
      </c>
      <c r="B1626" s="12" t="s">
        <v>364</v>
      </c>
      <c r="C1626" s="12" t="s">
        <v>20</v>
      </c>
      <c r="D1626" s="12">
        <v>3.732999923451813E-2</v>
      </c>
      <c r="E1626" s="12">
        <v>39191</v>
      </c>
      <c r="F1626" s="12">
        <v>1463</v>
      </c>
    </row>
    <row r="1627" spans="1:6">
      <c r="A1627" t="s">
        <v>357</v>
      </c>
      <c r="B1627" s="12" t="s">
        <v>366</v>
      </c>
      <c r="C1627" s="12" t="s">
        <v>480</v>
      </c>
      <c r="D1627" s="12">
        <v>0.42219261384988555</v>
      </c>
      <c r="E1627" s="12">
        <v>29271</v>
      </c>
      <c r="F1627" s="12">
        <v>12358</v>
      </c>
    </row>
    <row r="1628" spans="1:6">
      <c r="A1628" t="s">
        <v>357</v>
      </c>
      <c r="B1628" s="12" t="s">
        <v>366</v>
      </c>
      <c r="C1628" s="12" t="s">
        <v>479</v>
      </c>
      <c r="D1628" s="12">
        <v>0.38553517132998533</v>
      </c>
      <c r="E1628" s="12">
        <v>29271</v>
      </c>
      <c r="F1628" s="12">
        <v>11285</v>
      </c>
    </row>
    <row r="1629" spans="1:6">
      <c r="A1629" t="s">
        <v>357</v>
      </c>
      <c r="B1629" s="12" t="s">
        <v>366</v>
      </c>
      <c r="C1629" s="12" t="s">
        <v>22</v>
      </c>
      <c r="D1629" s="12">
        <v>0.10354958832974616</v>
      </c>
      <c r="E1629" s="12">
        <v>29271</v>
      </c>
      <c r="F1629" s="12">
        <v>3031</v>
      </c>
    </row>
    <row r="1630" spans="1:6">
      <c r="A1630" t="s">
        <v>357</v>
      </c>
      <c r="B1630" s="12" t="s">
        <v>366</v>
      </c>
      <c r="C1630" s="12" t="s">
        <v>478</v>
      </c>
      <c r="D1630" s="12">
        <v>4.5300809675105053E-2</v>
      </c>
      <c r="E1630" s="12">
        <v>29271</v>
      </c>
      <c r="F1630" s="12">
        <v>1326</v>
      </c>
    </row>
    <row r="1631" spans="1:6">
      <c r="A1631" t="s">
        <v>357</v>
      </c>
      <c r="B1631" s="12" t="s">
        <v>366</v>
      </c>
      <c r="C1631" s="12" t="s">
        <v>20</v>
      </c>
      <c r="D1631" s="12">
        <v>4.3319326295650988E-2</v>
      </c>
      <c r="E1631" s="12">
        <v>29271</v>
      </c>
      <c r="F1631" s="12">
        <v>1268</v>
      </c>
    </row>
    <row r="1632" spans="1:6">
      <c r="A1632" t="s">
        <v>365</v>
      </c>
      <c r="B1632" s="12" t="s">
        <v>367</v>
      </c>
      <c r="C1632" s="12" t="s">
        <v>480</v>
      </c>
      <c r="D1632" s="12">
        <v>0.39941469987578165</v>
      </c>
      <c r="E1632" s="12">
        <v>94994</v>
      </c>
      <c r="F1632" s="12">
        <v>37942</v>
      </c>
    </row>
    <row r="1633" spans="1:6">
      <c r="A1633" t="s">
        <v>365</v>
      </c>
      <c r="B1633" s="12" t="s">
        <v>367</v>
      </c>
      <c r="C1633" s="12" t="s">
        <v>479</v>
      </c>
      <c r="D1633" s="12">
        <v>0.39371960334336903</v>
      </c>
      <c r="E1633" s="12">
        <v>94994</v>
      </c>
      <c r="F1633" s="12">
        <v>37401</v>
      </c>
    </row>
    <row r="1634" spans="1:6">
      <c r="A1634" t="s">
        <v>365</v>
      </c>
      <c r="B1634" s="12" t="s">
        <v>367</v>
      </c>
      <c r="C1634" s="12" t="s">
        <v>22</v>
      </c>
      <c r="D1634" s="12">
        <v>0.11688106617260037</v>
      </c>
      <c r="E1634" s="12">
        <v>94994</v>
      </c>
      <c r="F1634" s="12">
        <v>11103</v>
      </c>
    </row>
    <row r="1635" spans="1:6">
      <c r="A1635" t="s">
        <v>365</v>
      </c>
      <c r="B1635" s="12" t="s">
        <v>367</v>
      </c>
      <c r="C1635" s="12" t="s">
        <v>478</v>
      </c>
      <c r="D1635" s="12">
        <v>4.5729203949723143E-2</v>
      </c>
      <c r="E1635" s="12">
        <v>94994</v>
      </c>
      <c r="F1635" s="12">
        <v>4344</v>
      </c>
    </row>
    <row r="1636" spans="1:6">
      <c r="A1636" t="s">
        <v>365</v>
      </c>
      <c r="B1636" s="12" t="s">
        <v>367</v>
      </c>
      <c r="C1636" s="12" t="s">
        <v>20</v>
      </c>
      <c r="D1636" s="12">
        <v>4.4202791755268755E-2</v>
      </c>
      <c r="E1636" s="12">
        <v>94994</v>
      </c>
      <c r="F1636" s="12">
        <v>4199</v>
      </c>
    </row>
    <row r="1637" spans="1:6">
      <c r="A1637" t="s">
        <v>365</v>
      </c>
      <c r="B1637" s="12" t="s">
        <v>365</v>
      </c>
      <c r="C1637" s="12" t="s">
        <v>480</v>
      </c>
      <c r="D1637" s="12">
        <v>0.44808737753418143</v>
      </c>
      <c r="E1637" s="12">
        <v>201791</v>
      </c>
      <c r="F1637" s="12">
        <v>90420</v>
      </c>
    </row>
    <row r="1638" spans="1:6">
      <c r="A1638" t="s">
        <v>365</v>
      </c>
      <c r="B1638" s="12" t="s">
        <v>365</v>
      </c>
      <c r="C1638" s="12" t="s">
        <v>479</v>
      </c>
      <c r="D1638" s="12">
        <v>0.4049833738868433</v>
      </c>
      <c r="E1638" s="12">
        <v>201791</v>
      </c>
      <c r="F1638" s="12">
        <v>81722</v>
      </c>
    </row>
    <row r="1639" spans="1:6">
      <c r="A1639" t="s">
        <v>365</v>
      </c>
      <c r="B1639" s="12" t="s">
        <v>365</v>
      </c>
      <c r="C1639" s="12" t="s">
        <v>22</v>
      </c>
      <c r="D1639" s="12">
        <v>8.9518363058808365E-2</v>
      </c>
      <c r="E1639" s="12">
        <v>201791</v>
      </c>
      <c r="F1639" s="12">
        <v>18064</v>
      </c>
    </row>
    <row r="1640" spans="1:6">
      <c r="A1640" t="s">
        <v>365</v>
      </c>
      <c r="B1640" s="12" t="s">
        <v>365</v>
      </c>
      <c r="C1640" s="12" t="s">
        <v>478</v>
      </c>
      <c r="D1640" s="12">
        <v>3.0645568930229791E-2</v>
      </c>
      <c r="E1640" s="12">
        <v>201791</v>
      </c>
      <c r="F1640" s="12">
        <v>6184</v>
      </c>
    </row>
    <row r="1641" spans="1:6">
      <c r="A1641" t="s">
        <v>365</v>
      </c>
      <c r="B1641" s="12" t="s">
        <v>365</v>
      </c>
      <c r="C1641" s="12" t="s">
        <v>20</v>
      </c>
      <c r="D1641" s="12">
        <v>2.6760360967535719E-2</v>
      </c>
      <c r="E1641" s="12">
        <v>201791</v>
      </c>
      <c r="F1641" s="12">
        <v>5400</v>
      </c>
    </row>
    <row r="1642" spans="1:6">
      <c r="A1642" t="s">
        <v>365</v>
      </c>
      <c r="B1642" s="12" t="s">
        <v>368</v>
      </c>
      <c r="C1642" s="12" t="s">
        <v>480</v>
      </c>
      <c r="D1642" s="12">
        <v>0.40309213199115246</v>
      </c>
      <c r="E1642" s="12">
        <v>221530</v>
      </c>
      <c r="F1642" s="12">
        <v>89297</v>
      </c>
    </row>
    <row r="1643" spans="1:6">
      <c r="A1643" t="s">
        <v>365</v>
      </c>
      <c r="B1643" s="12" t="s">
        <v>368</v>
      </c>
      <c r="C1643" s="12" t="s">
        <v>479</v>
      </c>
      <c r="D1643" s="12">
        <v>0.40513248769918297</v>
      </c>
      <c r="E1643" s="12">
        <v>221530</v>
      </c>
      <c r="F1643" s="12">
        <v>89749</v>
      </c>
    </row>
    <row r="1644" spans="1:6">
      <c r="A1644" t="s">
        <v>365</v>
      </c>
      <c r="B1644" s="12" t="s">
        <v>368</v>
      </c>
      <c r="C1644" s="12" t="s">
        <v>22</v>
      </c>
      <c r="D1644" s="12">
        <v>0.11010246919153162</v>
      </c>
      <c r="E1644" s="12">
        <v>221530</v>
      </c>
      <c r="F1644" s="12">
        <v>24391</v>
      </c>
    </row>
    <row r="1645" spans="1:6">
      <c r="A1645" t="s">
        <v>365</v>
      </c>
      <c r="B1645" s="12" t="s">
        <v>368</v>
      </c>
      <c r="C1645" s="12" t="s">
        <v>478</v>
      </c>
      <c r="D1645" s="12">
        <v>4.2179388796099851E-2</v>
      </c>
      <c r="E1645" s="12">
        <v>221530</v>
      </c>
      <c r="F1645" s="12">
        <v>9344</v>
      </c>
    </row>
    <row r="1646" spans="1:6">
      <c r="A1646" t="s">
        <v>365</v>
      </c>
      <c r="B1646" s="12" t="s">
        <v>368</v>
      </c>
      <c r="C1646" s="12" t="s">
        <v>20</v>
      </c>
      <c r="D1646" s="12">
        <v>3.9475466076829321E-2</v>
      </c>
      <c r="E1646" s="12">
        <v>221530</v>
      </c>
      <c r="F1646" s="12">
        <v>8745</v>
      </c>
    </row>
    <row r="1647" spans="1:6">
      <c r="A1647" t="s">
        <v>365</v>
      </c>
      <c r="B1647" s="12" t="s">
        <v>369</v>
      </c>
      <c r="C1647" s="12" t="s">
        <v>480</v>
      </c>
      <c r="D1647" s="12">
        <v>0.40695128976508993</v>
      </c>
      <c r="E1647" s="12">
        <v>78115</v>
      </c>
      <c r="F1647" s="12">
        <v>31789</v>
      </c>
    </row>
    <row r="1648" spans="1:6">
      <c r="A1648" t="s">
        <v>365</v>
      </c>
      <c r="B1648" s="12" t="s">
        <v>369</v>
      </c>
      <c r="C1648" s="12" t="s">
        <v>479</v>
      </c>
      <c r="D1648" s="12">
        <v>0.40519746527555528</v>
      </c>
      <c r="E1648" s="12">
        <v>78115</v>
      </c>
      <c r="F1648" s="12">
        <v>31652</v>
      </c>
    </row>
    <row r="1649" spans="1:6">
      <c r="A1649" t="s">
        <v>365</v>
      </c>
      <c r="B1649" s="12" t="s">
        <v>369</v>
      </c>
      <c r="C1649" s="12" t="s">
        <v>22</v>
      </c>
      <c r="D1649" s="12">
        <v>0.1118863214491455</v>
      </c>
      <c r="E1649" s="12">
        <v>78115</v>
      </c>
      <c r="F1649" s="12">
        <v>8740</v>
      </c>
    </row>
    <row r="1650" spans="1:6">
      <c r="A1650" t="s">
        <v>365</v>
      </c>
      <c r="B1650" s="12" t="s">
        <v>369</v>
      </c>
      <c r="C1650" s="12" t="s">
        <v>478</v>
      </c>
      <c r="D1650" s="12">
        <v>3.9569864942712668E-2</v>
      </c>
      <c r="E1650" s="12">
        <v>78115</v>
      </c>
      <c r="F1650" s="12">
        <v>3091</v>
      </c>
    </row>
    <row r="1651" spans="1:6">
      <c r="A1651" t="s">
        <v>365</v>
      </c>
      <c r="B1651" s="12" t="s">
        <v>369</v>
      </c>
      <c r="C1651" s="12" t="s">
        <v>20</v>
      </c>
      <c r="D1651" s="12">
        <v>3.6433463483325865E-2</v>
      </c>
      <c r="E1651" s="12">
        <v>78115</v>
      </c>
      <c r="F1651" s="12">
        <v>2846</v>
      </c>
    </row>
    <row r="1652" spans="1:6">
      <c r="A1652" t="s">
        <v>365</v>
      </c>
      <c r="B1652" s="12" t="s">
        <v>370</v>
      </c>
      <c r="C1652" s="12" t="s">
        <v>480</v>
      </c>
      <c r="D1652" s="12">
        <v>0.39742431089019431</v>
      </c>
      <c r="E1652" s="12">
        <v>48686</v>
      </c>
      <c r="F1652" s="12">
        <v>19349</v>
      </c>
    </row>
    <row r="1653" spans="1:6">
      <c r="A1653" t="s">
        <v>365</v>
      </c>
      <c r="B1653" s="12" t="s">
        <v>370</v>
      </c>
      <c r="C1653" s="12" t="s">
        <v>479</v>
      </c>
      <c r="D1653" s="12">
        <v>0.39693135603664298</v>
      </c>
      <c r="E1653" s="12">
        <v>48686</v>
      </c>
      <c r="F1653" s="12">
        <v>19325</v>
      </c>
    </row>
    <row r="1654" spans="1:6">
      <c r="A1654" t="s">
        <v>365</v>
      </c>
      <c r="B1654" s="12" t="s">
        <v>370</v>
      </c>
      <c r="C1654" s="12" t="s">
        <v>22</v>
      </c>
      <c r="D1654" s="12">
        <v>0.11724109600295773</v>
      </c>
      <c r="E1654" s="12">
        <v>48686</v>
      </c>
      <c r="F1654" s="12">
        <v>5708</v>
      </c>
    </row>
    <row r="1655" spans="1:6">
      <c r="A1655" t="s">
        <v>365</v>
      </c>
      <c r="B1655" s="12" t="s">
        <v>370</v>
      </c>
      <c r="C1655" s="12" t="s">
        <v>478</v>
      </c>
      <c r="D1655" s="12">
        <v>4.6029659450355337E-2</v>
      </c>
      <c r="E1655" s="12">
        <v>48686</v>
      </c>
      <c r="F1655" s="12">
        <v>2241</v>
      </c>
    </row>
    <row r="1656" spans="1:6">
      <c r="A1656" t="s">
        <v>365</v>
      </c>
      <c r="B1656" s="12" t="s">
        <v>370</v>
      </c>
      <c r="C1656" s="12" t="s">
        <v>20</v>
      </c>
      <c r="D1656" s="12">
        <v>4.2496816333237479E-2</v>
      </c>
      <c r="E1656" s="12">
        <v>48686</v>
      </c>
      <c r="F1656" s="12">
        <v>2069</v>
      </c>
    </row>
    <row r="1657" spans="1:6">
      <c r="A1657" t="s">
        <v>365</v>
      </c>
      <c r="B1657" s="12" t="s">
        <v>371</v>
      </c>
      <c r="C1657" s="12" t="s">
        <v>480</v>
      </c>
      <c r="D1657" s="12">
        <v>0.35233124074204697</v>
      </c>
      <c r="E1657" s="12">
        <v>14177</v>
      </c>
      <c r="F1657" s="12">
        <v>4995</v>
      </c>
    </row>
    <row r="1658" spans="1:6">
      <c r="A1658" t="s">
        <v>365</v>
      </c>
      <c r="B1658" s="12" t="s">
        <v>371</v>
      </c>
      <c r="C1658" s="12" t="s">
        <v>479</v>
      </c>
      <c r="D1658" s="12">
        <v>0.37306905551244973</v>
      </c>
      <c r="E1658" s="12">
        <v>14177</v>
      </c>
      <c r="F1658" s="12">
        <v>5289</v>
      </c>
    </row>
    <row r="1659" spans="1:6">
      <c r="A1659" t="s">
        <v>365</v>
      </c>
      <c r="B1659" s="12" t="s">
        <v>371</v>
      </c>
      <c r="C1659" s="12" t="s">
        <v>22</v>
      </c>
      <c r="D1659" s="12">
        <v>0.13670028920081823</v>
      </c>
      <c r="E1659" s="12">
        <v>14177</v>
      </c>
      <c r="F1659" s="12">
        <v>1938</v>
      </c>
    </row>
    <row r="1660" spans="1:6">
      <c r="A1660" t="s">
        <v>365</v>
      </c>
      <c r="B1660" s="12" t="s">
        <v>371</v>
      </c>
      <c r="C1660" s="12" t="s">
        <v>478</v>
      </c>
      <c r="D1660" s="12">
        <v>6.2283981096141638E-2</v>
      </c>
      <c r="E1660" s="12">
        <v>14177</v>
      </c>
      <c r="F1660" s="12">
        <v>883</v>
      </c>
    </row>
    <row r="1661" spans="1:6">
      <c r="A1661" t="s">
        <v>365</v>
      </c>
      <c r="B1661" s="12" t="s">
        <v>371</v>
      </c>
      <c r="C1661" s="12" t="s">
        <v>20</v>
      </c>
      <c r="D1661" s="12">
        <v>7.5685970233476757E-2</v>
      </c>
      <c r="E1661" s="12">
        <v>14177</v>
      </c>
      <c r="F1661" s="12">
        <v>1073</v>
      </c>
    </row>
    <row r="1662" spans="1:6">
      <c r="A1662" t="s">
        <v>365</v>
      </c>
      <c r="B1662" s="12" t="s">
        <v>372</v>
      </c>
      <c r="C1662" s="12" t="s">
        <v>480</v>
      </c>
      <c r="D1662" s="12">
        <v>0.43481970339514692</v>
      </c>
      <c r="E1662" s="12">
        <v>39851</v>
      </c>
      <c r="F1662" s="12">
        <v>17328</v>
      </c>
    </row>
    <row r="1663" spans="1:6">
      <c r="A1663" t="s">
        <v>365</v>
      </c>
      <c r="B1663" s="12" t="s">
        <v>372</v>
      </c>
      <c r="C1663" s="12" t="s">
        <v>479</v>
      </c>
      <c r="D1663" s="12">
        <v>0.37695415422448619</v>
      </c>
      <c r="E1663" s="12">
        <v>39851</v>
      </c>
      <c r="F1663" s="12">
        <v>15022</v>
      </c>
    </row>
    <row r="1664" spans="1:6">
      <c r="A1664" t="s">
        <v>365</v>
      </c>
      <c r="B1664" s="12" t="s">
        <v>372</v>
      </c>
      <c r="C1664" s="12" t="s">
        <v>22</v>
      </c>
      <c r="D1664" s="12">
        <v>0.10484053097789266</v>
      </c>
      <c r="E1664" s="12">
        <v>39851</v>
      </c>
      <c r="F1664" s="12">
        <v>4178</v>
      </c>
    </row>
    <row r="1665" spans="1:6">
      <c r="A1665" t="s">
        <v>365</v>
      </c>
      <c r="B1665" s="12" t="s">
        <v>372</v>
      </c>
      <c r="C1665" s="12" t="s">
        <v>478</v>
      </c>
      <c r="D1665" s="12">
        <v>4.1103109081327943E-2</v>
      </c>
      <c r="E1665" s="12">
        <v>39851</v>
      </c>
      <c r="F1665" s="12">
        <v>1638</v>
      </c>
    </row>
    <row r="1666" spans="1:6">
      <c r="A1666" t="s">
        <v>365</v>
      </c>
      <c r="B1666" s="12" t="s">
        <v>372</v>
      </c>
      <c r="C1666" s="12" t="s">
        <v>20</v>
      </c>
      <c r="D1666" s="12">
        <v>4.2131941482020527E-2</v>
      </c>
      <c r="E1666" s="12">
        <v>39851</v>
      </c>
      <c r="F1666" s="12">
        <v>1679</v>
      </c>
    </row>
    <row r="1667" spans="1:6">
      <c r="A1667" t="s">
        <v>365</v>
      </c>
      <c r="B1667" s="12" t="s">
        <v>374</v>
      </c>
      <c r="C1667" s="12" t="s">
        <v>480</v>
      </c>
      <c r="D1667" s="12">
        <v>0.39037735849056604</v>
      </c>
      <c r="E1667" s="12">
        <v>15900</v>
      </c>
      <c r="F1667" s="12">
        <v>6207</v>
      </c>
    </row>
    <row r="1668" spans="1:6">
      <c r="A1668" t="s">
        <v>365</v>
      </c>
      <c r="B1668" s="12" t="s">
        <v>374</v>
      </c>
      <c r="C1668" s="12" t="s">
        <v>479</v>
      </c>
      <c r="D1668" s="12">
        <v>0.39037735849056604</v>
      </c>
      <c r="E1668" s="12">
        <v>15900</v>
      </c>
      <c r="F1668" s="12">
        <v>6207</v>
      </c>
    </row>
    <row r="1669" spans="1:6">
      <c r="A1669" t="s">
        <v>365</v>
      </c>
      <c r="B1669" s="12" t="s">
        <v>374</v>
      </c>
      <c r="C1669" s="12" t="s">
        <v>22</v>
      </c>
      <c r="D1669" s="12">
        <v>0.11672955974842768</v>
      </c>
      <c r="E1669" s="12">
        <v>15900</v>
      </c>
      <c r="F1669" s="12">
        <v>1856</v>
      </c>
    </row>
    <row r="1670" spans="1:6">
      <c r="A1670" t="s">
        <v>365</v>
      </c>
      <c r="B1670" s="12" t="s">
        <v>374</v>
      </c>
      <c r="C1670" s="12" t="s">
        <v>478</v>
      </c>
      <c r="D1670" s="12">
        <v>5.0125786163522014E-2</v>
      </c>
      <c r="E1670" s="12">
        <v>15900</v>
      </c>
      <c r="F1670" s="12">
        <v>797</v>
      </c>
    </row>
    <row r="1671" spans="1:6">
      <c r="A1671" t="s">
        <v>365</v>
      </c>
      <c r="B1671" s="12" t="s">
        <v>374</v>
      </c>
      <c r="C1671" s="12" t="s">
        <v>20</v>
      </c>
      <c r="D1671" s="12">
        <v>5.2327044025157234E-2</v>
      </c>
      <c r="E1671" s="12">
        <v>15900</v>
      </c>
      <c r="F1671" s="12">
        <v>832</v>
      </c>
    </row>
    <row r="1672" spans="1:6">
      <c r="A1672" t="s">
        <v>373</v>
      </c>
      <c r="B1672" s="12" t="s">
        <v>375</v>
      </c>
      <c r="C1672" s="12" t="s">
        <v>480</v>
      </c>
      <c r="D1672" s="12">
        <v>0.44882834768519908</v>
      </c>
      <c r="E1672" s="12">
        <v>99987</v>
      </c>
      <c r="F1672" s="12">
        <v>44877</v>
      </c>
    </row>
    <row r="1673" spans="1:6">
      <c r="A1673" t="s">
        <v>373</v>
      </c>
      <c r="B1673" s="12" t="s">
        <v>375</v>
      </c>
      <c r="C1673" s="12" t="s">
        <v>479</v>
      </c>
      <c r="D1673" s="12">
        <v>0.39246101993259125</v>
      </c>
      <c r="E1673" s="12">
        <v>99987</v>
      </c>
      <c r="F1673" s="12">
        <v>39241</v>
      </c>
    </row>
    <row r="1674" spans="1:6">
      <c r="A1674" t="s">
        <v>373</v>
      </c>
      <c r="B1674" s="12" t="s">
        <v>375</v>
      </c>
      <c r="C1674" s="12" t="s">
        <v>22</v>
      </c>
      <c r="D1674" s="12">
        <v>9.0611779531339073E-2</v>
      </c>
      <c r="E1674" s="12">
        <v>99987</v>
      </c>
      <c r="F1674" s="12">
        <v>9060</v>
      </c>
    </row>
    <row r="1675" spans="1:6">
      <c r="A1675" t="s">
        <v>373</v>
      </c>
      <c r="B1675" s="12" t="s">
        <v>375</v>
      </c>
      <c r="C1675" s="12" t="s">
        <v>478</v>
      </c>
      <c r="D1675" s="12">
        <v>3.4094432276195907E-2</v>
      </c>
      <c r="E1675" s="12">
        <v>99987</v>
      </c>
      <c r="F1675" s="12">
        <v>3409</v>
      </c>
    </row>
    <row r="1676" spans="1:6">
      <c r="A1676" t="s">
        <v>373</v>
      </c>
      <c r="B1676" s="12" t="s">
        <v>375</v>
      </c>
      <c r="C1676" s="12" t="s">
        <v>20</v>
      </c>
      <c r="D1676" s="12">
        <v>3.4044425775350794E-2</v>
      </c>
      <c r="E1676" s="12">
        <v>99987</v>
      </c>
      <c r="F1676" s="12">
        <v>3404</v>
      </c>
    </row>
    <row r="1677" spans="1:6">
      <c r="A1677" t="s">
        <v>373</v>
      </c>
      <c r="B1677" s="12" t="s">
        <v>376</v>
      </c>
      <c r="C1677" s="12" t="s">
        <v>480</v>
      </c>
      <c r="D1677" s="12">
        <v>0.48304385375683717</v>
      </c>
      <c r="E1677" s="12">
        <v>52105</v>
      </c>
      <c r="F1677" s="12">
        <v>25169</v>
      </c>
    </row>
    <row r="1678" spans="1:6">
      <c r="A1678" t="s">
        <v>373</v>
      </c>
      <c r="B1678" s="12" t="s">
        <v>376</v>
      </c>
      <c r="C1678" s="12" t="s">
        <v>479</v>
      </c>
      <c r="D1678" s="12">
        <v>0.37368774589770654</v>
      </c>
      <c r="E1678" s="12">
        <v>52105</v>
      </c>
      <c r="F1678" s="12">
        <v>19471</v>
      </c>
    </row>
    <row r="1679" spans="1:6">
      <c r="A1679" t="s">
        <v>373</v>
      </c>
      <c r="B1679" s="12" t="s">
        <v>376</v>
      </c>
      <c r="C1679" s="12" t="s">
        <v>22</v>
      </c>
      <c r="D1679" s="12">
        <v>8.1662028596104025E-2</v>
      </c>
      <c r="E1679" s="12">
        <v>52105</v>
      </c>
      <c r="F1679" s="12">
        <v>4255</v>
      </c>
    </row>
    <row r="1680" spans="1:6">
      <c r="A1680" t="s">
        <v>373</v>
      </c>
      <c r="B1680" s="12" t="s">
        <v>376</v>
      </c>
      <c r="C1680" s="12" t="s">
        <v>478</v>
      </c>
      <c r="D1680" s="12">
        <v>2.9728432971883698E-2</v>
      </c>
      <c r="E1680" s="12">
        <v>52105</v>
      </c>
      <c r="F1680" s="12">
        <v>1549</v>
      </c>
    </row>
    <row r="1681" spans="1:6">
      <c r="A1681" t="s">
        <v>373</v>
      </c>
      <c r="B1681" s="12" t="s">
        <v>376</v>
      </c>
      <c r="C1681" s="12" t="s">
        <v>20</v>
      </c>
      <c r="D1681" s="12">
        <v>3.187793877746857E-2</v>
      </c>
      <c r="E1681" s="12">
        <v>52105</v>
      </c>
      <c r="F1681" s="12">
        <v>1661</v>
      </c>
    </row>
    <row r="1682" spans="1:6">
      <c r="A1682" t="s">
        <v>373</v>
      </c>
      <c r="B1682" s="12" t="s">
        <v>377</v>
      </c>
      <c r="C1682" s="12" t="s">
        <v>480</v>
      </c>
      <c r="D1682" s="12">
        <v>0.3733565440469101</v>
      </c>
      <c r="E1682" s="12">
        <v>43658</v>
      </c>
      <c r="F1682" s="12">
        <v>16300</v>
      </c>
    </row>
    <row r="1683" spans="1:6">
      <c r="A1683" t="s">
        <v>373</v>
      </c>
      <c r="B1683" s="12" t="s">
        <v>377</v>
      </c>
      <c r="C1683" s="12" t="s">
        <v>479</v>
      </c>
      <c r="D1683" s="12">
        <v>0.34722158596362634</v>
      </c>
      <c r="E1683" s="12">
        <v>43658</v>
      </c>
      <c r="F1683" s="12">
        <v>15159</v>
      </c>
    </row>
    <row r="1684" spans="1:6">
      <c r="A1684" t="s">
        <v>373</v>
      </c>
      <c r="B1684" s="12" t="s">
        <v>377</v>
      </c>
      <c r="C1684" s="12" t="s">
        <v>22</v>
      </c>
      <c r="D1684" s="12">
        <v>0.13149938155664484</v>
      </c>
      <c r="E1684" s="12">
        <v>43658</v>
      </c>
      <c r="F1684" s="12">
        <v>5741</v>
      </c>
    </row>
    <row r="1685" spans="1:6">
      <c r="A1685" t="s">
        <v>373</v>
      </c>
      <c r="B1685" s="12" t="s">
        <v>377</v>
      </c>
      <c r="C1685" s="12" t="s">
        <v>478</v>
      </c>
      <c r="D1685" s="12">
        <v>6.4455540794356128E-2</v>
      </c>
      <c r="E1685" s="12">
        <v>43658</v>
      </c>
      <c r="F1685" s="12">
        <v>2814</v>
      </c>
    </row>
    <row r="1686" spans="1:6">
      <c r="A1686" t="s">
        <v>373</v>
      </c>
      <c r="B1686" s="12" t="s">
        <v>377</v>
      </c>
      <c r="C1686" s="12" t="s">
        <v>20</v>
      </c>
      <c r="D1686" s="12">
        <v>8.3421137019561137E-2</v>
      </c>
      <c r="E1686" s="12">
        <v>43658</v>
      </c>
      <c r="F1686" s="12">
        <v>3642</v>
      </c>
    </row>
    <row r="1687" spans="1:6">
      <c r="A1687" t="s">
        <v>373</v>
      </c>
      <c r="B1687" s="12" t="s">
        <v>378</v>
      </c>
      <c r="C1687" s="12" t="s">
        <v>480</v>
      </c>
      <c r="D1687" s="12">
        <v>0.44098354367256126</v>
      </c>
      <c r="E1687" s="12">
        <v>52138</v>
      </c>
      <c r="F1687" s="12">
        <v>22992</v>
      </c>
    </row>
    <row r="1688" spans="1:6">
      <c r="A1688" t="s">
        <v>373</v>
      </c>
      <c r="B1688" s="12" t="s">
        <v>378</v>
      </c>
      <c r="C1688" s="12" t="s">
        <v>479</v>
      </c>
      <c r="D1688" s="12">
        <v>0.37076604396025931</v>
      </c>
      <c r="E1688" s="12">
        <v>52138</v>
      </c>
      <c r="F1688" s="12">
        <v>19331</v>
      </c>
    </row>
    <row r="1689" spans="1:6">
      <c r="A1689" t="s">
        <v>373</v>
      </c>
      <c r="B1689" s="12" t="s">
        <v>378</v>
      </c>
      <c r="C1689" s="12" t="s">
        <v>22</v>
      </c>
      <c r="D1689" s="12">
        <v>9.7855690667075834E-2</v>
      </c>
      <c r="E1689" s="12">
        <v>52138</v>
      </c>
      <c r="F1689" s="12">
        <v>5102</v>
      </c>
    </row>
    <row r="1690" spans="1:6">
      <c r="A1690" t="s">
        <v>373</v>
      </c>
      <c r="B1690" s="12" t="s">
        <v>378</v>
      </c>
      <c r="C1690" s="12" t="s">
        <v>478</v>
      </c>
      <c r="D1690" s="12">
        <v>4.1716214661091718E-2</v>
      </c>
      <c r="E1690" s="12">
        <v>52138</v>
      </c>
      <c r="F1690" s="12">
        <v>2175</v>
      </c>
    </row>
    <row r="1691" spans="1:6">
      <c r="A1691" t="s">
        <v>373</v>
      </c>
      <c r="B1691" s="12" t="s">
        <v>378</v>
      </c>
      <c r="C1691" s="12" t="s">
        <v>20</v>
      </c>
      <c r="D1691" s="12">
        <v>4.8659327170202153E-2</v>
      </c>
      <c r="E1691" s="12">
        <v>52138</v>
      </c>
      <c r="F1691" s="12">
        <v>2537</v>
      </c>
    </row>
    <row r="1692" spans="1:6">
      <c r="A1692" t="s">
        <v>373</v>
      </c>
      <c r="B1692" s="12" t="s">
        <v>373</v>
      </c>
      <c r="C1692" s="12" t="s">
        <v>480</v>
      </c>
      <c r="D1692" s="12">
        <v>0.45312644742936542</v>
      </c>
      <c r="E1692" s="12">
        <v>669290</v>
      </c>
      <c r="F1692" s="12">
        <v>303273</v>
      </c>
    </row>
    <row r="1693" spans="1:6">
      <c r="A1693" t="s">
        <v>373</v>
      </c>
      <c r="B1693" s="12" t="s">
        <v>373</v>
      </c>
      <c r="C1693" s="12" t="s">
        <v>479</v>
      </c>
      <c r="D1693" s="12">
        <v>0.39050187512139728</v>
      </c>
      <c r="E1693" s="12">
        <v>669290</v>
      </c>
      <c r="F1693" s="12">
        <v>261359</v>
      </c>
    </row>
    <row r="1694" spans="1:6">
      <c r="A1694" t="s">
        <v>373</v>
      </c>
      <c r="B1694" s="12" t="s">
        <v>373</v>
      </c>
      <c r="C1694" s="12" t="s">
        <v>22</v>
      </c>
      <c r="D1694" s="12">
        <v>9.3787446398422208E-2</v>
      </c>
      <c r="E1694" s="12">
        <v>669290</v>
      </c>
      <c r="F1694" s="12">
        <v>62771</v>
      </c>
    </row>
    <row r="1695" spans="1:6">
      <c r="A1695" t="s">
        <v>373</v>
      </c>
      <c r="B1695" s="12" t="s">
        <v>373</v>
      </c>
      <c r="C1695" s="12" t="s">
        <v>478</v>
      </c>
      <c r="D1695" s="12">
        <v>3.3017077798861483E-2</v>
      </c>
      <c r="E1695" s="12">
        <v>669290</v>
      </c>
      <c r="F1695" s="12">
        <v>22098</v>
      </c>
    </row>
    <row r="1696" spans="1:6">
      <c r="A1696" t="s">
        <v>373</v>
      </c>
      <c r="B1696" s="12" t="s">
        <v>373</v>
      </c>
      <c r="C1696" s="12" t="s">
        <v>20</v>
      </c>
      <c r="D1696" s="12">
        <v>2.9565659131318263E-2</v>
      </c>
      <c r="E1696" s="12">
        <v>669290</v>
      </c>
      <c r="F1696" s="12">
        <v>19788</v>
      </c>
    </row>
    <row r="1697" spans="1:6">
      <c r="A1697" t="s">
        <v>373</v>
      </c>
      <c r="B1697" s="12" t="s">
        <v>379</v>
      </c>
      <c r="C1697" s="12" t="s">
        <v>480</v>
      </c>
      <c r="D1697" s="12">
        <v>0.4707809993348202</v>
      </c>
      <c r="E1697" s="12">
        <v>102228</v>
      </c>
      <c r="F1697" s="12">
        <v>48127</v>
      </c>
    </row>
    <row r="1698" spans="1:6">
      <c r="A1698" t="s">
        <v>373</v>
      </c>
      <c r="B1698" s="12" t="s">
        <v>379</v>
      </c>
      <c r="C1698" s="12" t="s">
        <v>479</v>
      </c>
      <c r="D1698" s="12">
        <v>0.36938999100050868</v>
      </c>
      <c r="E1698" s="12">
        <v>102228</v>
      </c>
      <c r="F1698" s="12">
        <v>37762</v>
      </c>
    </row>
    <row r="1699" spans="1:6">
      <c r="A1699" t="s">
        <v>373</v>
      </c>
      <c r="B1699" s="12" t="s">
        <v>379</v>
      </c>
      <c r="C1699" s="12" t="s">
        <v>22</v>
      </c>
      <c r="D1699" s="12">
        <v>9.1912196267167512E-2</v>
      </c>
      <c r="E1699" s="12">
        <v>102228</v>
      </c>
      <c r="F1699" s="12">
        <v>9396</v>
      </c>
    </row>
    <row r="1700" spans="1:6">
      <c r="A1700" t="s">
        <v>373</v>
      </c>
      <c r="B1700" s="12" t="s">
        <v>379</v>
      </c>
      <c r="C1700" s="12" t="s">
        <v>478</v>
      </c>
      <c r="D1700" s="12">
        <v>3.3523105215792152E-2</v>
      </c>
      <c r="E1700" s="12">
        <v>102228</v>
      </c>
      <c r="F1700" s="12">
        <v>3427</v>
      </c>
    </row>
    <row r="1701" spans="1:6">
      <c r="A1701" t="s">
        <v>373</v>
      </c>
      <c r="B1701" s="12" t="s">
        <v>379</v>
      </c>
      <c r="C1701" s="12" t="s">
        <v>20</v>
      </c>
      <c r="D1701" s="12">
        <v>3.441327229330516E-2</v>
      </c>
      <c r="E1701" s="12">
        <v>102228</v>
      </c>
      <c r="F1701" s="12">
        <v>3518</v>
      </c>
    </row>
    <row r="1702" spans="1:6">
      <c r="A1702" t="s">
        <v>373</v>
      </c>
      <c r="B1702" s="12" t="s">
        <v>380</v>
      </c>
      <c r="C1702" s="12" t="s">
        <v>480</v>
      </c>
      <c r="D1702" s="12">
        <v>0.42163494611327679</v>
      </c>
      <c r="E1702" s="12">
        <v>52332</v>
      </c>
      <c r="F1702" s="12">
        <v>22065</v>
      </c>
    </row>
    <row r="1703" spans="1:6">
      <c r="A1703" t="s">
        <v>373</v>
      </c>
      <c r="B1703" s="12" t="s">
        <v>380</v>
      </c>
      <c r="C1703" s="12" t="s">
        <v>479</v>
      </c>
      <c r="D1703" s="12">
        <v>0.38989528395627915</v>
      </c>
      <c r="E1703" s="12">
        <v>52332</v>
      </c>
      <c r="F1703" s="12">
        <v>20404</v>
      </c>
    </row>
    <row r="1704" spans="1:6">
      <c r="A1704" t="s">
        <v>373</v>
      </c>
      <c r="B1704" s="12" t="s">
        <v>380</v>
      </c>
      <c r="C1704" s="12" t="s">
        <v>22</v>
      </c>
      <c r="D1704" s="12">
        <v>0.10148666208056256</v>
      </c>
      <c r="E1704" s="12">
        <v>52332</v>
      </c>
      <c r="F1704" s="12">
        <v>5311</v>
      </c>
    </row>
    <row r="1705" spans="1:6">
      <c r="A1705" t="s">
        <v>373</v>
      </c>
      <c r="B1705" s="12" t="s">
        <v>380</v>
      </c>
      <c r="C1705" s="12" t="s">
        <v>478</v>
      </c>
      <c r="D1705" s="12">
        <v>4.0644347626691127E-2</v>
      </c>
      <c r="E1705" s="12">
        <v>52332</v>
      </c>
      <c r="F1705" s="12">
        <v>2127</v>
      </c>
    </row>
    <row r="1706" spans="1:6">
      <c r="A1706" t="s">
        <v>373</v>
      </c>
      <c r="B1706" s="12" t="s">
        <v>380</v>
      </c>
      <c r="C1706" s="12" t="s">
        <v>20</v>
      </c>
      <c r="D1706" s="12">
        <v>4.6415195291599785E-2</v>
      </c>
      <c r="E1706" s="12">
        <v>52332</v>
      </c>
      <c r="F1706" s="12">
        <v>2429</v>
      </c>
    </row>
    <row r="1707" spans="1:6">
      <c r="A1707" t="s">
        <v>373</v>
      </c>
      <c r="B1707" s="12" t="s">
        <v>381</v>
      </c>
      <c r="C1707" s="12" t="s">
        <v>480</v>
      </c>
      <c r="D1707" s="12">
        <v>0.46374654475866467</v>
      </c>
      <c r="E1707" s="12">
        <v>32921</v>
      </c>
      <c r="F1707" s="12">
        <v>15267</v>
      </c>
    </row>
    <row r="1708" spans="1:6">
      <c r="A1708" t="s">
        <v>373</v>
      </c>
      <c r="B1708" s="12" t="s">
        <v>381</v>
      </c>
      <c r="C1708" s="12" t="s">
        <v>479</v>
      </c>
      <c r="D1708" s="12">
        <v>0.36967285319400989</v>
      </c>
      <c r="E1708" s="12">
        <v>32921</v>
      </c>
      <c r="F1708" s="12">
        <v>12170</v>
      </c>
    </row>
    <row r="1709" spans="1:6">
      <c r="A1709" t="s">
        <v>373</v>
      </c>
      <c r="B1709" s="12" t="s">
        <v>381</v>
      </c>
      <c r="C1709" s="12" t="s">
        <v>22</v>
      </c>
      <c r="D1709" s="12">
        <v>8.8970565900185289E-2</v>
      </c>
      <c r="E1709" s="12">
        <v>32921</v>
      </c>
      <c r="F1709" s="12">
        <v>2929</v>
      </c>
    </row>
    <row r="1710" spans="1:6">
      <c r="A1710" t="s">
        <v>373</v>
      </c>
      <c r="B1710" s="12" t="s">
        <v>381</v>
      </c>
      <c r="C1710" s="12" t="s">
        <v>478</v>
      </c>
      <c r="D1710" s="12">
        <v>3.7787430515476443E-2</v>
      </c>
      <c r="E1710" s="12">
        <v>32921</v>
      </c>
      <c r="F1710" s="12">
        <v>1244</v>
      </c>
    </row>
    <row r="1711" spans="1:6">
      <c r="A1711" t="s">
        <v>373</v>
      </c>
      <c r="B1711" s="12" t="s">
        <v>381</v>
      </c>
      <c r="C1711" s="12" t="s">
        <v>20</v>
      </c>
      <c r="D1711" s="12">
        <v>3.9792229883660886E-2</v>
      </c>
      <c r="E1711" s="12">
        <v>32921</v>
      </c>
      <c r="F1711" s="12">
        <v>1310</v>
      </c>
    </row>
    <row r="1712" spans="1:6">
      <c r="A1712" t="s">
        <v>373</v>
      </c>
      <c r="B1712" s="12" t="s">
        <v>382</v>
      </c>
      <c r="C1712" s="12" t="s">
        <v>480</v>
      </c>
      <c r="D1712" s="12">
        <v>0.4426675282018146</v>
      </c>
      <c r="E1712" s="12">
        <v>37143</v>
      </c>
      <c r="F1712" s="12">
        <v>16442</v>
      </c>
    </row>
    <row r="1713" spans="1:6">
      <c r="A1713" t="s">
        <v>373</v>
      </c>
      <c r="B1713" s="12" t="s">
        <v>382</v>
      </c>
      <c r="C1713" s="12" t="s">
        <v>479</v>
      </c>
      <c r="D1713" s="12">
        <v>0.38898311929569501</v>
      </c>
      <c r="E1713" s="12">
        <v>37143</v>
      </c>
      <c r="F1713" s="12">
        <v>14448</v>
      </c>
    </row>
    <row r="1714" spans="1:6">
      <c r="A1714" t="s">
        <v>373</v>
      </c>
      <c r="B1714" s="12" t="s">
        <v>382</v>
      </c>
      <c r="C1714" s="12" t="s">
        <v>22</v>
      </c>
      <c r="D1714" s="12">
        <v>9.6491936569474732E-2</v>
      </c>
      <c r="E1714" s="12">
        <v>37143</v>
      </c>
      <c r="F1714" s="12">
        <v>3584</v>
      </c>
    </row>
    <row r="1715" spans="1:6">
      <c r="A1715" t="s">
        <v>373</v>
      </c>
      <c r="B1715" s="12" t="s">
        <v>382</v>
      </c>
      <c r="C1715" s="12" t="s">
        <v>478</v>
      </c>
      <c r="D1715" s="12">
        <v>3.6669089734270251E-2</v>
      </c>
      <c r="E1715" s="12">
        <v>37143</v>
      </c>
      <c r="F1715" s="12">
        <v>1362</v>
      </c>
    </row>
    <row r="1716" spans="1:6">
      <c r="A1716" t="s">
        <v>373</v>
      </c>
      <c r="B1716" s="12" t="s">
        <v>382</v>
      </c>
      <c r="C1716" s="12" t="s">
        <v>20</v>
      </c>
      <c r="D1716" s="12">
        <v>3.5188326198745387E-2</v>
      </c>
      <c r="E1716" s="12">
        <v>37143</v>
      </c>
      <c r="F1716" s="12">
        <v>1307</v>
      </c>
    </row>
    <row r="1717" spans="1:6">
      <c r="A1717" t="s">
        <v>383</v>
      </c>
      <c r="B1717" s="12" t="s">
        <v>385</v>
      </c>
      <c r="C1717" s="12" t="s">
        <v>480</v>
      </c>
      <c r="D1717" s="12">
        <v>0.47785012128175669</v>
      </c>
      <c r="E1717" s="12">
        <v>7833</v>
      </c>
      <c r="F1717" s="12">
        <v>3743</v>
      </c>
    </row>
    <row r="1718" spans="1:6">
      <c r="A1718" t="s">
        <v>383</v>
      </c>
      <c r="B1718" s="12" t="s">
        <v>385</v>
      </c>
      <c r="C1718" s="12" t="s">
        <v>479</v>
      </c>
      <c r="D1718" s="12">
        <v>0.47031788586748374</v>
      </c>
      <c r="E1718" s="12">
        <v>7833</v>
      </c>
      <c r="F1718" s="12">
        <v>3684</v>
      </c>
    </row>
    <row r="1719" spans="1:6">
      <c r="A1719" t="s">
        <v>383</v>
      </c>
      <c r="B1719" s="12" t="s">
        <v>385</v>
      </c>
      <c r="C1719" s="12" t="s">
        <v>22</v>
      </c>
      <c r="D1719" s="12">
        <v>4.3533767394357208E-2</v>
      </c>
      <c r="E1719" s="12">
        <v>7833</v>
      </c>
      <c r="F1719" s="12">
        <v>341</v>
      </c>
    </row>
    <row r="1720" spans="1:6">
      <c r="A1720" t="s">
        <v>383</v>
      </c>
      <c r="B1720" s="12" t="s">
        <v>385</v>
      </c>
      <c r="C1720" s="12" t="s">
        <v>478</v>
      </c>
      <c r="D1720" s="12">
        <v>6.7662453721434954E-3</v>
      </c>
      <c r="E1720" s="12">
        <v>7833</v>
      </c>
      <c r="F1720" s="12">
        <v>53</v>
      </c>
    </row>
    <row r="1721" spans="1:6">
      <c r="A1721" t="s">
        <v>383</v>
      </c>
      <c r="B1721" s="12" t="s">
        <v>385</v>
      </c>
      <c r="C1721" s="12" t="s">
        <v>20</v>
      </c>
      <c r="D1721" s="12">
        <v>1.7873100983020554E-3</v>
      </c>
      <c r="E1721" s="12">
        <v>7833</v>
      </c>
      <c r="F1721" s="12">
        <v>14</v>
      </c>
    </row>
    <row r="1722" spans="1:6">
      <c r="A1722" t="s">
        <v>383</v>
      </c>
      <c r="B1722" s="12" t="s">
        <v>386</v>
      </c>
      <c r="C1722" s="12" t="s">
        <v>480</v>
      </c>
      <c r="D1722" s="12">
        <v>0.48028685158273837</v>
      </c>
      <c r="E1722" s="12">
        <v>696388</v>
      </c>
      <c r="F1722" s="12">
        <v>334466</v>
      </c>
    </row>
    <row r="1723" spans="1:6">
      <c r="A1723" t="s">
        <v>383</v>
      </c>
      <c r="B1723" s="12" t="s">
        <v>386</v>
      </c>
      <c r="C1723" s="12" t="s">
        <v>479</v>
      </c>
      <c r="D1723" s="12">
        <v>0.39736181553961297</v>
      </c>
      <c r="E1723" s="12">
        <v>696388</v>
      </c>
      <c r="F1723" s="12">
        <v>276718</v>
      </c>
    </row>
    <row r="1724" spans="1:6">
      <c r="A1724" t="s">
        <v>383</v>
      </c>
      <c r="B1724" s="12" t="s">
        <v>386</v>
      </c>
      <c r="C1724" s="12" t="s">
        <v>22</v>
      </c>
      <c r="D1724" s="12">
        <v>7.8451954944657287E-2</v>
      </c>
      <c r="E1724" s="12">
        <v>696388</v>
      </c>
      <c r="F1724" s="12">
        <v>54633</v>
      </c>
    </row>
    <row r="1725" spans="1:6">
      <c r="A1725" t="s">
        <v>383</v>
      </c>
      <c r="B1725" s="12" t="s">
        <v>386</v>
      </c>
      <c r="C1725" s="12" t="s">
        <v>478</v>
      </c>
      <c r="D1725" s="12">
        <v>2.4035451501174632E-2</v>
      </c>
      <c r="E1725" s="12">
        <v>696388</v>
      </c>
      <c r="F1725" s="12">
        <v>16738</v>
      </c>
    </row>
    <row r="1726" spans="1:6">
      <c r="A1726" t="s">
        <v>383</v>
      </c>
      <c r="B1726" s="12" t="s">
        <v>386</v>
      </c>
      <c r="C1726" s="12" t="s">
        <v>20</v>
      </c>
      <c r="D1726" s="12">
        <v>1.9865362412907747E-2</v>
      </c>
      <c r="E1726" s="12">
        <v>696388</v>
      </c>
      <c r="F1726" s="12">
        <v>13834</v>
      </c>
    </row>
    <row r="1727" spans="1:6">
      <c r="A1727" t="s">
        <v>383</v>
      </c>
      <c r="B1727" s="12" t="s">
        <v>387</v>
      </c>
      <c r="C1727" s="12" t="s">
        <v>480</v>
      </c>
      <c r="D1727" s="12">
        <v>0.49543556286572055</v>
      </c>
      <c r="E1727" s="12">
        <v>163547</v>
      </c>
      <c r="F1727" s="12">
        <v>81027</v>
      </c>
    </row>
    <row r="1728" spans="1:6">
      <c r="A1728" t="s">
        <v>383</v>
      </c>
      <c r="B1728" s="12" t="s">
        <v>387</v>
      </c>
      <c r="C1728" s="12" t="s">
        <v>479</v>
      </c>
      <c r="D1728" s="12">
        <v>0.38755831656954881</v>
      </c>
      <c r="E1728" s="12">
        <v>163547</v>
      </c>
      <c r="F1728" s="12">
        <v>63384</v>
      </c>
    </row>
    <row r="1729" spans="1:6">
      <c r="A1729" t="s">
        <v>383</v>
      </c>
      <c r="B1729" s="12" t="s">
        <v>387</v>
      </c>
      <c r="C1729" s="12" t="s">
        <v>22</v>
      </c>
      <c r="D1729" s="12">
        <v>7.4412859911829624E-2</v>
      </c>
      <c r="E1729" s="12">
        <v>163547</v>
      </c>
      <c r="F1729" s="12">
        <v>12170</v>
      </c>
    </row>
    <row r="1730" spans="1:6">
      <c r="A1730" t="s">
        <v>383</v>
      </c>
      <c r="B1730" s="12" t="s">
        <v>387</v>
      </c>
      <c r="C1730" s="12" t="s">
        <v>478</v>
      </c>
      <c r="D1730" s="12">
        <v>2.2727411692051825E-2</v>
      </c>
      <c r="E1730" s="12">
        <v>163547</v>
      </c>
      <c r="F1730" s="12">
        <v>3717</v>
      </c>
    </row>
    <row r="1731" spans="1:6">
      <c r="A1731" t="s">
        <v>383</v>
      </c>
      <c r="B1731" s="12" t="s">
        <v>387</v>
      </c>
      <c r="C1731" s="12" t="s">
        <v>20</v>
      </c>
      <c r="D1731" s="12">
        <v>1.9823047808886742E-2</v>
      </c>
      <c r="E1731" s="12">
        <v>163547</v>
      </c>
      <c r="F1731" s="12">
        <v>3242</v>
      </c>
    </row>
    <row r="1732" spans="1:6">
      <c r="A1732" t="s">
        <v>383</v>
      </c>
      <c r="B1732" s="12" t="s">
        <v>388</v>
      </c>
      <c r="C1732" s="12" t="s">
        <v>480</v>
      </c>
      <c r="D1732" s="12">
        <v>0.53811879566228749</v>
      </c>
      <c r="E1732" s="12">
        <v>152615</v>
      </c>
      <c r="F1732" s="12">
        <v>82125</v>
      </c>
    </row>
    <row r="1733" spans="1:6">
      <c r="A1733" t="s">
        <v>383</v>
      </c>
      <c r="B1733" s="12" t="s">
        <v>388</v>
      </c>
      <c r="C1733" s="12" t="s">
        <v>479</v>
      </c>
      <c r="D1733" s="12">
        <v>0.35571208596795861</v>
      </c>
      <c r="E1733" s="12">
        <v>152615</v>
      </c>
      <c r="F1733" s="12">
        <v>54287</v>
      </c>
    </row>
    <row r="1734" spans="1:6">
      <c r="A1734" t="s">
        <v>383</v>
      </c>
      <c r="B1734" s="12" t="s">
        <v>388</v>
      </c>
      <c r="C1734" s="12" t="s">
        <v>22</v>
      </c>
      <c r="D1734" s="12">
        <v>6.6068210857386234E-2</v>
      </c>
      <c r="E1734" s="12">
        <v>152615</v>
      </c>
      <c r="F1734" s="12">
        <v>10083</v>
      </c>
    </row>
    <row r="1735" spans="1:6">
      <c r="A1735" t="s">
        <v>383</v>
      </c>
      <c r="B1735" s="12" t="s">
        <v>388</v>
      </c>
      <c r="C1735" s="12" t="s">
        <v>478</v>
      </c>
      <c r="D1735" s="12">
        <v>2.0843298496215967E-2</v>
      </c>
      <c r="E1735" s="12">
        <v>152615</v>
      </c>
      <c r="F1735" s="12">
        <v>3181</v>
      </c>
    </row>
    <row r="1736" spans="1:6">
      <c r="A1736" t="s">
        <v>383</v>
      </c>
      <c r="B1736" s="12" t="s">
        <v>388</v>
      </c>
      <c r="C1736" s="12" t="s">
        <v>20</v>
      </c>
      <c r="D1736" s="12">
        <v>1.9264161452019788E-2</v>
      </c>
      <c r="E1736" s="12">
        <v>152615</v>
      </c>
      <c r="F1736" s="12">
        <v>2940</v>
      </c>
    </row>
    <row r="1737" spans="1:6">
      <c r="A1737" t="s">
        <v>383</v>
      </c>
      <c r="B1737" s="12" t="s">
        <v>389</v>
      </c>
      <c r="C1737" s="12" t="s">
        <v>480</v>
      </c>
      <c r="D1737" s="12">
        <v>0.52009391597711363</v>
      </c>
      <c r="E1737" s="12">
        <v>263214</v>
      </c>
      <c r="F1737" s="12">
        <v>136896</v>
      </c>
    </row>
    <row r="1738" spans="1:6">
      <c r="A1738" t="s">
        <v>383</v>
      </c>
      <c r="B1738" s="12" t="s">
        <v>389</v>
      </c>
      <c r="C1738" s="12" t="s">
        <v>479</v>
      </c>
      <c r="D1738" s="12">
        <v>0.35125031343317603</v>
      </c>
      <c r="E1738" s="12">
        <v>263214</v>
      </c>
      <c r="F1738" s="12">
        <v>92454</v>
      </c>
    </row>
    <row r="1739" spans="1:6">
      <c r="A1739" t="s">
        <v>383</v>
      </c>
      <c r="B1739" s="12" t="s">
        <v>389</v>
      </c>
      <c r="C1739" s="12" t="s">
        <v>22</v>
      </c>
      <c r="D1739" s="12">
        <v>7.3297772914814568E-2</v>
      </c>
      <c r="E1739" s="12">
        <v>263214</v>
      </c>
      <c r="F1739" s="12">
        <v>19293</v>
      </c>
    </row>
    <row r="1740" spans="1:6">
      <c r="A1740" t="s">
        <v>383</v>
      </c>
      <c r="B1740" s="12" t="s">
        <v>389</v>
      </c>
      <c r="C1740" s="12" t="s">
        <v>478</v>
      </c>
      <c r="D1740" s="12">
        <v>2.6898265289840205E-2</v>
      </c>
      <c r="E1740" s="12">
        <v>263214</v>
      </c>
      <c r="F1740" s="12">
        <v>7080</v>
      </c>
    </row>
    <row r="1741" spans="1:6">
      <c r="A1741" t="s">
        <v>383</v>
      </c>
      <c r="B1741" s="12" t="s">
        <v>389</v>
      </c>
      <c r="C1741" s="12" t="s">
        <v>20</v>
      </c>
      <c r="D1741" s="12">
        <v>2.8444535625004749E-2</v>
      </c>
      <c r="E1741" s="12">
        <v>263214</v>
      </c>
      <c r="F1741" s="12">
        <v>7487</v>
      </c>
    </row>
    <row r="1742" spans="1:6">
      <c r="A1742" t="s">
        <v>383</v>
      </c>
      <c r="B1742" s="12" t="s">
        <v>390</v>
      </c>
      <c r="C1742" s="12" t="s">
        <v>480</v>
      </c>
      <c r="D1742" s="12">
        <v>0.56959570341638077</v>
      </c>
      <c r="E1742" s="12">
        <v>60327</v>
      </c>
      <c r="F1742" s="12">
        <v>34362</v>
      </c>
    </row>
    <row r="1743" spans="1:6">
      <c r="A1743" t="s">
        <v>383</v>
      </c>
      <c r="B1743" s="12" t="s">
        <v>390</v>
      </c>
      <c r="C1743" s="12" t="s">
        <v>479</v>
      </c>
      <c r="D1743" s="12">
        <v>0.31740348434366039</v>
      </c>
      <c r="E1743" s="12">
        <v>60327</v>
      </c>
      <c r="F1743" s="12">
        <v>19148</v>
      </c>
    </row>
    <row r="1744" spans="1:6">
      <c r="A1744" t="s">
        <v>383</v>
      </c>
      <c r="B1744" s="12" t="s">
        <v>390</v>
      </c>
      <c r="C1744" s="12" t="s">
        <v>22</v>
      </c>
      <c r="D1744" s="12">
        <v>6.4266414706516159E-2</v>
      </c>
      <c r="E1744" s="12">
        <v>60327</v>
      </c>
      <c r="F1744" s="12">
        <v>3877</v>
      </c>
    </row>
    <row r="1745" spans="1:6">
      <c r="A1745" t="s">
        <v>383</v>
      </c>
      <c r="B1745" s="12" t="s">
        <v>390</v>
      </c>
      <c r="C1745" s="12" t="s">
        <v>478</v>
      </c>
      <c r="D1745" s="12">
        <v>2.3820180018897012E-2</v>
      </c>
      <c r="E1745" s="12">
        <v>60327</v>
      </c>
      <c r="F1745" s="12">
        <v>1437</v>
      </c>
    </row>
    <row r="1746" spans="1:6">
      <c r="A1746" t="s">
        <v>383</v>
      </c>
      <c r="B1746" s="12" t="s">
        <v>390</v>
      </c>
      <c r="C1746" s="12" t="s">
        <v>20</v>
      </c>
      <c r="D1746" s="12">
        <v>2.4997099143003961E-2</v>
      </c>
      <c r="E1746" s="12">
        <v>60327</v>
      </c>
      <c r="F1746" s="12">
        <v>1508</v>
      </c>
    </row>
    <row r="1747" spans="1:6">
      <c r="A1747" t="s">
        <v>383</v>
      </c>
      <c r="B1747" s="12" t="s">
        <v>391</v>
      </c>
      <c r="C1747" s="12" t="s">
        <v>480</v>
      </c>
      <c r="D1747" s="12">
        <v>0.50946522840436526</v>
      </c>
      <c r="E1747" s="12">
        <v>126727</v>
      </c>
      <c r="F1747" s="12">
        <v>64563</v>
      </c>
    </row>
    <row r="1748" spans="1:6">
      <c r="A1748" t="s">
        <v>383</v>
      </c>
      <c r="B1748" s="12" t="s">
        <v>391</v>
      </c>
      <c r="C1748" s="12" t="s">
        <v>479</v>
      </c>
      <c r="D1748" s="12">
        <v>0.35551224285274646</v>
      </c>
      <c r="E1748" s="12">
        <v>126727</v>
      </c>
      <c r="F1748" s="12">
        <v>45053</v>
      </c>
    </row>
    <row r="1749" spans="1:6">
      <c r="A1749" t="s">
        <v>383</v>
      </c>
      <c r="B1749" s="12" t="s">
        <v>391</v>
      </c>
      <c r="C1749" s="12" t="s">
        <v>22</v>
      </c>
      <c r="D1749" s="12">
        <v>7.6503034081135041E-2</v>
      </c>
      <c r="E1749" s="12">
        <v>126727</v>
      </c>
      <c r="F1749" s="12">
        <v>9695</v>
      </c>
    </row>
    <row r="1750" spans="1:6">
      <c r="A1750" t="s">
        <v>383</v>
      </c>
      <c r="B1750" s="12" t="s">
        <v>391</v>
      </c>
      <c r="C1750" s="12" t="s">
        <v>478</v>
      </c>
      <c r="D1750" s="12">
        <v>2.8320720919772426E-2</v>
      </c>
      <c r="E1750" s="12">
        <v>126727</v>
      </c>
      <c r="F1750" s="12">
        <v>3589</v>
      </c>
    </row>
    <row r="1751" spans="1:6">
      <c r="A1751" t="s">
        <v>383</v>
      </c>
      <c r="B1751" s="12" t="s">
        <v>391</v>
      </c>
      <c r="C1751" s="12" t="s">
        <v>20</v>
      </c>
      <c r="D1751" s="12">
        <v>3.0159318850757927E-2</v>
      </c>
      <c r="E1751" s="12">
        <v>126727</v>
      </c>
      <c r="F1751" s="12">
        <v>3822</v>
      </c>
    </row>
    <row r="1752" spans="1:6">
      <c r="A1752" t="s">
        <v>383</v>
      </c>
      <c r="B1752" s="12" t="s">
        <v>392</v>
      </c>
      <c r="C1752" s="12" t="s">
        <v>480</v>
      </c>
      <c r="D1752" s="12">
        <v>0.46574033125526054</v>
      </c>
      <c r="E1752" s="12">
        <v>70097</v>
      </c>
      <c r="F1752" s="12">
        <v>32647</v>
      </c>
    </row>
    <row r="1753" spans="1:6">
      <c r="A1753" t="s">
        <v>383</v>
      </c>
      <c r="B1753" s="12" t="s">
        <v>392</v>
      </c>
      <c r="C1753" s="12" t="s">
        <v>479</v>
      </c>
      <c r="D1753" s="12">
        <v>0.36927400602022908</v>
      </c>
      <c r="E1753" s="12">
        <v>70097</v>
      </c>
      <c r="F1753" s="12">
        <v>25885</v>
      </c>
    </row>
    <row r="1754" spans="1:6">
      <c r="A1754" t="s">
        <v>383</v>
      </c>
      <c r="B1754" s="12" t="s">
        <v>392</v>
      </c>
      <c r="C1754" s="12" t="s">
        <v>22</v>
      </c>
      <c r="D1754" s="12">
        <v>9.4511890665791687E-2</v>
      </c>
      <c r="E1754" s="12">
        <v>70097</v>
      </c>
      <c r="F1754" s="12">
        <v>6625</v>
      </c>
    </row>
    <row r="1755" spans="1:6">
      <c r="A1755" t="s">
        <v>383</v>
      </c>
      <c r="B1755" s="12" t="s">
        <v>392</v>
      </c>
      <c r="C1755" s="12" t="s">
        <v>478</v>
      </c>
      <c r="D1755" s="12">
        <v>3.5436609270011556E-2</v>
      </c>
      <c r="E1755" s="12">
        <v>70097</v>
      </c>
      <c r="F1755" s="12">
        <v>2484</v>
      </c>
    </row>
    <row r="1756" spans="1:6">
      <c r="A1756" t="s">
        <v>383</v>
      </c>
      <c r="B1756" s="12" t="s">
        <v>392</v>
      </c>
      <c r="C1756" s="12" t="s">
        <v>20</v>
      </c>
      <c r="D1756" s="12">
        <v>3.496583305990271E-2</v>
      </c>
      <c r="E1756" s="12">
        <v>70097</v>
      </c>
      <c r="F1756" s="12">
        <v>2451</v>
      </c>
    </row>
    <row r="1757" spans="1:6">
      <c r="A1757" t="s">
        <v>383</v>
      </c>
      <c r="B1757" s="12" t="s">
        <v>393</v>
      </c>
      <c r="C1757" s="12" t="s">
        <v>480</v>
      </c>
      <c r="D1757" s="12">
        <v>0.51646262457466008</v>
      </c>
      <c r="E1757" s="12">
        <v>82581</v>
      </c>
      <c r="F1757" s="12">
        <v>42650</v>
      </c>
    </row>
    <row r="1758" spans="1:6">
      <c r="A1758" t="s">
        <v>383</v>
      </c>
      <c r="B1758" s="12" t="s">
        <v>393</v>
      </c>
      <c r="C1758" s="12" t="s">
        <v>479</v>
      </c>
      <c r="D1758" s="12">
        <v>0.34115595597050169</v>
      </c>
      <c r="E1758" s="12">
        <v>82581</v>
      </c>
      <c r="F1758" s="12">
        <v>28173</v>
      </c>
    </row>
    <row r="1759" spans="1:6">
      <c r="A1759" t="s">
        <v>383</v>
      </c>
      <c r="B1759" s="12" t="s">
        <v>393</v>
      </c>
      <c r="C1759" s="12" t="s">
        <v>22</v>
      </c>
      <c r="D1759" s="12">
        <v>8.3251595403301001E-2</v>
      </c>
      <c r="E1759" s="12">
        <v>82581</v>
      </c>
      <c r="F1759" s="12">
        <v>6875</v>
      </c>
    </row>
    <row r="1760" spans="1:6">
      <c r="A1760" t="s">
        <v>383</v>
      </c>
      <c r="B1760" s="12" t="s">
        <v>393</v>
      </c>
      <c r="C1760" s="12" t="s">
        <v>478</v>
      </c>
      <c r="D1760" s="12">
        <v>2.9558857364284763E-2</v>
      </c>
      <c r="E1760" s="12">
        <v>82581</v>
      </c>
      <c r="F1760" s="12">
        <v>2441</v>
      </c>
    </row>
    <row r="1761" spans="1:6">
      <c r="A1761" t="s">
        <v>383</v>
      </c>
      <c r="B1761" s="12" t="s">
        <v>393</v>
      </c>
      <c r="C1761" s="12" t="s">
        <v>20</v>
      </c>
      <c r="D1761" s="12">
        <v>2.9486201426478245E-2</v>
      </c>
      <c r="E1761" s="12">
        <v>82581</v>
      </c>
      <c r="F1761" s="12">
        <v>2435</v>
      </c>
    </row>
    <row r="1762" spans="1:6">
      <c r="A1762" t="s">
        <v>383</v>
      </c>
      <c r="B1762" s="12" t="s">
        <v>394</v>
      </c>
      <c r="C1762" s="12" t="s">
        <v>480</v>
      </c>
      <c r="D1762" s="12">
        <v>0.5205179805757284</v>
      </c>
      <c r="E1762" s="12">
        <v>57145</v>
      </c>
      <c r="F1762" s="12">
        <v>29745</v>
      </c>
    </row>
    <row r="1763" spans="1:6">
      <c r="A1763" t="s">
        <v>383</v>
      </c>
      <c r="B1763" s="12" t="s">
        <v>394</v>
      </c>
      <c r="C1763" s="12" t="s">
        <v>479</v>
      </c>
      <c r="D1763" s="12">
        <v>0.35406422259165282</v>
      </c>
      <c r="E1763" s="12">
        <v>57145</v>
      </c>
      <c r="F1763" s="12">
        <v>20233</v>
      </c>
    </row>
    <row r="1764" spans="1:6">
      <c r="A1764" t="s">
        <v>383</v>
      </c>
      <c r="B1764" s="12" t="s">
        <v>394</v>
      </c>
      <c r="C1764" s="12" t="s">
        <v>22</v>
      </c>
      <c r="D1764" s="12">
        <v>7.5404672324787814E-2</v>
      </c>
      <c r="E1764" s="12">
        <v>57145</v>
      </c>
      <c r="F1764" s="12">
        <v>4309</v>
      </c>
    </row>
    <row r="1765" spans="1:6">
      <c r="A1765" t="s">
        <v>383</v>
      </c>
      <c r="B1765" s="12" t="s">
        <v>394</v>
      </c>
      <c r="C1765" s="12" t="s">
        <v>478</v>
      </c>
      <c r="D1765" s="12">
        <v>2.5864030098871293E-2</v>
      </c>
      <c r="E1765" s="12">
        <v>57145</v>
      </c>
      <c r="F1765" s="12">
        <v>1478</v>
      </c>
    </row>
    <row r="1766" spans="1:6">
      <c r="A1766" t="s">
        <v>383</v>
      </c>
      <c r="B1766" s="12" t="s">
        <v>394</v>
      </c>
      <c r="C1766" s="12" t="s">
        <v>20</v>
      </c>
      <c r="D1766" s="12">
        <v>2.4271589815381925E-2</v>
      </c>
      <c r="E1766" s="12">
        <v>57145</v>
      </c>
      <c r="F1766" s="12">
        <v>1387</v>
      </c>
    </row>
    <row r="1767" spans="1:6">
      <c r="A1767" t="s">
        <v>383</v>
      </c>
      <c r="B1767" s="12" t="s">
        <v>395</v>
      </c>
      <c r="C1767" s="12" t="s">
        <v>480</v>
      </c>
      <c r="D1767" s="12">
        <v>0.50992369354092804</v>
      </c>
      <c r="E1767" s="12">
        <v>51896</v>
      </c>
      <c r="F1767" s="12">
        <v>26463</v>
      </c>
    </row>
    <row r="1768" spans="1:6">
      <c r="A1768" t="s">
        <v>383</v>
      </c>
      <c r="B1768" s="12" t="s">
        <v>395</v>
      </c>
      <c r="C1768" s="12" t="s">
        <v>479</v>
      </c>
      <c r="D1768" s="12">
        <v>0.36160783104670879</v>
      </c>
      <c r="E1768" s="12">
        <v>51896</v>
      </c>
      <c r="F1768" s="12">
        <v>18766</v>
      </c>
    </row>
    <row r="1769" spans="1:6">
      <c r="A1769" t="s">
        <v>383</v>
      </c>
      <c r="B1769" s="12" t="s">
        <v>395</v>
      </c>
      <c r="C1769" s="12" t="s">
        <v>22</v>
      </c>
      <c r="D1769" s="12">
        <v>7.7616772005549561E-2</v>
      </c>
      <c r="E1769" s="12">
        <v>51896</v>
      </c>
      <c r="F1769" s="12">
        <v>4028</v>
      </c>
    </row>
    <row r="1770" spans="1:6">
      <c r="A1770" t="s">
        <v>383</v>
      </c>
      <c r="B1770" s="12" t="s">
        <v>395</v>
      </c>
      <c r="C1770" s="12" t="s">
        <v>478</v>
      </c>
      <c r="D1770" s="12">
        <v>2.6495298288885465E-2</v>
      </c>
      <c r="E1770" s="12">
        <v>51896</v>
      </c>
      <c r="F1770" s="12">
        <v>1375</v>
      </c>
    </row>
    <row r="1771" spans="1:6">
      <c r="A1771" t="s">
        <v>383</v>
      </c>
      <c r="B1771" s="12" t="s">
        <v>395</v>
      </c>
      <c r="C1771" s="12" t="s">
        <v>20</v>
      </c>
      <c r="D1771" s="12">
        <v>2.4279327886542315E-2</v>
      </c>
      <c r="E1771" s="12">
        <v>51896</v>
      </c>
      <c r="F1771" s="12">
        <v>1260</v>
      </c>
    </row>
    <row r="1772" spans="1:6">
      <c r="A1772" t="s">
        <v>383</v>
      </c>
      <c r="B1772" s="12" t="s">
        <v>396</v>
      </c>
      <c r="C1772" s="12" t="s">
        <v>480</v>
      </c>
      <c r="D1772" s="12">
        <v>0.54106207928197458</v>
      </c>
      <c r="E1772" s="12">
        <v>46795</v>
      </c>
      <c r="F1772" s="12">
        <v>25319</v>
      </c>
    </row>
    <row r="1773" spans="1:6">
      <c r="A1773" t="s">
        <v>383</v>
      </c>
      <c r="B1773" s="12" t="s">
        <v>396</v>
      </c>
      <c r="C1773" s="12" t="s">
        <v>479</v>
      </c>
      <c r="D1773" s="12">
        <v>0.33339031947857678</v>
      </c>
      <c r="E1773" s="12">
        <v>46795</v>
      </c>
      <c r="F1773" s="12">
        <v>15601</v>
      </c>
    </row>
    <row r="1774" spans="1:6">
      <c r="A1774" t="s">
        <v>383</v>
      </c>
      <c r="B1774" s="12" t="s">
        <v>396</v>
      </c>
      <c r="C1774" s="12" t="s">
        <v>22</v>
      </c>
      <c r="D1774" s="12">
        <v>6.859707233678812E-2</v>
      </c>
      <c r="E1774" s="12">
        <v>46795</v>
      </c>
      <c r="F1774" s="12">
        <v>3210</v>
      </c>
    </row>
    <row r="1775" spans="1:6">
      <c r="A1775" t="s">
        <v>383</v>
      </c>
      <c r="B1775" s="12" t="s">
        <v>396</v>
      </c>
      <c r="C1775" s="12" t="s">
        <v>478</v>
      </c>
      <c r="D1775" s="12">
        <v>2.4318837482637034E-2</v>
      </c>
      <c r="E1775" s="12">
        <v>46795</v>
      </c>
      <c r="F1775" s="12">
        <v>1138</v>
      </c>
    </row>
    <row r="1776" spans="1:6">
      <c r="A1776" t="s">
        <v>383</v>
      </c>
      <c r="B1776" s="12" t="s">
        <v>396</v>
      </c>
      <c r="C1776" s="12" t="s">
        <v>20</v>
      </c>
      <c r="D1776" s="12">
        <v>3.2738540442354955E-2</v>
      </c>
      <c r="E1776" s="12">
        <v>46795</v>
      </c>
      <c r="F1776" s="12">
        <v>1532</v>
      </c>
    </row>
    <row r="1777" spans="1:6">
      <c r="A1777" t="s">
        <v>383</v>
      </c>
      <c r="B1777" s="12" t="s">
        <v>398</v>
      </c>
      <c r="C1777" s="12" t="s">
        <v>480</v>
      </c>
      <c r="D1777" s="12">
        <v>0.57075197341088491</v>
      </c>
      <c r="E1777" s="12">
        <v>36105</v>
      </c>
      <c r="F1777" s="12">
        <v>20607</v>
      </c>
    </row>
    <row r="1778" spans="1:6">
      <c r="A1778" t="s">
        <v>383</v>
      </c>
      <c r="B1778" s="12" t="s">
        <v>398</v>
      </c>
      <c r="C1778" s="12" t="s">
        <v>479</v>
      </c>
      <c r="D1778" s="12">
        <v>0.30253427503115909</v>
      </c>
      <c r="E1778" s="12">
        <v>36105</v>
      </c>
      <c r="F1778" s="12">
        <v>10923</v>
      </c>
    </row>
    <row r="1779" spans="1:6">
      <c r="A1779" t="s">
        <v>383</v>
      </c>
      <c r="B1779" s="12" t="s">
        <v>398</v>
      </c>
      <c r="C1779" s="12" t="s">
        <v>22</v>
      </c>
      <c r="D1779" s="12">
        <v>6.8716244287494802E-2</v>
      </c>
      <c r="E1779" s="12">
        <v>36105</v>
      </c>
      <c r="F1779" s="12">
        <v>2481</v>
      </c>
    </row>
    <row r="1780" spans="1:6">
      <c r="A1780" t="s">
        <v>383</v>
      </c>
      <c r="B1780" s="12" t="s">
        <v>398</v>
      </c>
      <c r="C1780" s="12" t="s">
        <v>478</v>
      </c>
      <c r="D1780" s="12">
        <v>2.8887965655726353E-2</v>
      </c>
      <c r="E1780" s="12">
        <v>36105</v>
      </c>
      <c r="F1780" s="12">
        <v>1043</v>
      </c>
    </row>
    <row r="1781" spans="1:6">
      <c r="A1781" t="s">
        <v>383</v>
      </c>
      <c r="B1781" s="12" t="s">
        <v>398</v>
      </c>
      <c r="C1781" s="12" t="s">
        <v>20</v>
      </c>
      <c r="D1781" s="12">
        <v>2.91095416147348E-2</v>
      </c>
      <c r="E1781" s="12">
        <v>36105</v>
      </c>
      <c r="F1781" s="12">
        <v>1051</v>
      </c>
    </row>
    <row r="1782" spans="1:6">
      <c r="A1782" t="s">
        <v>397</v>
      </c>
      <c r="B1782" s="12" t="s">
        <v>397</v>
      </c>
      <c r="C1782" s="12" t="s">
        <v>480</v>
      </c>
      <c r="D1782" s="12">
        <v>0.33814737452351296</v>
      </c>
      <c r="E1782" s="12">
        <v>8824741</v>
      </c>
      <c r="F1782" s="12">
        <v>2984063</v>
      </c>
    </row>
    <row r="1783" spans="1:6">
      <c r="A1783" t="s">
        <v>397</v>
      </c>
      <c r="B1783" s="12" t="s">
        <v>397</v>
      </c>
      <c r="C1783" s="12" t="s">
        <v>479</v>
      </c>
      <c r="D1783" s="12">
        <v>0.43322755874648333</v>
      </c>
      <c r="E1783" s="12">
        <v>8824741</v>
      </c>
      <c r="F1783" s="12">
        <v>3823121</v>
      </c>
    </row>
    <row r="1784" spans="1:6">
      <c r="A1784" t="s">
        <v>397</v>
      </c>
      <c r="B1784" s="12" t="s">
        <v>397</v>
      </c>
      <c r="C1784" s="12" t="s">
        <v>22</v>
      </c>
      <c r="D1784" s="12">
        <v>0.13155955511895476</v>
      </c>
      <c r="E1784" s="12">
        <v>8824741</v>
      </c>
      <c r="F1784" s="12">
        <v>1160979</v>
      </c>
    </row>
    <row r="1785" spans="1:6">
      <c r="A1785" t="s">
        <v>397</v>
      </c>
      <c r="B1785" s="12" t="s">
        <v>397</v>
      </c>
      <c r="C1785" s="12" t="s">
        <v>478</v>
      </c>
      <c r="D1785" s="12">
        <v>5.0765569210473149E-2</v>
      </c>
      <c r="E1785" s="12">
        <v>8824741</v>
      </c>
      <c r="F1785" s="12">
        <v>447993</v>
      </c>
    </row>
    <row r="1786" spans="1:6">
      <c r="A1786" t="s">
        <v>397</v>
      </c>
      <c r="B1786" s="12" t="s">
        <v>397</v>
      </c>
      <c r="C1786" s="12" t="s">
        <v>20</v>
      </c>
      <c r="D1786" s="12">
        <v>4.630005571834913E-2</v>
      </c>
      <c r="E1786" s="12">
        <v>8824741</v>
      </c>
      <c r="F1786" s="12">
        <v>408586</v>
      </c>
    </row>
    <row r="1787" spans="1:6">
      <c r="A1787" t="s">
        <v>397</v>
      </c>
      <c r="B1787" s="12" t="s">
        <v>399</v>
      </c>
      <c r="C1787" s="12" t="s">
        <v>480</v>
      </c>
      <c r="D1787" s="12">
        <v>0.4093188893431024</v>
      </c>
      <c r="E1787" s="12">
        <v>127204</v>
      </c>
      <c r="F1787" s="12">
        <v>52067</v>
      </c>
    </row>
    <row r="1788" spans="1:6">
      <c r="A1788" t="s">
        <v>397</v>
      </c>
      <c r="B1788" s="12" t="s">
        <v>399</v>
      </c>
      <c r="C1788" s="12" t="s">
        <v>479</v>
      </c>
      <c r="D1788" s="12">
        <v>0.40861922581050908</v>
      </c>
      <c r="E1788" s="12">
        <v>127204</v>
      </c>
      <c r="F1788" s="12">
        <v>51978</v>
      </c>
    </row>
    <row r="1789" spans="1:6">
      <c r="A1789" t="s">
        <v>397</v>
      </c>
      <c r="B1789" s="12" t="s">
        <v>399</v>
      </c>
      <c r="C1789" s="12" t="s">
        <v>22</v>
      </c>
      <c r="D1789" s="12">
        <v>0.10828275840382377</v>
      </c>
      <c r="E1789" s="12">
        <v>127204</v>
      </c>
      <c r="F1789" s="12">
        <v>13774</v>
      </c>
    </row>
    <row r="1790" spans="1:6">
      <c r="A1790" t="s">
        <v>397</v>
      </c>
      <c r="B1790" s="12" t="s">
        <v>399</v>
      </c>
      <c r="C1790" s="12" t="s">
        <v>478</v>
      </c>
      <c r="D1790" s="12">
        <v>3.8921732021005628E-2</v>
      </c>
      <c r="E1790" s="12">
        <v>127204</v>
      </c>
      <c r="F1790" s="12">
        <v>4951</v>
      </c>
    </row>
    <row r="1791" spans="1:6">
      <c r="A1791" t="s">
        <v>397</v>
      </c>
      <c r="B1791" s="12" t="s">
        <v>399</v>
      </c>
      <c r="C1791" s="12" t="s">
        <v>20</v>
      </c>
      <c r="D1791" s="12">
        <v>3.484167164554574E-2</v>
      </c>
      <c r="E1791" s="12">
        <v>127204</v>
      </c>
      <c r="F1791" s="12">
        <v>4432</v>
      </c>
    </row>
    <row r="1792" spans="1:6">
      <c r="A1792" t="s">
        <v>397</v>
      </c>
      <c r="B1792" s="12" t="s">
        <v>400</v>
      </c>
      <c r="C1792" s="12" t="s">
        <v>480</v>
      </c>
      <c r="D1792" s="12">
        <v>0.4480769392958851</v>
      </c>
      <c r="E1792" s="12">
        <v>355709</v>
      </c>
      <c r="F1792" s="12">
        <v>159385</v>
      </c>
    </row>
    <row r="1793" spans="1:6">
      <c r="A1793" t="s">
        <v>397</v>
      </c>
      <c r="B1793" s="12" t="s">
        <v>400</v>
      </c>
      <c r="C1793" s="12" t="s">
        <v>479</v>
      </c>
      <c r="D1793" s="12">
        <v>0.41208965755716048</v>
      </c>
      <c r="E1793" s="12">
        <v>355709</v>
      </c>
      <c r="F1793" s="12">
        <v>146584</v>
      </c>
    </row>
    <row r="1794" spans="1:6">
      <c r="A1794" t="s">
        <v>397</v>
      </c>
      <c r="B1794" s="12" t="s">
        <v>400</v>
      </c>
      <c r="C1794" s="12" t="s">
        <v>22</v>
      </c>
      <c r="D1794" s="12">
        <v>9.0087684033859139E-2</v>
      </c>
      <c r="E1794" s="12">
        <v>355709</v>
      </c>
      <c r="F1794" s="12">
        <v>32045</v>
      </c>
    </row>
    <row r="1795" spans="1:6">
      <c r="A1795" t="s">
        <v>397</v>
      </c>
      <c r="B1795" s="12" t="s">
        <v>400</v>
      </c>
      <c r="C1795" s="12" t="s">
        <v>478</v>
      </c>
      <c r="D1795" s="12">
        <v>2.798354834991524E-2</v>
      </c>
      <c r="E1795" s="12">
        <v>355709</v>
      </c>
      <c r="F1795" s="12">
        <v>9954</v>
      </c>
    </row>
    <row r="1796" spans="1:6">
      <c r="A1796" t="s">
        <v>397</v>
      </c>
      <c r="B1796" s="12" t="s">
        <v>400</v>
      </c>
      <c r="C1796" s="12" t="s">
        <v>20</v>
      </c>
      <c r="D1796" s="12">
        <v>2.1759359476425953E-2</v>
      </c>
      <c r="E1796" s="12">
        <v>355709</v>
      </c>
      <c r="F1796" s="12">
        <v>7740</v>
      </c>
    </row>
    <row r="1797" spans="1:6">
      <c r="A1797" t="s">
        <v>397</v>
      </c>
      <c r="B1797" s="12" t="s">
        <v>401</v>
      </c>
      <c r="C1797" s="12" t="s">
        <v>480</v>
      </c>
      <c r="D1797" s="12">
        <v>0.3338840244506856</v>
      </c>
      <c r="E1797" s="12">
        <v>48424</v>
      </c>
      <c r="F1797" s="12">
        <v>16168</v>
      </c>
    </row>
    <row r="1798" spans="1:6">
      <c r="A1798" t="s">
        <v>397</v>
      </c>
      <c r="B1798" s="12" t="s">
        <v>401</v>
      </c>
      <c r="C1798" s="12" t="s">
        <v>479</v>
      </c>
      <c r="D1798" s="12">
        <v>0.41892450024781103</v>
      </c>
      <c r="E1798" s="12">
        <v>48424</v>
      </c>
      <c r="F1798" s="12">
        <v>20286</v>
      </c>
    </row>
    <row r="1799" spans="1:6">
      <c r="A1799" t="s">
        <v>397</v>
      </c>
      <c r="B1799" s="12" t="s">
        <v>401</v>
      </c>
      <c r="C1799" s="12" t="s">
        <v>22</v>
      </c>
      <c r="D1799" s="12">
        <v>0.13962084916570297</v>
      </c>
      <c r="E1799" s="12">
        <v>48424</v>
      </c>
      <c r="F1799" s="12">
        <v>6761</v>
      </c>
    </row>
    <row r="1800" spans="1:6">
      <c r="A1800" t="s">
        <v>397</v>
      </c>
      <c r="B1800" s="12" t="s">
        <v>401</v>
      </c>
      <c r="C1800" s="12" t="s">
        <v>478</v>
      </c>
      <c r="D1800" s="12">
        <v>5.5654221047414507E-2</v>
      </c>
      <c r="E1800" s="12">
        <v>48424</v>
      </c>
      <c r="F1800" s="12">
        <v>2695</v>
      </c>
    </row>
    <row r="1801" spans="1:6">
      <c r="A1801" t="s">
        <v>397</v>
      </c>
      <c r="B1801" s="12" t="s">
        <v>401</v>
      </c>
      <c r="C1801" s="12" t="s">
        <v>20</v>
      </c>
      <c r="D1801" s="12">
        <v>5.1751197753180239E-2</v>
      </c>
      <c r="E1801" s="12">
        <v>48424</v>
      </c>
      <c r="F1801" s="12">
        <v>2506</v>
      </c>
    </row>
    <row r="1802" spans="1:6">
      <c r="A1802" t="s">
        <v>397</v>
      </c>
      <c r="B1802" s="12" t="s">
        <v>402</v>
      </c>
      <c r="C1802" s="12" t="s">
        <v>480</v>
      </c>
      <c r="D1802" s="12">
        <v>0.42375891397243709</v>
      </c>
      <c r="E1802" s="12">
        <v>291116</v>
      </c>
      <c r="F1802" s="12">
        <v>123363</v>
      </c>
    </row>
    <row r="1803" spans="1:6">
      <c r="A1803" t="s">
        <v>397</v>
      </c>
      <c r="B1803" s="12" t="s">
        <v>402</v>
      </c>
      <c r="C1803" s="12" t="s">
        <v>479</v>
      </c>
      <c r="D1803" s="12">
        <v>0.41484150647851714</v>
      </c>
      <c r="E1803" s="12">
        <v>291116</v>
      </c>
      <c r="F1803" s="12">
        <v>120767</v>
      </c>
    </row>
    <row r="1804" spans="1:6">
      <c r="A1804" t="s">
        <v>397</v>
      </c>
      <c r="B1804" s="12" t="s">
        <v>402</v>
      </c>
      <c r="C1804" s="12" t="s">
        <v>22</v>
      </c>
      <c r="D1804" s="12">
        <v>0.10116242322648017</v>
      </c>
      <c r="E1804" s="12">
        <v>291116</v>
      </c>
      <c r="F1804" s="12">
        <v>29450</v>
      </c>
    </row>
    <row r="1805" spans="1:6">
      <c r="A1805" t="s">
        <v>397</v>
      </c>
      <c r="B1805" s="12" t="s">
        <v>402</v>
      </c>
      <c r="C1805" s="12" t="s">
        <v>478</v>
      </c>
      <c r="D1805" s="12">
        <v>3.3883400431443139E-2</v>
      </c>
      <c r="E1805" s="12">
        <v>291116</v>
      </c>
      <c r="F1805" s="12">
        <v>9864</v>
      </c>
    </row>
    <row r="1806" spans="1:6">
      <c r="A1806" t="s">
        <v>397</v>
      </c>
      <c r="B1806" s="12" t="s">
        <v>402</v>
      </c>
      <c r="C1806" s="12" t="s">
        <v>20</v>
      </c>
      <c r="D1806" s="12">
        <v>2.6357190947938279E-2</v>
      </c>
      <c r="E1806" s="12">
        <v>291116</v>
      </c>
      <c r="F1806" s="12">
        <v>7673</v>
      </c>
    </row>
    <row r="1807" spans="1:6">
      <c r="A1807" t="s">
        <v>397</v>
      </c>
      <c r="B1807" s="12" t="s">
        <v>403</v>
      </c>
      <c r="C1807" s="12" t="s">
        <v>480</v>
      </c>
      <c r="D1807" s="12">
        <v>0.43108690193854066</v>
      </c>
      <c r="E1807" s="12">
        <v>768671</v>
      </c>
      <c r="F1807" s="12">
        <v>331364</v>
      </c>
    </row>
    <row r="1808" spans="1:6">
      <c r="A1808" t="s">
        <v>397</v>
      </c>
      <c r="B1808" s="12" t="s">
        <v>403</v>
      </c>
      <c r="C1808" s="12" t="s">
        <v>479</v>
      </c>
      <c r="D1808" s="12">
        <v>0.42586360094240577</v>
      </c>
      <c r="E1808" s="12">
        <v>768671</v>
      </c>
      <c r="F1808" s="12">
        <v>327349</v>
      </c>
    </row>
    <row r="1809" spans="1:6">
      <c r="A1809" t="s">
        <v>397</v>
      </c>
      <c r="B1809" s="12" t="s">
        <v>403</v>
      </c>
      <c r="C1809" s="12" t="s">
        <v>22</v>
      </c>
      <c r="D1809" s="12">
        <v>9.3843790126074744E-2</v>
      </c>
      <c r="E1809" s="12">
        <v>768671</v>
      </c>
      <c r="F1809" s="12">
        <v>72135</v>
      </c>
    </row>
    <row r="1810" spans="1:6">
      <c r="A1810" t="s">
        <v>397</v>
      </c>
      <c r="B1810" s="12" t="s">
        <v>403</v>
      </c>
      <c r="C1810" s="12" t="s">
        <v>478</v>
      </c>
      <c r="D1810" s="12">
        <v>2.8300794488149025E-2</v>
      </c>
      <c r="E1810" s="12">
        <v>768671</v>
      </c>
      <c r="F1810" s="12">
        <v>21754</v>
      </c>
    </row>
    <row r="1811" spans="1:6">
      <c r="A1811" t="s">
        <v>397</v>
      </c>
      <c r="B1811" s="12" t="s">
        <v>403</v>
      </c>
      <c r="C1811" s="12" t="s">
        <v>20</v>
      </c>
      <c r="D1811" s="12">
        <v>2.0903611558130853E-2</v>
      </c>
      <c r="E1811" s="12">
        <v>768671</v>
      </c>
      <c r="F1811" s="12">
        <v>16068</v>
      </c>
    </row>
    <row r="1812" spans="1:6">
      <c r="A1812" t="s">
        <v>397</v>
      </c>
      <c r="B1812" s="12" t="s">
        <v>404</v>
      </c>
      <c r="C1812" s="12" t="s">
        <v>480</v>
      </c>
      <c r="D1812" s="12">
        <v>0.41599644220647752</v>
      </c>
      <c r="E1812" s="12">
        <v>557649</v>
      </c>
      <c r="F1812" s="12">
        <v>231980</v>
      </c>
    </row>
    <row r="1813" spans="1:6">
      <c r="A1813" t="s">
        <v>397</v>
      </c>
      <c r="B1813" s="12" t="s">
        <v>404</v>
      </c>
      <c r="C1813" s="12" t="s">
        <v>479</v>
      </c>
      <c r="D1813" s="12">
        <v>0.42987972721192003</v>
      </c>
      <c r="E1813" s="12">
        <v>557649</v>
      </c>
      <c r="F1813" s="12">
        <v>239722</v>
      </c>
    </row>
    <row r="1814" spans="1:6">
      <c r="A1814" t="s">
        <v>397</v>
      </c>
      <c r="B1814" s="12" t="s">
        <v>404</v>
      </c>
      <c r="C1814" s="12" t="s">
        <v>22</v>
      </c>
      <c r="D1814" s="12">
        <v>9.7846494838150874E-2</v>
      </c>
      <c r="E1814" s="12">
        <v>557649</v>
      </c>
      <c r="F1814" s="12">
        <v>54564</v>
      </c>
    </row>
    <row r="1815" spans="1:6">
      <c r="A1815" t="s">
        <v>397</v>
      </c>
      <c r="B1815" s="12" t="s">
        <v>404</v>
      </c>
      <c r="C1815" s="12" t="s">
        <v>478</v>
      </c>
      <c r="D1815" s="12">
        <v>3.1462443221452918E-2</v>
      </c>
      <c r="E1815" s="12">
        <v>557649</v>
      </c>
      <c r="F1815" s="12">
        <v>17545</v>
      </c>
    </row>
    <row r="1816" spans="1:6">
      <c r="A1816" t="s">
        <v>397</v>
      </c>
      <c r="B1816" s="12" t="s">
        <v>404</v>
      </c>
      <c r="C1816" s="12" t="s">
        <v>20</v>
      </c>
      <c r="D1816" s="12">
        <v>2.4822065492809995E-2</v>
      </c>
      <c r="E1816" s="12">
        <v>557649</v>
      </c>
      <c r="F1816" s="12">
        <v>13842</v>
      </c>
    </row>
    <row r="1817" spans="1:6">
      <c r="A1817" t="s">
        <v>397</v>
      </c>
      <c r="B1817" s="12" t="s">
        <v>405</v>
      </c>
      <c r="C1817" s="12" t="s">
        <v>480</v>
      </c>
      <c r="D1817" s="12">
        <v>0.44495442986404526</v>
      </c>
      <c r="E1817" s="12">
        <v>304366</v>
      </c>
      <c r="F1817" s="12">
        <v>135429</v>
      </c>
    </row>
    <row r="1818" spans="1:6">
      <c r="A1818" t="s">
        <v>397</v>
      </c>
      <c r="B1818" s="12" t="s">
        <v>405</v>
      </c>
      <c r="C1818" s="12" t="s">
        <v>479</v>
      </c>
      <c r="D1818" s="12">
        <v>0.4252248937134897</v>
      </c>
      <c r="E1818" s="12">
        <v>304366</v>
      </c>
      <c r="F1818" s="12">
        <v>129424</v>
      </c>
    </row>
    <row r="1819" spans="1:6">
      <c r="A1819" t="s">
        <v>397</v>
      </c>
      <c r="B1819" s="12" t="s">
        <v>405</v>
      </c>
      <c r="C1819" s="12" t="s">
        <v>22</v>
      </c>
      <c r="D1819" s="12">
        <v>8.5676455320239445E-2</v>
      </c>
      <c r="E1819" s="12">
        <v>304366</v>
      </c>
      <c r="F1819" s="12">
        <v>26077</v>
      </c>
    </row>
    <row r="1820" spans="1:6">
      <c r="A1820" t="s">
        <v>397</v>
      </c>
      <c r="B1820" s="12" t="s">
        <v>405</v>
      </c>
      <c r="C1820" s="12" t="s">
        <v>478</v>
      </c>
      <c r="D1820" s="12">
        <v>2.5383912789207728E-2</v>
      </c>
      <c r="E1820" s="12">
        <v>304366</v>
      </c>
      <c r="F1820" s="12">
        <v>7726</v>
      </c>
    </row>
    <row r="1821" spans="1:6">
      <c r="A1821" t="s">
        <v>397</v>
      </c>
      <c r="B1821" s="12" t="s">
        <v>405</v>
      </c>
      <c r="C1821" s="12" t="s">
        <v>20</v>
      </c>
      <c r="D1821" s="12">
        <v>1.8757022794924531E-2</v>
      </c>
      <c r="E1821" s="12">
        <v>304366</v>
      </c>
      <c r="F1821" s="12">
        <v>5709</v>
      </c>
    </row>
    <row r="1822" spans="1:6">
      <c r="A1822" t="s">
        <v>397</v>
      </c>
      <c r="B1822" s="12" t="s">
        <v>406</v>
      </c>
      <c r="C1822" s="12" t="s">
        <v>480</v>
      </c>
      <c r="D1822" s="12">
        <v>0.4745527405272808</v>
      </c>
      <c r="E1822" s="12">
        <v>361591</v>
      </c>
      <c r="F1822" s="12">
        <v>171594</v>
      </c>
    </row>
    <row r="1823" spans="1:6">
      <c r="A1823" t="s">
        <v>397</v>
      </c>
      <c r="B1823" s="12" t="s">
        <v>406</v>
      </c>
      <c r="C1823" s="12" t="s">
        <v>479</v>
      </c>
      <c r="D1823" s="12">
        <v>0.40914182045460201</v>
      </c>
      <c r="E1823" s="12">
        <v>361591</v>
      </c>
      <c r="F1823" s="12">
        <v>147942</v>
      </c>
    </row>
    <row r="1824" spans="1:6">
      <c r="A1824" t="s">
        <v>397</v>
      </c>
      <c r="B1824" s="12" t="s">
        <v>406</v>
      </c>
      <c r="C1824" s="12" t="s">
        <v>22</v>
      </c>
      <c r="D1824" s="12">
        <v>7.8176724531307473E-2</v>
      </c>
      <c r="E1824" s="12">
        <v>361591</v>
      </c>
      <c r="F1824" s="12">
        <v>28268</v>
      </c>
    </row>
    <row r="1825" spans="1:6">
      <c r="A1825" t="s">
        <v>397</v>
      </c>
      <c r="B1825" s="12" t="s">
        <v>406</v>
      </c>
      <c r="C1825" s="12" t="s">
        <v>478</v>
      </c>
      <c r="D1825" s="12">
        <v>2.2030415580033796E-2</v>
      </c>
      <c r="E1825" s="12">
        <v>361591</v>
      </c>
      <c r="F1825" s="12">
        <v>7966</v>
      </c>
    </row>
    <row r="1826" spans="1:6">
      <c r="A1826" t="s">
        <v>397</v>
      </c>
      <c r="B1826" s="12" t="s">
        <v>406</v>
      </c>
      <c r="C1826" s="12" t="s">
        <v>20</v>
      </c>
      <c r="D1826" s="12">
        <v>1.6084471128982744E-2</v>
      </c>
      <c r="E1826" s="12">
        <v>361591</v>
      </c>
      <c r="F1826" s="12">
        <v>5816</v>
      </c>
    </row>
    <row r="1827" spans="1:6">
      <c r="A1827" t="s">
        <v>397</v>
      </c>
      <c r="B1827" s="12" t="s">
        <v>407</v>
      </c>
      <c r="C1827" s="12" t="s">
        <v>480</v>
      </c>
      <c r="D1827" s="12">
        <v>0.36163145610150216</v>
      </c>
      <c r="E1827" s="12">
        <v>33418</v>
      </c>
      <c r="F1827" s="12">
        <v>12085</v>
      </c>
    </row>
    <row r="1828" spans="1:6">
      <c r="A1828" t="s">
        <v>397</v>
      </c>
      <c r="B1828" s="12" t="s">
        <v>407</v>
      </c>
      <c r="C1828" s="12" t="s">
        <v>479</v>
      </c>
      <c r="D1828" s="12">
        <v>0.40328565443772818</v>
      </c>
      <c r="E1828" s="12">
        <v>33418</v>
      </c>
      <c r="F1828" s="12">
        <v>13477</v>
      </c>
    </row>
    <row r="1829" spans="1:6">
      <c r="A1829" t="s">
        <v>397</v>
      </c>
      <c r="B1829" s="12" t="s">
        <v>407</v>
      </c>
      <c r="C1829" s="12" t="s">
        <v>22</v>
      </c>
      <c r="D1829" s="12">
        <v>0.12738643844634628</v>
      </c>
      <c r="E1829" s="12">
        <v>33418</v>
      </c>
      <c r="F1829" s="12">
        <v>4257</v>
      </c>
    </row>
    <row r="1830" spans="1:6">
      <c r="A1830" t="s">
        <v>397</v>
      </c>
      <c r="B1830" s="12" t="s">
        <v>407</v>
      </c>
      <c r="C1830" s="12" t="s">
        <v>478</v>
      </c>
      <c r="D1830" s="12">
        <v>5.2666227781435156E-2</v>
      </c>
      <c r="E1830" s="12">
        <v>33418</v>
      </c>
      <c r="F1830" s="12">
        <v>1760</v>
      </c>
    </row>
    <row r="1831" spans="1:6">
      <c r="A1831" t="s">
        <v>397</v>
      </c>
      <c r="B1831" s="12" t="s">
        <v>407</v>
      </c>
      <c r="C1831" s="12" t="s">
        <v>20</v>
      </c>
      <c r="D1831" s="12">
        <v>5.5119995212161113E-2</v>
      </c>
      <c r="E1831" s="12">
        <v>33418</v>
      </c>
      <c r="F1831" s="12">
        <v>1842</v>
      </c>
    </row>
    <row r="1832" spans="1:6">
      <c r="A1832" t="s">
        <v>397</v>
      </c>
      <c r="B1832" s="12" t="s">
        <v>408</v>
      </c>
      <c r="C1832" s="12" t="s">
        <v>480</v>
      </c>
      <c r="D1832" s="12">
        <v>0.44553293816722572</v>
      </c>
      <c r="E1832" s="12">
        <v>326445</v>
      </c>
      <c r="F1832" s="12">
        <v>145442</v>
      </c>
    </row>
    <row r="1833" spans="1:6">
      <c r="A1833" t="s">
        <v>397</v>
      </c>
      <c r="B1833" s="12" t="s">
        <v>408</v>
      </c>
      <c r="C1833" s="12" t="s">
        <v>479</v>
      </c>
      <c r="D1833" s="12">
        <v>0.43083520960651872</v>
      </c>
      <c r="E1833" s="12">
        <v>326445</v>
      </c>
      <c r="F1833" s="12">
        <v>140644</v>
      </c>
    </row>
    <row r="1834" spans="1:6">
      <c r="A1834" t="s">
        <v>397</v>
      </c>
      <c r="B1834" s="12" t="s">
        <v>408</v>
      </c>
      <c r="C1834" s="12" t="s">
        <v>22</v>
      </c>
      <c r="D1834" s="12">
        <v>8.2758198165081412E-2</v>
      </c>
      <c r="E1834" s="12">
        <v>326445</v>
      </c>
      <c r="F1834" s="12">
        <v>27016</v>
      </c>
    </row>
    <row r="1835" spans="1:6">
      <c r="A1835" t="s">
        <v>397</v>
      </c>
      <c r="B1835" s="12" t="s">
        <v>408</v>
      </c>
      <c r="C1835" s="12" t="s">
        <v>478</v>
      </c>
      <c r="D1835" s="12">
        <v>2.3762042610546954E-2</v>
      </c>
      <c r="E1835" s="12">
        <v>326445</v>
      </c>
      <c r="F1835" s="12">
        <v>7757</v>
      </c>
    </row>
    <row r="1836" spans="1:6">
      <c r="A1836" t="s">
        <v>397</v>
      </c>
      <c r="B1836" s="12" t="s">
        <v>408</v>
      </c>
      <c r="C1836" s="12" t="s">
        <v>20</v>
      </c>
      <c r="D1836" s="12">
        <v>1.7102421541147821E-2</v>
      </c>
      <c r="E1836" s="12">
        <v>326445</v>
      </c>
      <c r="F1836" s="12">
        <v>5583</v>
      </c>
    </row>
    <row r="1837" spans="1:6">
      <c r="A1837" t="s">
        <v>397</v>
      </c>
      <c r="B1837" s="12" t="s">
        <v>409</v>
      </c>
      <c r="C1837" s="12" t="s">
        <v>480</v>
      </c>
      <c r="D1837" s="12">
        <v>0.44350448368972917</v>
      </c>
      <c r="E1837" s="12">
        <v>389969</v>
      </c>
      <c r="F1837" s="12">
        <v>172953</v>
      </c>
    </row>
    <row r="1838" spans="1:6">
      <c r="A1838" t="s">
        <v>397</v>
      </c>
      <c r="B1838" s="12" t="s">
        <v>409</v>
      </c>
      <c r="C1838" s="12" t="s">
        <v>479</v>
      </c>
      <c r="D1838" s="12">
        <v>0.42433116478489313</v>
      </c>
      <c r="E1838" s="12">
        <v>389969</v>
      </c>
      <c r="F1838" s="12">
        <v>165476</v>
      </c>
    </row>
    <row r="1839" spans="1:6">
      <c r="A1839" t="s">
        <v>397</v>
      </c>
      <c r="B1839" s="12" t="s">
        <v>409</v>
      </c>
      <c r="C1839" s="12" t="s">
        <v>22</v>
      </c>
      <c r="D1839" s="12">
        <v>8.836343401655003E-2</v>
      </c>
      <c r="E1839" s="12">
        <v>389969</v>
      </c>
      <c r="F1839" s="12">
        <v>34459</v>
      </c>
    </row>
    <row r="1840" spans="1:6">
      <c r="A1840" t="s">
        <v>397</v>
      </c>
      <c r="B1840" s="12" t="s">
        <v>409</v>
      </c>
      <c r="C1840" s="12" t="s">
        <v>478</v>
      </c>
      <c r="D1840" s="12">
        <v>2.5278932427962222E-2</v>
      </c>
      <c r="E1840" s="12">
        <v>389969</v>
      </c>
      <c r="F1840" s="12">
        <v>9858</v>
      </c>
    </row>
    <row r="1841" spans="1:6">
      <c r="A1841" t="s">
        <v>397</v>
      </c>
      <c r="B1841" s="12" t="s">
        <v>409</v>
      </c>
      <c r="C1841" s="12" t="s">
        <v>20</v>
      </c>
      <c r="D1841" s="12">
        <v>1.8514292161684646E-2</v>
      </c>
      <c r="E1841" s="12">
        <v>389969</v>
      </c>
      <c r="F1841" s="12">
        <v>7220</v>
      </c>
    </row>
    <row r="1842" spans="1:6">
      <c r="A1842" t="s">
        <v>397</v>
      </c>
      <c r="B1842" s="12" t="s">
        <v>410</v>
      </c>
      <c r="C1842" s="12" t="s">
        <v>480</v>
      </c>
      <c r="D1842" s="12">
        <v>0.45138770451728805</v>
      </c>
      <c r="E1842" s="12">
        <v>87951</v>
      </c>
      <c r="F1842" s="12">
        <v>39700</v>
      </c>
    </row>
    <row r="1843" spans="1:6">
      <c r="A1843" t="s">
        <v>397</v>
      </c>
      <c r="B1843" s="12" t="s">
        <v>410</v>
      </c>
      <c r="C1843" s="12" t="s">
        <v>479</v>
      </c>
      <c r="D1843" s="12">
        <v>0.39336676103739582</v>
      </c>
      <c r="E1843" s="12">
        <v>87951</v>
      </c>
      <c r="F1843" s="12">
        <v>34597</v>
      </c>
    </row>
    <row r="1844" spans="1:6">
      <c r="A1844" t="s">
        <v>397</v>
      </c>
      <c r="B1844" s="12" t="s">
        <v>410</v>
      </c>
      <c r="C1844" s="12" t="s">
        <v>22</v>
      </c>
      <c r="D1844" s="12">
        <v>9.4825527850735072E-2</v>
      </c>
      <c r="E1844" s="12">
        <v>87951</v>
      </c>
      <c r="F1844" s="12">
        <v>8340</v>
      </c>
    </row>
    <row r="1845" spans="1:6">
      <c r="A1845" t="s">
        <v>397</v>
      </c>
      <c r="B1845" s="12" t="s">
        <v>410</v>
      </c>
      <c r="C1845" s="12" t="s">
        <v>478</v>
      </c>
      <c r="D1845" s="12">
        <v>3.2779615922502302E-2</v>
      </c>
      <c r="E1845" s="12">
        <v>87951</v>
      </c>
      <c r="F1845" s="12">
        <v>2883</v>
      </c>
    </row>
    <row r="1846" spans="1:6">
      <c r="A1846" t="s">
        <v>397</v>
      </c>
      <c r="B1846" s="12" t="s">
        <v>410</v>
      </c>
      <c r="C1846" s="12" t="s">
        <v>20</v>
      </c>
      <c r="D1846" s="12">
        <v>2.7674500574183351E-2</v>
      </c>
      <c r="E1846" s="12">
        <v>87951</v>
      </c>
      <c r="F1846" s="12">
        <v>2434</v>
      </c>
    </row>
    <row r="1847" spans="1:6">
      <c r="A1847" t="s">
        <v>397</v>
      </c>
      <c r="B1847" s="12" t="s">
        <v>411</v>
      </c>
      <c r="C1847" s="12" t="s">
        <v>480</v>
      </c>
      <c r="D1847" s="12">
        <v>0.46861509017728659</v>
      </c>
      <c r="E1847" s="12">
        <v>547588</v>
      </c>
      <c r="F1847" s="12">
        <v>256608</v>
      </c>
    </row>
    <row r="1848" spans="1:6">
      <c r="A1848" t="s">
        <v>397</v>
      </c>
      <c r="B1848" s="12" t="s">
        <v>411</v>
      </c>
      <c r="C1848" s="12" t="s">
        <v>479</v>
      </c>
      <c r="D1848" s="12">
        <v>0.41211823487731652</v>
      </c>
      <c r="E1848" s="12">
        <v>547588</v>
      </c>
      <c r="F1848" s="12">
        <v>225671</v>
      </c>
    </row>
    <row r="1849" spans="1:6">
      <c r="A1849" t="s">
        <v>397</v>
      </c>
      <c r="B1849" s="12" t="s">
        <v>411</v>
      </c>
      <c r="C1849" s="12" t="s">
        <v>22</v>
      </c>
      <c r="D1849" s="12">
        <v>7.9601817424779217E-2</v>
      </c>
      <c r="E1849" s="12">
        <v>547588</v>
      </c>
      <c r="F1849" s="12">
        <v>43589</v>
      </c>
    </row>
    <row r="1850" spans="1:6">
      <c r="A1850" t="s">
        <v>397</v>
      </c>
      <c r="B1850" s="12" t="s">
        <v>411</v>
      </c>
      <c r="C1850" s="12" t="s">
        <v>478</v>
      </c>
      <c r="D1850" s="12">
        <v>2.3176183554058892E-2</v>
      </c>
      <c r="E1850" s="12">
        <v>547588</v>
      </c>
      <c r="F1850" s="12">
        <v>12691</v>
      </c>
    </row>
    <row r="1851" spans="1:6">
      <c r="A1851" t="s">
        <v>397</v>
      </c>
      <c r="B1851" s="12" t="s">
        <v>411</v>
      </c>
      <c r="C1851" s="12" t="s">
        <v>20</v>
      </c>
      <c r="D1851" s="12">
        <v>1.6490500157052383E-2</v>
      </c>
      <c r="E1851" s="12">
        <v>547588</v>
      </c>
      <c r="F1851" s="12">
        <v>9030</v>
      </c>
    </row>
    <row r="1852" spans="1:6">
      <c r="A1852" t="s">
        <v>397</v>
      </c>
      <c r="B1852" s="12" t="s">
        <v>412</v>
      </c>
      <c r="C1852" s="12" t="s">
        <v>480</v>
      </c>
      <c r="D1852" s="12">
        <v>0.42703340158764619</v>
      </c>
      <c r="E1852" s="12">
        <v>170441</v>
      </c>
      <c r="F1852" s="12">
        <v>72784</v>
      </c>
    </row>
    <row r="1853" spans="1:6">
      <c r="A1853" t="s">
        <v>397</v>
      </c>
      <c r="B1853" s="12" t="s">
        <v>412</v>
      </c>
      <c r="C1853" s="12" t="s">
        <v>479</v>
      </c>
      <c r="D1853" s="12">
        <v>0.42926291209274764</v>
      </c>
      <c r="E1853" s="12">
        <v>170441</v>
      </c>
      <c r="F1853" s="12">
        <v>73164</v>
      </c>
    </row>
    <row r="1854" spans="1:6">
      <c r="A1854" t="s">
        <v>397</v>
      </c>
      <c r="B1854" s="12" t="s">
        <v>412</v>
      </c>
      <c r="C1854" s="12" t="s">
        <v>22</v>
      </c>
      <c r="D1854" s="12">
        <v>9.4232021637986163E-2</v>
      </c>
      <c r="E1854" s="12">
        <v>170441</v>
      </c>
      <c r="F1854" s="12">
        <v>16061</v>
      </c>
    </row>
    <row r="1855" spans="1:6">
      <c r="A1855" t="s">
        <v>397</v>
      </c>
      <c r="B1855" s="12" t="s">
        <v>412</v>
      </c>
      <c r="C1855" s="12" t="s">
        <v>478</v>
      </c>
      <c r="D1855" s="12">
        <v>2.8625741458921269E-2</v>
      </c>
      <c r="E1855" s="12">
        <v>170441</v>
      </c>
      <c r="F1855" s="12">
        <v>4879</v>
      </c>
    </row>
    <row r="1856" spans="1:6">
      <c r="A1856" t="s">
        <v>397</v>
      </c>
      <c r="B1856" s="12" t="s">
        <v>412</v>
      </c>
      <c r="C1856" s="12" t="s">
        <v>20</v>
      </c>
      <c r="D1856" s="12">
        <v>2.0834188956882441E-2</v>
      </c>
      <c r="E1856" s="12">
        <v>170441</v>
      </c>
      <c r="F1856" s="12">
        <v>3551</v>
      </c>
    </row>
    <row r="1857" spans="1:6">
      <c r="A1857" t="s">
        <v>397</v>
      </c>
      <c r="B1857" s="12" t="s">
        <v>414</v>
      </c>
      <c r="C1857" s="12" t="s">
        <v>480</v>
      </c>
      <c r="D1857" s="12">
        <v>0.45069921869273954</v>
      </c>
      <c r="E1857" s="12">
        <v>272876</v>
      </c>
      <c r="F1857" s="12">
        <v>122985</v>
      </c>
    </row>
    <row r="1858" spans="1:6">
      <c r="A1858" t="s">
        <v>397</v>
      </c>
      <c r="B1858" s="12" t="s">
        <v>414</v>
      </c>
      <c r="C1858" s="12" t="s">
        <v>479</v>
      </c>
      <c r="D1858" s="12">
        <v>0.41376302789545433</v>
      </c>
      <c r="E1858" s="12">
        <v>272876</v>
      </c>
      <c r="F1858" s="12">
        <v>112906</v>
      </c>
    </row>
    <row r="1859" spans="1:6">
      <c r="A1859" t="s">
        <v>397</v>
      </c>
      <c r="B1859" s="12" t="s">
        <v>414</v>
      </c>
      <c r="C1859" s="12" t="s">
        <v>22</v>
      </c>
      <c r="D1859" s="12">
        <v>8.7241091191603518E-2</v>
      </c>
      <c r="E1859" s="12">
        <v>272876</v>
      </c>
      <c r="F1859" s="12">
        <v>23806</v>
      </c>
    </row>
    <row r="1860" spans="1:6">
      <c r="A1860" t="s">
        <v>397</v>
      </c>
      <c r="B1860" s="12" t="s">
        <v>414</v>
      </c>
      <c r="C1860" s="12" t="s">
        <v>478</v>
      </c>
      <c r="D1860" s="12">
        <v>2.724680807399698E-2</v>
      </c>
      <c r="E1860" s="12">
        <v>272876</v>
      </c>
      <c r="F1860" s="12">
        <v>7435</v>
      </c>
    </row>
    <row r="1861" spans="1:6">
      <c r="A1861" t="s">
        <v>397</v>
      </c>
      <c r="B1861" s="12" t="s">
        <v>414</v>
      </c>
      <c r="C1861" s="12" t="s">
        <v>20</v>
      </c>
      <c r="D1861" s="12">
        <v>2.1057183482607485E-2</v>
      </c>
      <c r="E1861" s="12">
        <v>272876</v>
      </c>
      <c r="F1861" s="12">
        <v>5746</v>
      </c>
    </row>
    <row r="1862" spans="1:6">
      <c r="A1862" t="s">
        <v>413</v>
      </c>
      <c r="B1862" s="12" t="s">
        <v>413</v>
      </c>
      <c r="C1862" s="12" t="s">
        <v>480</v>
      </c>
      <c r="D1862" s="12">
        <v>0.42089715750141832</v>
      </c>
      <c r="E1862" s="12">
        <v>613404</v>
      </c>
      <c r="F1862" s="12">
        <v>258180</v>
      </c>
    </row>
    <row r="1863" spans="1:6">
      <c r="A1863" t="s">
        <v>413</v>
      </c>
      <c r="B1863" s="12" t="s">
        <v>413</v>
      </c>
      <c r="C1863" s="12" t="s">
        <v>479</v>
      </c>
      <c r="D1863" s="12">
        <v>0.41168463198805355</v>
      </c>
      <c r="E1863" s="12">
        <v>613404</v>
      </c>
      <c r="F1863" s="12">
        <v>252529</v>
      </c>
    </row>
    <row r="1864" spans="1:6">
      <c r="A1864" t="s">
        <v>413</v>
      </c>
      <c r="B1864" s="12" t="s">
        <v>413</v>
      </c>
      <c r="C1864" s="12" t="s">
        <v>22</v>
      </c>
      <c r="D1864" s="12">
        <v>0.10110139483929026</v>
      </c>
      <c r="E1864" s="12">
        <v>613404</v>
      </c>
      <c r="F1864" s="12">
        <v>62016</v>
      </c>
    </row>
    <row r="1865" spans="1:6">
      <c r="A1865" t="s">
        <v>413</v>
      </c>
      <c r="B1865" s="12" t="s">
        <v>413</v>
      </c>
      <c r="C1865" s="12" t="s">
        <v>478</v>
      </c>
      <c r="D1865" s="12">
        <v>3.5263871771295918E-2</v>
      </c>
      <c r="E1865" s="12">
        <v>613404</v>
      </c>
      <c r="F1865" s="12">
        <v>21631</v>
      </c>
    </row>
    <row r="1866" spans="1:6">
      <c r="A1866" t="s">
        <v>413</v>
      </c>
      <c r="B1866" s="12" t="s">
        <v>413</v>
      </c>
      <c r="C1866" s="12" t="s">
        <v>20</v>
      </c>
      <c r="D1866" s="12">
        <v>3.1054574146891771E-2</v>
      </c>
      <c r="E1866" s="12">
        <v>613404</v>
      </c>
      <c r="F1866" s="12">
        <v>19049</v>
      </c>
    </row>
    <row r="1867" spans="1:6">
      <c r="A1867" t="s">
        <v>413</v>
      </c>
      <c r="B1867" s="12" t="s">
        <v>415</v>
      </c>
      <c r="C1867" s="12" t="s">
        <v>480</v>
      </c>
      <c r="D1867" s="12">
        <v>0.40759439387146451</v>
      </c>
      <c r="E1867" s="12">
        <v>51301</v>
      </c>
      <c r="F1867" s="12">
        <v>20910</v>
      </c>
    </row>
    <row r="1868" spans="1:6">
      <c r="A1868" t="s">
        <v>413</v>
      </c>
      <c r="B1868" s="12" t="s">
        <v>415</v>
      </c>
      <c r="C1868" s="12" t="s">
        <v>479</v>
      </c>
      <c r="D1868" s="12">
        <v>0.41332527631040333</v>
      </c>
      <c r="E1868" s="12">
        <v>51301</v>
      </c>
      <c r="F1868" s="12">
        <v>21204</v>
      </c>
    </row>
    <row r="1869" spans="1:6">
      <c r="A1869" t="s">
        <v>413</v>
      </c>
      <c r="B1869" s="12" t="s">
        <v>415</v>
      </c>
      <c r="C1869" s="12" t="s">
        <v>22</v>
      </c>
      <c r="D1869" s="12">
        <v>0.10578741155143175</v>
      </c>
      <c r="E1869" s="12">
        <v>51301</v>
      </c>
      <c r="F1869" s="12">
        <v>5427</v>
      </c>
    </row>
    <row r="1870" spans="1:6">
      <c r="A1870" t="s">
        <v>413</v>
      </c>
      <c r="B1870" s="12" t="s">
        <v>415</v>
      </c>
      <c r="C1870" s="12" t="s">
        <v>478</v>
      </c>
      <c r="D1870" s="12">
        <v>3.7991462154733827E-2</v>
      </c>
      <c r="E1870" s="12">
        <v>51301</v>
      </c>
      <c r="F1870" s="12">
        <v>1949</v>
      </c>
    </row>
    <row r="1871" spans="1:6">
      <c r="A1871" t="s">
        <v>413</v>
      </c>
      <c r="B1871" s="12" t="s">
        <v>415</v>
      </c>
      <c r="C1871" s="12" t="s">
        <v>20</v>
      </c>
      <c r="D1871" s="12">
        <v>3.5165006530087133E-2</v>
      </c>
      <c r="E1871" s="12">
        <v>51301</v>
      </c>
      <c r="F1871" s="12">
        <v>1804</v>
      </c>
    </row>
    <row r="1872" spans="1:6">
      <c r="A1872" t="s">
        <v>413</v>
      </c>
      <c r="B1872" s="12" t="s">
        <v>416</v>
      </c>
      <c r="C1872" s="12" t="s">
        <v>480</v>
      </c>
      <c r="D1872" s="12">
        <v>0.39447224538967657</v>
      </c>
      <c r="E1872" s="12">
        <v>86328</v>
      </c>
      <c r="F1872" s="12">
        <v>34054</v>
      </c>
    </row>
    <row r="1873" spans="1:6">
      <c r="A1873" t="s">
        <v>413</v>
      </c>
      <c r="B1873" s="12" t="s">
        <v>416</v>
      </c>
      <c r="C1873" s="12" t="s">
        <v>479</v>
      </c>
      <c r="D1873" s="12">
        <v>0.38350245575016217</v>
      </c>
      <c r="E1873" s="12">
        <v>86328</v>
      </c>
      <c r="F1873" s="12">
        <v>33107</v>
      </c>
    </row>
    <row r="1874" spans="1:6">
      <c r="A1874" t="s">
        <v>413</v>
      </c>
      <c r="B1874" s="12" t="s">
        <v>416</v>
      </c>
      <c r="C1874" s="12" t="s">
        <v>22</v>
      </c>
      <c r="D1874" s="12">
        <v>0.11543184134927255</v>
      </c>
      <c r="E1874" s="12">
        <v>86328</v>
      </c>
      <c r="F1874" s="12">
        <v>9965</v>
      </c>
    </row>
    <row r="1875" spans="1:6">
      <c r="A1875" t="s">
        <v>413</v>
      </c>
      <c r="B1875" s="12" t="s">
        <v>416</v>
      </c>
      <c r="C1875" s="12" t="s">
        <v>478</v>
      </c>
      <c r="D1875" s="12">
        <v>5.0609304049671025E-2</v>
      </c>
      <c r="E1875" s="12">
        <v>86328</v>
      </c>
      <c r="F1875" s="12">
        <v>4369</v>
      </c>
    </row>
    <row r="1876" spans="1:6">
      <c r="A1876" t="s">
        <v>413</v>
      </c>
      <c r="B1876" s="12" t="s">
        <v>416</v>
      </c>
      <c r="C1876" s="12" t="s">
        <v>20</v>
      </c>
      <c r="D1876" s="12">
        <v>5.603048836993791E-2</v>
      </c>
      <c r="E1876" s="12">
        <v>86328</v>
      </c>
      <c r="F1876" s="12">
        <v>4837</v>
      </c>
    </row>
    <row r="1877" spans="1:6">
      <c r="A1877" t="s">
        <v>413</v>
      </c>
      <c r="B1877" s="12" t="s">
        <v>417</v>
      </c>
      <c r="C1877" s="12" t="s">
        <v>480</v>
      </c>
      <c r="D1877" s="12">
        <v>0.40775540041177932</v>
      </c>
      <c r="E1877" s="12">
        <v>149109</v>
      </c>
      <c r="F1877" s="12">
        <v>60800</v>
      </c>
    </row>
    <row r="1878" spans="1:6">
      <c r="A1878" t="s">
        <v>413</v>
      </c>
      <c r="B1878" s="12" t="s">
        <v>417</v>
      </c>
      <c r="C1878" s="12" t="s">
        <v>479</v>
      </c>
      <c r="D1878" s="12">
        <v>0.39950640135739629</v>
      </c>
      <c r="E1878" s="12">
        <v>149109</v>
      </c>
      <c r="F1878" s="12">
        <v>59570</v>
      </c>
    </row>
    <row r="1879" spans="1:6">
      <c r="A1879" t="s">
        <v>413</v>
      </c>
      <c r="B1879" s="12" t="s">
        <v>417</v>
      </c>
      <c r="C1879" s="12" t="s">
        <v>22</v>
      </c>
      <c r="D1879" s="12">
        <v>0.11008725160788417</v>
      </c>
      <c r="E1879" s="12">
        <v>149109</v>
      </c>
      <c r="F1879" s="12">
        <v>16415</v>
      </c>
    </row>
    <row r="1880" spans="1:6">
      <c r="A1880" t="s">
        <v>413</v>
      </c>
      <c r="B1880" s="12" t="s">
        <v>417</v>
      </c>
      <c r="C1880" s="12" t="s">
        <v>478</v>
      </c>
      <c r="D1880" s="12">
        <v>4.2136960210315946E-2</v>
      </c>
      <c r="E1880" s="12">
        <v>149109</v>
      </c>
      <c r="F1880" s="12">
        <v>6283</v>
      </c>
    </row>
    <row r="1881" spans="1:6">
      <c r="A1881" t="s">
        <v>413</v>
      </c>
      <c r="B1881" s="12" t="s">
        <v>417</v>
      </c>
      <c r="C1881" s="12" t="s">
        <v>20</v>
      </c>
      <c r="D1881" s="12">
        <v>4.0507279909328078E-2</v>
      </c>
      <c r="E1881" s="12">
        <v>149109</v>
      </c>
      <c r="F1881" s="12">
        <v>6040</v>
      </c>
    </row>
    <row r="1882" spans="1:6">
      <c r="A1882" t="s">
        <v>413</v>
      </c>
      <c r="B1882" s="12" t="s">
        <v>418</v>
      </c>
      <c r="C1882" s="12" t="s">
        <v>480</v>
      </c>
      <c r="D1882" s="12">
        <v>0.41250544489763591</v>
      </c>
      <c r="E1882" s="12">
        <v>75759</v>
      </c>
      <c r="F1882" s="12">
        <v>31251</v>
      </c>
    </row>
    <row r="1883" spans="1:6">
      <c r="A1883" t="s">
        <v>413</v>
      </c>
      <c r="B1883" s="12" t="s">
        <v>418</v>
      </c>
      <c r="C1883" s="12" t="s">
        <v>479</v>
      </c>
      <c r="D1883" s="12">
        <v>0.39576815955860029</v>
      </c>
      <c r="E1883" s="12">
        <v>75759</v>
      </c>
      <c r="F1883" s="12">
        <v>29983</v>
      </c>
    </row>
    <row r="1884" spans="1:6">
      <c r="A1884" t="s">
        <v>413</v>
      </c>
      <c r="B1884" s="12" t="s">
        <v>418</v>
      </c>
      <c r="C1884" s="12" t="s">
        <v>22</v>
      </c>
      <c r="D1884" s="12">
        <v>0.10580921078683721</v>
      </c>
      <c r="E1884" s="12">
        <v>75759</v>
      </c>
      <c r="F1884" s="12">
        <v>8016</v>
      </c>
    </row>
    <row r="1885" spans="1:6">
      <c r="A1885" t="s">
        <v>413</v>
      </c>
      <c r="B1885" s="12" t="s">
        <v>418</v>
      </c>
      <c r="C1885" s="12" t="s">
        <v>478</v>
      </c>
      <c r="D1885" s="12">
        <v>4.2912393247006957E-2</v>
      </c>
      <c r="E1885" s="12">
        <v>75759</v>
      </c>
      <c r="F1885" s="12">
        <v>3251</v>
      </c>
    </row>
    <row r="1886" spans="1:6">
      <c r="A1886" t="s">
        <v>413</v>
      </c>
      <c r="B1886" s="12" t="s">
        <v>418</v>
      </c>
      <c r="C1886" s="12" t="s">
        <v>20</v>
      </c>
      <c r="D1886" s="12">
        <v>4.2925592998851625E-2</v>
      </c>
      <c r="E1886" s="12">
        <v>75759</v>
      </c>
      <c r="F1886" s="12">
        <v>3252</v>
      </c>
    </row>
    <row r="1887" spans="1:6">
      <c r="A1887" t="s">
        <v>413</v>
      </c>
      <c r="B1887" s="12" t="s">
        <v>419</v>
      </c>
      <c r="C1887" s="12" t="s">
        <v>480</v>
      </c>
      <c r="D1887" s="12">
        <v>0.44757574066841488</v>
      </c>
      <c r="E1887" s="12">
        <v>179230</v>
      </c>
      <c r="F1887" s="12">
        <v>80219</v>
      </c>
    </row>
    <row r="1888" spans="1:6">
      <c r="A1888" t="s">
        <v>413</v>
      </c>
      <c r="B1888" s="12" t="s">
        <v>419</v>
      </c>
      <c r="C1888" s="12" t="s">
        <v>479</v>
      </c>
      <c r="D1888" s="12">
        <v>0.40922278636388998</v>
      </c>
      <c r="E1888" s="12">
        <v>179230</v>
      </c>
      <c r="F1888" s="12">
        <v>73345</v>
      </c>
    </row>
    <row r="1889" spans="1:6">
      <c r="A1889" t="s">
        <v>413</v>
      </c>
      <c r="B1889" s="12" t="s">
        <v>419</v>
      </c>
      <c r="C1889" s="12" t="s">
        <v>22</v>
      </c>
      <c r="D1889" s="12">
        <v>8.7775484014952859E-2</v>
      </c>
      <c r="E1889" s="12">
        <v>179230</v>
      </c>
      <c r="F1889" s="12">
        <v>15732</v>
      </c>
    </row>
    <row r="1890" spans="1:6">
      <c r="A1890" t="s">
        <v>413</v>
      </c>
      <c r="B1890" s="12" t="s">
        <v>419</v>
      </c>
      <c r="C1890" s="12" t="s">
        <v>478</v>
      </c>
      <c r="D1890" s="12">
        <v>2.9219438710037383E-2</v>
      </c>
      <c r="E1890" s="12">
        <v>179230</v>
      </c>
      <c r="F1890" s="12">
        <v>5237</v>
      </c>
    </row>
    <row r="1891" spans="1:6">
      <c r="A1891" t="s">
        <v>413</v>
      </c>
      <c r="B1891" s="12" t="s">
        <v>419</v>
      </c>
      <c r="C1891" s="12" t="s">
        <v>20</v>
      </c>
      <c r="D1891" s="12">
        <v>2.6167494281091334E-2</v>
      </c>
      <c r="E1891" s="12">
        <v>179230</v>
      </c>
      <c r="F1891" s="12">
        <v>4690</v>
      </c>
    </row>
    <row r="1892" spans="1:6">
      <c r="A1892" t="s">
        <v>413</v>
      </c>
      <c r="B1892" s="12" t="s">
        <v>420</v>
      </c>
      <c r="C1892" s="12" t="s">
        <v>480</v>
      </c>
      <c r="D1892" s="12">
        <v>0.38626510469513881</v>
      </c>
      <c r="E1892" s="12">
        <v>21682</v>
      </c>
      <c r="F1892" s="12">
        <v>8375</v>
      </c>
    </row>
    <row r="1893" spans="1:6">
      <c r="A1893" t="s">
        <v>413</v>
      </c>
      <c r="B1893" s="12" t="s">
        <v>420</v>
      </c>
      <c r="C1893" s="12" t="s">
        <v>479</v>
      </c>
      <c r="D1893" s="12">
        <v>0.38077668111797802</v>
      </c>
      <c r="E1893" s="12">
        <v>21682</v>
      </c>
      <c r="F1893" s="12">
        <v>8256</v>
      </c>
    </row>
    <row r="1894" spans="1:6">
      <c r="A1894" t="s">
        <v>413</v>
      </c>
      <c r="B1894" s="12" t="s">
        <v>420</v>
      </c>
      <c r="C1894" s="12" t="s">
        <v>22</v>
      </c>
      <c r="D1894" s="12">
        <v>0.12203671248039849</v>
      </c>
      <c r="E1894" s="12">
        <v>21682</v>
      </c>
      <c r="F1894" s="12">
        <v>2646</v>
      </c>
    </row>
    <row r="1895" spans="1:6">
      <c r="A1895" t="s">
        <v>413</v>
      </c>
      <c r="B1895" s="12" t="s">
        <v>420</v>
      </c>
      <c r="C1895" s="12" t="s">
        <v>478</v>
      </c>
      <c r="D1895" s="12">
        <v>5.2439811825477356E-2</v>
      </c>
      <c r="E1895" s="12">
        <v>21682</v>
      </c>
      <c r="F1895" s="12">
        <v>1137</v>
      </c>
    </row>
    <row r="1896" spans="1:6">
      <c r="A1896" t="s">
        <v>413</v>
      </c>
      <c r="B1896" s="12" t="s">
        <v>420</v>
      </c>
      <c r="C1896" s="12" t="s">
        <v>20</v>
      </c>
      <c r="D1896" s="12">
        <v>5.8481689881007284E-2</v>
      </c>
      <c r="E1896" s="12">
        <v>21682</v>
      </c>
      <c r="F1896" s="12">
        <v>1268</v>
      </c>
    </row>
    <row r="1897" spans="1:6">
      <c r="A1897" t="s">
        <v>413</v>
      </c>
      <c r="B1897" s="12" t="s">
        <v>421</v>
      </c>
      <c r="C1897" s="12" t="s">
        <v>480</v>
      </c>
      <c r="D1897" s="12">
        <v>0.42895556648630923</v>
      </c>
      <c r="E1897" s="12">
        <v>60990</v>
      </c>
      <c r="F1897" s="12">
        <v>26162</v>
      </c>
    </row>
    <row r="1898" spans="1:6">
      <c r="A1898" t="s">
        <v>413</v>
      </c>
      <c r="B1898" s="12" t="s">
        <v>421</v>
      </c>
      <c r="C1898" s="12" t="s">
        <v>479</v>
      </c>
      <c r="D1898" s="12">
        <v>0.3856369896704378</v>
      </c>
      <c r="E1898" s="12">
        <v>60990</v>
      </c>
      <c r="F1898" s="12">
        <v>23520</v>
      </c>
    </row>
    <row r="1899" spans="1:6">
      <c r="A1899" t="s">
        <v>413</v>
      </c>
      <c r="B1899" s="12" t="s">
        <v>421</v>
      </c>
      <c r="C1899" s="12" t="s">
        <v>22</v>
      </c>
      <c r="D1899" s="12">
        <v>0.10083620265617314</v>
      </c>
      <c r="E1899" s="12">
        <v>60990</v>
      </c>
      <c r="F1899" s="12">
        <v>6150</v>
      </c>
    </row>
    <row r="1900" spans="1:6">
      <c r="A1900" t="s">
        <v>413</v>
      </c>
      <c r="B1900" s="12" t="s">
        <v>421</v>
      </c>
      <c r="C1900" s="12" t="s">
        <v>478</v>
      </c>
      <c r="D1900" s="12">
        <v>4.2728316117396296E-2</v>
      </c>
      <c r="E1900" s="12">
        <v>60990</v>
      </c>
      <c r="F1900" s="12">
        <v>2606</v>
      </c>
    </row>
    <row r="1901" spans="1:6">
      <c r="A1901" t="s">
        <v>413</v>
      </c>
      <c r="B1901" s="12" t="s">
        <v>421</v>
      </c>
      <c r="C1901" s="12" t="s">
        <v>20</v>
      </c>
      <c r="D1901" s="12">
        <v>4.1695359895064767E-2</v>
      </c>
      <c r="E1901" s="12">
        <v>60990</v>
      </c>
      <c r="F1901" s="12">
        <v>2543</v>
      </c>
    </row>
    <row r="1902" spans="1:6">
      <c r="A1902" t="s">
        <v>413</v>
      </c>
      <c r="B1902" s="12" t="s">
        <v>422</v>
      </c>
      <c r="C1902" s="12" t="s">
        <v>480</v>
      </c>
      <c r="D1902" s="12">
        <v>0.38653474903474905</v>
      </c>
      <c r="E1902" s="12">
        <v>20720</v>
      </c>
      <c r="F1902" s="12">
        <v>8009</v>
      </c>
    </row>
    <row r="1903" spans="1:6">
      <c r="A1903" t="s">
        <v>413</v>
      </c>
      <c r="B1903" s="12" t="s">
        <v>422</v>
      </c>
      <c r="C1903" s="12" t="s">
        <v>479</v>
      </c>
      <c r="D1903" s="12">
        <v>0.38088803088803092</v>
      </c>
      <c r="E1903" s="12">
        <v>20720</v>
      </c>
      <c r="F1903" s="12">
        <v>7892</v>
      </c>
    </row>
    <row r="1904" spans="1:6">
      <c r="A1904" t="s">
        <v>413</v>
      </c>
      <c r="B1904" s="12" t="s">
        <v>422</v>
      </c>
      <c r="C1904" s="12" t="s">
        <v>22</v>
      </c>
      <c r="D1904" s="12">
        <v>0.12360038610038609</v>
      </c>
      <c r="E1904" s="12">
        <v>20720</v>
      </c>
      <c r="F1904" s="12">
        <v>2561</v>
      </c>
    </row>
    <row r="1905" spans="1:6">
      <c r="A1905" t="s">
        <v>413</v>
      </c>
      <c r="B1905" s="12" t="s">
        <v>422</v>
      </c>
      <c r="C1905" s="12" t="s">
        <v>478</v>
      </c>
      <c r="D1905" s="12">
        <v>5.2702702702702706E-2</v>
      </c>
      <c r="E1905" s="12">
        <v>20720</v>
      </c>
      <c r="F1905" s="12">
        <v>1092</v>
      </c>
    </row>
    <row r="1906" spans="1:6">
      <c r="A1906" t="s">
        <v>413</v>
      </c>
      <c r="B1906" s="12" t="s">
        <v>422</v>
      </c>
      <c r="C1906" s="12" t="s">
        <v>20</v>
      </c>
      <c r="D1906" s="12">
        <v>5.6418918918918919E-2</v>
      </c>
      <c r="E1906" s="12">
        <v>20720</v>
      </c>
      <c r="F1906" s="12">
        <v>1169</v>
      </c>
    </row>
    <row r="1907" spans="1:6">
      <c r="A1907" t="s">
        <v>413</v>
      </c>
      <c r="B1907" s="12" t="s">
        <v>424</v>
      </c>
      <c r="C1907" s="12" t="s">
        <v>480</v>
      </c>
      <c r="D1907" s="12">
        <v>0.44579688094332448</v>
      </c>
      <c r="E1907" s="12">
        <v>18403</v>
      </c>
      <c r="F1907" s="12">
        <v>8204</v>
      </c>
    </row>
    <row r="1908" spans="1:6">
      <c r="A1908" t="s">
        <v>413</v>
      </c>
      <c r="B1908" s="12" t="s">
        <v>424</v>
      </c>
      <c r="C1908" s="12" t="s">
        <v>479</v>
      </c>
      <c r="D1908" s="12">
        <v>0.37548225832744664</v>
      </c>
      <c r="E1908" s="12">
        <v>18403</v>
      </c>
      <c r="F1908" s="12">
        <v>6910</v>
      </c>
    </row>
    <row r="1909" spans="1:6">
      <c r="A1909" t="s">
        <v>413</v>
      </c>
      <c r="B1909" s="12" t="s">
        <v>424</v>
      </c>
      <c r="C1909" s="12" t="s">
        <v>22</v>
      </c>
      <c r="D1909" s="12">
        <v>9.949464761180242E-2</v>
      </c>
      <c r="E1909" s="12">
        <v>18403</v>
      </c>
      <c r="F1909" s="12">
        <v>1831</v>
      </c>
    </row>
    <row r="1910" spans="1:6">
      <c r="A1910" t="s">
        <v>413</v>
      </c>
      <c r="B1910" s="12" t="s">
        <v>424</v>
      </c>
      <c r="C1910" s="12" t="s">
        <v>478</v>
      </c>
      <c r="D1910" s="12">
        <v>4.1025919687007556E-2</v>
      </c>
      <c r="E1910" s="12">
        <v>18403</v>
      </c>
      <c r="F1910" s="12">
        <v>755</v>
      </c>
    </row>
    <row r="1911" spans="1:6">
      <c r="A1911" t="s">
        <v>413</v>
      </c>
      <c r="B1911" s="12" t="s">
        <v>424</v>
      </c>
      <c r="C1911" s="12" t="s">
        <v>20</v>
      </c>
      <c r="D1911" s="12">
        <v>3.8471988262783245E-2</v>
      </c>
      <c r="E1911" s="12">
        <v>18403</v>
      </c>
      <c r="F1911" s="12">
        <v>708</v>
      </c>
    </row>
    <row r="1912" spans="1:6">
      <c r="A1912" t="s">
        <v>423</v>
      </c>
      <c r="B1912" s="12" t="s">
        <v>423</v>
      </c>
      <c r="C1912" s="12" t="s">
        <v>480</v>
      </c>
      <c r="D1912" s="12">
        <v>0.45138081052764434</v>
      </c>
      <c r="E1912" s="12">
        <v>1315242</v>
      </c>
      <c r="F1912" s="12">
        <v>593675</v>
      </c>
    </row>
    <row r="1913" spans="1:6">
      <c r="A1913" t="s">
        <v>423</v>
      </c>
      <c r="B1913" s="12" t="s">
        <v>423</v>
      </c>
      <c r="C1913" s="12" t="s">
        <v>479</v>
      </c>
      <c r="D1913" s="12">
        <v>0.39583285813561309</v>
      </c>
      <c r="E1913" s="12">
        <v>1315242</v>
      </c>
      <c r="F1913" s="12">
        <v>520616</v>
      </c>
    </row>
    <row r="1914" spans="1:6">
      <c r="A1914" t="s">
        <v>423</v>
      </c>
      <c r="B1914" s="12" t="s">
        <v>423</v>
      </c>
      <c r="C1914" s="12" t="s">
        <v>22</v>
      </c>
      <c r="D1914" s="12">
        <v>9.3071085017053898E-2</v>
      </c>
      <c r="E1914" s="12">
        <v>1315242</v>
      </c>
      <c r="F1914" s="12">
        <v>122411</v>
      </c>
    </row>
    <row r="1915" spans="1:6">
      <c r="A1915" t="s">
        <v>423</v>
      </c>
      <c r="B1915" s="12" t="s">
        <v>423</v>
      </c>
      <c r="C1915" s="12" t="s">
        <v>478</v>
      </c>
      <c r="D1915" s="12">
        <v>3.1828363145337511E-2</v>
      </c>
      <c r="E1915" s="12">
        <v>1315242</v>
      </c>
      <c r="F1915" s="12">
        <v>41862</v>
      </c>
    </row>
    <row r="1916" spans="1:6">
      <c r="A1916" t="s">
        <v>423</v>
      </c>
      <c r="B1916" s="12" t="s">
        <v>423</v>
      </c>
      <c r="C1916" s="12" t="s">
        <v>20</v>
      </c>
      <c r="D1916" s="12">
        <v>2.7887643490703613E-2</v>
      </c>
      <c r="E1916" s="12">
        <v>1315242</v>
      </c>
      <c r="F1916" s="12">
        <v>36679</v>
      </c>
    </row>
    <row r="1917" spans="1:6">
      <c r="A1917" t="s">
        <v>425</v>
      </c>
      <c r="B1917" s="12" t="s">
        <v>426</v>
      </c>
      <c r="C1917" s="12" t="s">
        <v>480</v>
      </c>
      <c r="D1917" s="12">
        <v>0.44498181349985516</v>
      </c>
      <c r="E1917" s="12">
        <v>124268</v>
      </c>
      <c r="F1917" s="12">
        <v>55297</v>
      </c>
    </row>
    <row r="1918" spans="1:6">
      <c r="A1918" t="s">
        <v>425</v>
      </c>
      <c r="B1918" s="12" t="s">
        <v>426</v>
      </c>
      <c r="C1918" s="12" t="s">
        <v>479</v>
      </c>
      <c r="D1918" s="12">
        <v>0.39409984871406961</v>
      </c>
      <c r="E1918" s="12">
        <v>124268</v>
      </c>
      <c r="F1918" s="12">
        <v>48974</v>
      </c>
    </row>
    <row r="1919" spans="1:6">
      <c r="A1919" t="s">
        <v>425</v>
      </c>
      <c r="B1919" s="12" t="s">
        <v>426</v>
      </c>
      <c r="C1919" s="12" t="s">
        <v>22</v>
      </c>
      <c r="D1919" s="12">
        <v>9.2743103614768077E-2</v>
      </c>
      <c r="E1919" s="12">
        <v>124268</v>
      </c>
      <c r="F1919" s="12">
        <v>11525</v>
      </c>
    </row>
    <row r="1920" spans="1:6">
      <c r="A1920" t="s">
        <v>425</v>
      </c>
      <c r="B1920" s="12" t="s">
        <v>426</v>
      </c>
      <c r="C1920" s="12" t="s">
        <v>478</v>
      </c>
      <c r="D1920" s="12">
        <v>3.4280748060643129E-2</v>
      </c>
      <c r="E1920" s="12">
        <v>124268</v>
      </c>
      <c r="F1920" s="12">
        <v>4260</v>
      </c>
    </row>
    <row r="1921" spans="1:6">
      <c r="A1921" t="s">
        <v>425</v>
      </c>
      <c r="B1921" s="12" t="s">
        <v>426</v>
      </c>
      <c r="C1921" s="12" t="s">
        <v>20</v>
      </c>
      <c r="D1921" s="12">
        <v>3.3854250490874559E-2</v>
      </c>
      <c r="E1921" s="12">
        <v>124268</v>
      </c>
      <c r="F1921" s="12">
        <v>4207</v>
      </c>
    </row>
    <row r="1922" spans="1:6">
      <c r="A1922" t="s">
        <v>425</v>
      </c>
      <c r="B1922" s="12" t="s">
        <v>427</v>
      </c>
      <c r="C1922" s="12" t="s">
        <v>480</v>
      </c>
      <c r="D1922" s="12">
        <v>0.43450185568440647</v>
      </c>
      <c r="E1922" s="12">
        <v>172982</v>
      </c>
      <c r="F1922" s="12">
        <v>75161</v>
      </c>
    </row>
    <row r="1923" spans="1:6">
      <c r="A1923" t="s">
        <v>425</v>
      </c>
      <c r="B1923" s="12" t="s">
        <v>427</v>
      </c>
      <c r="C1923" s="12" t="s">
        <v>479</v>
      </c>
      <c r="D1923" s="12">
        <v>0.39795470048906822</v>
      </c>
      <c r="E1923" s="12">
        <v>172982</v>
      </c>
      <c r="F1923" s="12">
        <v>68839</v>
      </c>
    </row>
    <row r="1924" spans="1:6">
      <c r="A1924" t="s">
        <v>425</v>
      </c>
      <c r="B1924" s="12" t="s">
        <v>427</v>
      </c>
      <c r="C1924" s="12" t="s">
        <v>22</v>
      </c>
      <c r="D1924" s="12">
        <v>9.6790417500086712E-2</v>
      </c>
      <c r="E1924" s="12">
        <v>172982</v>
      </c>
      <c r="F1924" s="12">
        <v>16743</v>
      </c>
    </row>
    <row r="1925" spans="1:6">
      <c r="A1925" t="s">
        <v>425</v>
      </c>
      <c r="B1925" s="12" t="s">
        <v>427</v>
      </c>
      <c r="C1925" s="12" t="s">
        <v>478</v>
      </c>
      <c r="D1925" s="12">
        <v>3.6691678903007251E-2</v>
      </c>
      <c r="E1925" s="12">
        <v>172982</v>
      </c>
      <c r="F1925" s="12">
        <v>6347</v>
      </c>
    </row>
    <row r="1926" spans="1:6">
      <c r="A1926" t="s">
        <v>425</v>
      </c>
      <c r="B1926" s="12" t="s">
        <v>427</v>
      </c>
      <c r="C1926" s="12" t="s">
        <v>20</v>
      </c>
      <c r="D1926" s="12">
        <v>3.4055566475124581E-2</v>
      </c>
      <c r="E1926" s="12">
        <v>172982</v>
      </c>
      <c r="F1926" s="12">
        <v>5891</v>
      </c>
    </row>
    <row r="1927" spans="1:6">
      <c r="A1927" t="s">
        <v>425</v>
      </c>
      <c r="B1927" s="12" t="s">
        <v>425</v>
      </c>
      <c r="C1927" s="12" t="s">
        <v>480</v>
      </c>
      <c r="D1927" s="12">
        <v>0.39004570764008423</v>
      </c>
      <c r="E1927" s="12">
        <v>603619</v>
      </c>
      <c r="F1927" s="12">
        <v>235439</v>
      </c>
    </row>
    <row r="1928" spans="1:6">
      <c r="A1928" t="s">
        <v>425</v>
      </c>
      <c r="B1928" s="12" t="s">
        <v>425</v>
      </c>
      <c r="C1928" s="12" t="s">
        <v>479</v>
      </c>
      <c r="D1928" s="12">
        <v>0.41994536288619144</v>
      </c>
      <c r="E1928" s="12">
        <v>603619</v>
      </c>
      <c r="F1928" s="12">
        <v>253487</v>
      </c>
    </row>
    <row r="1929" spans="1:6">
      <c r="A1929" t="s">
        <v>425</v>
      </c>
      <c r="B1929" s="12" t="s">
        <v>425</v>
      </c>
      <c r="C1929" s="12" t="s">
        <v>22</v>
      </c>
      <c r="D1929" s="12">
        <v>0.11207897697057249</v>
      </c>
      <c r="E1929" s="12">
        <v>603619</v>
      </c>
      <c r="F1929" s="12">
        <v>67653</v>
      </c>
    </row>
    <row r="1930" spans="1:6">
      <c r="A1930" t="s">
        <v>425</v>
      </c>
      <c r="B1930" s="12" t="s">
        <v>425</v>
      </c>
      <c r="C1930" s="12" t="s">
        <v>478</v>
      </c>
      <c r="D1930" s="12">
        <v>4.1083862502671389E-2</v>
      </c>
      <c r="E1930" s="12">
        <v>603619</v>
      </c>
      <c r="F1930" s="12">
        <v>24799</v>
      </c>
    </row>
    <row r="1931" spans="1:6">
      <c r="A1931" t="s">
        <v>425</v>
      </c>
      <c r="B1931" s="12" t="s">
        <v>425</v>
      </c>
      <c r="C1931" s="12" t="s">
        <v>20</v>
      </c>
      <c r="D1931" s="12">
        <v>3.6842776652159723E-2</v>
      </c>
      <c r="E1931" s="12">
        <v>603619</v>
      </c>
      <c r="F1931" s="12">
        <v>22239</v>
      </c>
    </row>
    <row r="1932" spans="1:6">
      <c r="A1932" t="s">
        <v>425</v>
      </c>
      <c r="B1932" s="12" t="s">
        <v>428</v>
      </c>
      <c r="C1932" s="12" t="s">
        <v>480</v>
      </c>
      <c r="D1932" s="12">
        <v>0.41870740108676308</v>
      </c>
      <c r="E1932" s="12">
        <v>95513</v>
      </c>
      <c r="F1932" s="12">
        <v>39992</v>
      </c>
    </row>
    <row r="1933" spans="1:6">
      <c r="A1933" t="s">
        <v>425</v>
      </c>
      <c r="B1933" s="12" t="s">
        <v>428</v>
      </c>
      <c r="C1933" s="12" t="s">
        <v>479</v>
      </c>
      <c r="D1933" s="12">
        <v>0.42012082124946343</v>
      </c>
      <c r="E1933" s="12">
        <v>95513</v>
      </c>
      <c r="F1933" s="12">
        <v>40127</v>
      </c>
    </row>
    <row r="1934" spans="1:6">
      <c r="A1934" t="s">
        <v>425</v>
      </c>
      <c r="B1934" s="12" t="s">
        <v>428</v>
      </c>
      <c r="C1934" s="12" t="s">
        <v>22</v>
      </c>
      <c r="D1934" s="12">
        <v>9.7170018740904376E-2</v>
      </c>
      <c r="E1934" s="12">
        <v>95513</v>
      </c>
      <c r="F1934" s="12">
        <v>9281</v>
      </c>
    </row>
    <row r="1935" spans="1:6">
      <c r="A1935" t="s">
        <v>425</v>
      </c>
      <c r="B1935" s="12" t="s">
        <v>428</v>
      </c>
      <c r="C1935" s="12" t="s">
        <v>478</v>
      </c>
      <c r="D1935" s="12">
        <v>3.3838325672945042E-2</v>
      </c>
      <c r="E1935" s="12">
        <v>95513</v>
      </c>
      <c r="F1935" s="12">
        <v>3232</v>
      </c>
    </row>
    <row r="1936" spans="1:6">
      <c r="A1936" t="s">
        <v>425</v>
      </c>
      <c r="B1936" s="12" t="s">
        <v>428</v>
      </c>
      <c r="C1936" s="12" t="s">
        <v>20</v>
      </c>
      <c r="D1936" s="12">
        <v>3.0173903028907059E-2</v>
      </c>
      <c r="E1936" s="12">
        <v>95513</v>
      </c>
      <c r="F1936" s="12">
        <v>2882</v>
      </c>
    </row>
    <row r="1937" spans="1:6">
      <c r="A1937" t="s">
        <v>425</v>
      </c>
      <c r="B1937" s="12" t="s">
        <v>429</v>
      </c>
      <c r="C1937" s="12" t="s">
        <v>480</v>
      </c>
      <c r="D1937" s="12">
        <v>0.43610732885927733</v>
      </c>
      <c r="E1937" s="12">
        <v>247501</v>
      </c>
      <c r="F1937" s="12">
        <v>107937</v>
      </c>
    </row>
    <row r="1938" spans="1:6">
      <c r="A1938" t="s">
        <v>425</v>
      </c>
      <c r="B1938" s="12" t="s">
        <v>429</v>
      </c>
      <c r="C1938" s="12" t="s">
        <v>479</v>
      </c>
      <c r="D1938" s="12">
        <v>0.43306895729714223</v>
      </c>
      <c r="E1938" s="12">
        <v>247501</v>
      </c>
      <c r="F1938" s="12">
        <v>107185</v>
      </c>
    </row>
    <row r="1939" spans="1:6">
      <c r="A1939" t="s">
        <v>425</v>
      </c>
      <c r="B1939" s="12" t="s">
        <v>429</v>
      </c>
      <c r="C1939" s="12" t="s">
        <v>22</v>
      </c>
      <c r="D1939" s="12">
        <v>8.6431974012226215E-2</v>
      </c>
      <c r="E1939" s="12">
        <v>247501</v>
      </c>
      <c r="F1939" s="12">
        <v>21392</v>
      </c>
    </row>
    <row r="1940" spans="1:6">
      <c r="A1940" t="s">
        <v>425</v>
      </c>
      <c r="B1940" s="12" t="s">
        <v>429</v>
      </c>
      <c r="C1940" s="12" t="s">
        <v>478</v>
      </c>
      <c r="D1940" s="12">
        <v>2.5563533076634035E-2</v>
      </c>
      <c r="E1940" s="12">
        <v>247501</v>
      </c>
      <c r="F1940" s="12">
        <v>6327</v>
      </c>
    </row>
    <row r="1941" spans="1:6">
      <c r="A1941" t="s">
        <v>425</v>
      </c>
      <c r="B1941" s="12" t="s">
        <v>429</v>
      </c>
      <c r="C1941" s="12" t="s">
        <v>20</v>
      </c>
      <c r="D1941" s="12">
        <v>1.8828206754720182E-2</v>
      </c>
      <c r="E1941" s="12">
        <v>247501</v>
      </c>
      <c r="F1941" s="12">
        <v>4660</v>
      </c>
    </row>
    <row r="1942" spans="1:6">
      <c r="A1942" t="s">
        <v>425</v>
      </c>
      <c r="B1942" s="12" t="s">
        <v>431</v>
      </c>
      <c r="C1942" s="12" t="s">
        <v>480</v>
      </c>
      <c r="D1942" s="12">
        <v>0.40053775588594154</v>
      </c>
      <c r="E1942" s="12">
        <v>44258</v>
      </c>
      <c r="F1942" s="12">
        <v>17727</v>
      </c>
    </row>
    <row r="1943" spans="1:6">
      <c r="A1943" t="s">
        <v>425</v>
      </c>
      <c r="B1943" s="12" t="s">
        <v>431</v>
      </c>
      <c r="C1943" s="12" t="s">
        <v>479</v>
      </c>
      <c r="D1943" s="12">
        <v>0.38243933300194316</v>
      </c>
      <c r="E1943" s="12">
        <v>44258</v>
      </c>
      <c r="F1943" s="12">
        <v>16926</v>
      </c>
    </row>
    <row r="1944" spans="1:6">
      <c r="A1944" t="s">
        <v>425</v>
      </c>
      <c r="B1944" s="12" t="s">
        <v>431</v>
      </c>
      <c r="C1944" s="12" t="s">
        <v>22</v>
      </c>
      <c r="D1944" s="12">
        <v>0.11387771702291111</v>
      </c>
      <c r="E1944" s="12">
        <v>44258</v>
      </c>
      <c r="F1944" s="12">
        <v>5040</v>
      </c>
    </row>
    <row r="1945" spans="1:6">
      <c r="A1945" t="s">
        <v>425</v>
      </c>
      <c r="B1945" s="12" t="s">
        <v>431</v>
      </c>
      <c r="C1945" s="12" t="s">
        <v>478</v>
      </c>
      <c r="D1945" s="12">
        <v>4.9640742916534863E-2</v>
      </c>
      <c r="E1945" s="12">
        <v>44258</v>
      </c>
      <c r="F1945" s="12">
        <v>2197</v>
      </c>
    </row>
    <row r="1946" spans="1:6">
      <c r="A1946" t="s">
        <v>425</v>
      </c>
      <c r="B1946" s="12" t="s">
        <v>431</v>
      </c>
      <c r="C1946" s="12" t="s">
        <v>20</v>
      </c>
      <c r="D1946" s="12">
        <v>5.3391477247051379E-2</v>
      </c>
      <c r="E1946" s="12">
        <v>44258</v>
      </c>
      <c r="F1946" s="12">
        <v>2363</v>
      </c>
    </row>
    <row r="1947" spans="1:6">
      <c r="A1947" t="s">
        <v>430</v>
      </c>
      <c r="B1947" s="12" t="s">
        <v>432</v>
      </c>
      <c r="C1947" s="12" t="s">
        <v>480</v>
      </c>
      <c r="D1947" s="12">
        <v>0.36518918918918919</v>
      </c>
      <c r="E1947" s="12">
        <v>46250</v>
      </c>
      <c r="F1947" s="12">
        <v>16890</v>
      </c>
    </row>
    <row r="1948" spans="1:6">
      <c r="A1948" t="s">
        <v>430</v>
      </c>
      <c r="B1948" s="12" t="s">
        <v>432</v>
      </c>
      <c r="C1948" s="12" t="s">
        <v>479</v>
      </c>
      <c r="D1948" s="12">
        <v>0.40635675675675675</v>
      </c>
      <c r="E1948" s="12">
        <v>46250</v>
      </c>
      <c r="F1948" s="12">
        <v>18794</v>
      </c>
    </row>
    <row r="1949" spans="1:6">
      <c r="A1949" t="s">
        <v>430</v>
      </c>
      <c r="B1949" s="12" t="s">
        <v>432</v>
      </c>
      <c r="C1949" s="12" t="s">
        <v>22</v>
      </c>
      <c r="D1949" s="12">
        <v>0.12953513513513515</v>
      </c>
      <c r="E1949" s="12">
        <v>46250</v>
      </c>
      <c r="F1949" s="12">
        <v>5991</v>
      </c>
    </row>
    <row r="1950" spans="1:6">
      <c r="A1950" t="s">
        <v>430</v>
      </c>
      <c r="B1950" s="12" t="s">
        <v>432</v>
      </c>
      <c r="C1950" s="12" t="s">
        <v>478</v>
      </c>
      <c r="D1950" s="12">
        <v>5.04E-2</v>
      </c>
      <c r="E1950" s="12">
        <v>46250</v>
      </c>
      <c r="F1950" s="12">
        <v>2331</v>
      </c>
    </row>
    <row r="1951" spans="1:6">
      <c r="A1951" t="s">
        <v>430</v>
      </c>
      <c r="B1951" s="12" t="s">
        <v>432</v>
      </c>
      <c r="C1951" s="12" t="s">
        <v>20</v>
      </c>
      <c r="D1951" s="12">
        <v>4.8583783783783786E-2</v>
      </c>
      <c r="E1951" s="12">
        <v>46250</v>
      </c>
      <c r="F1951" s="12">
        <v>2247</v>
      </c>
    </row>
    <row r="1952" spans="1:6">
      <c r="A1952" t="s">
        <v>430</v>
      </c>
      <c r="B1952" s="12" t="s">
        <v>433</v>
      </c>
      <c r="C1952" s="12" t="s">
        <v>480</v>
      </c>
      <c r="D1952" s="12">
        <v>0.46749344203746351</v>
      </c>
      <c r="E1952" s="12">
        <v>81199</v>
      </c>
      <c r="F1952" s="12">
        <v>37960</v>
      </c>
    </row>
    <row r="1953" spans="1:6">
      <c r="A1953" t="s">
        <v>430</v>
      </c>
      <c r="B1953" s="12" t="s">
        <v>433</v>
      </c>
      <c r="C1953" s="12" t="s">
        <v>479</v>
      </c>
      <c r="D1953" s="12">
        <v>0.37110062931809507</v>
      </c>
      <c r="E1953" s="12">
        <v>81199</v>
      </c>
      <c r="F1953" s="12">
        <v>30133</v>
      </c>
    </row>
    <row r="1954" spans="1:6">
      <c r="A1954" t="s">
        <v>430</v>
      </c>
      <c r="B1954" s="12" t="s">
        <v>433</v>
      </c>
      <c r="C1954" s="12" t="s">
        <v>22</v>
      </c>
      <c r="D1954" s="12">
        <v>9.9607138018941124E-2</v>
      </c>
      <c r="E1954" s="12">
        <v>81199</v>
      </c>
      <c r="F1954" s="12">
        <v>8088</v>
      </c>
    </row>
    <row r="1955" spans="1:6">
      <c r="A1955" t="s">
        <v>430</v>
      </c>
      <c r="B1955" s="12" t="s">
        <v>433</v>
      </c>
      <c r="C1955" s="12" t="s">
        <v>478</v>
      </c>
      <c r="D1955" s="12">
        <v>3.3855096737644551E-2</v>
      </c>
      <c r="E1955" s="12">
        <v>81199</v>
      </c>
      <c r="F1955" s="12">
        <v>2749</v>
      </c>
    </row>
    <row r="1956" spans="1:6">
      <c r="A1956" t="s">
        <v>430</v>
      </c>
      <c r="B1956" s="12" t="s">
        <v>433</v>
      </c>
      <c r="C1956" s="12" t="s">
        <v>20</v>
      </c>
      <c r="D1956" s="12">
        <v>2.7968324733063214E-2</v>
      </c>
      <c r="E1956" s="12">
        <v>81199</v>
      </c>
      <c r="F1956" s="12">
        <v>2271</v>
      </c>
    </row>
    <row r="1957" spans="1:6">
      <c r="A1957" t="s">
        <v>430</v>
      </c>
      <c r="B1957" s="12" t="s">
        <v>434</v>
      </c>
      <c r="C1957" s="12" t="s">
        <v>480</v>
      </c>
      <c r="D1957" s="12">
        <v>0.44915498199026843</v>
      </c>
      <c r="E1957" s="12">
        <v>142423</v>
      </c>
      <c r="F1957" s="12">
        <v>63970</v>
      </c>
    </row>
    <row r="1958" spans="1:6">
      <c r="A1958" t="s">
        <v>430</v>
      </c>
      <c r="B1958" s="12" t="s">
        <v>434</v>
      </c>
      <c r="C1958" s="12" t="s">
        <v>479</v>
      </c>
      <c r="D1958" s="12">
        <v>0.39315279133286057</v>
      </c>
      <c r="E1958" s="12">
        <v>142423</v>
      </c>
      <c r="F1958" s="12">
        <v>55994</v>
      </c>
    </row>
    <row r="1959" spans="1:6">
      <c r="A1959" t="s">
        <v>430</v>
      </c>
      <c r="B1959" s="12" t="s">
        <v>434</v>
      </c>
      <c r="C1959" s="12" t="s">
        <v>22</v>
      </c>
      <c r="D1959" s="12">
        <v>9.7147230433286755E-2</v>
      </c>
      <c r="E1959" s="12">
        <v>142423</v>
      </c>
      <c r="F1959" s="12">
        <v>13836</v>
      </c>
    </row>
    <row r="1960" spans="1:6">
      <c r="A1960" t="s">
        <v>430</v>
      </c>
      <c r="B1960" s="12" t="s">
        <v>434</v>
      </c>
      <c r="C1960" s="12" t="s">
        <v>478</v>
      </c>
      <c r="D1960" s="12">
        <v>3.3442632159131604E-2</v>
      </c>
      <c r="E1960" s="12">
        <v>142423</v>
      </c>
      <c r="F1960" s="12">
        <v>4763</v>
      </c>
    </row>
    <row r="1961" spans="1:6">
      <c r="A1961" t="s">
        <v>430</v>
      </c>
      <c r="B1961" s="12" t="s">
        <v>434</v>
      </c>
      <c r="C1961" s="12" t="s">
        <v>20</v>
      </c>
      <c r="D1961" s="12">
        <v>2.7067257395224087E-2</v>
      </c>
      <c r="E1961" s="12">
        <v>142423</v>
      </c>
      <c r="F1961" s="12">
        <v>3855</v>
      </c>
    </row>
    <row r="1962" spans="1:6">
      <c r="A1962" t="s">
        <v>430</v>
      </c>
      <c r="B1962" s="12" t="s">
        <v>435</v>
      </c>
      <c r="C1962" s="12" t="s">
        <v>480</v>
      </c>
      <c r="D1962" s="12">
        <v>0.37673330734532495</v>
      </c>
      <c r="E1962" s="12">
        <v>71828</v>
      </c>
      <c r="F1962" s="12">
        <v>27060</v>
      </c>
    </row>
    <row r="1963" spans="1:6">
      <c r="A1963" t="s">
        <v>430</v>
      </c>
      <c r="B1963" s="12" t="s">
        <v>435</v>
      </c>
      <c r="C1963" s="12" t="s">
        <v>479</v>
      </c>
      <c r="D1963" s="12">
        <v>0.41334855488110483</v>
      </c>
      <c r="E1963" s="12">
        <v>71828</v>
      </c>
      <c r="F1963" s="12">
        <v>29690</v>
      </c>
    </row>
    <row r="1964" spans="1:6">
      <c r="A1964" t="s">
        <v>430</v>
      </c>
      <c r="B1964" s="12" t="s">
        <v>435</v>
      </c>
      <c r="C1964" s="12" t="s">
        <v>22</v>
      </c>
      <c r="D1964" s="12">
        <v>0.12262627387648271</v>
      </c>
      <c r="E1964" s="12">
        <v>71828</v>
      </c>
      <c r="F1964" s="12">
        <v>8808</v>
      </c>
    </row>
    <row r="1965" spans="1:6">
      <c r="A1965" t="s">
        <v>430</v>
      </c>
      <c r="B1965" s="12" t="s">
        <v>435</v>
      </c>
      <c r="C1965" s="12" t="s">
        <v>478</v>
      </c>
      <c r="D1965" s="12">
        <v>4.6360750682185217E-2</v>
      </c>
      <c r="E1965" s="12">
        <v>71828</v>
      </c>
      <c r="F1965" s="12">
        <v>3330</v>
      </c>
    </row>
    <row r="1966" spans="1:6">
      <c r="A1966" t="s">
        <v>430</v>
      </c>
      <c r="B1966" s="12" t="s">
        <v>435</v>
      </c>
      <c r="C1966" s="12" t="s">
        <v>20</v>
      </c>
      <c r="D1966" s="12">
        <v>4.0931113214902268E-2</v>
      </c>
      <c r="E1966" s="12">
        <v>71828</v>
      </c>
      <c r="F1966" s="12">
        <v>2940</v>
      </c>
    </row>
    <row r="1967" spans="1:6">
      <c r="A1967" t="s">
        <v>430</v>
      </c>
      <c r="B1967" s="12" t="s">
        <v>436</v>
      </c>
      <c r="C1967" s="12" t="s">
        <v>480</v>
      </c>
      <c r="D1967" s="12">
        <v>0.40486172388693931</v>
      </c>
      <c r="E1967" s="12">
        <v>491842</v>
      </c>
      <c r="F1967" s="12">
        <v>199128</v>
      </c>
    </row>
    <row r="1968" spans="1:6">
      <c r="A1968" t="s">
        <v>430</v>
      </c>
      <c r="B1968" s="12" t="s">
        <v>436</v>
      </c>
      <c r="C1968" s="12" t="s">
        <v>479</v>
      </c>
      <c r="D1968" s="12">
        <v>0.41805091879099388</v>
      </c>
      <c r="E1968" s="12">
        <v>491842</v>
      </c>
      <c r="F1968" s="12">
        <v>205615</v>
      </c>
    </row>
    <row r="1969" spans="1:6">
      <c r="A1969" t="s">
        <v>430</v>
      </c>
      <c r="B1969" s="12" t="s">
        <v>436</v>
      </c>
      <c r="C1969" s="12" t="s">
        <v>22</v>
      </c>
      <c r="D1969" s="12">
        <v>0.10909397733418455</v>
      </c>
      <c r="E1969" s="12">
        <v>491842</v>
      </c>
      <c r="F1969" s="12">
        <v>53657</v>
      </c>
    </row>
    <row r="1970" spans="1:6">
      <c r="A1970" t="s">
        <v>430</v>
      </c>
      <c r="B1970" s="12" t="s">
        <v>436</v>
      </c>
      <c r="C1970" s="12" t="s">
        <v>478</v>
      </c>
      <c r="D1970" s="12">
        <v>3.7609638867766478E-2</v>
      </c>
      <c r="E1970" s="12">
        <v>491842</v>
      </c>
      <c r="F1970" s="12">
        <v>18498</v>
      </c>
    </row>
    <row r="1971" spans="1:6">
      <c r="A1971" t="s">
        <v>430</v>
      </c>
      <c r="B1971" s="12" t="s">
        <v>436</v>
      </c>
      <c r="C1971" s="12" t="s">
        <v>20</v>
      </c>
      <c r="D1971" s="12">
        <v>3.0371542080586855E-2</v>
      </c>
      <c r="E1971" s="12">
        <v>491842</v>
      </c>
      <c r="F1971" s="12">
        <v>14938</v>
      </c>
    </row>
    <row r="1972" spans="1:6">
      <c r="A1972" t="s">
        <v>430</v>
      </c>
      <c r="B1972" s="12" t="s">
        <v>437</v>
      </c>
      <c r="C1972" s="12" t="s">
        <v>480</v>
      </c>
      <c r="D1972" s="12">
        <v>0.47302034402399568</v>
      </c>
      <c r="E1972" s="12">
        <v>355731</v>
      </c>
      <c r="F1972" s="12">
        <v>168268</v>
      </c>
    </row>
    <row r="1973" spans="1:6">
      <c r="A1973" t="s">
        <v>430</v>
      </c>
      <c r="B1973" s="12" t="s">
        <v>437</v>
      </c>
      <c r="C1973" s="12" t="s">
        <v>479</v>
      </c>
      <c r="D1973" s="12">
        <v>0.3828791980457143</v>
      </c>
      <c r="E1973" s="12">
        <v>355731</v>
      </c>
      <c r="F1973" s="12">
        <v>136202</v>
      </c>
    </row>
    <row r="1974" spans="1:6">
      <c r="A1974" t="s">
        <v>430</v>
      </c>
      <c r="B1974" s="12" t="s">
        <v>437</v>
      </c>
      <c r="C1974" s="12" t="s">
        <v>22</v>
      </c>
      <c r="D1974" s="12">
        <v>9.0905768684764618E-2</v>
      </c>
      <c r="E1974" s="12">
        <v>355731</v>
      </c>
      <c r="F1974" s="12">
        <v>32338</v>
      </c>
    </row>
    <row r="1975" spans="1:6">
      <c r="A1975" t="s">
        <v>430</v>
      </c>
      <c r="B1975" s="12" t="s">
        <v>437</v>
      </c>
      <c r="C1975" s="12" t="s">
        <v>478</v>
      </c>
      <c r="D1975" s="12">
        <v>2.9960841197421647E-2</v>
      </c>
      <c r="E1975" s="12">
        <v>355731</v>
      </c>
      <c r="F1975" s="12">
        <v>10658</v>
      </c>
    </row>
    <row r="1976" spans="1:6">
      <c r="A1976" t="s">
        <v>430</v>
      </c>
      <c r="B1976" s="12" t="s">
        <v>437</v>
      </c>
      <c r="C1976" s="12" t="s">
        <v>20</v>
      </c>
      <c r="D1976" s="12">
        <v>2.3216981370754869E-2</v>
      </c>
      <c r="E1976" s="12">
        <v>355731</v>
      </c>
      <c r="F1976" s="12">
        <v>8259</v>
      </c>
    </row>
    <row r="1977" spans="1:6">
      <c r="A1977" t="s">
        <v>430</v>
      </c>
      <c r="B1977" s="12" t="s">
        <v>438</v>
      </c>
      <c r="C1977" s="12" t="s">
        <v>480</v>
      </c>
      <c r="D1977" s="12">
        <v>0.45269942749341685</v>
      </c>
      <c r="E1977" s="12">
        <v>76331</v>
      </c>
      <c r="F1977" s="12">
        <v>34555</v>
      </c>
    </row>
    <row r="1978" spans="1:6">
      <c r="A1978" t="s">
        <v>430</v>
      </c>
      <c r="B1978" s="12" t="s">
        <v>438</v>
      </c>
      <c r="C1978" s="12" t="s">
        <v>479</v>
      </c>
      <c r="D1978" s="12">
        <v>0.38448336848724635</v>
      </c>
      <c r="E1978" s="12">
        <v>76331</v>
      </c>
      <c r="F1978" s="12">
        <v>29348</v>
      </c>
    </row>
    <row r="1979" spans="1:6">
      <c r="A1979" t="s">
        <v>430</v>
      </c>
      <c r="B1979" s="12" t="s">
        <v>438</v>
      </c>
      <c r="C1979" s="12" t="s">
        <v>22</v>
      </c>
      <c r="D1979" s="12">
        <v>9.654006891040337E-2</v>
      </c>
      <c r="E1979" s="12">
        <v>76331</v>
      </c>
      <c r="F1979" s="12">
        <v>7369</v>
      </c>
    </row>
    <row r="1980" spans="1:6">
      <c r="A1980" t="s">
        <v>430</v>
      </c>
      <c r="B1980" s="12" t="s">
        <v>438</v>
      </c>
      <c r="C1980" s="12" t="s">
        <v>478</v>
      </c>
      <c r="D1980" s="12">
        <v>3.5162646893136473E-2</v>
      </c>
      <c r="E1980" s="12">
        <v>76331</v>
      </c>
      <c r="F1980" s="12">
        <v>2684</v>
      </c>
    </row>
    <row r="1981" spans="1:6">
      <c r="A1981" t="s">
        <v>430</v>
      </c>
      <c r="B1981" s="12" t="s">
        <v>438</v>
      </c>
      <c r="C1981" s="12" t="s">
        <v>20</v>
      </c>
      <c r="D1981" s="12">
        <v>3.1101387378653495E-2</v>
      </c>
      <c r="E1981" s="12">
        <v>76331</v>
      </c>
      <c r="F1981" s="12">
        <v>2374</v>
      </c>
    </row>
    <row r="1982" spans="1:6">
      <c r="A1982" t="s">
        <v>430</v>
      </c>
      <c r="B1982" s="12" t="s">
        <v>439</v>
      </c>
      <c r="C1982" s="12" t="s">
        <v>480</v>
      </c>
      <c r="D1982" s="12">
        <v>0.50429157579566042</v>
      </c>
      <c r="E1982" s="12">
        <v>135265</v>
      </c>
      <c r="F1982" s="12">
        <v>68213</v>
      </c>
    </row>
    <row r="1983" spans="1:6">
      <c r="A1983" t="s">
        <v>430</v>
      </c>
      <c r="B1983" s="12" t="s">
        <v>439</v>
      </c>
      <c r="C1983" s="12" t="s">
        <v>479</v>
      </c>
      <c r="D1983" s="12">
        <v>0.36217055409751231</v>
      </c>
      <c r="E1983" s="12">
        <v>135265</v>
      </c>
      <c r="F1983" s="12">
        <v>48989</v>
      </c>
    </row>
    <row r="1984" spans="1:6">
      <c r="A1984" t="s">
        <v>430</v>
      </c>
      <c r="B1984" s="12" t="s">
        <v>439</v>
      </c>
      <c r="C1984" s="12" t="s">
        <v>22</v>
      </c>
      <c r="D1984" s="12">
        <v>8.3221823827301963E-2</v>
      </c>
      <c r="E1984" s="12">
        <v>135265</v>
      </c>
      <c r="F1984" s="12">
        <v>11257</v>
      </c>
    </row>
    <row r="1985" spans="1:6">
      <c r="A1985" t="s">
        <v>430</v>
      </c>
      <c r="B1985" s="12" t="s">
        <v>439</v>
      </c>
      <c r="C1985" s="12" t="s">
        <v>478</v>
      </c>
      <c r="D1985" s="12">
        <v>2.733892729087347E-2</v>
      </c>
      <c r="E1985" s="12">
        <v>135265</v>
      </c>
      <c r="F1985" s="12">
        <v>3698</v>
      </c>
    </row>
    <row r="1986" spans="1:6">
      <c r="A1986" t="s">
        <v>430</v>
      </c>
      <c r="B1986" s="12" t="s">
        <v>439</v>
      </c>
      <c r="C1986" s="12" t="s">
        <v>20</v>
      </c>
      <c r="D1986" s="12">
        <v>2.2977118988651905E-2</v>
      </c>
      <c r="E1986" s="12">
        <v>135265</v>
      </c>
      <c r="F1986" s="12">
        <v>3108</v>
      </c>
    </row>
    <row r="1987" spans="1:6">
      <c r="A1987" t="s">
        <v>430</v>
      </c>
      <c r="B1987" s="12" t="s">
        <v>440</v>
      </c>
      <c r="C1987" s="12" t="s">
        <v>480</v>
      </c>
      <c r="D1987" s="12">
        <v>0.49852210130323793</v>
      </c>
      <c r="E1987" s="12">
        <v>119088</v>
      </c>
      <c r="F1987" s="12">
        <v>59368</v>
      </c>
    </row>
    <row r="1988" spans="1:6">
      <c r="A1988" t="s">
        <v>430</v>
      </c>
      <c r="B1988" s="12" t="s">
        <v>440</v>
      </c>
      <c r="C1988" s="12" t="s">
        <v>479</v>
      </c>
      <c r="D1988" s="12">
        <v>0.36815632137578935</v>
      </c>
      <c r="E1988" s="12">
        <v>119088</v>
      </c>
      <c r="F1988" s="12">
        <v>43843</v>
      </c>
    </row>
    <row r="1989" spans="1:6">
      <c r="A1989" t="s">
        <v>430</v>
      </c>
      <c r="B1989" s="12" t="s">
        <v>440</v>
      </c>
      <c r="C1989" s="12" t="s">
        <v>22</v>
      </c>
      <c r="D1989" s="12">
        <v>8.4408168749160281E-2</v>
      </c>
      <c r="E1989" s="12">
        <v>119088</v>
      </c>
      <c r="F1989" s="12">
        <v>10052</v>
      </c>
    </row>
    <row r="1990" spans="1:6">
      <c r="A1990" t="s">
        <v>430</v>
      </c>
      <c r="B1990" s="12" t="s">
        <v>440</v>
      </c>
      <c r="C1990" s="12" t="s">
        <v>478</v>
      </c>
      <c r="D1990" s="12">
        <v>2.7341125890098079E-2</v>
      </c>
      <c r="E1990" s="12">
        <v>119088</v>
      </c>
      <c r="F1990" s="12">
        <v>3256</v>
      </c>
    </row>
    <row r="1991" spans="1:6">
      <c r="A1991" t="s">
        <v>430</v>
      </c>
      <c r="B1991" s="12" t="s">
        <v>440</v>
      </c>
      <c r="C1991" s="12" t="s">
        <v>20</v>
      </c>
      <c r="D1991" s="12">
        <v>2.158907698508666E-2</v>
      </c>
      <c r="E1991" s="12">
        <v>119088</v>
      </c>
      <c r="F1991" s="12">
        <v>2571</v>
      </c>
    </row>
    <row r="1992" spans="1:6">
      <c r="A1992" t="s">
        <v>430</v>
      </c>
      <c r="B1992" s="12" t="s">
        <v>441</v>
      </c>
      <c r="C1992" s="12" t="s">
        <v>480</v>
      </c>
      <c r="D1992" s="12">
        <v>0.45546645885031067</v>
      </c>
      <c r="E1992" s="12">
        <v>97522</v>
      </c>
      <c r="F1992" s="12">
        <v>44418</v>
      </c>
    </row>
    <row r="1993" spans="1:6">
      <c r="A1993" t="s">
        <v>430</v>
      </c>
      <c r="B1993" s="12" t="s">
        <v>441</v>
      </c>
      <c r="C1993" s="12" t="s">
        <v>479</v>
      </c>
      <c r="D1993" s="12">
        <v>0.38713315969729906</v>
      </c>
      <c r="E1993" s="12">
        <v>97522</v>
      </c>
      <c r="F1993" s="12">
        <v>37754</v>
      </c>
    </row>
    <row r="1994" spans="1:6">
      <c r="A1994" t="s">
        <v>430</v>
      </c>
      <c r="B1994" s="12" t="s">
        <v>441</v>
      </c>
      <c r="C1994" s="12" t="s">
        <v>22</v>
      </c>
      <c r="D1994" s="12">
        <v>9.6901212034207665E-2</v>
      </c>
      <c r="E1994" s="12">
        <v>97522</v>
      </c>
      <c r="F1994" s="12">
        <v>9450</v>
      </c>
    </row>
    <row r="1995" spans="1:6">
      <c r="A1995" t="s">
        <v>430</v>
      </c>
      <c r="B1995" s="12" t="s">
        <v>441</v>
      </c>
      <c r="C1995" s="12" t="s">
        <v>478</v>
      </c>
      <c r="D1995" s="12">
        <v>3.3623182461393328E-2</v>
      </c>
      <c r="E1995" s="12">
        <v>97522</v>
      </c>
      <c r="F1995" s="12">
        <v>3279</v>
      </c>
    </row>
    <row r="1996" spans="1:6">
      <c r="A1996" t="s">
        <v>430</v>
      </c>
      <c r="B1996" s="12" t="s">
        <v>441</v>
      </c>
      <c r="C1996" s="12" t="s">
        <v>20</v>
      </c>
      <c r="D1996" s="12">
        <v>2.6906749246323906E-2</v>
      </c>
      <c r="E1996" s="12">
        <v>97522</v>
      </c>
      <c r="F1996" s="12">
        <v>2624</v>
      </c>
    </row>
    <row r="1997" spans="1:6">
      <c r="A1997" t="s">
        <v>430</v>
      </c>
      <c r="B1997" s="12" t="s">
        <v>442</v>
      </c>
      <c r="C1997" s="12" t="s">
        <v>480</v>
      </c>
      <c r="D1997" s="12">
        <v>0.47426978715562518</v>
      </c>
      <c r="E1997" s="12">
        <v>86824</v>
      </c>
      <c r="F1997" s="12">
        <v>41178</v>
      </c>
    </row>
    <row r="1998" spans="1:6">
      <c r="A1998" t="s">
        <v>430</v>
      </c>
      <c r="B1998" s="12" t="s">
        <v>442</v>
      </c>
      <c r="C1998" s="12" t="s">
        <v>479</v>
      </c>
      <c r="D1998" s="12">
        <v>0.37336450750944439</v>
      </c>
      <c r="E1998" s="12">
        <v>86824</v>
      </c>
      <c r="F1998" s="12">
        <v>32417</v>
      </c>
    </row>
    <row r="1999" spans="1:6">
      <c r="A1999" t="s">
        <v>430</v>
      </c>
      <c r="B1999" s="12" t="s">
        <v>442</v>
      </c>
      <c r="C1999" s="12" t="s">
        <v>22</v>
      </c>
      <c r="D1999" s="12">
        <v>9.3303694830922324E-2</v>
      </c>
      <c r="E1999" s="12">
        <v>86824</v>
      </c>
      <c r="F1999" s="12">
        <v>8101</v>
      </c>
    </row>
    <row r="2000" spans="1:6">
      <c r="A2000" t="s">
        <v>430</v>
      </c>
      <c r="B2000" s="12" t="s">
        <v>442</v>
      </c>
      <c r="C2000" s="12" t="s">
        <v>478</v>
      </c>
      <c r="D2000" s="12">
        <v>3.1097392426057312E-2</v>
      </c>
      <c r="E2000" s="12">
        <v>86824</v>
      </c>
      <c r="F2000" s="12">
        <v>2700</v>
      </c>
    </row>
    <row r="2001" spans="1:6">
      <c r="A2001" t="s">
        <v>430</v>
      </c>
      <c r="B2001" s="12" t="s">
        <v>442</v>
      </c>
      <c r="C2001" s="12" t="s">
        <v>20</v>
      </c>
      <c r="D2001" s="12">
        <v>2.7872477655947664E-2</v>
      </c>
      <c r="E2001" s="12">
        <v>86824</v>
      </c>
      <c r="F2001" s="12">
        <v>2420</v>
      </c>
    </row>
    <row r="2002" spans="1:6">
      <c r="A2002" t="s">
        <v>430</v>
      </c>
      <c r="B2002" s="12" t="s">
        <v>443</v>
      </c>
      <c r="C2002" s="12" t="s">
        <v>480</v>
      </c>
      <c r="D2002" s="12">
        <v>0.54433315082611355</v>
      </c>
      <c r="E2002" s="12">
        <v>62098</v>
      </c>
      <c r="F2002" s="12">
        <v>33802</v>
      </c>
    </row>
    <row r="2003" spans="1:6">
      <c r="A2003" t="s">
        <v>430</v>
      </c>
      <c r="B2003" s="12" t="s">
        <v>443</v>
      </c>
      <c r="C2003" s="12" t="s">
        <v>479</v>
      </c>
      <c r="D2003" s="12">
        <v>0.34373087700086957</v>
      </c>
      <c r="E2003" s="12">
        <v>62098</v>
      </c>
      <c r="F2003" s="12">
        <v>21345</v>
      </c>
    </row>
    <row r="2004" spans="1:6">
      <c r="A2004" t="s">
        <v>430</v>
      </c>
      <c r="B2004" s="12" t="s">
        <v>443</v>
      </c>
      <c r="C2004" s="12" t="s">
        <v>22</v>
      </c>
      <c r="D2004" s="12">
        <v>7.3271280878611234E-2</v>
      </c>
      <c r="E2004" s="12">
        <v>62098</v>
      </c>
      <c r="F2004" s="12">
        <v>4550</v>
      </c>
    </row>
    <row r="2005" spans="1:6">
      <c r="A2005" t="s">
        <v>430</v>
      </c>
      <c r="B2005" s="12" t="s">
        <v>443</v>
      </c>
      <c r="C2005" s="12" t="s">
        <v>478</v>
      </c>
      <c r="D2005" s="12">
        <v>2.2625527392186543E-2</v>
      </c>
      <c r="E2005" s="12">
        <v>62098</v>
      </c>
      <c r="F2005" s="12">
        <v>1405</v>
      </c>
    </row>
    <row r="2006" spans="1:6">
      <c r="A2006" t="s">
        <v>430</v>
      </c>
      <c r="B2006" s="12" t="s">
        <v>443</v>
      </c>
      <c r="C2006" s="12" t="s">
        <v>20</v>
      </c>
      <c r="D2006" s="12">
        <v>1.6071371058649232E-2</v>
      </c>
      <c r="E2006" s="12">
        <v>62098</v>
      </c>
      <c r="F2006" s="12">
        <v>998</v>
      </c>
    </row>
    <row r="2007" spans="1:6">
      <c r="A2007" t="s">
        <v>430</v>
      </c>
      <c r="B2007" s="12" t="s">
        <v>444</v>
      </c>
      <c r="C2007" s="12" t="s">
        <v>480</v>
      </c>
      <c r="D2007" s="12">
        <v>0.48667416082075216</v>
      </c>
      <c r="E2007" s="12">
        <v>70277</v>
      </c>
      <c r="F2007" s="12">
        <v>34202</v>
      </c>
    </row>
    <row r="2008" spans="1:6">
      <c r="A2008" t="s">
        <v>430</v>
      </c>
      <c r="B2008" s="12" t="s">
        <v>444</v>
      </c>
      <c r="C2008" s="12" t="s">
        <v>479</v>
      </c>
      <c r="D2008" s="12">
        <v>0.36173997182577516</v>
      </c>
      <c r="E2008" s="12">
        <v>70277</v>
      </c>
      <c r="F2008" s="12">
        <v>25422</v>
      </c>
    </row>
    <row r="2009" spans="1:6">
      <c r="A2009" t="s">
        <v>430</v>
      </c>
      <c r="B2009" s="12" t="s">
        <v>444</v>
      </c>
      <c r="C2009" s="12" t="s">
        <v>22</v>
      </c>
      <c r="D2009" s="12">
        <v>9.0385190033723695E-2</v>
      </c>
      <c r="E2009" s="12">
        <v>70277</v>
      </c>
      <c r="F2009" s="12">
        <v>6352</v>
      </c>
    </row>
    <row r="2010" spans="1:6">
      <c r="A2010" t="s">
        <v>430</v>
      </c>
      <c r="B2010" s="12" t="s">
        <v>444</v>
      </c>
      <c r="C2010" s="12" t="s">
        <v>478</v>
      </c>
      <c r="D2010" s="12">
        <v>3.2400358581043585E-2</v>
      </c>
      <c r="E2010" s="12">
        <v>70277</v>
      </c>
      <c r="F2010" s="12">
        <v>2277</v>
      </c>
    </row>
    <row r="2011" spans="1:6">
      <c r="A2011" t="s">
        <v>430</v>
      </c>
      <c r="B2011" s="12" t="s">
        <v>444</v>
      </c>
      <c r="C2011" s="12" t="s">
        <v>20</v>
      </c>
      <c r="D2011" s="12">
        <v>2.8771859925722499E-2</v>
      </c>
      <c r="E2011" s="12">
        <v>70277</v>
      </c>
      <c r="F2011" s="12">
        <v>2022</v>
      </c>
    </row>
    <row r="2012" spans="1:6">
      <c r="A2012" t="s">
        <v>430</v>
      </c>
      <c r="B2012" s="12" t="s">
        <v>446</v>
      </c>
      <c r="C2012" s="12" t="s">
        <v>480</v>
      </c>
      <c r="D2012" s="12">
        <v>0.46844641147574428</v>
      </c>
      <c r="E2012" s="12">
        <v>63717</v>
      </c>
      <c r="F2012" s="12">
        <v>29848</v>
      </c>
    </row>
    <row r="2013" spans="1:6">
      <c r="A2013" t="s">
        <v>430</v>
      </c>
      <c r="B2013" s="12" t="s">
        <v>446</v>
      </c>
      <c r="C2013" s="12" t="s">
        <v>479</v>
      </c>
      <c r="D2013" s="12">
        <v>0.38124833247014139</v>
      </c>
      <c r="E2013" s="12">
        <v>63717</v>
      </c>
      <c r="F2013" s="12">
        <v>24292</v>
      </c>
    </row>
    <row r="2014" spans="1:6">
      <c r="A2014" t="s">
        <v>430</v>
      </c>
      <c r="B2014" s="12" t="s">
        <v>446</v>
      </c>
      <c r="C2014" s="12" t="s">
        <v>22</v>
      </c>
      <c r="D2014" s="12">
        <v>9.3365977682565091E-2</v>
      </c>
      <c r="E2014" s="12">
        <v>63717</v>
      </c>
      <c r="F2014" s="12">
        <v>5949</v>
      </c>
    </row>
    <row r="2015" spans="1:6">
      <c r="A2015" t="s">
        <v>430</v>
      </c>
      <c r="B2015" s="12" t="s">
        <v>446</v>
      </c>
      <c r="C2015" s="12" t="s">
        <v>478</v>
      </c>
      <c r="D2015" s="12">
        <v>3.0902270979487421E-2</v>
      </c>
      <c r="E2015" s="12">
        <v>63717</v>
      </c>
      <c r="F2015" s="12">
        <v>1969</v>
      </c>
    </row>
    <row r="2016" spans="1:6">
      <c r="A2016" t="s">
        <v>430</v>
      </c>
      <c r="B2016" s="12" t="s">
        <v>446</v>
      </c>
      <c r="C2016" s="12" t="s">
        <v>20</v>
      </c>
      <c r="D2016" s="12">
        <v>2.5958535398716197E-2</v>
      </c>
      <c r="E2016" s="12">
        <v>63717</v>
      </c>
      <c r="F2016" s="12">
        <v>1654</v>
      </c>
    </row>
    <row r="2017" spans="1:6">
      <c r="A2017" t="s">
        <v>1013</v>
      </c>
      <c r="B2017" s="12" t="s">
        <v>447</v>
      </c>
      <c r="C2017" s="12" t="s">
        <v>480</v>
      </c>
      <c r="D2017" s="12">
        <v>0.43493696386258368</v>
      </c>
      <c r="E2017" s="12">
        <v>121121</v>
      </c>
      <c r="F2017" s="12">
        <v>52680</v>
      </c>
    </row>
    <row r="2018" spans="1:6">
      <c r="A2018" t="s">
        <v>1013</v>
      </c>
      <c r="B2018" s="12" t="s">
        <v>447</v>
      </c>
      <c r="C2018" s="12" t="s">
        <v>479</v>
      </c>
      <c r="D2018" s="12">
        <v>0.38203119194854734</v>
      </c>
      <c r="E2018" s="12">
        <v>121121</v>
      </c>
      <c r="F2018" s="12">
        <v>46272</v>
      </c>
    </row>
    <row r="2019" spans="1:6">
      <c r="A2019" t="s">
        <v>1013</v>
      </c>
      <c r="B2019" s="12" t="s">
        <v>447</v>
      </c>
      <c r="C2019" s="12" t="s">
        <v>22</v>
      </c>
      <c r="D2019" s="12">
        <v>0.1074875537685455</v>
      </c>
      <c r="E2019" s="12">
        <v>121121</v>
      </c>
      <c r="F2019" s="12">
        <v>13019</v>
      </c>
    </row>
    <row r="2020" spans="1:6">
      <c r="A2020" t="s">
        <v>1013</v>
      </c>
      <c r="B2020" s="12" t="s">
        <v>447</v>
      </c>
      <c r="C2020" s="12" t="s">
        <v>478</v>
      </c>
      <c r="D2020" s="12">
        <v>3.8944526547832335E-2</v>
      </c>
      <c r="E2020" s="12">
        <v>121121</v>
      </c>
      <c r="F2020" s="12">
        <v>4717</v>
      </c>
    </row>
    <row r="2021" spans="1:6">
      <c r="A2021" t="s">
        <v>1013</v>
      </c>
      <c r="B2021" s="12" t="s">
        <v>447</v>
      </c>
      <c r="C2021" s="12" t="s">
        <v>20</v>
      </c>
      <c r="D2021" s="12">
        <v>3.6632788698904399E-2</v>
      </c>
      <c r="E2021" s="12">
        <v>121121</v>
      </c>
      <c r="F2021" s="12">
        <v>4437</v>
      </c>
    </row>
    <row r="2022" spans="1:6">
      <c r="A2022" t="s">
        <v>1013</v>
      </c>
      <c r="B2022" s="12" t="s">
        <v>448</v>
      </c>
      <c r="C2022" s="12" t="s">
        <v>480</v>
      </c>
      <c r="D2022" s="12">
        <v>0.46908476134597121</v>
      </c>
      <c r="E2022" s="12">
        <v>330646</v>
      </c>
      <c r="F2022" s="12">
        <v>155101</v>
      </c>
    </row>
    <row r="2023" spans="1:6">
      <c r="A2023" t="s">
        <v>1013</v>
      </c>
      <c r="B2023" s="12" t="s">
        <v>448</v>
      </c>
      <c r="C2023" s="12" t="s">
        <v>479</v>
      </c>
      <c r="D2023" s="12">
        <v>0.38225171331272723</v>
      </c>
      <c r="E2023" s="12">
        <v>330646</v>
      </c>
      <c r="F2023" s="12">
        <v>126390</v>
      </c>
    </row>
    <row r="2024" spans="1:6">
      <c r="A2024" t="s">
        <v>1013</v>
      </c>
      <c r="B2024" s="12" t="s">
        <v>448</v>
      </c>
      <c r="C2024" s="12" t="s">
        <v>22</v>
      </c>
      <c r="D2024" s="12">
        <v>9.1959376493288891E-2</v>
      </c>
      <c r="E2024" s="12">
        <v>330646</v>
      </c>
      <c r="F2024" s="12">
        <v>30406</v>
      </c>
    </row>
    <row r="2025" spans="1:6">
      <c r="A2025" t="s">
        <v>1013</v>
      </c>
      <c r="B2025" s="12" t="s">
        <v>448</v>
      </c>
      <c r="C2025" s="12" t="s">
        <v>478</v>
      </c>
      <c r="D2025" s="12">
        <v>3.0939433714607164E-2</v>
      </c>
      <c r="E2025" s="12">
        <v>330646</v>
      </c>
      <c r="F2025" s="12">
        <v>10230</v>
      </c>
    </row>
    <row r="2026" spans="1:6">
      <c r="A2026" t="s">
        <v>1013</v>
      </c>
      <c r="B2026" s="12" t="s">
        <v>448</v>
      </c>
      <c r="C2026" s="12" t="s">
        <v>20</v>
      </c>
      <c r="D2026" s="12">
        <v>2.5758666368260921E-2</v>
      </c>
      <c r="E2026" s="12">
        <v>330646</v>
      </c>
      <c r="F2026" s="12">
        <v>8517</v>
      </c>
    </row>
    <row r="2027" spans="1:6">
      <c r="A2027" t="s">
        <v>1013</v>
      </c>
      <c r="B2027" s="12" t="s">
        <v>449</v>
      </c>
      <c r="C2027" s="12" t="s">
        <v>480</v>
      </c>
      <c r="D2027" s="12">
        <v>0.44445999272340547</v>
      </c>
      <c r="E2027" s="12">
        <v>35731</v>
      </c>
      <c r="F2027" s="12">
        <v>15881</v>
      </c>
    </row>
    <row r="2028" spans="1:6">
      <c r="A2028" t="s">
        <v>1013</v>
      </c>
      <c r="B2028" s="12" t="s">
        <v>449</v>
      </c>
      <c r="C2028" s="12" t="s">
        <v>479</v>
      </c>
      <c r="D2028" s="12">
        <v>0.37731941451400747</v>
      </c>
      <c r="E2028" s="12">
        <v>35731</v>
      </c>
      <c r="F2028" s="12">
        <v>13482</v>
      </c>
    </row>
    <row r="2029" spans="1:6">
      <c r="A2029" t="s">
        <v>1013</v>
      </c>
      <c r="B2029" s="12" t="s">
        <v>449</v>
      </c>
      <c r="C2029" s="12" t="s">
        <v>22</v>
      </c>
      <c r="D2029" s="12">
        <v>0.10178836304609443</v>
      </c>
      <c r="E2029" s="12">
        <v>35731</v>
      </c>
      <c r="F2029" s="12">
        <v>3637</v>
      </c>
    </row>
    <row r="2030" spans="1:6">
      <c r="A2030" t="s">
        <v>1013</v>
      </c>
      <c r="B2030" s="12" t="s">
        <v>449</v>
      </c>
      <c r="C2030" s="12" t="s">
        <v>478</v>
      </c>
      <c r="D2030" s="12">
        <v>3.8565951134868881E-2</v>
      </c>
      <c r="E2030" s="12">
        <v>35731</v>
      </c>
      <c r="F2030" s="12">
        <v>1378</v>
      </c>
    </row>
    <row r="2031" spans="1:6">
      <c r="A2031" t="s">
        <v>1013</v>
      </c>
      <c r="B2031" s="12" t="s">
        <v>449</v>
      </c>
      <c r="C2031" s="12" t="s">
        <v>20</v>
      </c>
      <c r="D2031" s="12">
        <v>3.7838291679493999E-2</v>
      </c>
      <c r="E2031" s="12">
        <v>35731</v>
      </c>
      <c r="F2031" s="12">
        <v>1352</v>
      </c>
    </row>
    <row r="2032" spans="1:6">
      <c r="A2032" t="s">
        <v>1013</v>
      </c>
      <c r="B2032" s="12" t="s">
        <v>450</v>
      </c>
      <c r="C2032" s="12" t="s">
        <v>480</v>
      </c>
      <c r="D2032" s="12">
        <v>0.43242781012060721</v>
      </c>
      <c r="E2032" s="12">
        <v>146177</v>
      </c>
      <c r="F2032" s="12">
        <v>63211</v>
      </c>
    </row>
    <row r="2033" spans="1:6">
      <c r="A2033" t="s">
        <v>1013</v>
      </c>
      <c r="B2033" s="12" t="s">
        <v>450</v>
      </c>
      <c r="C2033" s="12" t="s">
        <v>479</v>
      </c>
      <c r="D2033" s="12">
        <v>0.38241994294588066</v>
      </c>
      <c r="E2033" s="12">
        <v>146177</v>
      </c>
      <c r="F2033" s="12">
        <v>55901</v>
      </c>
    </row>
    <row r="2034" spans="1:6">
      <c r="A2034" t="s">
        <v>1013</v>
      </c>
      <c r="B2034" s="12" t="s">
        <v>450</v>
      </c>
      <c r="C2034" s="12" t="s">
        <v>22</v>
      </c>
      <c r="D2034" s="12">
        <v>0.1096000054728172</v>
      </c>
      <c r="E2034" s="12">
        <v>146177</v>
      </c>
      <c r="F2034" s="12">
        <v>16021</v>
      </c>
    </row>
    <row r="2035" spans="1:6">
      <c r="A2035" t="s">
        <v>1013</v>
      </c>
      <c r="B2035" s="12" t="s">
        <v>450</v>
      </c>
      <c r="C2035" s="12" t="s">
        <v>478</v>
      </c>
      <c r="D2035" s="12">
        <v>4.0054180890290537E-2</v>
      </c>
      <c r="E2035" s="12">
        <v>146177</v>
      </c>
      <c r="F2035" s="12">
        <v>5855</v>
      </c>
    </row>
    <row r="2036" spans="1:6">
      <c r="A2036" t="s">
        <v>1013</v>
      </c>
      <c r="B2036" s="12" t="s">
        <v>450</v>
      </c>
      <c r="C2036" s="12" t="s">
        <v>20</v>
      </c>
      <c r="D2036" s="12">
        <v>3.5491219548903045E-2</v>
      </c>
      <c r="E2036" s="12">
        <v>146177</v>
      </c>
      <c r="F2036" s="12">
        <v>5188</v>
      </c>
    </row>
    <row r="2037" spans="1:6">
      <c r="A2037" t="s">
        <v>1013</v>
      </c>
      <c r="B2037" s="12" t="s">
        <v>451</v>
      </c>
      <c r="C2037" s="12" t="s">
        <v>480</v>
      </c>
      <c r="D2037" s="12">
        <v>0.43018018018018017</v>
      </c>
      <c r="E2037" s="12">
        <v>49728</v>
      </c>
      <c r="F2037" s="12">
        <v>21392</v>
      </c>
    </row>
    <row r="2038" spans="1:6">
      <c r="A2038" t="s">
        <v>1013</v>
      </c>
      <c r="B2038" s="12" t="s">
        <v>451</v>
      </c>
      <c r="C2038" s="12" t="s">
        <v>479</v>
      </c>
      <c r="D2038" s="12">
        <v>0.35770592020592018</v>
      </c>
      <c r="E2038" s="12">
        <v>49728</v>
      </c>
      <c r="F2038" s="12">
        <v>17788</v>
      </c>
    </row>
    <row r="2039" spans="1:6">
      <c r="A2039" t="s">
        <v>1013</v>
      </c>
      <c r="B2039" s="12" t="s">
        <v>451</v>
      </c>
      <c r="C2039" s="12" t="s">
        <v>22</v>
      </c>
      <c r="D2039" s="12">
        <v>0.11385939510939511</v>
      </c>
      <c r="E2039" s="12">
        <v>49728</v>
      </c>
      <c r="F2039" s="12">
        <v>5662</v>
      </c>
    </row>
    <row r="2040" spans="1:6">
      <c r="A2040" t="s">
        <v>1013</v>
      </c>
      <c r="B2040" s="12" t="s">
        <v>451</v>
      </c>
      <c r="C2040" s="12" t="s">
        <v>478</v>
      </c>
      <c r="D2040" s="12">
        <v>4.9107142857142856E-2</v>
      </c>
      <c r="E2040" s="12">
        <v>49728</v>
      </c>
      <c r="F2040" s="12">
        <v>2442</v>
      </c>
    </row>
    <row r="2041" spans="1:6">
      <c r="A2041" t="s">
        <v>1013</v>
      </c>
      <c r="B2041" s="12" t="s">
        <v>451</v>
      </c>
      <c r="C2041" s="12" t="s">
        <v>20</v>
      </c>
      <c r="D2041" s="12">
        <v>4.9227799227799227E-2</v>
      </c>
      <c r="E2041" s="12">
        <v>49728</v>
      </c>
      <c r="F2041" s="12">
        <v>2448</v>
      </c>
    </row>
    <row r="2042" spans="1:6">
      <c r="A2042" t="s">
        <v>1013</v>
      </c>
      <c r="B2042" s="12" t="s">
        <v>452</v>
      </c>
      <c r="C2042" s="12" t="s">
        <v>480</v>
      </c>
      <c r="D2042" s="12">
        <v>0.49827331988204254</v>
      </c>
      <c r="E2042" s="12">
        <v>103088</v>
      </c>
      <c r="F2042" s="12">
        <v>51366</v>
      </c>
    </row>
    <row r="2043" spans="1:6">
      <c r="A2043" t="s">
        <v>1013</v>
      </c>
      <c r="B2043" s="12" t="s">
        <v>452</v>
      </c>
      <c r="C2043" s="12" t="s">
        <v>479</v>
      </c>
      <c r="D2043" s="12">
        <v>0.35855773707900046</v>
      </c>
      <c r="E2043" s="12">
        <v>103088</v>
      </c>
      <c r="F2043" s="12">
        <v>36963</v>
      </c>
    </row>
    <row r="2044" spans="1:6">
      <c r="A2044" t="s">
        <v>1013</v>
      </c>
      <c r="B2044" s="12" t="s">
        <v>452</v>
      </c>
      <c r="C2044" s="12" t="s">
        <v>22</v>
      </c>
      <c r="D2044" s="12">
        <v>8.7953981064721409E-2</v>
      </c>
      <c r="E2044" s="12">
        <v>103088</v>
      </c>
      <c r="F2044" s="12">
        <v>9067</v>
      </c>
    </row>
    <row r="2045" spans="1:6">
      <c r="A2045" t="s">
        <v>1013</v>
      </c>
      <c r="B2045" s="12" t="s">
        <v>452</v>
      </c>
      <c r="C2045" s="12" t="s">
        <v>478</v>
      </c>
      <c r="D2045" s="12">
        <v>2.9673676858606238E-2</v>
      </c>
      <c r="E2045" s="12">
        <v>103088</v>
      </c>
      <c r="F2045" s="12">
        <v>3059</v>
      </c>
    </row>
    <row r="2046" spans="1:6">
      <c r="A2046" t="s">
        <v>1013</v>
      </c>
      <c r="B2046" s="12" t="s">
        <v>452</v>
      </c>
      <c r="C2046" s="12" t="s">
        <v>20</v>
      </c>
      <c r="D2046" s="12">
        <v>2.5541285115629364E-2</v>
      </c>
      <c r="E2046" s="12">
        <v>103088</v>
      </c>
      <c r="F2046" s="12">
        <v>2633</v>
      </c>
    </row>
    <row r="2047" spans="1:6">
      <c r="A2047" t="s">
        <v>1013</v>
      </c>
      <c r="B2047" s="12" t="s">
        <v>453</v>
      </c>
      <c r="C2047" s="12" t="s">
        <v>480</v>
      </c>
      <c r="D2047" s="12">
        <v>0.46453047535724701</v>
      </c>
      <c r="E2047" s="12">
        <v>27432</v>
      </c>
      <c r="F2047" s="12">
        <v>12743</v>
      </c>
    </row>
    <row r="2048" spans="1:6">
      <c r="A2048" t="s">
        <v>1013</v>
      </c>
      <c r="B2048" s="12" t="s">
        <v>453</v>
      </c>
      <c r="C2048" s="12" t="s">
        <v>479</v>
      </c>
      <c r="D2048" s="12">
        <v>0.37270341207349084</v>
      </c>
      <c r="E2048" s="12">
        <v>27432</v>
      </c>
      <c r="F2048" s="12">
        <v>10224</v>
      </c>
    </row>
    <row r="2049" spans="1:6">
      <c r="A2049" t="s">
        <v>1013</v>
      </c>
      <c r="B2049" s="12" t="s">
        <v>453</v>
      </c>
      <c r="C2049" s="12" t="s">
        <v>22</v>
      </c>
      <c r="D2049" s="12">
        <v>9.3431029454651496E-2</v>
      </c>
      <c r="E2049" s="12">
        <v>27432</v>
      </c>
      <c r="F2049" s="12">
        <v>2563</v>
      </c>
    </row>
    <row r="2050" spans="1:6">
      <c r="A2050" t="s">
        <v>1013</v>
      </c>
      <c r="B2050" s="12" t="s">
        <v>453</v>
      </c>
      <c r="C2050" s="12" t="s">
        <v>478</v>
      </c>
      <c r="D2050" s="12">
        <v>3.5651793525809272E-2</v>
      </c>
      <c r="E2050" s="12">
        <v>27432</v>
      </c>
      <c r="F2050" s="12">
        <v>978</v>
      </c>
    </row>
    <row r="2051" spans="1:6">
      <c r="A2051" t="s">
        <v>1013</v>
      </c>
      <c r="B2051" s="12" t="s">
        <v>453</v>
      </c>
      <c r="C2051" s="12" t="s">
        <v>20</v>
      </c>
      <c r="D2051" s="12">
        <v>3.3537474482356375E-2</v>
      </c>
      <c r="E2051" s="12">
        <v>27432</v>
      </c>
      <c r="F2051" s="12">
        <v>920</v>
      </c>
    </row>
    <row r="2052" spans="1:6">
      <c r="A2052" t="s">
        <v>1013</v>
      </c>
      <c r="B2052" s="12" t="s">
        <v>455</v>
      </c>
      <c r="C2052" s="12" t="s">
        <v>480</v>
      </c>
      <c r="D2052" s="12">
        <v>0.54462081128747797</v>
      </c>
      <c r="E2052" s="12">
        <v>59535</v>
      </c>
      <c r="F2052" s="12">
        <v>32424</v>
      </c>
    </row>
    <row r="2053" spans="1:6">
      <c r="A2053" t="s">
        <v>1013</v>
      </c>
      <c r="B2053" s="12" t="s">
        <v>455</v>
      </c>
      <c r="C2053" s="12" t="s">
        <v>479</v>
      </c>
      <c r="D2053" s="12">
        <v>0.33148568069202988</v>
      </c>
      <c r="E2053" s="12">
        <v>59535</v>
      </c>
      <c r="F2053" s="12">
        <v>19735</v>
      </c>
    </row>
    <row r="2054" spans="1:6">
      <c r="A2054" t="s">
        <v>1013</v>
      </c>
      <c r="B2054" s="12" t="s">
        <v>455</v>
      </c>
      <c r="C2054" s="12" t="s">
        <v>22</v>
      </c>
      <c r="D2054" s="12">
        <v>7.8474846728814981E-2</v>
      </c>
      <c r="E2054" s="12">
        <v>59535</v>
      </c>
      <c r="F2054" s="12">
        <v>4672</v>
      </c>
    </row>
    <row r="2055" spans="1:6">
      <c r="A2055" t="s">
        <v>1013</v>
      </c>
      <c r="B2055" s="12" t="s">
        <v>455</v>
      </c>
      <c r="C2055" s="12" t="s">
        <v>478</v>
      </c>
      <c r="D2055" s="12">
        <v>2.5396825396825397E-2</v>
      </c>
      <c r="E2055" s="12">
        <v>59535</v>
      </c>
      <c r="F2055" s="12">
        <v>1512</v>
      </c>
    </row>
    <row r="2056" spans="1:6">
      <c r="A2056" t="s">
        <v>1013</v>
      </c>
      <c r="B2056" s="12" t="s">
        <v>455</v>
      </c>
      <c r="C2056" s="12" t="s">
        <v>20</v>
      </c>
      <c r="D2056" s="12">
        <v>1.9904257999496095E-2</v>
      </c>
      <c r="E2056" s="12">
        <v>59535</v>
      </c>
      <c r="F2056" s="12">
        <v>1185</v>
      </c>
    </row>
    <row r="2057" spans="1:6">
      <c r="A2057" t="s">
        <v>1011</v>
      </c>
      <c r="B2057" s="12" t="s">
        <v>456</v>
      </c>
      <c r="C2057" s="12" t="s">
        <v>480</v>
      </c>
      <c r="D2057" s="12">
        <v>0.47784579288147572</v>
      </c>
      <c r="E2057" s="12">
        <v>265954</v>
      </c>
      <c r="F2057" s="12">
        <v>127085</v>
      </c>
    </row>
    <row r="2058" spans="1:6">
      <c r="A2058" t="s">
        <v>1011</v>
      </c>
      <c r="B2058" s="12" t="s">
        <v>456</v>
      </c>
      <c r="C2058" s="12" t="s">
        <v>479</v>
      </c>
      <c r="D2058" s="12">
        <v>0.36925558555238874</v>
      </c>
      <c r="E2058" s="12">
        <v>265954</v>
      </c>
      <c r="F2058" s="12">
        <v>98205</v>
      </c>
    </row>
    <row r="2059" spans="1:6">
      <c r="A2059" t="s">
        <v>1011</v>
      </c>
      <c r="B2059" s="12" t="s">
        <v>456</v>
      </c>
      <c r="C2059" s="12" t="s">
        <v>22</v>
      </c>
      <c r="D2059" s="12">
        <v>8.8639388766478408E-2</v>
      </c>
      <c r="E2059" s="12">
        <v>265954</v>
      </c>
      <c r="F2059" s="12">
        <v>23574</v>
      </c>
    </row>
    <row r="2060" spans="1:6">
      <c r="A2060" t="s">
        <v>1011</v>
      </c>
      <c r="B2060" s="12" t="s">
        <v>456</v>
      </c>
      <c r="C2060" s="12" t="s">
        <v>478</v>
      </c>
      <c r="D2060" s="12">
        <v>3.2719944050474896E-2</v>
      </c>
      <c r="E2060" s="12">
        <v>265954</v>
      </c>
      <c r="F2060" s="12">
        <v>8702</v>
      </c>
    </row>
    <row r="2061" spans="1:6">
      <c r="A2061" t="s">
        <v>1011</v>
      </c>
      <c r="B2061" s="12" t="s">
        <v>456</v>
      </c>
      <c r="C2061" s="12" t="s">
        <v>20</v>
      </c>
      <c r="D2061" s="12">
        <v>3.1524248554261267E-2</v>
      </c>
      <c r="E2061" s="12">
        <v>265954</v>
      </c>
      <c r="F2061" s="12">
        <v>8384</v>
      </c>
    </row>
    <row r="2062" spans="1:6">
      <c r="A2062" t="s">
        <v>1011</v>
      </c>
      <c r="B2062" s="12" t="s">
        <v>457</v>
      </c>
      <c r="C2062" s="12" t="s">
        <v>480</v>
      </c>
      <c r="D2062" s="12">
        <v>0.51182767769346371</v>
      </c>
      <c r="E2062" s="12">
        <v>53899</v>
      </c>
      <c r="F2062" s="12">
        <v>27587</v>
      </c>
    </row>
    <row r="2063" spans="1:6">
      <c r="A2063" t="s">
        <v>1011</v>
      </c>
      <c r="B2063" s="12" t="s">
        <v>457</v>
      </c>
      <c r="C2063" s="12" t="s">
        <v>479</v>
      </c>
      <c r="D2063" s="12">
        <v>0.32288168611662554</v>
      </c>
      <c r="E2063" s="12">
        <v>53899</v>
      </c>
      <c r="F2063" s="12">
        <v>17403</v>
      </c>
    </row>
    <row r="2064" spans="1:6">
      <c r="A2064" t="s">
        <v>1011</v>
      </c>
      <c r="B2064" s="12" t="s">
        <v>457</v>
      </c>
      <c r="C2064" s="12" t="s">
        <v>22</v>
      </c>
      <c r="D2064" s="12">
        <v>8.8814263715467814E-2</v>
      </c>
      <c r="E2064" s="12">
        <v>53899</v>
      </c>
      <c r="F2064" s="12">
        <v>4787</v>
      </c>
    </row>
    <row r="2065" spans="1:6">
      <c r="A2065" t="s">
        <v>1011</v>
      </c>
      <c r="B2065" s="12" t="s">
        <v>457</v>
      </c>
      <c r="C2065" s="12" t="s">
        <v>478</v>
      </c>
      <c r="D2065" s="12">
        <v>3.6791035084138855E-2</v>
      </c>
      <c r="E2065" s="12">
        <v>53899</v>
      </c>
      <c r="F2065" s="12">
        <v>1983</v>
      </c>
    </row>
    <row r="2066" spans="1:6">
      <c r="A2066" t="s">
        <v>1011</v>
      </c>
      <c r="B2066" s="12" t="s">
        <v>457</v>
      </c>
      <c r="C2066" s="12" t="s">
        <v>20</v>
      </c>
      <c r="D2066" s="12">
        <v>3.9592571290747509E-2</v>
      </c>
      <c r="E2066" s="12">
        <v>53899</v>
      </c>
      <c r="F2066" s="12">
        <v>2134</v>
      </c>
    </row>
    <row r="2067" spans="1:6">
      <c r="A2067" t="s">
        <v>1011</v>
      </c>
      <c r="B2067" s="12" t="s">
        <v>458</v>
      </c>
      <c r="C2067" s="12" t="s">
        <v>480</v>
      </c>
      <c r="D2067" s="12">
        <v>0.49278390592351429</v>
      </c>
      <c r="E2067" s="12">
        <v>41158</v>
      </c>
      <c r="F2067" s="12">
        <v>20282</v>
      </c>
    </row>
    <row r="2068" spans="1:6">
      <c r="A2068" t="s">
        <v>1011</v>
      </c>
      <c r="B2068" s="12" t="s">
        <v>458</v>
      </c>
      <c r="C2068" s="12" t="s">
        <v>479</v>
      </c>
      <c r="D2068" s="12">
        <v>0.32797997959084502</v>
      </c>
      <c r="E2068" s="12">
        <v>41158</v>
      </c>
      <c r="F2068" s="12">
        <v>13499</v>
      </c>
    </row>
    <row r="2069" spans="1:6">
      <c r="A2069" t="s">
        <v>1011</v>
      </c>
      <c r="B2069" s="12" t="s">
        <v>458</v>
      </c>
      <c r="C2069" s="12" t="s">
        <v>22</v>
      </c>
      <c r="D2069" s="12">
        <v>9.4003595898731723E-2</v>
      </c>
      <c r="E2069" s="12">
        <v>41158</v>
      </c>
      <c r="F2069" s="12">
        <v>3869</v>
      </c>
    </row>
    <row r="2070" spans="1:6">
      <c r="A2070" t="s">
        <v>1011</v>
      </c>
      <c r="B2070" s="12" t="s">
        <v>458</v>
      </c>
      <c r="C2070" s="12" t="s">
        <v>478</v>
      </c>
      <c r="D2070" s="12">
        <v>3.9627775888041207E-2</v>
      </c>
      <c r="E2070" s="12">
        <v>41158</v>
      </c>
      <c r="F2070" s="12">
        <v>1631</v>
      </c>
    </row>
    <row r="2071" spans="1:6">
      <c r="A2071" t="s">
        <v>1011</v>
      </c>
      <c r="B2071" s="12" t="s">
        <v>458</v>
      </c>
      <c r="C2071" s="12" t="s">
        <v>20</v>
      </c>
      <c r="D2071" s="12">
        <v>4.5750522377180622E-2</v>
      </c>
      <c r="E2071" s="12">
        <v>41158</v>
      </c>
      <c r="F2071" s="12">
        <v>1883</v>
      </c>
    </row>
    <row r="2072" spans="1:6">
      <c r="A2072" t="s">
        <v>1011</v>
      </c>
      <c r="B2072" s="12" t="s">
        <v>459</v>
      </c>
      <c r="C2072" s="12" t="s">
        <v>480</v>
      </c>
      <c r="D2072" s="12">
        <v>0.47296700309239814</v>
      </c>
      <c r="E2072" s="12">
        <v>117708</v>
      </c>
      <c r="F2072" s="12">
        <v>55672</v>
      </c>
    </row>
    <row r="2073" spans="1:6">
      <c r="A2073" t="s">
        <v>1011</v>
      </c>
      <c r="B2073" s="12" t="s">
        <v>459</v>
      </c>
      <c r="C2073" s="12" t="s">
        <v>479</v>
      </c>
      <c r="D2073" s="12">
        <v>0.35161586298297481</v>
      </c>
      <c r="E2073" s="12">
        <v>117708</v>
      </c>
      <c r="F2073" s="12">
        <v>41388</v>
      </c>
    </row>
    <row r="2074" spans="1:6">
      <c r="A2074" t="s">
        <v>1011</v>
      </c>
      <c r="B2074" s="12" t="s">
        <v>459</v>
      </c>
      <c r="C2074" s="12" t="s">
        <v>22</v>
      </c>
      <c r="D2074" s="12">
        <v>9.1888401807863521E-2</v>
      </c>
      <c r="E2074" s="12">
        <v>117708</v>
      </c>
      <c r="F2074" s="12">
        <v>10816</v>
      </c>
    </row>
    <row r="2075" spans="1:6">
      <c r="A2075" t="s">
        <v>1011</v>
      </c>
      <c r="B2075" s="12" t="s">
        <v>459</v>
      </c>
      <c r="C2075" s="12" t="s">
        <v>478</v>
      </c>
      <c r="D2075" s="12">
        <v>3.9436571855778708E-2</v>
      </c>
      <c r="E2075" s="12">
        <v>117708</v>
      </c>
      <c r="F2075" s="12">
        <v>4642</v>
      </c>
    </row>
    <row r="2076" spans="1:6">
      <c r="A2076" t="s">
        <v>1011</v>
      </c>
      <c r="B2076" s="12" t="s">
        <v>459</v>
      </c>
      <c r="C2076" s="12" t="s">
        <v>20</v>
      </c>
      <c r="D2076" s="12">
        <v>4.4066673463146092E-2</v>
      </c>
      <c r="E2076" s="12">
        <v>117708</v>
      </c>
      <c r="F2076" s="12">
        <v>5187</v>
      </c>
    </row>
    <row r="2077" spans="1:6">
      <c r="A2077" t="s">
        <v>1011</v>
      </c>
      <c r="B2077" s="12" t="s">
        <v>460</v>
      </c>
      <c r="C2077" s="12" t="s">
        <v>480</v>
      </c>
      <c r="D2077" s="12">
        <v>0.51112198942627762</v>
      </c>
      <c r="E2077" s="12">
        <v>51070</v>
      </c>
      <c r="F2077" s="12">
        <v>26103</v>
      </c>
    </row>
    <row r="2078" spans="1:6">
      <c r="A2078" t="s">
        <v>1011</v>
      </c>
      <c r="B2078" s="12" t="s">
        <v>460</v>
      </c>
      <c r="C2078" s="12" t="s">
        <v>479</v>
      </c>
      <c r="D2078" s="12">
        <v>0.33931858233796752</v>
      </c>
      <c r="E2078" s="12">
        <v>51070</v>
      </c>
      <c r="F2078" s="12">
        <v>17329</v>
      </c>
    </row>
    <row r="2079" spans="1:6">
      <c r="A2079" t="s">
        <v>1011</v>
      </c>
      <c r="B2079" s="12" t="s">
        <v>460</v>
      </c>
      <c r="C2079" s="12" t="s">
        <v>22</v>
      </c>
      <c r="D2079" s="12">
        <v>8.2122576855296656E-2</v>
      </c>
      <c r="E2079" s="12">
        <v>51070</v>
      </c>
      <c r="F2079" s="12">
        <v>4194</v>
      </c>
    </row>
    <row r="2080" spans="1:6">
      <c r="A2080" t="s">
        <v>1011</v>
      </c>
      <c r="B2080" s="12" t="s">
        <v>460</v>
      </c>
      <c r="C2080" s="12" t="s">
        <v>478</v>
      </c>
      <c r="D2080" s="12">
        <v>3.2484824750342665E-2</v>
      </c>
      <c r="E2080" s="12">
        <v>51070</v>
      </c>
      <c r="F2080" s="12">
        <v>1659</v>
      </c>
    </row>
    <row r="2081" spans="1:6">
      <c r="A2081" t="s">
        <v>1011</v>
      </c>
      <c r="B2081" s="12" t="s">
        <v>460</v>
      </c>
      <c r="C2081" s="12" t="s">
        <v>20</v>
      </c>
      <c r="D2081" s="12">
        <v>3.4834540826316818E-2</v>
      </c>
      <c r="E2081" s="12">
        <v>51070</v>
      </c>
      <c r="F2081" s="12">
        <v>1779</v>
      </c>
    </row>
    <row r="2082" spans="1:6">
      <c r="A2082" t="s">
        <v>1011</v>
      </c>
      <c r="B2082" s="12" t="s">
        <v>461</v>
      </c>
      <c r="C2082" s="12" t="s">
        <v>480</v>
      </c>
      <c r="D2082" s="12">
        <v>0.44284246161286422</v>
      </c>
      <c r="E2082" s="12">
        <v>33084</v>
      </c>
      <c r="F2082" s="12">
        <v>14651</v>
      </c>
    </row>
    <row r="2083" spans="1:6">
      <c r="A2083" t="s">
        <v>1011</v>
      </c>
      <c r="B2083" s="12" t="s">
        <v>461</v>
      </c>
      <c r="C2083" s="12" t="s">
        <v>479</v>
      </c>
      <c r="D2083" s="12">
        <v>0.35842098899770281</v>
      </c>
      <c r="E2083" s="12">
        <v>33084</v>
      </c>
      <c r="F2083" s="12">
        <v>11858</v>
      </c>
    </row>
    <row r="2084" spans="1:6">
      <c r="A2084" t="s">
        <v>1011</v>
      </c>
      <c r="B2084" s="12" t="s">
        <v>461</v>
      </c>
      <c r="C2084" s="12" t="s">
        <v>22</v>
      </c>
      <c r="D2084" s="12">
        <v>0.1034941361383146</v>
      </c>
      <c r="E2084" s="12">
        <v>33084</v>
      </c>
      <c r="F2084" s="12">
        <v>3424</v>
      </c>
    </row>
    <row r="2085" spans="1:6">
      <c r="A2085" t="s">
        <v>1011</v>
      </c>
      <c r="B2085" s="12" t="s">
        <v>461</v>
      </c>
      <c r="C2085" s="12" t="s">
        <v>478</v>
      </c>
      <c r="D2085" s="12">
        <v>4.3586023455446744E-2</v>
      </c>
      <c r="E2085" s="12">
        <v>33084</v>
      </c>
      <c r="F2085" s="12">
        <v>1442</v>
      </c>
    </row>
    <row r="2086" spans="1:6">
      <c r="A2086" t="s">
        <v>1011</v>
      </c>
      <c r="B2086" s="12" t="s">
        <v>461</v>
      </c>
      <c r="C2086" s="12" t="s">
        <v>20</v>
      </c>
      <c r="D2086" s="12">
        <v>5.1716841977995406E-2</v>
      </c>
      <c r="E2086" s="12">
        <v>33084</v>
      </c>
      <c r="F2086" s="12">
        <v>1711</v>
      </c>
    </row>
    <row r="2087" spans="1:6">
      <c r="A2087" t="s">
        <v>1011</v>
      </c>
      <c r="B2087" s="12" t="s">
        <v>462</v>
      </c>
      <c r="C2087" s="12" t="s">
        <v>480</v>
      </c>
      <c r="D2087" s="12">
        <v>0.43150164048410578</v>
      </c>
      <c r="E2087" s="12">
        <v>46023</v>
      </c>
      <c r="F2087" s="12">
        <v>19859</v>
      </c>
    </row>
    <row r="2088" spans="1:6">
      <c r="A2088" t="s">
        <v>1011</v>
      </c>
      <c r="B2088" s="12" t="s">
        <v>462</v>
      </c>
      <c r="C2088" s="12" t="s">
        <v>479</v>
      </c>
      <c r="D2088" s="12">
        <v>0.36662103730743323</v>
      </c>
      <c r="E2088" s="12">
        <v>46023</v>
      </c>
      <c r="F2088" s="12">
        <v>16873</v>
      </c>
    </row>
    <row r="2089" spans="1:6">
      <c r="A2089" t="s">
        <v>1011</v>
      </c>
      <c r="B2089" s="12" t="s">
        <v>462</v>
      </c>
      <c r="C2089" s="12" t="s">
        <v>22</v>
      </c>
      <c r="D2089" s="12">
        <v>0.10831540751363448</v>
      </c>
      <c r="E2089" s="12">
        <v>46023</v>
      </c>
      <c r="F2089" s="12">
        <v>4985</v>
      </c>
    </row>
    <row r="2090" spans="1:6">
      <c r="A2090" t="s">
        <v>1011</v>
      </c>
      <c r="B2090" s="12" t="s">
        <v>462</v>
      </c>
      <c r="C2090" s="12" t="s">
        <v>478</v>
      </c>
      <c r="D2090" s="12">
        <v>4.3782456597788059E-2</v>
      </c>
      <c r="E2090" s="12">
        <v>46023</v>
      </c>
      <c r="F2090" s="12">
        <v>2015</v>
      </c>
    </row>
    <row r="2091" spans="1:6">
      <c r="A2091" t="s">
        <v>1011</v>
      </c>
      <c r="B2091" s="12" t="s">
        <v>462</v>
      </c>
      <c r="C2091" s="12" t="s">
        <v>20</v>
      </c>
      <c r="D2091" s="12">
        <v>4.9714273298133542E-2</v>
      </c>
      <c r="E2091" s="12">
        <v>46023</v>
      </c>
      <c r="F2091" s="12">
        <v>2288</v>
      </c>
    </row>
    <row r="2092" spans="1:6">
      <c r="A2092" t="s">
        <v>1011</v>
      </c>
      <c r="B2092" s="12" t="s">
        <v>463</v>
      </c>
      <c r="C2092" s="12" t="s">
        <v>480</v>
      </c>
      <c r="D2092" s="12">
        <v>0.43780076541245122</v>
      </c>
      <c r="E2092" s="12">
        <v>26391</v>
      </c>
      <c r="F2092" s="12">
        <v>11554</v>
      </c>
    </row>
    <row r="2093" spans="1:6">
      <c r="A2093" t="s">
        <v>1011</v>
      </c>
      <c r="B2093" s="12" t="s">
        <v>463</v>
      </c>
      <c r="C2093" s="12" t="s">
        <v>479</v>
      </c>
      <c r="D2093" s="12">
        <v>0.37001250426281684</v>
      </c>
      <c r="E2093" s="12">
        <v>26391</v>
      </c>
      <c r="F2093" s="12">
        <v>9765</v>
      </c>
    </row>
    <row r="2094" spans="1:6">
      <c r="A2094" t="s">
        <v>1011</v>
      </c>
      <c r="B2094" s="12" t="s">
        <v>463</v>
      </c>
      <c r="C2094" s="12" t="s">
        <v>22</v>
      </c>
      <c r="D2094" s="12">
        <v>0.10158766246068736</v>
      </c>
      <c r="E2094" s="12">
        <v>26391</v>
      </c>
      <c r="F2094" s="12">
        <v>2681</v>
      </c>
    </row>
    <row r="2095" spans="1:6">
      <c r="A2095" t="s">
        <v>1011</v>
      </c>
      <c r="B2095" s="12" t="s">
        <v>463</v>
      </c>
      <c r="C2095" s="12" t="s">
        <v>478</v>
      </c>
      <c r="D2095" s="12">
        <v>4.2893410632412567E-2</v>
      </c>
      <c r="E2095" s="12">
        <v>26391</v>
      </c>
      <c r="F2095" s="12">
        <v>1132</v>
      </c>
    </row>
    <row r="2096" spans="1:6">
      <c r="A2096" t="s">
        <v>1011</v>
      </c>
      <c r="B2096" s="12" t="s">
        <v>463</v>
      </c>
      <c r="C2096" s="12" t="s">
        <v>20</v>
      </c>
      <c r="D2096" s="12">
        <v>4.755409040960934E-2</v>
      </c>
      <c r="E2096" s="12">
        <v>26391</v>
      </c>
      <c r="F2096" s="12">
        <v>1255</v>
      </c>
    </row>
    <row r="2097" spans="1:6">
      <c r="A2097" t="s">
        <v>1011</v>
      </c>
      <c r="B2097" s="12" t="s">
        <v>464</v>
      </c>
      <c r="C2097" s="12" t="s">
        <v>480</v>
      </c>
      <c r="D2097" s="12">
        <v>0.50632660641327221</v>
      </c>
      <c r="E2097" s="12">
        <v>40385</v>
      </c>
      <c r="F2097" s="12">
        <v>20448</v>
      </c>
    </row>
    <row r="2098" spans="1:6">
      <c r="A2098" t="s">
        <v>1011</v>
      </c>
      <c r="B2098" s="12" t="s">
        <v>464</v>
      </c>
      <c r="C2098" s="12" t="s">
        <v>479</v>
      </c>
      <c r="D2098" s="12">
        <v>0.32950352853782344</v>
      </c>
      <c r="E2098" s="12">
        <v>40385</v>
      </c>
      <c r="F2098" s="12">
        <v>13307</v>
      </c>
    </row>
    <row r="2099" spans="1:6">
      <c r="A2099" t="s">
        <v>1011</v>
      </c>
      <c r="B2099" s="12" t="s">
        <v>464</v>
      </c>
      <c r="C2099" s="12" t="s">
        <v>22</v>
      </c>
      <c r="D2099" s="12">
        <v>8.849820477900211E-2</v>
      </c>
      <c r="E2099" s="12">
        <v>40385</v>
      </c>
      <c r="F2099" s="12">
        <v>3574</v>
      </c>
    </row>
    <row r="2100" spans="1:6">
      <c r="A2100" t="s">
        <v>1011</v>
      </c>
      <c r="B2100" s="12" t="s">
        <v>464</v>
      </c>
      <c r="C2100" s="12" t="s">
        <v>478</v>
      </c>
      <c r="D2100" s="12">
        <v>3.6746316701745697E-2</v>
      </c>
      <c r="E2100" s="12">
        <v>40385</v>
      </c>
      <c r="F2100" s="12">
        <v>1484</v>
      </c>
    </row>
    <row r="2101" spans="1:6">
      <c r="A2101" t="s">
        <v>1011</v>
      </c>
      <c r="B2101" s="12" t="s">
        <v>464</v>
      </c>
      <c r="C2101" s="12" t="s">
        <v>20</v>
      </c>
      <c r="D2101" s="12">
        <v>3.8950105237092983E-2</v>
      </c>
      <c r="E2101" s="12">
        <v>40385</v>
      </c>
      <c r="F2101" s="12">
        <v>1573</v>
      </c>
    </row>
    <row r="2102" spans="1:6">
      <c r="A2102" t="s">
        <v>1011</v>
      </c>
      <c r="B2102" s="12" t="s">
        <v>465</v>
      </c>
      <c r="C2102" s="12" t="s">
        <v>480</v>
      </c>
      <c r="D2102" s="12">
        <v>0.47257706192724241</v>
      </c>
      <c r="E2102" s="12">
        <v>28808</v>
      </c>
      <c r="F2102" s="12">
        <v>13614</v>
      </c>
    </row>
    <row r="2103" spans="1:6">
      <c r="A2103" t="s">
        <v>1011</v>
      </c>
      <c r="B2103" s="12" t="s">
        <v>465</v>
      </c>
      <c r="C2103" s="12" t="s">
        <v>479</v>
      </c>
      <c r="D2103" s="12">
        <v>0.32466675923354626</v>
      </c>
      <c r="E2103" s="12">
        <v>28808</v>
      </c>
      <c r="F2103" s="12">
        <v>9353</v>
      </c>
    </row>
    <row r="2104" spans="1:6">
      <c r="A2104" t="s">
        <v>1011</v>
      </c>
      <c r="B2104" s="12" t="s">
        <v>465</v>
      </c>
      <c r="C2104" s="12" t="s">
        <v>22</v>
      </c>
      <c r="D2104" s="12">
        <v>9.5563732296584283E-2</v>
      </c>
      <c r="E2104" s="12">
        <v>28808</v>
      </c>
      <c r="F2104" s="12">
        <v>2753</v>
      </c>
    </row>
    <row r="2105" spans="1:6">
      <c r="A2105" t="s">
        <v>1011</v>
      </c>
      <c r="B2105" s="12" t="s">
        <v>465</v>
      </c>
      <c r="C2105" s="12" t="s">
        <v>478</v>
      </c>
      <c r="D2105" s="12">
        <v>4.807692307692308E-2</v>
      </c>
      <c r="E2105" s="12">
        <v>28808</v>
      </c>
      <c r="F2105" s="12">
        <v>1385</v>
      </c>
    </row>
    <row r="2106" spans="1:6">
      <c r="A2106" t="s">
        <v>1011</v>
      </c>
      <c r="B2106" s="12" t="s">
        <v>465</v>
      </c>
      <c r="C2106" s="12" t="s">
        <v>20</v>
      </c>
      <c r="D2106" s="12">
        <v>5.8907247986670366E-2</v>
      </c>
      <c r="E2106" s="12">
        <v>28808</v>
      </c>
      <c r="F2106" s="12">
        <v>1697</v>
      </c>
    </row>
    <row r="2107" spans="1:6">
      <c r="A2107" t="s">
        <v>1011</v>
      </c>
      <c r="B2107" s="12" t="s">
        <v>466</v>
      </c>
      <c r="C2107" s="12" t="s">
        <v>480</v>
      </c>
      <c r="D2107" s="12">
        <v>0.45228854298593235</v>
      </c>
      <c r="E2107" s="12">
        <v>73431</v>
      </c>
      <c r="F2107" s="12">
        <v>33212</v>
      </c>
    </row>
    <row r="2108" spans="1:6">
      <c r="A2108" t="s">
        <v>1011</v>
      </c>
      <c r="B2108" s="12" t="s">
        <v>466</v>
      </c>
      <c r="C2108" s="12" t="s">
        <v>479</v>
      </c>
      <c r="D2108" s="12">
        <v>0.37937655758467131</v>
      </c>
      <c r="E2108" s="12">
        <v>73431</v>
      </c>
      <c r="F2108" s="12">
        <v>27858</v>
      </c>
    </row>
    <row r="2109" spans="1:6">
      <c r="A2109" t="s">
        <v>1011</v>
      </c>
      <c r="B2109" s="12" t="s">
        <v>466</v>
      </c>
      <c r="C2109" s="12" t="s">
        <v>22</v>
      </c>
      <c r="D2109" s="12">
        <v>9.6525990385532001E-2</v>
      </c>
      <c r="E2109" s="12">
        <v>73431</v>
      </c>
      <c r="F2109" s="12">
        <v>7088</v>
      </c>
    </row>
    <row r="2110" spans="1:6">
      <c r="A2110" t="s">
        <v>1011</v>
      </c>
      <c r="B2110" s="12" t="s">
        <v>466</v>
      </c>
      <c r="C2110" s="12" t="s">
        <v>478</v>
      </c>
      <c r="D2110" s="12">
        <v>3.4985224224101538E-2</v>
      </c>
      <c r="E2110" s="12">
        <v>73431</v>
      </c>
      <c r="F2110" s="12">
        <v>2569</v>
      </c>
    </row>
    <row r="2111" spans="1:6">
      <c r="A2111" t="s">
        <v>1011</v>
      </c>
      <c r="B2111" s="12" t="s">
        <v>466</v>
      </c>
      <c r="C2111" s="12" t="s">
        <v>20</v>
      </c>
      <c r="D2111" s="12">
        <v>3.6891775952935406E-2</v>
      </c>
      <c r="E2111" s="12">
        <v>73431</v>
      </c>
      <c r="F2111" s="12">
        <v>2709</v>
      </c>
    </row>
    <row r="2112" spans="1:6">
      <c r="A2112" t="s">
        <v>429</v>
      </c>
      <c r="B2112" s="12" t="s">
        <v>467</v>
      </c>
      <c r="C2112" s="12" t="s">
        <v>480</v>
      </c>
      <c r="D2112" s="12">
        <v>0.38047238464675831</v>
      </c>
      <c r="E2112" s="12">
        <v>2025214</v>
      </c>
      <c r="F2112" s="12">
        <v>770538</v>
      </c>
    </row>
    <row r="2113" spans="1:6">
      <c r="A2113" t="s">
        <v>429</v>
      </c>
      <c r="B2113" s="12" t="s">
        <v>467</v>
      </c>
      <c r="C2113" s="12" t="s">
        <v>479</v>
      </c>
      <c r="D2113" s="12">
        <v>0.43589813224676505</v>
      </c>
      <c r="E2113" s="12">
        <v>2025214</v>
      </c>
      <c r="F2113" s="12">
        <v>882787</v>
      </c>
    </row>
    <row r="2114" spans="1:6">
      <c r="A2114" t="s">
        <v>429</v>
      </c>
      <c r="B2114" s="12" t="s">
        <v>467</v>
      </c>
      <c r="C2114" s="12" t="s">
        <v>22</v>
      </c>
      <c r="D2114" s="12">
        <v>0.11264192327329359</v>
      </c>
      <c r="E2114" s="12">
        <v>2025214</v>
      </c>
      <c r="F2114" s="12">
        <v>228124</v>
      </c>
    </row>
    <row r="2115" spans="1:6">
      <c r="A2115" t="s">
        <v>429</v>
      </c>
      <c r="B2115" s="12" t="s">
        <v>467</v>
      </c>
      <c r="C2115" s="12" t="s">
        <v>478</v>
      </c>
      <c r="D2115" s="12">
        <v>3.8724302715663628E-2</v>
      </c>
      <c r="E2115" s="12">
        <v>2025214</v>
      </c>
      <c r="F2115" s="12">
        <v>78425</v>
      </c>
    </row>
    <row r="2116" spans="1:6">
      <c r="A2116" t="s">
        <v>429</v>
      </c>
      <c r="B2116" s="12" t="s">
        <v>467</v>
      </c>
      <c r="C2116" s="12" t="s">
        <v>20</v>
      </c>
      <c r="D2116" s="12">
        <v>3.2258813142709855E-2</v>
      </c>
      <c r="E2116" s="12">
        <v>2025214</v>
      </c>
      <c r="F2116" s="12">
        <v>65331</v>
      </c>
    </row>
    <row r="2117" spans="1:6">
      <c r="A2117" t="s">
        <v>429</v>
      </c>
      <c r="B2117" s="12" t="s">
        <v>468</v>
      </c>
      <c r="C2117" s="12" t="s">
        <v>480</v>
      </c>
      <c r="D2117" s="12">
        <v>0.42693833812305398</v>
      </c>
      <c r="E2117" s="12">
        <v>266891</v>
      </c>
      <c r="F2117" s="12">
        <v>113946</v>
      </c>
    </row>
    <row r="2118" spans="1:6">
      <c r="A2118" t="s">
        <v>429</v>
      </c>
      <c r="B2118" s="12" t="s">
        <v>468</v>
      </c>
      <c r="C2118" s="12" t="s">
        <v>479</v>
      </c>
      <c r="D2118" s="12">
        <v>0.4138505981842775</v>
      </c>
      <c r="E2118" s="12">
        <v>266891</v>
      </c>
      <c r="F2118" s="12">
        <v>110453</v>
      </c>
    </row>
    <row r="2119" spans="1:6">
      <c r="A2119" t="s">
        <v>429</v>
      </c>
      <c r="B2119" s="12" t="s">
        <v>468</v>
      </c>
      <c r="C2119" s="12" t="s">
        <v>22</v>
      </c>
      <c r="D2119" s="12">
        <v>9.8980482668954747E-2</v>
      </c>
      <c r="E2119" s="12">
        <v>266891</v>
      </c>
      <c r="F2119" s="12">
        <v>26417</v>
      </c>
    </row>
    <row r="2120" spans="1:6">
      <c r="A2120" t="s">
        <v>429</v>
      </c>
      <c r="B2120" s="12" t="s">
        <v>468</v>
      </c>
      <c r="C2120" s="12" t="s">
        <v>478</v>
      </c>
      <c r="D2120" s="12">
        <v>3.2968515236557243E-2</v>
      </c>
      <c r="E2120" s="12">
        <v>266891</v>
      </c>
      <c r="F2120" s="12">
        <v>8799</v>
      </c>
    </row>
    <row r="2121" spans="1:6">
      <c r="A2121" t="s">
        <v>429</v>
      </c>
      <c r="B2121" s="12" t="s">
        <v>468</v>
      </c>
      <c r="C2121" s="12" t="s">
        <v>20</v>
      </c>
      <c r="D2121" s="12">
        <v>2.7273306331049005E-2</v>
      </c>
      <c r="E2121" s="12">
        <v>266891</v>
      </c>
      <c r="F2121" s="12">
        <v>7279</v>
      </c>
    </row>
    <row r="2122" spans="1:6">
      <c r="A2122" t="s">
        <v>429</v>
      </c>
      <c r="B2122" s="12" t="s">
        <v>469</v>
      </c>
      <c r="C2122" s="12" t="s">
        <v>480</v>
      </c>
      <c r="D2122" s="12">
        <v>0.42544978863800392</v>
      </c>
      <c r="E2122" s="12">
        <v>155184</v>
      </c>
      <c r="F2122" s="12">
        <v>66023</v>
      </c>
    </row>
    <row r="2123" spans="1:6">
      <c r="A2123" t="s">
        <v>429</v>
      </c>
      <c r="B2123" s="12" t="s">
        <v>469</v>
      </c>
      <c r="C2123" s="12" t="s">
        <v>479</v>
      </c>
      <c r="D2123" s="12">
        <v>0.41898649345293332</v>
      </c>
      <c r="E2123" s="12">
        <v>155184</v>
      </c>
      <c r="F2123" s="12">
        <v>65020</v>
      </c>
    </row>
    <row r="2124" spans="1:6">
      <c r="A2124" t="s">
        <v>429</v>
      </c>
      <c r="B2124" s="12" t="s">
        <v>469</v>
      </c>
      <c r="C2124" s="12" t="s">
        <v>22</v>
      </c>
      <c r="D2124" s="12">
        <v>9.4880915558304982E-2</v>
      </c>
      <c r="E2124" s="12">
        <v>155184</v>
      </c>
      <c r="F2124" s="12">
        <v>14724</v>
      </c>
    </row>
    <row r="2125" spans="1:6">
      <c r="A2125" t="s">
        <v>429</v>
      </c>
      <c r="B2125" s="12" t="s">
        <v>469</v>
      </c>
      <c r="C2125" s="12" t="s">
        <v>478</v>
      </c>
      <c r="D2125" s="12">
        <v>3.2902876585214971E-2</v>
      </c>
      <c r="E2125" s="12">
        <v>155184</v>
      </c>
      <c r="F2125" s="12">
        <v>5106</v>
      </c>
    </row>
    <row r="2126" spans="1:6">
      <c r="A2126" t="s">
        <v>429</v>
      </c>
      <c r="B2126" s="12" t="s">
        <v>469</v>
      </c>
      <c r="C2126" s="12" t="s">
        <v>20</v>
      </c>
      <c r="D2126" s="12">
        <v>2.7779925765542838E-2</v>
      </c>
      <c r="E2126" s="12">
        <v>155184</v>
      </c>
      <c r="F2126" s="12">
        <v>4311</v>
      </c>
    </row>
    <row r="2127" spans="1:6">
      <c r="A2127" t="s">
        <v>429</v>
      </c>
      <c r="B2127" s="12" t="s">
        <v>470</v>
      </c>
      <c r="C2127" s="12" t="s">
        <v>480</v>
      </c>
      <c r="D2127" s="12">
        <v>0.26629979662639069</v>
      </c>
      <c r="E2127" s="12">
        <v>16718</v>
      </c>
      <c r="F2127" s="12">
        <v>4452</v>
      </c>
    </row>
    <row r="2128" spans="1:6">
      <c r="A2128" t="s">
        <v>429</v>
      </c>
      <c r="B2128" s="12" t="s">
        <v>470</v>
      </c>
      <c r="C2128" s="12" t="s">
        <v>479</v>
      </c>
      <c r="D2128" s="12">
        <v>0.37857399210431869</v>
      </c>
      <c r="E2128" s="12">
        <v>16718</v>
      </c>
      <c r="F2128" s="12">
        <v>6329</v>
      </c>
    </row>
    <row r="2129" spans="1:6">
      <c r="A2129" t="s">
        <v>429</v>
      </c>
      <c r="B2129" s="12" t="s">
        <v>470</v>
      </c>
      <c r="C2129" s="12" t="s">
        <v>22</v>
      </c>
      <c r="D2129" s="12">
        <v>0.16927862184471826</v>
      </c>
      <c r="E2129" s="12">
        <v>16718</v>
      </c>
      <c r="F2129" s="12">
        <v>2830</v>
      </c>
    </row>
    <row r="2130" spans="1:6">
      <c r="A2130" t="s">
        <v>429</v>
      </c>
      <c r="B2130" s="12" t="s">
        <v>470</v>
      </c>
      <c r="C2130" s="12" t="s">
        <v>478</v>
      </c>
      <c r="D2130" s="12">
        <v>8.6673047015193211E-2</v>
      </c>
      <c r="E2130" s="12">
        <v>16718</v>
      </c>
      <c r="F2130" s="12">
        <v>1449</v>
      </c>
    </row>
    <row r="2131" spans="1:6">
      <c r="A2131" t="s">
        <v>429</v>
      </c>
      <c r="B2131" s="12" t="s">
        <v>470</v>
      </c>
      <c r="C2131" s="12" t="s">
        <v>20</v>
      </c>
      <c r="D2131" s="12">
        <v>9.8875463572197633E-2</v>
      </c>
      <c r="E2131" s="12">
        <v>16718</v>
      </c>
      <c r="F2131" s="12">
        <v>1653</v>
      </c>
    </row>
    <row r="2132" spans="1:6">
      <c r="A2132" t="s">
        <v>429</v>
      </c>
      <c r="B2132" s="12" t="s">
        <v>471</v>
      </c>
      <c r="C2132" s="12" t="s">
        <v>480</v>
      </c>
      <c r="D2132" s="12">
        <v>0.47068450448110144</v>
      </c>
      <c r="E2132" s="12">
        <v>38495</v>
      </c>
      <c r="F2132" s="12">
        <v>18119</v>
      </c>
    </row>
    <row r="2133" spans="1:6">
      <c r="A2133" t="s">
        <v>429</v>
      </c>
      <c r="B2133" s="12" t="s">
        <v>471</v>
      </c>
      <c r="C2133" s="12" t="s">
        <v>479</v>
      </c>
      <c r="D2133" s="12">
        <v>0.41007923106896998</v>
      </c>
      <c r="E2133" s="12">
        <v>38495</v>
      </c>
      <c r="F2133" s="12">
        <v>15786</v>
      </c>
    </row>
    <row r="2134" spans="1:6">
      <c r="A2134" t="s">
        <v>429</v>
      </c>
      <c r="B2134" s="12" t="s">
        <v>471</v>
      </c>
      <c r="C2134" s="12" t="s">
        <v>22</v>
      </c>
      <c r="D2134" s="12">
        <v>7.5334459020652028E-2</v>
      </c>
      <c r="E2134" s="12">
        <v>38495</v>
      </c>
      <c r="F2134" s="12">
        <v>2900</v>
      </c>
    </row>
    <row r="2135" spans="1:6">
      <c r="A2135" t="s">
        <v>429</v>
      </c>
      <c r="B2135" s="12" t="s">
        <v>471</v>
      </c>
      <c r="C2135" s="12" t="s">
        <v>478</v>
      </c>
      <c r="D2135" s="12">
        <v>2.3639433692687364E-2</v>
      </c>
      <c r="E2135" s="12">
        <v>38495</v>
      </c>
      <c r="F2135" s="12">
        <v>910</v>
      </c>
    </row>
    <row r="2136" spans="1:6">
      <c r="A2136" t="s">
        <v>429</v>
      </c>
      <c r="B2136" s="12" t="s">
        <v>471</v>
      </c>
      <c r="C2136" s="12" t="s">
        <v>20</v>
      </c>
      <c r="D2136" s="12">
        <v>2.021041693726458E-2</v>
      </c>
      <c r="E2136" s="12">
        <v>38495</v>
      </c>
      <c r="F2136" s="12">
        <v>778</v>
      </c>
    </row>
    <row r="2137" spans="1:6">
      <c r="A2137" t="s">
        <v>429</v>
      </c>
      <c r="B2137" t="s">
        <v>472</v>
      </c>
      <c r="C2137" t="s">
        <v>480</v>
      </c>
      <c r="D2137">
        <v>0.39122895822339016</v>
      </c>
      <c r="E2137">
        <v>278553</v>
      </c>
      <c r="F2137">
        <v>108978</v>
      </c>
    </row>
    <row r="2138" spans="1:6">
      <c r="A2138" t="s">
        <v>429</v>
      </c>
      <c r="B2138" t="s">
        <v>472</v>
      </c>
      <c r="C2138" t="s">
        <v>479</v>
      </c>
      <c r="D2138">
        <v>0.43529597599020653</v>
      </c>
      <c r="E2138">
        <v>278553</v>
      </c>
      <c r="F2138">
        <v>121253</v>
      </c>
    </row>
    <row r="2139" spans="1:6">
      <c r="A2139" t="s">
        <v>429</v>
      </c>
      <c r="B2139" t="s">
        <v>472</v>
      </c>
      <c r="C2139" t="s">
        <v>22</v>
      </c>
      <c r="D2139">
        <v>0.10914978478063421</v>
      </c>
      <c r="E2139">
        <v>278553</v>
      </c>
      <c r="F2139">
        <v>30404</v>
      </c>
    </row>
    <row r="2140" spans="1:6">
      <c r="A2140" t="s">
        <v>429</v>
      </c>
      <c r="B2140" t="s">
        <v>472</v>
      </c>
      <c r="C2140" t="s">
        <v>478</v>
      </c>
      <c r="D2140">
        <v>3.6240859010673011E-2</v>
      </c>
      <c r="E2140">
        <v>278553</v>
      </c>
      <c r="F2140">
        <v>10095</v>
      </c>
    </row>
    <row r="2141" spans="1:6">
      <c r="A2141" t="s">
        <v>429</v>
      </c>
      <c r="B2141" t="s">
        <v>472</v>
      </c>
      <c r="C2141" t="s">
        <v>20</v>
      </c>
      <c r="D2141">
        <v>2.8062882108611287E-2</v>
      </c>
      <c r="E2141">
        <v>278553</v>
      </c>
      <c r="F2141">
        <v>7817</v>
      </c>
    </row>
    <row r="2142" spans="1:6">
      <c r="A2142" t="s">
        <v>27</v>
      </c>
      <c r="B2142" t="s">
        <v>28</v>
      </c>
      <c r="C2142" t="s">
        <v>19</v>
      </c>
      <c r="D2142">
        <v>0.6</v>
      </c>
      <c r="E2142">
        <v>11701</v>
      </c>
      <c r="F2142">
        <v>7021</v>
      </c>
    </row>
    <row r="2143" spans="1:6">
      <c r="A2143" t="s">
        <v>27</v>
      </c>
      <c r="B2143" t="s">
        <v>28</v>
      </c>
      <c r="C2143" t="s">
        <v>477</v>
      </c>
      <c r="D2143">
        <v>0.4</v>
      </c>
      <c r="E2143">
        <v>11701</v>
      </c>
      <c r="F2143">
        <v>4680</v>
      </c>
    </row>
    <row r="2144" spans="1:6">
      <c r="A2144" t="s">
        <v>27</v>
      </c>
      <c r="B2144" t="s">
        <v>28</v>
      </c>
      <c r="C2144" t="s">
        <v>23</v>
      </c>
      <c r="D2144">
        <v>9.6360122997667923E-3</v>
      </c>
      <c r="E2144">
        <v>11701</v>
      </c>
      <c r="F2144">
        <v>113</v>
      </c>
    </row>
    <row r="2145" spans="1:6">
      <c r="A2145" t="s">
        <v>27</v>
      </c>
      <c r="B2145" t="s">
        <v>29</v>
      </c>
      <c r="C2145" t="s">
        <v>19</v>
      </c>
      <c r="D2145">
        <v>0.6</v>
      </c>
      <c r="E2145">
        <v>402</v>
      </c>
      <c r="F2145">
        <v>241</v>
      </c>
    </row>
    <row r="2146" spans="1:6">
      <c r="A2146" t="s">
        <v>27</v>
      </c>
      <c r="B2146" t="s">
        <v>29</v>
      </c>
      <c r="C2146" t="s">
        <v>477</v>
      </c>
      <c r="D2146">
        <v>0.4</v>
      </c>
      <c r="E2146">
        <v>402</v>
      </c>
      <c r="F2146">
        <v>161</v>
      </c>
    </row>
    <row r="2147" spans="1:6">
      <c r="A2147" t="s">
        <v>27</v>
      </c>
      <c r="B2147" t="s">
        <v>29</v>
      </c>
      <c r="C2147" t="s">
        <v>23</v>
      </c>
      <c r="D2147">
        <v>8.0690731013162639E-3</v>
      </c>
      <c r="E2147">
        <v>402</v>
      </c>
      <c r="F2147">
        <v>3</v>
      </c>
    </row>
    <row r="2148" spans="1:6">
      <c r="A2148" t="s">
        <v>27</v>
      </c>
      <c r="B2148" t="s">
        <v>30</v>
      </c>
      <c r="C2148" t="s">
        <v>19</v>
      </c>
      <c r="D2148">
        <v>0.6</v>
      </c>
      <c r="E2148">
        <v>559</v>
      </c>
      <c r="F2148">
        <v>335</v>
      </c>
    </row>
    <row r="2149" spans="1:6">
      <c r="A2149" t="s">
        <v>27</v>
      </c>
      <c r="B2149" t="s">
        <v>30</v>
      </c>
      <c r="C2149" t="s">
        <v>477</v>
      </c>
      <c r="D2149">
        <v>0.4</v>
      </c>
      <c r="E2149">
        <v>559</v>
      </c>
      <c r="F2149">
        <v>224</v>
      </c>
    </row>
    <row r="2150" spans="1:6">
      <c r="A2150" t="s">
        <v>27</v>
      </c>
      <c r="B2150" t="s">
        <v>30</v>
      </c>
      <c r="C2150" t="s">
        <v>23</v>
      </c>
      <c r="D2150">
        <v>4.4281961591014296E-3</v>
      </c>
      <c r="E2150">
        <v>559</v>
      </c>
      <c r="F2150">
        <v>2</v>
      </c>
    </row>
    <row r="2151" spans="1:6">
      <c r="A2151" t="s">
        <v>27</v>
      </c>
      <c r="B2151" t="s">
        <v>31</v>
      </c>
      <c r="C2151" t="s">
        <v>19</v>
      </c>
      <c r="D2151">
        <v>0.6</v>
      </c>
      <c r="E2151">
        <v>1536</v>
      </c>
      <c r="F2151">
        <v>922</v>
      </c>
    </row>
    <row r="2152" spans="1:6">
      <c r="A2152" t="s">
        <v>27</v>
      </c>
      <c r="B2152" t="s">
        <v>31</v>
      </c>
      <c r="C2152" t="s">
        <v>477</v>
      </c>
      <c r="D2152">
        <v>0.4</v>
      </c>
      <c r="E2152">
        <v>1536</v>
      </c>
      <c r="F2152">
        <v>614</v>
      </c>
    </row>
    <row r="2153" spans="1:6">
      <c r="A2153" t="s">
        <v>27</v>
      </c>
      <c r="B2153" t="s">
        <v>31</v>
      </c>
      <c r="C2153" t="s">
        <v>23</v>
      </c>
      <c r="D2153">
        <v>1.5280870956507103E-2</v>
      </c>
      <c r="E2153">
        <v>1536</v>
      </c>
      <c r="F2153">
        <v>23</v>
      </c>
    </row>
    <row r="2154" spans="1:6">
      <c r="A2154" t="s">
        <v>27</v>
      </c>
      <c r="B2154" t="s">
        <v>32</v>
      </c>
      <c r="C2154" t="s">
        <v>19</v>
      </c>
      <c r="D2154">
        <v>0.6</v>
      </c>
      <c r="E2154">
        <v>674</v>
      </c>
      <c r="F2154">
        <v>404</v>
      </c>
    </row>
    <row r="2155" spans="1:6">
      <c r="A2155" t="s">
        <v>27</v>
      </c>
      <c r="B2155" t="s">
        <v>32</v>
      </c>
      <c r="C2155" t="s">
        <v>477</v>
      </c>
      <c r="D2155">
        <v>0.4</v>
      </c>
      <c r="E2155">
        <v>674</v>
      </c>
      <c r="F2155">
        <v>270</v>
      </c>
    </row>
    <row r="2156" spans="1:6">
      <c r="A2156" t="s">
        <v>27</v>
      </c>
      <c r="B2156" t="s">
        <v>32</v>
      </c>
      <c r="C2156" t="s">
        <v>23</v>
      </c>
      <c r="D2156">
        <v>1.06585279675783E-2</v>
      </c>
      <c r="E2156">
        <v>674</v>
      </c>
      <c r="F2156">
        <v>7</v>
      </c>
    </row>
    <row r="2157" spans="1:6">
      <c r="A2157" t="s">
        <v>27</v>
      </c>
      <c r="B2157" t="s">
        <v>33</v>
      </c>
      <c r="C2157" t="s">
        <v>19</v>
      </c>
      <c r="D2157">
        <v>0.6</v>
      </c>
      <c r="E2157">
        <v>3746</v>
      </c>
      <c r="F2157">
        <v>2248</v>
      </c>
    </row>
    <row r="2158" spans="1:6">
      <c r="A2158" t="s">
        <v>27</v>
      </c>
      <c r="B2158" t="s">
        <v>33</v>
      </c>
      <c r="C2158" t="s">
        <v>477</v>
      </c>
      <c r="D2158">
        <v>0.4</v>
      </c>
      <c r="E2158">
        <v>3746</v>
      </c>
      <c r="F2158">
        <v>1498</v>
      </c>
    </row>
    <row r="2159" spans="1:6">
      <c r="A2159" t="s">
        <v>27</v>
      </c>
      <c r="B2159" t="s">
        <v>33</v>
      </c>
      <c r="C2159" t="s">
        <v>23</v>
      </c>
      <c r="D2159">
        <v>1.2035054155802504E-2</v>
      </c>
      <c r="E2159">
        <v>3746</v>
      </c>
      <c r="F2159">
        <v>45</v>
      </c>
    </row>
    <row r="2160" spans="1:6">
      <c r="A2160" t="s">
        <v>27</v>
      </c>
      <c r="B2160" t="s">
        <v>34</v>
      </c>
      <c r="C2160" t="s">
        <v>19</v>
      </c>
      <c r="D2160">
        <v>0.6</v>
      </c>
      <c r="E2160">
        <v>1294</v>
      </c>
      <c r="F2160">
        <v>776</v>
      </c>
    </row>
    <row r="2161" spans="1:6">
      <c r="A2161" t="s">
        <v>27</v>
      </c>
      <c r="B2161" t="s">
        <v>34</v>
      </c>
      <c r="C2161" t="s">
        <v>477</v>
      </c>
      <c r="D2161">
        <v>0.4</v>
      </c>
      <c r="E2161">
        <v>1294</v>
      </c>
      <c r="F2161">
        <v>518</v>
      </c>
    </row>
    <row r="2162" spans="1:6">
      <c r="A2162" t="s">
        <v>27</v>
      </c>
      <c r="B2162" t="s">
        <v>34</v>
      </c>
      <c r="C2162" t="s">
        <v>23</v>
      </c>
      <c r="D2162">
        <v>5.2755110040593415E-3</v>
      </c>
      <c r="E2162">
        <v>1294</v>
      </c>
      <c r="F2162">
        <v>7</v>
      </c>
    </row>
    <row r="2163" spans="1:6">
      <c r="A2163" t="s">
        <v>27</v>
      </c>
      <c r="B2163" t="s">
        <v>35</v>
      </c>
      <c r="C2163" t="s">
        <v>19</v>
      </c>
      <c r="D2163">
        <v>0.6</v>
      </c>
      <c r="E2163">
        <v>640</v>
      </c>
      <c r="F2163">
        <v>384</v>
      </c>
    </row>
    <row r="2164" spans="1:6">
      <c r="A2164" t="s">
        <v>27</v>
      </c>
      <c r="B2164" t="s">
        <v>35</v>
      </c>
      <c r="C2164" t="s">
        <v>477</v>
      </c>
      <c r="D2164">
        <v>0.4</v>
      </c>
      <c r="E2164">
        <v>640</v>
      </c>
      <c r="F2164">
        <v>256</v>
      </c>
    </row>
    <row r="2165" spans="1:6">
      <c r="A2165" t="s">
        <v>27</v>
      </c>
      <c r="B2165" t="s">
        <v>35</v>
      </c>
      <c r="C2165" t="s">
        <v>23</v>
      </c>
      <c r="D2165">
        <v>1.4999165911642656E-2</v>
      </c>
      <c r="E2165">
        <v>640</v>
      </c>
      <c r="F2165">
        <v>10</v>
      </c>
    </row>
    <row r="2166" spans="1:6">
      <c r="A2166" t="s">
        <v>27</v>
      </c>
      <c r="B2166" t="s">
        <v>36</v>
      </c>
      <c r="C2166" t="s">
        <v>19</v>
      </c>
      <c r="D2166">
        <v>0.6</v>
      </c>
      <c r="E2166">
        <v>686</v>
      </c>
      <c r="F2166">
        <v>412</v>
      </c>
    </row>
    <row r="2167" spans="1:6">
      <c r="A2167" t="s">
        <v>27</v>
      </c>
      <c r="B2167" t="s">
        <v>36</v>
      </c>
      <c r="C2167" t="s">
        <v>477</v>
      </c>
      <c r="D2167">
        <v>0.4</v>
      </c>
      <c r="E2167">
        <v>686</v>
      </c>
      <c r="F2167">
        <v>274</v>
      </c>
    </row>
    <row r="2168" spans="1:6">
      <c r="A2168" t="s">
        <v>27</v>
      </c>
      <c r="B2168" t="s">
        <v>36</v>
      </c>
      <c r="C2168" t="s">
        <v>23</v>
      </c>
      <c r="D2168">
        <v>5.780028341275059E-3</v>
      </c>
      <c r="E2168">
        <v>686</v>
      </c>
      <c r="F2168">
        <v>4</v>
      </c>
    </row>
    <row r="2169" spans="1:6">
      <c r="A2169" t="s">
        <v>27</v>
      </c>
      <c r="B2169" t="s">
        <v>37</v>
      </c>
      <c r="C2169" t="s">
        <v>19</v>
      </c>
      <c r="D2169">
        <v>0.6</v>
      </c>
      <c r="E2169">
        <v>481</v>
      </c>
      <c r="F2169">
        <v>289</v>
      </c>
    </row>
    <row r="2170" spans="1:6">
      <c r="A2170" t="s">
        <v>27</v>
      </c>
      <c r="B2170" t="s">
        <v>37</v>
      </c>
      <c r="C2170" t="s">
        <v>477</v>
      </c>
      <c r="D2170">
        <v>0.4</v>
      </c>
      <c r="E2170">
        <v>481</v>
      </c>
      <c r="F2170">
        <v>192</v>
      </c>
    </row>
    <row r="2171" spans="1:6">
      <c r="A2171" t="s">
        <v>27</v>
      </c>
      <c r="B2171" t="s">
        <v>37</v>
      </c>
      <c r="C2171" t="s">
        <v>23</v>
      </c>
      <c r="D2171">
        <v>7.7742317906863484E-3</v>
      </c>
      <c r="E2171">
        <v>481</v>
      </c>
      <c r="F2171">
        <v>4</v>
      </c>
    </row>
    <row r="2172" spans="1:6">
      <c r="A2172" t="s">
        <v>27</v>
      </c>
      <c r="B2172" t="s">
        <v>38</v>
      </c>
      <c r="C2172" t="s">
        <v>19</v>
      </c>
      <c r="D2172">
        <v>0.6</v>
      </c>
      <c r="E2172">
        <v>713</v>
      </c>
      <c r="F2172">
        <v>428</v>
      </c>
    </row>
    <row r="2173" spans="1:6">
      <c r="A2173" t="s">
        <v>27</v>
      </c>
      <c r="B2173" t="s">
        <v>38</v>
      </c>
      <c r="C2173" t="s">
        <v>477</v>
      </c>
      <c r="D2173">
        <v>0.4</v>
      </c>
      <c r="E2173">
        <v>713</v>
      </c>
      <c r="F2173">
        <v>285</v>
      </c>
    </row>
    <row r="2174" spans="1:6">
      <c r="A2174" t="s">
        <v>27</v>
      </c>
      <c r="B2174" t="s">
        <v>38</v>
      </c>
      <c r="C2174" t="s">
        <v>23</v>
      </c>
      <c r="D2174">
        <v>1.1927547442934585E-2</v>
      </c>
      <c r="E2174">
        <v>713</v>
      </c>
      <c r="F2174">
        <v>9</v>
      </c>
    </row>
    <row r="2175" spans="1:6">
      <c r="A2175" t="s">
        <v>27</v>
      </c>
      <c r="B2175" t="s">
        <v>40</v>
      </c>
      <c r="C2175" t="s">
        <v>19</v>
      </c>
      <c r="D2175">
        <v>0.6</v>
      </c>
      <c r="E2175">
        <v>498</v>
      </c>
      <c r="F2175">
        <v>299</v>
      </c>
    </row>
    <row r="2176" spans="1:6">
      <c r="A2176" t="s">
        <v>27</v>
      </c>
      <c r="B2176" t="s">
        <v>40</v>
      </c>
      <c r="C2176" t="s">
        <v>477</v>
      </c>
      <c r="D2176">
        <v>0.4</v>
      </c>
      <c r="E2176">
        <v>498</v>
      </c>
      <c r="F2176">
        <v>199</v>
      </c>
    </row>
    <row r="2177" spans="1:6">
      <c r="A2177" t="s">
        <v>27</v>
      </c>
      <c r="B2177" t="s">
        <v>40</v>
      </c>
      <c r="C2177" t="s">
        <v>23</v>
      </c>
      <c r="D2177">
        <v>6.0375321261438184E-3</v>
      </c>
      <c r="E2177">
        <v>498</v>
      </c>
      <c r="F2177">
        <v>3</v>
      </c>
    </row>
    <row r="2178" spans="1:6">
      <c r="A2178" t="s">
        <v>39</v>
      </c>
      <c r="B2178" t="s">
        <v>41</v>
      </c>
      <c r="C2178" t="s">
        <v>19</v>
      </c>
      <c r="D2178">
        <v>0.6</v>
      </c>
      <c r="E2178">
        <v>1184</v>
      </c>
      <c r="F2178">
        <v>710</v>
      </c>
    </row>
    <row r="2179" spans="1:6">
      <c r="A2179" t="s">
        <v>39</v>
      </c>
      <c r="B2179" t="s">
        <v>41</v>
      </c>
      <c r="C2179" t="s">
        <v>477</v>
      </c>
      <c r="D2179">
        <v>0.4</v>
      </c>
      <c r="E2179">
        <v>1184</v>
      </c>
      <c r="F2179">
        <v>474</v>
      </c>
    </row>
    <row r="2180" spans="1:6">
      <c r="A2180" t="s">
        <v>39</v>
      </c>
      <c r="B2180" t="s">
        <v>41</v>
      </c>
      <c r="C2180" t="s">
        <v>23</v>
      </c>
      <c r="D2180">
        <v>9.3393175206160934E-3</v>
      </c>
      <c r="E2180">
        <v>1184</v>
      </c>
      <c r="F2180">
        <v>11</v>
      </c>
    </row>
    <row r="2181" spans="1:6">
      <c r="A2181" t="s">
        <v>39</v>
      </c>
      <c r="B2181" t="s">
        <v>42</v>
      </c>
      <c r="C2181" t="s">
        <v>19</v>
      </c>
      <c r="D2181">
        <v>0.6</v>
      </c>
      <c r="E2181">
        <v>708</v>
      </c>
      <c r="F2181">
        <v>425</v>
      </c>
    </row>
    <row r="2182" spans="1:6">
      <c r="A2182" t="s">
        <v>39</v>
      </c>
      <c r="B2182" t="s">
        <v>42</v>
      </c>
      <c r="C2182" t="s">
        <v>477</v>
      </c>
      <c r="D2182">
        <v>0.4</v>
      </c>
      <c r="E2182">
        <v>708</v>
      </c>
      <c r="F2182">
        <v>283</v>
      </c>
    </row>
    <row r="2183" spans="1:6">
      <c r="A2183" t="s">
        <v>39</v>
      </c>
      <c r="B2183" t="s">
        <v>42</v>
      </c>
      <c r="C2183" t="s">
        <v>23</v>
      </c>
      <c r="D2183">
        <v>9.100615100291528E-3</v>
      </c>
      <c r="E2183">
        <v>708</v>
      </c>
      <c r="F2183">
        <v>6</v>
      </c>
    </row>
    <row r="2184" spans="1:6">
      <c r="A2184" t="s">
        <v>39</v>
      </c>
      <c r="B2184" t="s">
        <v>43</v>
      </c>
      <c r="C2184" t="s">
        <v>19</v>
      </c>
      <c r="D2184">
        <v>0.6</v>
      </c>
      <c r="E2184">
        <v>1802</v>
      </c>
      <c r="F2184">
        <v>1081</v>
      </c>
    </row>
    <row r="2185" spans="1:6">
      <c r="A2185" t="s">
        <v>39</v>
      </c>
      <c r="B2185" t="s">
        <v>43</v>
      </c>
      <c r="C2185" t="s">
        <v>477</v>
      </c>
      <c r="D2185">
        <v>0.4</v>
      </c>
      <c r="E2185">
        <v>1802</v>
      </c>
      <c r="F2185">
        <v>721</v>
      </c>
    </row>
    <row r="2186" spans="1:6">
      <c r="A2186" t="s">
        <v>39</v>
      </c>
      <c r="B2186" t="s">
        <v>43</v>
      </c>
      <c r="C2186" t="s">
        <v>23</v>
      </c>
      <c r="D2186">
        <v>1.1250730686095061E-2</v>
      </c>
      <c r="E2186">
        <v>1802</v>
      </c>
      <c r="F2186">
        <v>20</v>
      </c>
    </row>
    <row r="2187" spans="1:6">
      <c r="A2187" t="s">
        <v>39</v>
      </c>
      <c r="B2187" t="s">
        <v>44</v>
      </c>
      <c r="C2187" t="s">
        <v>19</v>
      </c>
      <c r="D2187">
        <v>0.6</v>
      </c>
      <c r="E2187">
        <v>2317</v>
      </c>
      <c r="F2187">
        <v>1390</v>
      </c>
    </row>
    <row r="2188" spans="1:6">
      <c r="A2188" t="s">
        <v>39</v>
      </c>
      <c r="B2188" t="s">
        <v>44</v>
      </c>
      <c r="C2188" t="s">
        <v>477</v>
      </c>
      <c r="D2188">
        <v>0.4</v>
      </c>
      <c r="E2188">
        <v>2317</v>
      </c>
      <c r="F2188">
        <v>927</v>
      </c>
    </row>
    <row r="2189" spans="1:6">
      <c r="A2189" t="s">
        <v>39</v>
      </c>
      <c r="B2189" t="s">
        <v>44</v>
      </c>
      <c r="C2189" t="s">
        <v>23</v>
      </c>
      <c r="D2189">
        <v>1.0313841274580238E-4</v>
      </c>
      <c r="E2189">
        <v>2317</v>
      </c>
      <c r="F2189">
        <v>0</v>
      </c>
    </row>
    <row r="2190" spans="1:6">
      <c r="A2190" t="s">
        <v>39</v>
      </c>
      <c r="B2190" t="s">
        <v>45</v>
      </c>
      <c r="C2190" t="s">
        <v>19</v>
      </c>
      <c r="D2190">
        <v>0.6</v>
      </c>
      <c r="E2190">
        <v>24908</v>
      </c>
      <c r="F2190">
        <v>14945</v>
      </c>
    </row>
    <row r="2191" spans="1:6">
      <c r="A2191" t="s">
        <v>39</v>
      </c>
      <c r="B2191" t="s">
        <v>45</v>
      </c>
      <c r="C2191" t="s">
        <v>477</v>
      </c>
      <c r="D2191">
        <v>0.4</v>
      </c>
      <c r="E2191">
        <v>24908</v>
      </c>
      <c r="F2191">
        <v>9963</v>
      </c>
    </row>
    <row r="2192" spans="1:6">
      <c r="A2192" t="s">
        <v>39</v>
      </c>
      <c r="B2192" t="s">
        <v>45</v>
      </c>
      <c r="C2192" t="s">
        <v>23</v>
      </c>
      <c r="D2192">
        <v>3.9260415930233465E-3</v>
      </c>
      <c r="E2192">
        <v>24908</v>
      </c>
      <c r="F2192">
        <v>98</v>
      </c>
    </row>
    <row r="2193" spans="1:6">
      <c r="A2193" t="s">
        <v>39</v>
      </c>
      <c r="B2193" t="s">
        <v>46</v>
      </c>
      <c r="C2193" t="s">
        <v>19</v>
      </c>
      <c r="D2193">
        <v>0.6</v>
      </c>
      <c r="E2193">
        <v>1482</v>
      </c>
      <c r="F2193">
        <v>889</v>
      </c>
    </row>
    <row r="2194" spans="1:6">
      <c r="A2194" t="s">
        <v>39</v>
      </c>
      <c r="B2194" t="s">
        <v>46</v>
      </c>
      <c r="C2194" t="s">
        <v>477</v>
      </c>
      <c r="D2194">
        <v>0.4</v>
      </c>
      <c r="E2194">
        <v>1482</v>
      </c>
      <c r="F2194">
        <v>593</v>
      </c>
    </row>
    <row r="2195" spans="1:6">
      <c r="A2195" t="s">
        <v>39</v>
      </c>
      <c r="B2195" t="s">
        <v>46</v>
      </c>
      <c r="C2195" t="s">
        <v>23</v>
      </c>
      <c r="D2195">
        <v>1.6722763044921568E-2</v>
      </c>
      <c r="E2195">
        <v>1482</v>
      </c>
      <c r="F2195">
        <v>25</v>
      </c>
    </row>
    <row r="2196" spans="1:6">
      <c r="A2196" t="s">
        <v>39</v>
      </c>
      <c r="B2196" t="s">
        <v>47</v>
      </c>
      <c r="C2196" t="s">
        <v>19</v>
      </c>
      <c r="D2196">
        <v>0.6</v>
      </c>
      <c r="E2196">
        <v>1931</v>
      </c>
      <c r="F2196">
        <v>1159</v>
      </c>
    </row>
    <row r="2197" spans="1:6">
      <c r="A2197" t="s">
        <v>39</v>
      </c>
      <c r="B2197" t="s">
        <v>47</v>
      </c>
      <c r="C2197" t="s">
        <v>477</v>
      </c>
      <c r="D2197">
        <v>0.4</v>
      </c>
      <c r="E2197">
        <v>1931</v>
      </c>
      <c r="F2197">
        <v>772</v>
      </c>
    </row>
    <row r="2198" spans="1:6">
      <c r="A2198" t="s">
        <v>39</v>
      </c>
      <c r="B2198" t="s">
        <v>47</v>
      </c>
      <c r="C2198" t="s">
        <v>23</v>
      </c>
      <c r="D2198">
        <v>4.913331715260756E-3</v>
      </c>
      <c r="E2198">
        <v>1931</v>
      </c>
      <c r="F2198">
        <v>9</v>
      </c>
    </row>
    <row r="2199" spans="1:6">
      <c r="A2199" t="s">
        <v>39</v>
      </c>
      <c r="B2199" t="s">
        <v>48</v>
      </c>
      <c r="C2199" t="s">
        <v>19</v>
      </c>
      <c r="D2199">
        <v>0.6</v>
      </c>
      <c r="E2199">
        <v>916</v>
      </c>
      <c r="F2199">
        <v>550</v>
      </c>
    </row>
    <row r="2200" spans="1:6">
      <c r="A2200" t="s">
        <v>39</v>
      </c>
      <c r="B2200" t="s">
        <v>48</v>
      </c>
      <c r="C2200" t="s">
        <v>477</v>
      </c>
      <c r="D2200">
        <v>0.4</v>
      </c>
      <c r="E2200">
        <v>916</v>
      </c>
      <c r="F2200">
        <v>366</v>
      </c>
    </row>
    <row r="2201" spans="1:6">
      <c r="A2201" t="s">
        <v>39</v>
      </c>
      <c r="B2201" t="s">
        <v>48</v>
      </c>
      <c r="C2201" t="s">
        <v>23</v>
      </c>
      <c r="D2201">
        <v>8.1867023747973795E-3</v>
      </c>
      <c r="E2201">
        <v>916</v>
      </c>
      <c r="F2201">
        <v>7</v>
      </c>
    </row>
    <row r="2202" spans="1:6">
      <c r="A2202" t="s">
        <v>39</v>
      </c>
      <c r="B2202" t="s">
        <v>49</v>
      </c>
      <c r="C2202" t="s">
        <v>19</v>
      </c>
      <c r="D2202">
        <v>0.6</v>
      </c>
      <c r="E2202">
        <v>1097</v>
      </c>
      <c r="F2202">
        <v>658</v>
      </c>
    </row>
    <row r="2203" spans="1:6">
      <c r="A2203" t="s">
        <v>39</v>
      </c>
      <c r="B2203" t="s">
        <v>49</v>
      </c>
      <c r="C2203" t="s">
        <v>477</v>
      </c>
      <c r="D2203">
        <v>0.4</v>
      </c>
      <c r="E2203">
        <v>1097</v>
      </c>
      <c r="F2203">
        <v>439</v>
      </c>
    </row>
    <row r="2204" spans="1:6">
      <c r="A2204" t="s">
        <v>39</v>
      </c>
      <c r="B2204" t="s">
        <v>49</v>
      </c>
      <c r="C2204" t="s">
        <v>23</v>
      </c>
      <c r="D2204">
        <v>1.0116940128794787E-2</v>
      </c>
      <c r="E2204">
        <v>1097</v>
      </c>
      <c r="F2204">
        <v>11</v>
      </c>
    </row>
    <row r="2205" spans="1:6">
      <c r="A2205" t="s">
        <v>39</v>
      </c>
      <c r="B2205" t="s">
        <v>50</v>
      </c>
      <c r="C2205" t="s">
        <v>19</v>
      </c>
      <c r="D2205">
        <v>0.6</v>
      </c>
      <c r="E2205">
        <v>1742</v>
      </c>
      <c r="F2205">
        <v>1045</v>
      </c>
    </row>
    <row r="2206" spans="1:6">
      <c r="A2206" t="s">
        <v>39</v>
      </c>
      <c r="B2206" t="s">
        <v>50</v>
      </c>
      <c r="C2206" t="s">
        <v>477</v>
      </c>
      <c r="D2206">
        <v>0.4</v>
      </c>
      <c r="E2206">
        <v>1742</v>
      </c>
      <c r="F2206">
        <v>697</v>
      </c>
    </row>
    <row r="2207" spans="1:6">
      <c r="A2207" t="s">
        <v>39</v>
      </c>
      <c r="B2207" t="s">
        <v>50</v>
      </c>
      <c r="C2207" t="s">
        <v>23</v>
      </c>
      <c r="D2207">
        <v>1.8701284769099626E-2</v>
      </c>
      <c r="E2207">
        <v>1742</v>
      </c>
      <c r="F2207">
        <v>33</v>
      </c>
    </row>
    <row r="2208" spans="1:6">
      <c r="A2208" t="s">
        <v>39</v>
      </c>
      <c r="B2208" t="s">
        <v>51</v>
      </c>
      <c r="C2208" t="s">
        <v>19</v>
      </c>
      <c r="D2208">
        <v>0.6</v>
      </c>
      <c r="E2208">
        <v>4040</v>
      </c>
      <c r="F2208">
        <v>2424</v>
      </c>
    </row>
    <row r="2209" spans="1:6">
      <c r="A2209" t="s">
        <v>39</v>
      </c>
      <c r="B2209" t="s">
        <v>51</v>
      </c>
      <c r="C2209" t="s">
        <v>477</v>
      </c>
      <c r="D2209">
        <v>0.4</v>
      </c>
      <c r="E2209">
        <v>4040</v>
      </c>
      <c r="F2209">
        <v>1616</v>
      </c>
    </row>
    <row r="2210" spans="1:6">
      <c r="A2210" t="s">
        <v>39</v>
      </c>
      <c r="B2210" t="s">
        <v>51</v>
      </c>
      <c r="C2210" t="s">
        <v>23</v>
      </c>
      <c r="D2210">
        <v>3.0533380719964033E-3</v>
      </c>
      <c r="E2210">
        <v>4040</v>
      </c>
      <c r="F2210">
        <v>12</v>
      </c>
    </row>
    <row r="2211" spans="1:6">
      <c r="A2211" t="s">
        <v>39</v>
      </c>
      <c r="B2211" t="s">
        <v>52</v>
      </c>
      <c r="C2211" t="s">
        <v>19</v>
      </c>
      <c r="D2211">
        <v>0.6</v>
      </c>
      <c r="E2211">
        <v>665</v>
      </c>
      <c r="F2211">
        <v>399</v>
      </c>
    </row>
    <row r="2212" spans="1:6">
      <c r="A2212" t="s">
        <v>39</v>
      </c>
      <c r="B2212" t="s">
        <v>52</v>
      </c>
      <c r="C2212" t="s">
        <v>477</v>
      </c>
      <c r="D2212">
        <v>0.4</v>
      </c>
      <c r="E2212">
        <v>665</v>
      </c>
      <c r="F2212">
        <v>266</v>
      </c>
    </row>
    <row r="2213" spans="1:6">
      <c r="A2213" t="s">
        <v>39</v>
      </c>
      <c r="B2213" t="s">
        <v>52</v>
      </c>
      <c r="C2213" t="s">
        <v>23</v>
      </c>
      <c r="D2213">
        <v>1.8536453336353838E-2</v>
      </c>
      <c r="E2213">
        <v>665</v>
      </c>
      <c r="F2213">
        <v>12</v>
      </c>
    </row>
    <row r="2214" spans="1:6">
      <c r="A2214" t="s">
        <v>39</v>
      </c>
      <c r="B2214" t="s">
        <v>53</v>
      </c>
      <c r="C2214" t="s">
        <v>19</v>
      </c>
      <c r="D2214">
        <v>0.6</v>
      </c>
      <c r="E2214">
        <v>503</v>
      </c>
      <c r="F2214">
        <v>302</v>
      </c>
    </row>
    <row r="2215" spans="1:6">
      <c r="A2215" t="s">
        <v>39</v>
      </c>
      <c r="B2215" t="s">
        <v>53</v>
      </c>
      <c r="C2215" t="s">
        <v>477</v>
      </c>
      <c r="D2215">
        <v>0.4</v>
      </c>
      <c r="E2215">
        <v>503</v>
      </c>
      <c r="F2215">
        <v>201</v>
      </c>
    </row>
    <row r="2216" spans="1:6">
      <c r="A2216" t="s">
        <v>39</v>
      </c>
      <c r="B2216" t="s">
        <v>53</v>
      </c>
      <c r="C2216" t="s">
        <v>23</v>
      </c>
      <c r="D2216">
        <v>1.0708260717977125E-3</v>
      </c>
      <c r="E2216">
        <v>503</v>
      </c>
      <c r="F2216">
        <v>1</v>
      </c>
    </row>
    <row r="2217" spans="1:6">
      <c r="A2217" t="s">
        <v>39</v>
      </c>
      <c r="B2217" t="s">
        <v>54</v>
      </c>
      <c r="C2217" t="s">
        <v>19</v>
      </c>
      <c r="D2217">
        <v>0.6</v>
      </c>
      <c r="E2217">
        <v>543</v>
      </c>
      <c r="F2217">
        <v>326</v>
      </c>
    </row>
    <row r="2218" spans="1:6">
      <c r="A2218" t="s">
        <v>39</v>
      </c>
      <c r="B2218" t="s">
        <v>54</v>
      </c>
      <c r="C2218" t="s">
        <v>477</v>
      </c>
      <c r="D2218">
        <v>0.4</v>
      </c>
      <c r="E2218">
        <v>543</v>
      </c>
      <c r="F2218">
        <v>217</v>
      </c>
    </row>
    <row r="2219" spans="1:6">
      <c r="A2219" t="s">
        <v>39</v>
      </c>
      <c r="B2219" t="s">
        <v>54</v>
      </c>
      <c r="C2219" t="s">
        <v>23</v>
      </c>
      <c r="D2219">
        <v>1.7796774295953357E-2</v>
      </c>
      <c r="E2219">
        <v>543</v>
      </c>
      <c r="F2219">
        <v>10</v>
      </c>
    </row>
    <row r="2220" spans="1:6">
      <c r="A2220" t="s">
        <v>39</v>
      </c>
      <c r="B2220" t="s">
        <v>55</v>
      </c>
      <c r="C2220" t="s">
        <v>19</v>
      </c>
      <c r="D2220">
        <v>0.6</v>
      </c>
      <c r="E2220">
        <v>794</v>
      </c>
      <c r="F2220">
        <v>476</v>
      </c>
    </row>
    <row r="2221" spans="1:6">
      <c r="A2221" t="s">
        <v>39</v>
      </c>
      <c r="B2221" t="s">
        <v>55</v>
      </c>
      <c r="C2221" t="s">
        <v>477</v>
      </c>
      <c r="D2221">
        <v>0.4</v>
      </c>
      <c r="E2221">
        <v>794</v>
      </c>
      <c r="F2221">
        <v>318</v>
      </c>
    </row>
    <row r="2222" spans="1:6">
      <c r="A2222" t="s">
        <v>39</v>
      </c>
      <c r="B2222" t="s">
        <v>55</v>
      </c>
      <c r="C2222" t="s">
        <v>23</v>
      </c>
      <c r="D2222">
        <v>7.8991306736982542E-3</v>
      </c>
      <c r="E2222">
        <v>794</v>
      </c>
      <c r="F2222">
        <v>6</v>
      </c>
    </row>
    <row r="2223" spans="1:6">
      <c r="A2223" t="s">
        <v>39</v>
      </c>
      <c r="B2223" t="s">
        <v>57</v>
      </c>
      <c r="C2223" t="s">
        <v>19</v>
      </c>
      <c r="D2223">
        <v>0.6</v>
      </c>
      <c r="E2223">
        <v>500</v>
      </c>
      <c r="F2223">
        <v>300</v>
      </c>
    </row>
    <row r="2224" spans="1:6">
      <c r="A2224" t="s">
        <v>39</v>
      </c>
      <c r="B2224" t="s">
        <v>57</v>
      </c>
      <c r="C2224" t="s">
        <v>477</v>
      </c>
      <c r="D2224">
        <v>0.4</v>
      </c>
      <c r="E2224">
        <v>500</v>
      </c>
      <c r="F2224">
        <v>200</v>
      </c>
    </row>
    <row r="2225" spans="1:6">
      <c r="A2225" t="s">
        <v>39</v>
      </c>
      <c r="B2225" t="s">
        <v>57</v>
      </c>
      <c r="C2225" t="s">
        <v>23</v>
      </c>
      <c r="D2225">
        <v>1.4726369213248346E-2</v>
      </c>
      <c r="E2225">
        <v>500</v>
      </c>
      <c r="F2225">
        <v>7</v>
      </c>
    </row>
    <row r="2226" spans="1:6">
      <c r="A2226" t="s">
        <v>56</v>
      </c>
      <c r="B2226" t="s">
        <v>58</v>
      </c>
      <c r="C2226" t="s">
        <v>19</v>
      </c>
      <c r="D2226">
        <v>0.6</v>
      </c>
      <c r="E2226">
        <v>7212</v>
      </c>
      <c r="F2226">
        <v>4327</v>
      </c>
    </row>
    <row r="2227" spans="1:6">
      <c r="A2227" t="s">
        <v>56</v>
      </c>
      <c r="B2227" t="s">
        <v>58</v>
      </c>
      <c r="C2227" t="s">
        <v>477</v>
      </c>
      <c r="D2227">
        <v>0.4</v>
      </c>
      <c r="E2227">
        <v>7212</v>
      </c>
      <c r="F2227">
        <v>2885</v>
      </c>
    </row>
    <row r="2228" spans="1:6">
      <c r="A2228" t="s">
        <v>56</v>
      </c>
      <c r="B2228" t="s">
        <v>58</v>
      </c>
      <c r="C2228" t="s">
        <v>23</v>
      </c>
      <c r="D2228">
        <v>1.4095753802053841E-2</v>
      </c>
      <c r="E2228">
        <v>7212</v>
      </c>
      <c r="F2228">
        <v>102</v>
      </c>
    </row>
    <row r="2229" spans="1:6">
      <c r="A2229" t="s">
        <v>56</v>
      </c>
      <c r="B2229" t="s">
        <v>59</v>
      </c>
      <c r="C2229" t="s">
        <v>19</v>
      </c>
      <c r="D2229">
        <v>0.6</v>
      </c>
      <c r="E2229">
        <v>12504</v>
      </c>
      <c r="F2229">
        <v>7502</v>
      </c>
    </row>
    <row r="2230" spans="1:6">
      <c r="A2230" t="s">
        <v>56</v>
      </c>
      <c r="B2230" t="s">
        <v>59</v>
      </c>
      <c r="C2230" t="s">
        <v>477</v>
      </c>
      <c r="D2230">
        <v>0.4</v>
      </c>
      <c r="E2230">
        <v>12504</v>
      </c>
      <c r="F2230">
        <v>5002</v>
      </c>
    </row>
    <row r="2231" spans="1:6">
      <c r="A2231" t="s">
        <v>56</v>
      </c>
      <c r="B2231" t="s">
        <v>59</v>
      </c>
      <c r="C2231" t="s">
        <v>23</v>
      </c>
      <c r="D2231">
        <v>1.5955462464455016E-2</v>
      </c>
      <c r="E2231">
        <v>12504</v>
      </c>
      <c r="F2231">
        <v>200</v>
      </c>
    </row>
    <row r="2232" spans="1:6">
      <c r="A2232" t="s">
        <v>56</v>
      </c>
      <c r="B2232" t="s">
        <v>60</v>
      </c>
      <c r="C2232" t="s">
        <v>19</v>
      </c>
      <c r="D2232">
        <v>0.6</v>
      </c>
      <c r="E2232">
        <v>3050</v>
      </c>
      <c r="F2232">
        <v>1830</v>
      </c>
    </row>
    <row r="2233" spans="1:6">
      <c r="A2233" t="s">
        <v>56</v>
      </c>
      <c r="B2233" t="s">
        <v>60</v>
      </c>
      <c r="C2233" t="s">
        <v>477</v>
      </c>
      <c r="D2233">
        <v>0.4</v>
      </c>
      <c r="E2233">
        <v>3050</v>
      </c>
      <c r="F2233">
        <v>1220</v>
      </c>
    </row>
    <row r="2234" spans="1:6">
      <c r="A2234" t="s">
        <v>56</v>
      </c>
      <c r="B2234" t="s">
        <v>60</v>
      </c>
      <c r="C2234" t="s">
        <v>23</v>
      </c>
      <c r="D2234">
        <v>1.7196677390330442E-2</v>
      </c>
      <c r="E2234">
        <v>3050</v>
      </c>
      <c r="F2234">
        <v>52</v>
      </c>
    </row>
    <row r="2235" spans="1:6">
      <c r="A2235" t="s">
        <v>56</v>
      </c>
      <c r="B2235" t="s">
        <v>61</v>
      </c>
      <c r="C2235" t="s">
        <v>19</v>
      </c>
      <c r="D2235">
        <v>0.6</v>
      </c>
      <c r="E2235">
        <v>2893</v>
      </c>
      <c r="F2235">
        <v>1736</v>
      </c>
    </row>
    <row r="2236" spans="1:6">
      <c r="A2236" t="s">
        <v>56</v>
      </c>
      <c r="B2236" t="s">
        <v>61</v>
      </c>
      <c r="C2236" t="s">
        <v>477</v>
      </c>
      <c r="D2236">
        <v>0.4</v>
      </c>
      <c r="E2236">
        <v>2893</v>
      </c>
      <c r="F2236">
        <v>1157</v>
      </c>
    </row>
    <row r="2237" spans="1:6">
      <c r="A2237" t="s">
        <v>56</v>
      </c>
      <c r="B2237" t="s">
        <v>61</v>
      </c>
      <c r="C2237" t="s">
        <v>23</v>
      </c>
      <c r="D2237">
        <v>1.560999481793063E-2</v>
      </c>
      <c r="E2237">
        <v>2893</v>
      </c>
      <c r="F2237">
        <v>45</v>
      </c>
    </row>
    <row r="2238" spans="1:6">
      <c r="A2238" t="s">
        <v>56</v>
      </c>
      <c r="B2238" t="s">
        <v>62</v>
      </c>
      <c r="C2238" t="s">
        <v>19</v>
      </c>
      <c r="D2238">
        <v>0.6</v>
      </c>
      <c r="E2238">
        <v>1778</v>
      </c>
      <c r="F2238">
        <v>1067</v>
      </c>
    </row>
    <row r="2239" spans="1:6">
      <c r="A2239" t="s">
        <v>56</v>
      </c>
      <c r="B2239" t="s">
        <v>62</v>
      </c>
      <c r="C2239" t="s">
        <v>477</v>
      </c>
      <c r="D2239">
        <v>0.4</v>
      </c>
      <c r="E2239">
        <v>1778</v>
      </c>
      <c r="F2239">
        <v>711</v>
      </c>
    </row>
    <row r="2240" spans="1:6">
      <c r="A2240" t="s">
        <v>56</v>
      </c>
      <c r="B2240" t="s">
        <v>62</v>
      </c>
      <c r="C2240" t="s">
        <v>23</v>
      </c>
      <c r="D2240">
        <v>3.1995074152055981E-3</v>
      </c>
      <c r="E2240">
        <v>1778</v>
      </c>
      <c r="F2240">
        <v>6</v>
      </c>
    </row>
    <row r="2241" spans="1:6">
      <c r="A2241" t="s">
        <v>56</v>
      </c>
      <c r="B2241" t="s">
        <v>63</v>
      </c>
      <c r="C2241" t="s">
        <v>19</v>
      </c>
      <c r="D2241">
        <v>0.6</v>
      </c>
      <c r="E2241">
        <v>6330</v>
      </c>
      <c r="F2241">
        <v>3798</v>
      </c>
    </row>
    <row r="2242" spans="1:6">
      <c r="A2242" t="s">
        <v>56</v>
      </c>
      <c r="B2242" t="s">
        <v>63</v>
      </c>
      <c r="C2242" t="s">
        <v>477</v>
      </c>
      <c r="D2242">
        <v>0.4</v>
      </c>
      <c r="E2242">
        <v>6330</v>
      </c>
      <c r="F2242">
        <v>2532</v>
      </c>
    </row>
    <row r="2243" spans="1:6">
      <c r="A2243" t="s">
        <v>56</v>
      </c>
      <c r="B2243" t="s">
        <v>63</v>
      </c>
      <c r="C2243" t="s">
        <v>23</v>
      </c>
      <c r="D2243">
        <v>1.5038667350547447E-2</v>
      </c>
      <c r="E2243">
        <v>6330</v>
      </c>
      <c r="F2243">
        <v>95</v>
      </c>
    </row>
    <row r="2244" spans="1:6">
      <c r="A2244" t="s">
        <v>56</v>
      </c>
      <c r="B2244" t="s">
        <v>64</v>
      </c>
      <c r="C2244" t="s">
        <v>19</v>
      </c>
      <c r="D2244">
        <v>0.6</v>
      </c>
      <c r="E2244">
        <v>859</v>
      </c>
      <c r="F2244">
        <v>515</v>
      </c>
    </row>
    <row r="2245" spans="1:6">
      <c r="A2245" t="s">
        <v>56</v>
      </c>
      <c r="B2245" t="s">
        <v>64</v>
      </c>
      <c r="C2245" t="s">
        <v>477</v>
      </c>
      <c r="D2245">
        <v>0.4</v>
      </c>
      <c r="E2245">
        <v>859</v>
      </c>
      <c r="F2245">
        <v>344</v>
      </c>
    </row>
    <row r="2246" spans="1:6">
      <c r="A2246" t="s">
        <v>56</v>
      </c>
      <c r="B2246" t="s">
        <v>64</v>
      </c>
      <c r="C2246" t="s">
        <v>23</v>
      </c>
      <c r="D2246">
        <v>1.7363109448001863E-2</v>
      </c>
      <c r="E2246">
        <v>859</v>
      </c>
      <c r="F2246">
        <v>15</v>
      </c>
    </row>
    <row r="2247" spans="1:6">
      <c r="A2247" t="s">
        <v>56</v>
      </c>
      <c r="B2247" t="s">
        <v>65</v>
      </c>
      <c r="C2247" t="s">
        <v>19</v>
      </c>
      <c r="D2247">
        <v>0.6</v>
      </c>
      <c r="E2247">
        <v>2914</v>
      </c>
      <c r="F2247">
        <v>1748</v>
      </c>
    </row>
    <row r="2248" spans="1:6">
      <c r="A2248" t="s">
        <v>56</v>
      </c>
      <c r="B2248" t="s">
        <v>65</v>
      </c>
      <c r="C2248" t="s">
        <v>477</v>
      </c>
      <c r="D2248">
        <v>0.4</v>
      </c>
      <c r="E2248">
        <v>2914</v>
      </c>
      <c r="F2248">
        <v>1166</v>
      </c>
    </row>
    <row r="2249" spans="1:6">
      <c r="A2249" t="s">
        <v>56</v>
      </c>
      <c r="B2249" t="s">
        <v>65</v>
      </c>
      <c r="C2249" t="s">
        <v>23</v>
      </c>
      <c r="D2249">
        <v>3.9320196872795581E-3</v>
      </c>
      <c r="E2249">
        <v>2914</v>
      </c>
      <c r="F2249">
        <v>11</v>
      </c>
    </row>
    <row r="2250" spans="1:6">
      <c r="A2250" t="s">
        <v>56</v>
      </c>
      <c r="B2250" t="s">
        <v>66</v>
      </c>
      <c r="C2250" t="s">
        <v>19</v>
      </c>
      <c r="D2250">
        <v>0.6</v>
      </c>
      <c r="E2250">
        <v>1670</v>
      </c>
      <c r="F2250">
        <v>1002</v>
      </c>
    </row>
    <row r="2251" spans="1:6">
      <c r="A2251" t="s">
        <v>56</v>
      </c>
      <c r="B2251" t="s">
        <v>66</v>
      </c>
      <c r="C2251" t="s">
        <v>477</v>
      </c>
      <c r="D2251">
        <v>0.4</v>
      </c>
      <c r="E2251">
        <v>1670</v>
      </c>
      <c r="F2251">
        <v>668</v>
      </c>
    </row>
    <row r="2252" spans="1:6">
      <c r="A2252" t="s">
        <v>56</v>
      </c>
      <c r="B2252" t="s">
        <v>66</v>
      </c>
      <c r="C2252" t="s">
        <v>23</v>
      </c>
      <c r="D2252">
        <v>1.4190074981595591E-3</v>
      </c>
      <c r="E2252">
        <v>1670</v>
      </c>
      <c r="F2252">
        <v>2</v>
      </c>
    </row>
    <row r="2253" spans="1:6">
      <c r="A2253" t="s">
        <v>56</v>
      </c>
      <c r="B2253" t="s">
        <v>67</v>
      </c>
      <c r="C2253" t="s">
        <v>19</v>
      </c>
      <c r="D2253">
        <v>0.6</v>
      </c>
      <c r="E2253">
        <v>1860</v>
      </c>
      <c r="F2253">
        <v>1116</v>
      </c>
    </row>
    <row r="2254" spans="1:6">
      <c r="A2254" t="s">
        <v>56</v>
      </c>
      <c r="B2254" t="s">
        <v>67</v>
      </c>
      <c r="C2254" t="s">
        <v>477</v>
      </c>
      <c r="D2254">
        <v>0.4</v>
      </c>
      <c r="E2254">
        <v>1860</v>
      </c>
      <c r="F2254">
        <v>744</v>
      </c>
    </row>
    <row r="2255" spans="1:6">
      <c r="A2255" t="s">
        <v>56</v>
      </c>
      <c r="B2255" t="s">
        <v>67</v>
      </c>
      <c r="C2255" t="s">
        <v>23</v>
      </c>
      <c r="D2255">
        <v>2.9672315379913397E-3</v>
      </c>
      <c r="E2255">
        <v>1860</v>
      </c>
      <c r="F2255">
        <v>6</v>
      </c>
    </row>
    <row r="2256" spans="1:6">
      <c r="A2256" t="s">
        <v>56</v>
      </c>
      <c r="B2256" t="s">
        <v>68</v>
      </c>
      <c r="C2256" t="s">
        <v>19</v>
      </c>
      <c r="D2256">
        <v>0.6</v>
      </c>
      <c r="E2256">
        <v>1578</v>
      </c>
      <c r="F2256">
        <v>947</v>
      </c>
    </row>
    <row r="2257" spans="1:6">
      <c r="A2257" t="s">
        <v>56</v>
      </c>
      <c r="B2257" t="s">
        <v>68</v>
      </c>
      <c r="C2257" t="s">
        <v>477</v>
      </c>
      <c r="D2257">
        <v>0.4</v>
      </c>
      <c r="E2257">
        <v>1578</v>
      </c>
      <c r="F2257">
        <v>631</v>
      </c>
    </row>
    <row r="2258" spans="1:6">
      <c r="A2258" t="s">
        <v>56</v>
      </c>
      <c r="B2258" t="s">
        <v>68</v>
      </c>
      <c r="C2258" t="s">
        <v>23</v>
      </c>
      <c r="D2258">
        <v>9.2528272463512033E-3</v>
      </c>
      <c r="E2258">
        <v>1578</v>
      </c>
      <c r="F2258">
        <v>15</v>
      </c>
    </row>
    <row r="2259" spans="1:6">
      <c r="A2259" t="s">
        <v>56</v>
      </c>
      <c r="B2259" t="s">
        <v>69</v>
      </c>
      <c r="C2259" t="s">
        <v>19</v>
      </c>
      <c r="D2259">
        <v>0.6</v>
      </c>
      <c r="E2259">
        <v>934</v>
      </c>
      <c r="F2259">
        <v>560</v>
      </c>
    </row>
    <row r="2260" spans="1:6">
      <c r="A2260" t="s">
        <v>56</v>
      </c>
      <c r="B2260" t="s">
        <v>69</v>
      </c>
      <c r="C2260" t="s">
        <v>477</v>
      </c>
      <c r="D2260">
        <v>0.4</v>
      </c>
      <c r="E2260">
        <v>934</v>
      </c>
      <c r="F2260">
        <v>374</v>
      </c>
    </row>
    <row r="2261" spans="1:6">
      <c r="A2261" t="s">
        <v>56</v>
      </c>
      <c r="B2261" t="s">
        <v>69</v>
      </c>
      <c r="C2261" t="s">
        <v>23</v>
      </c>
      <c r="D2261">
        <v>1.7476975652045309E-2</v>
      </c>
      <c r="E2261">
        <v>934</v>
      </c>
      <c r="F2261">
        <v>16</v>
      </c>
    </row>
    <row r="2262" spans="1:6">
      <c r="A2262" t="s">
        <v>56</v>
      </c>
      <c r="B2262" t="s">
        <v>70</v>
      </c>
      <c r="C2262" t="s">
        <v>19</v>
      </c>
      <c r="D2262">
        <v>0.6</v>
      </c>
      <c r="E2262">
        <v>1500</v>
      </c>
      <c r="F2262">
        <v>900</v>
      </c>
    </row>
    <row r="2263" spans="1:6">
      <c r="A2263" t="s">
        <v>56</v>
      </c>
      <c r="B2263" t="s">
        <v>70</v>
      </c>
      <c r="C2263" t="s">
        <v>477</v>
      </c>
      <c r="D2263">
        <v>0.4</v>
      </c>
      <c r="E2263">
        <v>1500</v>
      </c>
      <c r="F2263">
        <v>600</v>
      </c>
    </row>
    <row r="2264" spans="1:6">
      <c r="A2264" t="s">
        <v>56</v>
      </c>
      <c r="B2264" t="s">
        <v>70</v>
      </c>
      <c r="C2264" t="s">
        <v>23</v>
      </c>
      <c r="D2264">
        <v>1.1343091446963328E-3</v>
      </c>
      <c r="E2264">
        <v>1500</v>
      </c>
      <c r="F2264">
        <v>2</v>
      </c>
    </row>
    <row r="2265" spans="1:6">
      <c r="A2265" t="s">
        <v>56</v>
      </c>
      <c r="B2265" t="s">
        <v>71</v>
      </c>
      <c r="C2265" t="s">
        <v>19</v>
      </c>
      <c r="D2265">
        <v>0.6</v>
      </c>
      <c r="E2265">
        <v>2606</v>
      </c>
      <c r="F2265">
        <v>1564</v>
      </c>
    </row>
    <row r="2266" spans="1:6">
      <c r="A2266" t="s">
        <v>56</v>
      </c>
      <c r="B2266" t="s">
        <v>71</v>
      </c>
      <c r="C2266" t="s">
        <v>477</v>
      </c>
      <c r="D2266">
        <v>0.4</v>
      </c>
      <c r="E2266">
        <v>2606</v>
      </c>
      <c r="F2266">
        <v>1042</v>
      </c>
    </row>
    <row r="2267" spans="1:6">
      <c r="A2267" t="s">
        <v>56</v>
      </c>
      <c r="B2267" t="s">
        <v>71</v>
      </c>
      <c r="C2267" t="s">
        <v>23</v>
      </c>
      <c r="D2267">
        <v>1.4487546125999069E-2</v>
      </c>
      <c r="E2267">
        <v>2606</v>
      </c>
      <c r="F2267">
        <v>38</v>
      </c>
    </row>
    <row r="2268" spans="1:6">
      <c r="A2268" t="s">
        <v>56</v>
      </c>
      <c r="B2268" t="s">
        <v>72</v>
      </c>
      <c r="C2268" t="s">
        <v>19</v>
      </c>
      <c r="D2268">
        <v>0.6</v>
      </c>
      <c r="E2268">
        <v>924</v>
      </c>
      <c r="F2268">
        <v>554</v>
      </c>
    </row>
    <row r="2269" spans="1:6">
      <c r="A2269" t="s">
        <v>56</v>
      </c>
      <c r="B2269" t="s">
        <v>72</v>
      </c>
      <c r="C2269" t="s">
        <v>477</v>
      </c>
      <c r="D2269">
        <v>0.4</v>
      </c>
      <c r="E2269">
        <v>924</v>
      </c>
      <c r="F2269">
        <v>370</v>
      </c>
    </row>
    <row r="2270" spans="1:6">
      <c r="A2270" t="s">
        <v>56</v>
      </c>
      <c r="B2270" t="s">
        <v>72</v>
      </c>
      <c r="C2270" t="s">
        <v>23</v>
      </c>
      <c r="D2270">
        <v>2.3988042914805541E-3</v>
      </c>
      <c r="E2270">
        <v>924</v>
      </c>
      <c r="F2270">
        <v>2</v>
      </c>
    </row>
    <row r="2271" spans="1:6">
      <c r="A2271" t="s">
        <v>56</v>
      </c>
      <c r="B2271" t="s">
        <v>73</v>
      </c>
      <c r="C2271" t="s">
        <v>19</v>
      </c>
      <c r="D2271">
        <v>0.6</v>
      </c>
      <c r="E2271">
        <v>530</v>
      </c>
      <c r="F2271">
        <v>318</v>
      </c>
    </row>
    <row r="2272" spans="1:6">
      <c r="A2272" t="s">
        <v>56</v>
      </c>
      <c r="B2272" t="s">
        <v>73</v>
      </c>
      <c r="C2272" t="s">
        <v>477</v>
      </c>
      <c r="D2272">
        <v>0.4</v>
      </c>
      <c r="E2272">
        <v>530</v>
      </c>
      <c r="F2272">
        <v>212</v>
      </c>
    </row>
    <row r="2273" spans="1:6">
      <c r="A2273" t="s">
        <v>56</v>
      </c>
      <c r="B2273" t="s">
        <v>73</v>
      </c>
      <c r="C2273" t="s">
        <v>23</v>
      </c>
      <c r="D2273">
        <v>7.37628295282343E-3</v>
      </c>
      <c r="E2273">
        <v>530</v>
      </c>
      <c r="F2273">
        <v>4</v>
      </c>
    </row>
    <row r="2274" spans="1:6">
      <c r="A2274" t="s">
        <v>56</v>
      </c>
      <c r="B2274" t="s">
        <v>74</v>
      </c>
      <c r="C2274" t="s">
        <v>19</v>
      </c>
      <c r="D2274">
        <v>0.6</v>
      </c>
      <c r="E2274">
        <v>2410</v>
      </c>
      <c r="F2274">
        <v>1446</v>
      </c>
    </row>
    <row r="2275" spans="1:6">
      <c r="A2275" t="s">
        <v>56</v>
      </c>
      <c r="B2275" t="s">
        <v>74</v>
      </c>
      <c r="C2275" t="s">
        <v>477</v>
      </c>
      <c r="D2275">
        <v>0.4</v>
      </c>
      <c r="E2275">
        <v>2410</v>
      </c>
      <c r="F2275">
        <v>964</v>
      </c>
    </row>
    <row r="2276" spans="1:6">
      <c r="A2276" t="s">
        <v>56</v>
      </c>
      <c r="B2276" t="s">
        <v>74</v>
      </c>
      <c r="C2276" t="s">
        <v>23</v>
      </c>
      <c r="D2276">
        <v>8.5452400938847758E-4</v>
      </c>
      <c r="E2276">
        <v>2410</v>
      </c>
      <c r="F2276">
        <v>2</v>
      </c>
    </row>
    <row r="2277" spans="1:6">
      <c r="A2277" t="s">
        <v>56</v>
      </c>
      <c r="B2277" t="s">
        <v>75</v>
      </c>
      <c r="C2277" t="s">
        <v>19</v>
      </c>
      <c r="D2277">
        <v>0.6</v>
      </c>
      <c r="E2277">
        <v>403</v>
      </c>
      <c r="F2277">
        <v>242</v>
      </c>
    </row>
    <row r="2278" spans="1:6">
      <c r="A2278" t="s">
        <v>56</v>
      </c>
      <c r="B2278" t="s">
        <v>75</v>
      </c>
      <c r="C2278" t="s">
        <v>477</v>
      </c>
      <c r="D2278">
        <v>0.4</v>
      </c>
      <c r="E2278">
        <v>403</v>
      </c>
      <c r="F2278">
        <v>161</v>
      </c>
    </row>
    <row r="2279" spans="1:6">
      <c r="A2279" t="s">
        <v>56</v>
      </c>
      <c r="B2279" t="s">
        <v>75</v>
      </c>
      <c r="C2279" t="s">
        <v>23</v>
      </c>
      <c r="D2279">
        <v>1.3729896192467251E-3</v>
      </c>
      <c r="E2279">
        <v>403</v>
      </c>
      <c r="F2279">
        <v>1</v>
      </c>
    </row>
    <row r="2280" spans="1:6">
      <c r="A2280" t="s">
        <v>56</v>
      </c>
      <c r="B2280" t="s">
        <v>76</v>
      </c>
      <c r="C2280" t="s">
        <v>19</v>
      </c>
      <c r="D2280">
        <v>0.6</v>
      </c>
      <c r="E2280">
        <v>850</v>
      </c>
      <c r="F2280">
        <v>510</v>
      </c>
    </row>
    <row r="2281" spans="1:6">
      <c r="A2281" t="s">
        <v>56</v>
      </c>
      <c r="B2281" t="s">
        <v>76</v>
      </c>
      <c r="C2281" t="s">
        <v>477</v>
      </c>
      <c r="D2281">
        <v>0.4</v>
      </c>
      <c r="E2281">
        <v>850</v>
      </c>
      <c r="F2281">
        <v>340</v>
      </c>
    </row>
    <row r="2282" spans="1:6">
      <c r="A2282" t="s">
        <v>56</v>
      </c>
      <c r="B2282" t="s">
        <v>76</v>
      </c>
      <c r="C2282" t="s">
        <v>23</v>
      </c>
      <c r="D2282">
        <v>1.3357675967064496E-2</v>
      </c>
      <c r="E2282">
        <v>850</v>
      </c>
      <c r="F2282">
        <v>11</v>
      </c>
    </row>
    <row r="2283" spans="1:6">
      <c r="A2283" t="s">
        <v>56</v>
      </c>
      <c r="B2283" t="s">
        <v>77</v>
      </c>
      <c r="C2283" t="s">
        <v>19</v>
      </c>
      <c r="D2283">
        <v>0.6</v>
      </c>
      <c r="E2283">
        <v>428</v>
      </c>
      <c r="F2283">
        <v>257</v>
      </c>
    </row>
    <row r="2284" spans="1:6">
      <c r="A2284" t="s">
        <v>56</v>
      </c>
      <c r="B2284" t="s">
        <v>77</v>
      </c>
      <c r="C2284" t="s">
        <v>477</v>
      </c>
      <c r="D2284">
        <v>0.4</v>
      </c>
      <c r="E2284">
        <v>428</v>
      </c>
      <c r="F2284">
        <v>171</v>
      </c>
    </row>
    <row r="2285" spans="1:6">
      <c r="A2285" t="s">
        <v>56</v>
      </c>
      <c r="B2285" t="s">
        <v>77</v>
      </c>
      <c r="C2285" t="s">
        <v>23</v>
      </c>
      <c r="D2285">
        <v>1.6961819900752576E-2</v>
      </c>
      <c r="E2285">
        <v>428</v>
      </c>
      <c r="F2285">
        <v>7</v>
      </c>
    </row>
    <row r="2286" spans="1:6">
      <c r="A2286" t="s">
        <v>56</v>
      </c>
      <c r="B2286" t="s">
        <v>78</v>
      </c>
      <c r="C2286" t="s">
        <v>19</v>
      </c>
      <c r="D2286">
        <v>0.6</v>
      </c>
      <c r="E2286">
        <v>454</v>
      </c>
      <c r="F2286">
        <v>272</v>
      </c>
    </row>
    <row r="2287" spans="1:6">
      <c r="A2287" t="s">
        <v>56</v>
      </c>
      <c r="B2287" t="s">
        <v>78</v>
      </c>
      <c r="C2287" t="s">
        <v>477</v>
      </c>
      <c r="D2287">
        <v>0.4</v>
      </c>
      <c r="E2287">
        <v>454</v>
      </c>
      <c r="F2287">
        <v>182</v>
      </c>
    </row>
    <row r="2288" spans="1:6">
      <c r="A2288" t="s">
        <v>56</v>
      </c>
      <c r="B2288" t="s">
        <v>78</v>
      </c>
      <c r="C2288" t="s">
        <v>23</v>
      </c>
      <c r="D2288">
        <v>9.741895567495518E-3</v>
      </c>
      <c r="E2288">
        <v>454</v>
      </c>
      <c r="F2288">
        <v>4</v>
      </c>
    </row>
    <row r="2289" spans="1:6">
      <c r="A2289" t="s">
        <v>56</v>
      </c>
      <c r="B2289" t="s">
        <v>850</v>
      </c>
      <c r="C2289" t="s">
        <v>19</v>
      </c>
      <c r="D2289">
        <v>0.6</v>
      </c>
      <c r="E2289">
        <v>11701</v>
      </c>
      <c r="F2289">
        <v>7021</v>
      </c>
    </row>
    <row r="2290" spans="1:6">
      <c r="A2290" t="s">
        <v>56</v>
      </c>
      <c r="B2290" t="s">
        <v>850</v>
      </c>
      <c r="C2290" t="s">
        <v>477</v>
      </c>
      <c r="D2290">
        <v>0.4</v>
      </c>
      <c r="E2290">
        <v>11701</v>
      </c>
      <c r="F2290">
        <v>4680</v>
      </c>
    </row>
    <row r="2291" spans="1:6">
      <c r="A2291" t="s">
        <v>56</v>
      </c>
      <c r="B2291" t="s">
        <v>850</v>
      </c>
      <c r="C2291" t="s">
        <v>23</v>
      </c>
      <c r="D2291">
        <v>5.6858223121212118E-3</v>
      </c>
      <c r="E2291">
        <v>11701</v>
      </c>
      <c r="F2291">
        <v>67</v>
      </c>
    </row>
    <row r="2292" spans="1:6">
      <c r="A2292" t="s">
        <v>1008</v>
      </c>
      <c r="B2292" t="s">
        <v>81</v>
      </c>
      <c r="C2292" t="s">
        <v>19</v>
      </c>
      <c r="D2292">
        <v>0.6</v>
      </c>
      <c r="E2292">
        <v>2012</v>
      </c>
      <c r="F2292">
        <v>1207</v>
      </c>
    </row>
    <row r="2293" spans="1:6">
      <c r="A2293" t="s">
        <v>1008</v>
      </c>
      <c r="B2293" t="s">
        <v>81</v>
      </c>
      <c r="C2293" t="s">
        <v>477</v>
      </c>
      <c r="D2293">
        <v>0.4</v>
      </c>
      <c r="E2293">
        <v>2012</v>
      </c>
      <c r="F2293">
        <v>805</v>
      </c>
    </row>
    <row r="2294" spans="1:6">
      <c r="A2294" t="s">
        <v>1008</v>
      </c>
      <c r="B2294" t="s">
        <v>81</v>
      </c>
      <c r="C2294" t="s">
        <v>23</v>
      </c>
      <c r="D2294">
        <v>1.7421887294595356E-2</v>
      </c>
      <c r="E2294">
        <v>2012</v>
      </c>
      <c r="F2294">
        <v>35</v>
      </c>
    </row>
    <row r="2295" spans="1:6">
      <c r="A2295" t="s">
        <v>1008</v>
      </c>
      <c r="B2295" t="s">
        <v>82</v>
      </c>
      <c r="C2295" t="s">
        <v>19</v>
      </c>
      <c r="D2295">
        <v>0.6</v>
      </c>
      <c r="E2295">
        <v>43164</v>
      </c>
      <c r="F2295">
        <v>25898</v>
      </c>
    </row>
    <row r="2296" spans="1:6">
      <c r="A2296" t="s">
        <v>1008</v>
      </c>
      <c r="B2296" t="s">
        <v>82</v>
      </c>
      <c r="C2296" t="s">
        <v>477</v>
      </c>
      <c r="D2296">
        <v>0.4</v>
      </c>
      <c r="E2296">
        <v>43164</v>
      </c>
      <c r="F2296">
        <v>17266</v>
      </c>
    </row>
    <row r="2297" spans="1:6">
      <c r="A2297" t="s">
        <v>1008</v>
      </c>
      <c r="B2297" t="s">
        <v>82</v>
      </c>
      <c r="C2297" t="s">
        <v>23</v>
      </c>
      <c r="D2297">
        <v>1.7551657966323846E-2</v>
      </c>
      <c r="E2297">
        <v>43164</v>
      </c>
      <c r="F2297">
        <v>758</v>
      </c>
    </row>
    <row r="2298" spans="1:6">
      <c r="A2298" t="s">
        <v>1008</v>
      </c>
      <c r="B2298" t="s">
        <v>83</v>
      </c>
      <c r="C2298" t="s">
        <v>19</v>
      </c>
      <c r="D2298">
        <v>0.6</v>
      </c>
      <c r="E2298">
        <v>2106</v>
      </c>
      <c r="F2298">
        <v>1264</v>
      </c>
    </row>
    <row r="2299" spans="1:6">
      <c r="A2299" t="s">
        <v>1008</v>
      </c>
      <c r="B2299" t="s">
        <v>83</v>
      </c>
      <c r="C2299" t="s">
        <v>477</v>
      </c>
      <c r="D2299">
        <v>0.4</v>
      </c>
      <c r="E2299">
        <v>2106</v>
      </c>
      <c r="F2299">
        <v>842</v>
      </c>
    </row>
    <row r="2300" spans="1:6">
      <c r="A2300" t="s">
        <v>1008</v>
      </c>
      <c r="B2300" t="s">
        <v>83</v>
      </c>
      <c r="C2300" t="s">
        <v>23</v>
      </c>
      <c r="D2300">
        <v>1.1183170880759787E-2</v>
      </c>
      <c r="E2300">
        <v>2106</v>
      </c>
      <c r="F2300">
        <v>24</v>
      </c>
    </row>
    <row r="2301" spans="1:6">
      <c r="A2301" t="s">
        <v>1008</v>
      </c>
      <c r="B2301" t="s">
        <v>84</v>
      </c>
      <c r="C2301" t="s">
        <v>19</v>
      </c>
      <c r="D2301">
        <v>0.6</v>
      </c>
      <c r="E2301">
        <v>3544</v>
      </c>
      <c r="F2301">
        <v>2126</v>
      </c>
    </row>
    <row r="2302" spans="1:6">
      <c r="A2302" t="s">
        <v>1008</v>
      </c>
      <c r="B2302" t="s">
        <v>84</v>
      </c>
      <c r="C2302" t="s">
        <v>477</v>
      </c>
      <c r="D2302">
        <v>0.4</v>
      </c>
      <c r="E2302">
        <v>3544</v>
      </c>
      <c r="F2302">
        <v>1418</v>
      </c>
    </row>
    <row r="2303" spans="1:6">
      <c r="A2303" t="s">
        <v>1008</v>
      </c>
      <c r="B2303" t="s">
        <v>84</v>
      </c>
      <c r="C2303" t="s">
        <v>23</v>
      </c>
      <c r="D2303">
        <v>1.0966391295573637E-2</v>
      </c>
      <c r="E2303">
        <v>3544</v>
      </c>
      <c r="F2303">
        <v>39</v>
      </c>
    </row>
    <row r="2304" spans="1:6">
      <c r="A2304" t="s">
        <v>1008</v>
      </c>
      <c r="B2304" t="s">
        <v>85</v>
      </c>
      <c r="C2304" t="s">
        <v>19</v>
      </c>
      <c r="D2304">
        <v>0.6</v>
      </c>
      <c r="E2304">
        <v>2153</v>
      </c>
      <c r="F2304">
        <v>1292</v>
      </c>
    </row>
    <row r="2305" spans="1:6">
      <c r="A2305" t="s">
        <v>1008</v>
      </c>
      <c r="B2305" t="s">
        <v>85</v>
      </c>
      <c r="C2305" t="s">
        <v>477</v>
      </c>
      <c r="D2305">
        <v>0.4</v>
      </c>
      <c r="E2305">
        <v>2153</v>
      </c>
      <c r="F2305">
        <v>861</v>
      </c>
    </row>
    <row r="2306" spans="1:6">
      <c r="A2306" t="s">
        <v>1008</v>
      </c>
      <c r="B2306" t="s">
        <v>85</v>
      </c>
      <c r="C2306" t="s">
        <v>23</v>
      </c>
      <c r="D2306">
        <v>1.0424734334238895E-2</v>
      </c>
      <c r="E2306">
        <v>2153</v>
      </c>
      <c r="F2306">
        <v>22</v>
      </c>
    </row>
    <row r="2307" spans="1:6">
      <c r="A2307" t="s">
        <v>1008</v>
      </c>
      <c r="B2307" t="s">
        <v>86</v>
      </c>
      <c r="C2307" t="s">
        <v>19</v>
      </c>
      <c r="D2307">
        <v>0.6</v>
      </c>
      <c r="E2307">
        <v>2584</v>
      </c>
      <c r="F2307">
        <v>1550</v>
      </c>
    </row>
    <row r="2308" spans="1:6">
      <c r="A2308" t="s">
        <v>1008</v>
      </c>
      <c r="B2308" t="s">
        <v>86</v>
      </c>
      <c r="C2308" t="s">
        <v>477</v>
      </c>
      <c r="D2308">
        <v>0.4</v>
      </c>
      <c r="E2308">
        <v>2584</v>
      </c>
      <c r="F2308">
        <v>1034</v>
      </c>
    </row>
    <row r="2309" spans="1:6">
      <c r="A2309" t="s">
        <v>1008</v>
      </c>
      <c r="B2309" t="s">
        <v>86</v>
      </c>
      <c r="C2309" t="s">
        <v>23</v>
      </c>
      <c r="D2309">
        <v>5.1747253748934165E-3</v>
      </c>
      <c r="E2309">
        <v>2584</v>
      </c>
      <c r="F2309">
        <v>13</v>
      </c>
    </row>
    <row r="2310" spans="1:6">
      <c r="A2310" t="s">
        <v>1008</v>
      </c>
      <c r="B2310" t="s">
        <v>87</v>
      </c>
      <c r="C2310" t="s">
        <v>19</v>
      </c>
      <c r="D2310">
        <v>0.6</v>
      </c>
      <c r="E2310">
        <v>1485</v>
      </c>
      <c r="F2310">
        <v>891</v>
      </c>
    </row>
    <row r="2311" spans="1:6">
      <c r="A2311" t="s">
        <v>1008</v>
      </c>
      <c r="B2311" t="s">
        <v>87</v>
      </c>
      <c r="C2311" t="s">
        <v>477</v>
      </c>
      <c r="D2311">
        <v>0.4</v>
      </c>
      <c r="E2311">
        <v>1485</v>
      </c>
      <c r="F2311">
        <v>594</v>
      </c>
    </row>
    <row r="2312" spans="1:6">
      <c r="A2312" t="s">
        <v>1008</v>
      </c>
      <c r="B2312" t="s">
        <v>87</v>
      </c>
      <c r="C2312" t="s">
        <v>23</v>
      </c>
      <c r="D2312">
        <v>4.6912436646645485E-3</v>
      </c>
      <c r="E2312">
        <v>1485</v>
      </c>
      <c r="F2312">
        <v>7</v>
      </c>
    </row>
    <row r="2313" spans="1:6">
      <c r="A2313" t="s">
        <v>1008</v>
      </c>
      <c r="B2313" t="s">
        <v>88</v>
      </c>
      <c r="C2313" t="s">
        <v>19</v>
      </c>
      <c r="D2313">
        <v>0.6</v>
      </c>
      <c r="E2313">
        <v>2019</v>
      </c>
      <c r="F2313">
        <v>1211</v>
      </c>
    </row>
    <row r="2314" spans="1:6">
      <c r="A2314" t="s">
        <v>1008</v>
      </c>
      <c r="B2314" t="s">
        <v>88</v>
      </c>
      <c r="C2314" t="s">
        <v>477</v>
      </c>
      <c r="D2314">
        <v>0.4</v>
      </c>
      <c r="E2314">
        <v>2019</v>
      </c>
      <c r="F2314">
        <v>808</v>
      </c>
    </row>
    <row r="2315" spans="1:6">
      <c r="A2315" t="s">
        <v>1008</v>
      </c>
      <c r="B2315" t="s">
        <v>88</v>
      </c>
      <c r="C2315" t="s">
        <v>23</v>
      </c>
      <c r="D2315">
        <v>5.6657970520688442E-3</v>
      </c>
      <c r="E2315">
        <v>2019</v>
      </c>
      <c r="F2315">
        <v>11</v>
      </c>
    </row>
    <row r="2316" spans="1:6">
      <c r="A2316" t="s">
        <v>1008</v>
      </c>
      <c r="B2316" t="s">
        <v>89</v>
      </c>
      <c r="C2316" t="s">
        <v>19</v>
      </c>
      <c r="D2316">
        <v>0.6</v>
      </c>
      <c r="E2316">
        <v>1547</v>
      </c>
      <c r="F2316">
        <v>928</v>
      </c>
    </row>
    <row r="2317" spans="1:6">
      <c r="A2317" t="s">
        <v>1008</v>
      </c>
      <c r="B2317" t="s">
        <v>89</v>
      </c>
      <c r="C2317" t="s">
        <v>477</v>
      </c>
      <c r="D2317">
        <v>0.4</v>
      </c>
      <c r="E2317">
        <v>1547</v>
      </c>
      <c r="F2317">
        <v>619</v>
      </c>
    </row>
    <row r="2318" spans="1:6">
      <c r="A2318" t="s">
        <v>1008</v>
      </c>
      <c r="B2318" t="s">
        <v>89</v>
      </c>
      <c r="C2318" t="s">
        <v>23</v>
      </c>
      <c r="D2318">
        <v>1.9341969640301514E-2</v>
      </c>
      <c r="E2318">
        <v>1547</v>
      </c>
      <c r="F2318">
        <v>30</v>
      </c>
    </row>
    <row r="2319" spans="1:6">
      <c r="A2319" t="s">
        <v>1008</v>
      </c>
      <c r="B2319" t="s">
        <v>90</v>
      </c>
      <c r="C2319" t="s">
        <v>19</v>
      </c>
      <c r="D2319">
        <v>0.6</v>
      </c>
      <c r="E2319">
        <v>1428</v>
      </c>
      <c r="F2319">
        <v>857</v>
      </c>
    </row>
    <row r="2320" spans="1:6">
      <c r="A2320" t="s">
        <v>1008</v>
      </c>
      <c r="B2320" t="s">
        <v>90</v>
      </c>
      <c r="C2320" t="s">
        <v>477</v>
      </c>
      <c r="D2320">
        <v>0.4</v>
      </c>
      <c r="E2320">
        <v>1428</v>
      </c>
      <c r="F2320">
        <v>571</v>
      </c>
    </row>
    <row r="2321" spans="1:6">
      <c r="A2321" t="s">
        <v>1008</v>
      </c>
      <c r="B2321" t="s">
        <v>90</v>
      </c>
      <c r="C2321" t="s">
        <v>23</v>
      </c>
      <c r="D2321">
        <v>9.9045418856823116E-3</v>
      </c>
      <c r="E2321">
        <v>1428</v>
      </c>
      <c r="F2321">
        <v>14</v>
      </c>
    </row>
    <row r="2322" spans="1:6">
      <c r="A2322" t="s">
        <v>1008</v>
      </c>
      <c r="B2322" t="s">
        <v>91</v>
      </c>
      <c r="C2322" t="s">
        <v>19</v>
      </c>
      <c r="D2322">
        <v>0.6</v>
      </c>
      <c r="E2322">
        <v>764</v>
      </c>
      <c r="F2322">
        <v>458</v>
      </c>
    </row>
    <row r="2323" spans="1:6">
      <c r="A2323" t="s">
        <v>1008</v>
      </c>
      <c r="B2323" t="s">
        <v>91</v>
      </c>
      <c r="C2323" t="s">
        <v>477</v>
      </c>
      <c r="D2323">
        <v>0.4</v>
      </c>
      <c r="E2323">
        <v>764</v>
      </c>
      <c r="F2323">
        <v>306</v>
      </c>
    </row>
    <row r="2324" spans="1:6">
      <c r="A2324" t="s">
        <v>1008</v>
      </c>
      <c r="B2324" t="s">
        <v>91</v>
      </c>
      <c r="C2324" t="s">
        <v>23</v>
      </c>
      <c r="D2324">
        <v>6.6878194307453788E-3</v>
      </c>
      <c r="E2324">
        <v>764</v>
      </c>
      <c r="F2324">
        <v>5</v>
      </c>
    </row>
    <row r="2325" spans="1:6">
      <c r="A2325" t="s">
        <v>1008</v>
      </c>
      <c r="B2325" t="s">
        <v>92</v>
      </c>
      <c r="C2325" t="s">
        <v>19</v>
      </c>
      <c r="D2325">
        <v>0.6</v>
      </c>
      <c r="E2325">
        <v>1034</v>
      </c>
      <c r="F2325">
        <v>620</v>
      </c>
    </row>
    <row r="2326" spans="1:6">
      <c r="A2326" t="s">
        <v>1008</v>
      </c>
      <c r="B2326" t="s">
        <v>92</v>
      </c>
      <c r="C2326" t="s">
        <v>477</v>
      </c>
      <c r="D2326">
        <v>0.4</v>
      </c>
      <c r="E2326">
        <v>1034</v>
      </c>
      <c r="F2326">
        <v>414</v>
      </c>
    </row>
    <row r="2327" spans="1:6">
      <c r="A2327" t="s">
        <v>1008</v>
      </c>
      <c r="B2327" t="s">
        <v>92</v>
      </c>
      <c r="C2327" t="s">
        <v>23</v>
      </c>
      <c r="D2327">
        <v>5.8463230677514178E-3</v>
      </c>
      <c r="E2327">
        <v>1034</v>
      </c>
      <c r="F2327">
        <v>6</v>
      </c>
    </row>
    <row r="2328" spans="1:6">
      <c r="A2328" t="s">
        <v>1008</v>
      </c>
      <c r="B2328" t="s">
        <v>93</v>
      </c>
      <c r="C2328" t="s">
        <v>19</v>
      </c>
      <c r="D2328">
        <v>0.6</v>
      </c>
      <c r="E2328">
        <v>601</v>
      </c>
      <c r="F2328">
        <v>361</v>
      </c>
    </row>
    <row r="2329" spans="1:6">
      <c r="A2329" t="s">
        <v>1008</v>
      </c>
      <c r="B2329" t="s">
        <v>93</v>
      </c>
      <c r="C2329" t="s">
        <v>477</v>
      </c>
      <c r="D2329">
        <v>0.4</v>
      </c>
      <c r="E2329">
        <v>601</v>
      </c>
      <c r="F2329">
        <v>240</v>
      </c>
    </row>
    <row r="2330" spans="1:6">
      <c r="A2330" t="s">
        <v>1008</v>
      </c>
      <c r="B2330" t="s">
        <v>93</v>
      </c>
      <c r="C2330" t="s">
        <v>23</v>
      </c>
      <c r="D2330">
        <v>5.8273068423856916E-3</v>
      </c>
      <c r="E2330">
        <v>601</v>
      </c>
      <c r="F2330">
        <v>4</v>
      </c>
    </row>
    <row r="2331" spans="1:6">
      <c r="A2331" t="s">
        <v>1008</v>
      </c>
      <c r="B2331" t="s">
        <v>94</v>
      </c>
      <c r="C2331" t="s">
        <v>19</v>
      </c>
      <c r="D2331">
        <v>0.6</v>
      </c>
      <c r="E2331">
        <v>1176</v>
      </c>
      <c r="F2331">
        <v>706</v>
      </c>
    </row>
    <row r="2332" spans="1:6">
      <c r="A2332" t="s">
        <v>1008</v>
      </c>
      <c r="B2332" t="s">
        <v>94</v>
      </c>
      <c r="C2332" t="s">
        <v>477</v>
      </c>
      <c r="D2332">
        <v>0.4</v>
      </c>
      <c r="E2332">
        <v>1176</v>
      </c>
      <c r="F2332">
        <v>470</v>
      </c>
    </row>
    <row r="2333" spans="1:6">
      <c r="A2333" t="s">
        <v>1008</v>
      </c>
      <c r="B2333" t="s">
        <v>94</v>
      </c>
      <c r="C2333" t="s">
        <v>23</v>
      </c>
      <c r="D2333">
        <v>1.2256610542438473E-3</v>
      </c>
      <c r="E2333">
        <v>1176</v>
      </c>
      <c r="F2333">
        <v>1</v>
      </c>
    </row>
    <row r="2334" spans="1:6">
      <c r="A2334" t="s">
        <v>1008</v>
      </c>
      <c r="B2334" t="s">
        <v>95</v>
      </c>
      <c r="C2334" t="s">
        <v>19</v>
      </c>
      <c r="D2334">
        <v>0.6</v>
      </c>
      <c r="E2334">
        <v>846</v>
      </c>
      <c r="F2334">
        <v>508</v>
      </c>
    </row>
    <row r="2335" spans="1:6">
      <c r="A2335" t="s">
        <v>1008</v>
      </c>
      <c r="B2335" t="s">
        <v>95</v>
      </c>
      <c r="C2335" t="s">
        <v>477</v>
      </c>
      <c r="D2335">
        <v>0.4</v>
      </c>
      <c r="E2335">
        <v>846</v>
      </c>
      <c r="F2335">
        <v>338</v>
      </c>
    </row>
    <row r="2336" spans="1:6">
      <c r="A2336" t="s">
        <v>1008</v>
      </c>
      <c r="B2336" t="s">
        <v>95</v>
      </c>
      <c r="C2336" t="s">
        <v>23</v>
      </c>
      <c r="D2336">
        <v>1.0379630780342531E-2</v>
      </c>
      <c r="E2336">
        <v>846</v>
      </c>
      <c r="F2336">
        <v>9</v>
      </c>
    </row>
    <row r="2337" spans="1:6">
      <c r="A2337" t="s">
        <v>1008</v>
      </c>
      <c r="B2337" t="s">
        <v>96</v>
      </c>
      <c r="C2337" t="s">
        <v>19</v>
      </c>
      <c r="D2337">
        <v>0.6</v>
      </c>
      <c r="E2337">
        <v>826</v>
      </c>
      <c r="F2337">
        <v>496</v>
      </c>
    </row>
    <row r="2338" spans="1:6">
      <c r="A2338" t="s">
        <v>1008</v>
      </c>
      <c r="B2338" t="s">
        <v>96</v>
      </c>
      <c r="C2338" t="s">
        <v>477</v>
      </c>
      <c r="D2338">
        <v>0.4</v>
      </c>
      <c r="E2338">
        <v>826</v>
      </c>
      <c r="F2338">
        <v>330</v>
      </c>
    </row>
    <row r="2339" spans="1:6">
      <c r="A2339" t="s">
        <v>1008</v>
      </c>
      <c r="B2339" t="s">
        <v>96</v>
      </c>
      <c r="C2339" t="s">
        <v>23</v>
      </c>
      <c r="D2339">
        <v>8.7919642172993976E-4</v>
      </c>
      <c r="E2339">
        <v>826</v>
      </c>
      <c r="F2339">
        <v>1</v>
      </c>
    </row>
    <row r="2340" spans="1:6">
      <c r="A2340" t="s">
        <v>1008</v>
      </c>
      <c r="B2340" t="s">
        <v>97</v>
      </c>
      <c r="C2340" t="s">
        <v>19</v>
      </c>
      <c r="D2340">
        <v>0.6</v>
      </c>
      <c r="E2340">
        <v>666</v>
      </c>
      <c r="F2340">
        <v>400</v>
      </c>
    </row>
    <row r="2341" spans="1:6">
      <c r="A2341" t="s">
        <v>1008</v>
      </c>
      <c r="B2341" t="s">
        <v>97</v>
      </c>
      <c r="C2341" t="s">
        <v>477</v>
      </c>
      <c r="D2341">
        <v>0.4</v>
      </c>
      <c r="E2341">
        <v>666</v>
      </c>
      <c r="F2341">
        <v>266</v>
      </c>
    </row>
    <row r="2342" spans="1:6">
      <c r="A2342" t="s">
        <v>1008</v>
      </c>
      <c r="B2342" t="s">
        <v>97</v>
      </c>
      <c r="C2342" t="s">
        <v>23</v>
      </c>
      <c r="D2342">
        <v>1.7580039713938997E-2</v>
      </c>
      <c r="E2342">
        <v>666</v>
      </c>
      <c r="F2342">
        <v>12</v>
      </c>
    </row>
    <row r="2343" spans="1:6">
      <c r="A2343" t="s">
        <v>1008</v>
      </c>
      <c r="B2343" t="s">
        <v>98</v>
      </c>
      <c r="C2343" t="s">
        <v>19</v>
      </c>
      <c r="D2343">
        <v>0.6</v>
      </c>
      <c r="E2343">
        <v>625</v>
      </c>
      <c r="F2343">
        <v>375</v>
      </c>
    </row>
    <row r="2344" spans="1:6">
      <c r="A2344" t="s">
        <v>1008</v>
      </c>
      <c r="B2344" t="s">
        <v>98</v>
      </c>
      <c r="C2344" t="s">
        <v>477</v>
      </c>
      <c r="D2344">
        <v>0.4</v>
      </c>
      <c r="E2344">
        <v>625</v>
      </c>
      <c r="F2344">
        <v>250</v>
      </c>
    </row>
    <row r="2345" spans="1:6">
      <c r="A2345" t="s">
        <v>1008</v>
      </c>
      <c r="B2345" t="s">
        <v>98</v>
      </c>
      <c r="C2345" t="s">
        <v>23</v>
      </c>
      <c r="D2345">
        <v>7.0767578793351337E-3</v>
      </c>
      <c r="E2345">
        <v>625</v>
      </c>
      <c r="F2345">
        <v>4</v>
      </c>
    </row>
    <row r="2346" spans="1:6">
      <c r="A2346" t="s">
        <v>1008</v>
      </c>
      <c r="B2346" t="s">
        <v>99</v>
      </c>
      <c r="C2346" t="s">
        <v>19</v>
      </c>
      <c r="D2346">
        <v>0.6</v>
      </c>
      <c r="E2346">
        <v>746</v>
      </c>
      <c r="F2346">
        <v>448</v>
      </c>
    </row>
    <row r="2347" spans="1:6">
      <c r="A2347" t="s">
        <v>1008</v>
      </c>
      <c r="B2347" t="s">
        <v>99</v>
      </c>
      <c r="C2347" t="s">
        <v>477</v>
      </c>
      <c r="D2347">
        <v>0.4</v>
      </c>
      <c r="E2347">
        <v>746</v>
      </c>
      <c r="F2347">
        <v>298</v>
      </c>
    </row>
    <row r="2348" spans="1:6">
      <c r="A2348" t="s">
        <v>1008</v>
      </c>
      <c r="B2348" t="s">
        <v>99</v>
      </c>
      <c r="C2348" t="s">
        <v>23</v>
      </c>
      <c r="D2348">
        <v>1.3720595932594642E-2</v>
      </c>
      <c r="E2348">
        <v>746</v>
      </c>
      <c r="F2348">
        <v>10</v>
      </c>
    </row>
    <row r="2349" spans="1:6">
      <c r="A2349" t="s">
        <v>1008</v>
      </c>
      <c r="B2349" t="s">
        <v>101</v>
      </c>
      <c r="C2349" t="s">
        <v>19</v>
      </c>
      <c r="D2349">
        <v>0.6</v>
      </c>
      <c r="E2349">
        <v>389</v>
      </c>
      <c r="F2349">
        <v>233</v>
      </c>
    </row>
    <row r="2350" spans="1:6">
      <c r="A2350" t="s">
        <v>1008</v>
      </c>
      <c r="B2350" t="s">
        <v>101</v>
      </c>
      <c r="C2350" t="s">
        <v>477</v>
      </c>
      <c r="D2350">
        <v>0.4</v>
      </c>
      <c r="E2350">
        <v>389</v>
      </c>
      <c r="F2350">
        <v>156</v>
      </c>
    </row>
    <row r="2351" spans="1:6">
      <c r="A2351" t="s">
        <v>1008</v>
      </c>
      <c r="B2351" t="s">
        <v>101</v>
      </c>
      <c r="C2351" t="s">
        <v>23</v>
      </c>
      <c r="D2351">
        <v>1.9196059769503636E-2</v>
      </c>
      <c r="E2351">
        <v>389</v>
      </c>
      <c r="F2351">
        <v>7</v>
      </c>
    </row>
    <row r="2352" spans="1:6">
      <c r="A2352" t="s">
        <v>1009</v>
      </c>
      <c r="B2352" t="s">
        <v>102</v>
      </c>
      <c r="C2352" t="s">
        <v>19</v>
      </c>
      <c r="D2352">
        <v>0.6</v>
      </c>
      <c r="E2352">
        <v>20538</v>
      </c>
      <c r="F2352">
        <v>12323</v>
      </c>
    </row>
    <row r="2353" spans="1:6">
      <c r="A2353" t="s">
        <v>1009</v>
      </c>
      <c r="B2353" t="s">
        <v>102</v>
      </c>
      <c r="C2353" t="s">
        <v>477</v>
      </c>
      <c r="D2353">
        <v>0.4</v>
      </c>
      <c r="E2353">
        <v>20538</v>
      </c>
      <c r="F2353">
        <v>8215</v>
      </c>
    </row>
    <row r="2354" spans="1:6">
      <c r="A2354" t="s">
        <v>1009</v>
      </c>
      <c r="B2354" t="s">
        <v>102</v>
      </c>
      <c r="C2354" t="s">
        <v>23</v>
      </c>
      <c r="D2354">
        <v>1.4761069650703623E-2</v>
      </c>
      <c r="E2354">
        <v>20538</v>
      </c>
      <c r="F2354">
        <v>303</v>
      </c>
    </row>
    <row r="2355" spans="1:6">
      <c r="A2355" t="s">
        <v>1009</v>
      </c>
      <c r="B2355" t="s">
        <v>103</v>
      </c>
      <c r="C2355" t="s">
        <v>19</v>
      </c>
      <c r="D2355">
        <v>0.6</v>
      </c>
      <c r="E2355">
        <v>1190</v>
      </c>
      <c r="F2355">
        <v>714</v>
      </c>
    </row>
    <row r="2356" spans="1:6">
      <c r="A2356" t="s">
        <v>1009</v>
      </c>
      <c r="B2356" t="s">
        <v>103</v>
      </c>
      <c r="C2356" t="s">
        <v>477</v>
      </c>
      <c r="D2356">
        <v>0.4</v>
      </c>
      <c r="E2356">
        <v>1190</v>
      </c>
      <c r="F2356">
        <v>476</v>
      </c>
    </row>
    <row r="2357" spans="1:6">
      <c r="A2357" t="s">
        <v>1009</v>
      </c>
      <c r="B2357" t="s">
        <v>103</v>
      </c>
      <c r="C2357" t="s">
        <v>23</v>
      </c>
      <c r="D2357">
        <v>5.5176209116939434E-3</v>
      </c>
      <c r="E2357">
        <v>1190</v>
      </c>
      <c r="F2357">
        <v>7</v>
      </c>
    </row>
    <row r="2358" spans="1:6">
      <c r="A2358" t="s">
        <v>1009</v>
      </c>
      <c r="B2358" t="s">
        <v>104</v>
      </c>
      <c r="C2358" t="s">
        <v>19</v>
      </c>
      <c r="D2358">
        <v>0.6</v>
      </c>
      <c r="E2358">
        <v>1736</v>
      </c>
      <c r="F2358">
        <v>1042</v>
      </c>
    </row>
    <row r="2359" spans="1:6">
      <c r="A2359" t="s">
        <v>1009</v>
      </c>
      <c r="B2359" t="s">
        <v>104</v>
      </c>
      <c r="C2359" t="s">
        <v>477</v>
      </c>
      <c r="D2359">
        <v>0.4</v>
      </c>
      <c r="E2359">
        <v>1736</v>
      </c>
      <c r="F2359">
        <v>694</v>
      </c>
    </row>
    <row r="2360" spans="1:6">
      <c r="A2360" t="s">
        <v>1009</v>
      </c>
      <c r="B2360" t="s">
        <v>104</v>
      </c>
      <c r="C2360" t="s">
        <v>23</v>
      </c>
      <c r="D2360">
        <v>1.9601029970965207E-2</v>
      </c>
      <c r="E2360">
        <v>1736</v>
      </c>
      <c r="F2360">
        <v>34</v>
      </c>
    </row>
    <row r="2361" spans="1:6">
      <c r="A2361" t="s">
        <v>1009</v>
      </c>
      <c r="B2361" t="s">
        <v>105</v>
      </c>
      <c r="C2361" t="s">
        <v>19</v>
      </c>
      <c r="D2361">
        <v>0.6</v>
      </c>
      <c r="E2361">
        <v>1466</v>
      </c>
      <c r="F2361">
        <v>880</v>
      </c>
    </row>
    <row r="2362" spans="1:6">
      <c r="A2362" t="s">
        <v>1009</v>
      </c>
      <c r="B2362" t="s">
        <v>105</v>
      </c>
      <c r="C2362" t="s">
        <v>477</v>
      </c>
      <c r="D2362">
        <v>0.4</v>
      </c>
      <c r="E2362">
        <v>1466</v>
      </c>
      <c r="F2362">
        <v>586</v>
      </c>
    </row>
    <row r="2363" spans="1:6">
      <c r="A2363" t="s">
        <v>1009</v>
      </c>
      <c r="B2363" t="s">
        <v>105</v>
      </c>
      <c r="C2363" t="s">
        <v>23</v>
      </c>
      <c r="D2363">
        <v>9.4580682466085045E-3</v>
      </c>
      <c r="E2363">
        <v>1466</v>
      </c>
      <c r="F2363">
        <v>14</v>
      </c>
    </row>
    <row r="2364" spans="1:6">
      <c r="A2364" t="s">
        <v>1009</v>
      </c>
      <c r="B2364" t="s">
        <v>106</v>
      </c>
      <c r="C2364" t="s">
        <v>19</v>
      </c>
      <c r="D2364">
        <v>0.6</v>
      </c>
      <c r="E2364">
        <v>2060</v>
      </c>
      <c r="F2364">
        <v>1236</v>
      </c>
    </row>
    <row r="2365" spans="1:6">
      <c r="A2365" t="s">
        <v>1009</v>
      </c>
      <c r="B2365" t="s">
        <v>106</v>
      </c>
      <c r="C2365" t="s">
        <v>477</v>
      </c>
      <c r="D2365">
        <v>0.4</v>
      </c>
      <c r="E2365">
        <v>2060</v>
      </c>
      <c r="F2365">
        <v>824</v>
      </c>
    </row>
    <row r="2366" spans="1:6">
      <c r="A2366" t="s">
        <v>1009</v>
      </c>
      <c r="B2366" t="s">
        <v>106</v>
      </c>
      <c r="C2366" t="s">
        <v>23</v>
      </c>
      <c r="D2366">
        <v>6.9373683370529049E-3</v>
      </c>
      <c r="E2366">
        <v>2060</v>
      </c>
      <c r="F2366">
        <v>14</v>
      </c>
    </row>
    <row r="2367" spans="1:6">
      <c r="A2367" t="s">
        <v>1009</v>
      </c>
      <c r="B2367" t="s">
        <v>107</v>
      </c>
      <c r="C2367" t="s">
        <v>19</v>
      </c>
      <c r="D2367">
        <v>0.6</v>
      </c>
      <c r="E2367">
        <v>1284</v>
      </c>
      <c r="F2367">
        <v>770</v>
      </c>
    </row>
    <row r="2368" spans="1:6">
      <c r="A2368" t="s">
        <v>1009</v>
      </c>
      <c r="B2368" t="s">
        <v>107</v>
      </c>
      <c r="C2368" t="s">
        <v>477</v>
      </c>
      <c r="D2368">
        <v>0.4</v>
      </c>
      <c r="E2368">
        <v>1284</v>
      </c>
      <c r="F2368">
        <v>514</v>
      </c>
    </row>
    <row r="2369" spans="1:6">
      <c r="A2369" t="s">
        <v>1009</v>
      </c>
      <c r="B2369" t="s">
        <v>107</v>
      </c>
      <c r="C2369" t="s">
        <v>23</v>
      </c>
      <c r="D2369">
        <v>1.3002982169830377E-2</v>
      </c>
      <c r="E2369">
        <v>1284</v>
      </c>
      <c r="F2369">
        <v>17</v>
      </c>
    </row>
    <row r="2370" spans="1:6">
      <c r="A2370" t="s">
        <v>1009</v>
      </c>
      <c r="B2370" t="s">
        <v>108</v>
      </c>
      <c r="C2370" t="s">
        <v>19</v>
      </c>
      <c r="D2370">
        <v>0.6</v>
      </c>
      <c r="E2370">
        <v>2716</v>
      </c>
      <c r="F2370">
        <v>1630</v>
      </c>
    </row>
    <row r="2371" spans="1:6">
      <c r="A2371" t="s">
        <v>1009</v>
      </c>
      <c r="B2371" t="s">
        <v>108</v>
      </c>
      <c r="C2371" t="s">
        <v>477</v>
      </c>
      <c r="D2371">
        <v>0.4</v>
      </c>
      <c r="E2371">
        <v>2716</v>
      </c>
      <c r="F2371">
        <v>1086</v>
      </c>
    </row>
    <row r="2372" spans="1:6">
      <c r="A2372" t="s">
        <v>1009</v>
      </c>
      <c r="B2372" t="s">
        <v>108</v>
      </c>
      <c r="C2372" t="s">
        <v>23</v>
      </c>
      <c r="D2372">
        <v>6.8987258839783181E-3</v>
      </c>
      <c r="E2372">
        <v>2716</v>
      </c>
      <c r="F2372">
        <v>19</v>
      </c>
    </row>
    <row r="2373" spans="1:6">
      <c r="A2373" t="s">
        <v>1009</v>
      </c>
      <c r="B2373" t="s">
        <v>109</v>
      </c>
      <c r="C2373" t="s">
        <v>19</v>
      </c>
      <c r="D2373">
        <v>0.6</v>
      </c>
      <c r="E2373">
        <v>3464</v>
      </c>
      <c r="F2373">
        <v>2078</v>
      </c>
    </row>
    <row r="2374" spans="1:6">
      <c r="A2374" t="s">
        <v>1009</v>
      </c>
      <c r="B2374" t="s">
        <v>109</v>
      </c>
      <c r="C2374" t="s">
        <v>477</v>
      </c>
      <c r="D2374">
        <v>0.4</v>
      </c>
      <c r="E2374">
        <v>3464</v>
      </c>
      <c r="F2374">
        <v>1386</v>
      </c>
    </row>
    <row r="2375" spans="1:6">
      <c r="A2375" t="s">
        <v>1009</v>
      </c>
      <c r="B2375" t="s">
        <v>109</v>
      </c>
      <c r="C2375" t="s">
        <v>23</v>
      </c>
      <c r="D2375">
        <v>2.4840096810350132E-3</v>
      </c>
      <c r="E2375">
        <v>3464</v>
      </c>
      <c r="F2375">
        <v>9</v>
      </c>
    </row>
    <row r="2376" spans="1:6">
      <c r="A2376" t="s">
        <v>1009</v>
      </c>
      <c r="B2376" t="s">
        <v>110</v>
      </c>
      <c r="C2376" t="s">
        <v>19</v>
      </c>
      <c r="D2376">
        <v>0.6</v>
      </c>
      <c r="E2376">
        <v>1548</v>
      </c>
      <c r="F2376">
        <v>929</v>
      </c>
    </row>
    <row r="2377" spans="1:6">
      <c r="A2377" t="s">
        <v>1009</v>
      </c>
      <c r="B2377" t="s">
        <v>110</v>
      </c>
      <c r="C2377" t="s">
        <v>477</v>
      </c>
      <c r="D2377">
        <v>0.4</v>
      </c>
      <c r="E2377">
        <v>1548</v>
      </c>
      <c r="F2377">
        <v>619</v>
      </c>
    </row>
    <row r="2378" spans="1:6">
      <c r="A2378" t="s">
        <v>1009</v>
      </c>
      <c r="B2378" t="s">
        <v>110</v>
      </c>
      <c r="C2378" t="s">
        <v>23</v>
      </c>
      <c r="D2378">
        <v>7.8316551798067943E-3</v>
      </c>
      <c r="E2378">
        <v>1548</v>
      </c>
      <c r="F2378">
        <v>12</v>
      </c>
    </row>
    <row r="2379" spans="1:6">
      <c r="A2379" t="s">
        <v>1009</v>
      </c>
      <c r="B2379" t="s">
        <v>111</v>
      </c>
      <c r="C2379" t="s">
        <v>19</v>
      </c>
      <c r="D2379">
        <v>0.6</v>
      </c>
      <c r="E2379">
        <v>2518</v>
      </c>
      <c r="F2379">
        <v>1511</v>
      </c>
    </row>
    <row r="2380" spans="1:6">
      <c r="A2380" t="s">
        <v>1009</v>
      </c>
      <c r="B2380" t="s">
        <v>111</v>
      </c>
      <c r="C2380" t="s">
        <v>477</v>
      </c>
      <c r="D2380">
        <v>0.4</v>
      </c>
      <c r="E2380">
        <v>2518</v>
      </c>
      <c r="F2380">
        <v>1007</v>
      </c>
    </row>
    <row r="2381" spans="1:6">
      <c r="A2381" t="s">
        <v>1009</v>
      </c>
      <c r="B2381" t="s">
        <v>111</v>
      </c>
      <c r="C2381" t="s">
        <v>23</v>
      </c>
      <c r="D2381">
        <v>1.4057253277116597E-2</v>
      </c>
      <c r="E2381">
        <v>2518</v>
      </c>
      <c r="F2381">
        <v>35</v>
      </c>
    </row>
    <row r="2382" spans="1:6">
      <c r="A2382" t="s">
        <v>1009</v>
      </c>
      <c r="B2382" t="s">
        <v>112</v>
      </c>
      <c r="C2382" t="s">
        <v>19</v>
      </c>
      <c r="D2382">
        <v>0.6</v>
      </c>
      <c r="E2382">
        <v>827</v>
      </c>
      <c r="F2382">
        <v>496</v>
      </c>
    </row>
    <row r="2383" spans="1:6">
      <c r="A2383" t="s">
        <v>1009</v>
      </c>
      <c r="B2383" t="s">
        <v>112</v>
      </c>
      <c r="C2383" t="s">
        <v>477</v>
      </c>
      <c r="D2383">
        <v>0.4</v>
      </c>
      <c r="E2383">
        <v>827</v>
      </c>
      <c r="F2383">
        <v>331</v>
      </c>
    </row>
    <row r="2384" spans="1:6">
      <c r="A2384" t="s">
        <v>1009</v>
      </c>
      <c r="B2384" t="s">
        <v>112</v>
      </c>
      <c r="C2384" t="s">
        <v>23</v>
      </c>
      <c r="D2384">
        <v>8.0158584813743827E-4</v>
      </c>
      <c r="E2384">
        <v>827</v>
      </c>
      <c r="F2384">
        <v>1</v>
      </c>
    </row>
    <row r="2385" spans="1:6">
      <c r="A2385" t="s">
        <v>1009</v>
      </c>
      <c r="B2385" t="s">
        <v>113</v>
      </c>
      <c r="C2385" t="s">
        <v>19</v>
      </c>
      <c r="D2385">
        <v>0.6</v>
      </c>
      <c r="E2385">
        <v>2291</v>
      </c>
      <c r="F2385">
        <v>1375</v>
      </c>
    </row>
    <row r="2386" spans="1:6">
      <c r="A2386" t="s">
        <v>1009</v>
      </c>
      <c r="B2386" t="s">
        <v>113</v>
      </c>
      <c r="C2386" t="s">
        <v>477</v>
      </c>
      <c r="D2386">
        <v>0.4</v>
      </c>
      <c r="E2386">
        <v>2291</v>
      </c>
      <c r="F2386">
        <v>916</v>
      </c>
    </row>
    <row r="2387" spans="1:6">
      <c r="A2387" t="s">
        <v>1009</v>
      </c>
      <c r="B2387" t="s">
        <v>113</v>
      </c>
      <c r="C2387" t="s">
        <v>23</v>
      </c>
      <c r="D2387">
        <v>1.6820378318137083E-2</v>
      </c>
      <c r="E2387">
        <v>2291</v>
      </c>
      <c r="F2387">
        <v>39</v>
      </c>
    </row>
    <row r="2388" spans="1:6">
      <c r="A2388" t="s">
        <v>1009</v>
      </c>
      <c r="B2388" t="s">
        <v>114</v>
      </c>
      <c r="C2388" t="s">
        <v>19</v>
      </c>
      <c r="D2388">
        <v>0.6</v>
      </c>
      <c r="E2388">
        <v>726</v>
      </c>
      <c r="F2388">
        <v>436</v>
      </c>
    </row>
    <row r="2389" spans="1:6">
      <c r="A2389" t="s">
        <v>1009</v>
      </c>
      <c r="B2389" t="s">
        <v>114</v>
      </c>
      <c r="C2389" t="s">
        <v>477</v>
      </c>
      <c r="D2389">
        <v>0.4</v>
      </c>
      <c r="E2389">
        <v>726</v>
      </c>
      <c r="F2389">
        <v>290</v>
      </c>
    </row>
    <row r="2390" spans="1:6">
      <c r="A2390" t="s">
        <v>1009</v>
      </c>
      <c r="B2390" t="s">
        <v>114</v>
      </c>
      <c r="C2390" t="s">
        <v>23</v>
      </c>
      <c r="D2390">
        <v>1.3374299394776525E-4</v>
      </c>
      <c r="E2390">
        <v>726</v>
      </c>
      <c r="F2390">
        <v>0</v>
      </c>
    </row>
    <row r="2391" spans="1:6">
      <c r="A2391" t="s">
        <v>1009</v>
      </c>
      <c r="B2391" t="s">
        <v>115</v>
      </c>
      <c r="C2391" t="s">
        <v>19</v>
      </c>
      <c r="D2391">
        <v>0.6</v>
      </c>
      <c r="E2391">
        <v>601</v>
      </c>
      <c r="F2391">
        <v>361</v>
      </c>
    </row>
    <row r="2392" spans="1:6">
      <c r="A2392" t="s">
        <v>1009</v>
      </c>
      <c r="B2392" t="s">
        <v>115</v>
      </c>
      <c r="C2392" t="s">
        <v>477</v>
      </c>
      <c r="D2392">
        <v>0.4</v>
      </c>
      <c r="E2392">
        <v>601</v>
      </c>
      <c r="F2392">
        <v>240</v>
      </c>
    </row>
    <row r="2393" spans="1:6">
      <c r="A2393" t="s">
        <v>1009</v>
      </c>
      <c r="B2393" t="s">
        <v>115</v>
      </c>
      <c r="C2393" t="s">
        <v>23</v>
      </c>
      <c r="D2393">
        <v>1.5874736499738945E-2</v>
      </c>
      <c r="E2393">
        <v>601</v>
      </c>
      <c r="F2393">
        <v>10</v>
      </c>
    </row>
    <row r="2394" spans="1:6">
      <c r="A2394" t="s">
        <v>1009</v>
      </c>
      <c r="B2394" t="s">
        <v>116</v>
      </c>
      <c r="C2394" t="s">
        <v>19</v>
      </c>
      <c r="D2394">
        <v>0.6</v>
      </c>
      <c r="E2394">
        <v>496</v>
      </c>
      <c r="F2394">
        <v>298</v>
      </c>
    </row>
    <row r="2395" spans="1:6">
      <c r="A2395" t="s">
        <v>1009</v>
      </c>
      <c r="B2395" t="s">
        <v>116</v>
      </c>
      <c r="C2395" t="s">
        <v>477</v>
      </c>
      <c r="D2395">
        <v>0.4</v>
      </c>
      <c r="E2395">
        <v>496</v>
      </c>
      <c r="F2395">
        <v>198</v>
      </c>
    </row>
    <row r="2396" spans="1:6">
      <c r="A2396" t="s">
        <v>1009</v>
      </c>
      <c r="B2396" t="s">
        <v>116</v>
      </c>
      <c r="C2396" t="s">
        <v>23</v>
      </c>
      <c r="D2396">
        <v>1.842786922155517E-2</v>
      </c>
      <c r="E2396">
        <v>496</v>
      </c>
      <c r="F2396">
        <v>9</v>
      </c>
    </row>
    <row r="2397" spans="1:6">
      <c r="A2397" t="s">
        <v>1009</v>
      </c>
      <c r="B2397" t="s">
        <v>117</v>
      </c>
      <c r="C2397" t="s">
        <v>19</v>
      </c>
      <c r="D2397">
        <v>0.6</v>
      </c>
      <c r="E2397">
        <v>600</v>
      </c>
      <c r="F2397">
        <v>360</v>
      </c>
    </row>
    <row r="2398" spans="1:6">
      <c r="A2398" t="s">
        <v>1009</v>
      </c>
      <c r="B2398" t="s">
        <v>117</v>
      </c>
      <c r="C2398" t="s">
        <v>477</v>
      </c>
      <c r="D2398">
        <v>0.4</v>
      </c>
      <c r="E2398">
        <v>600</v>
      </c>
      <c r="F2398">
        <v>240</v>
      </c>
    </row>
    <row r="2399" spans="1:6">
      <c r="A2399" t="s">
        <v>1009</v>
      </c>
      <c r="B2399" t="s">
        <v>117</v>
      </c>
      <c r="C2399" t="s">
        <v>23</v>
      </c>
      <c r="D2399">
        <v>1.3893325507580918E-2</v>
      </c>
      <c r="E2399">
        <v>600</v>
      </c>
      <c r="F2399">
        <v>8</v>
      </c>
    </row>
    <row r="2400" spans="1:6">
      <c r="A2400" t="s">
        <v>1009</v>
      </c>
      <c r="B2400" t="s">
        <v>119</v>
      </c>
      <c r="C2400" t="s">
        <v>19</v>
      </c>
      <c r="D2400">
        <v>0.6</v>
      </c>
      <c r="E2400">
        <v>535</v>
      </c>
      <c r="F2400">
        <v>321</v>
      </c>
    </row>
    <row r="2401" spans="1:6">
      <c r="A2401" t="s">
        <v>1009</v>
      </c>
      <c r="B2401" t="s">
        <v>119</v>
      </c>
      <c r="C2401" t="s">
        <v>477</v>
      </c>
      <c r="D2401">
        <v>0.4</v>
      </c>
      <c r="E2401">
        <v>535</v>
      </c>
      <c r="F2401">
        <v>214</v>
      </c>
    </row>
    <row r="2402" spans="1:6">
      <c r="A2402" t="s">
        <v>1009</v>
      </c>
      <c r="B2402" t="s">
        <v>119</v>
      </c>
      <c r="C2402" t="s">
        <v>23</v>
      </c>
      <c r="D2402">
        <v>1.1957938148856036E-2</v>
      </c>
      <c r="E2402">
        <v>535</v>
      </c>
      <c r="F2402">
        <v>6</v>
      </c>
    </row>
    <row r="2403" spans="1:6">
      <c r="A2403" t="s">
        <v>118</v>
      </c>
      <c r="B2403" t="s">
        <v>120</v>
      </c>
      <c r="C2403" t="s">
        <v>19</v>
      </c>
      <c r="D2403">
        <v>0.6</v>
      </c>
      <c r="E2403">
        <v>770</v>
      </c>
      <c r="F2403">
        <v>462</v>
      </c>
    </row>
    <row r="2404" spans="1:6">
      <c r="A2404" t="s">
        <v>118</v>
      </c>
      <c r="B2404" t="s">
        <v>120</v>
      </c>
      <c r="C2404" t="s">
        <v>477</v>
      </c>
      <c r="D2404">
        <v>0.4</v>
      </c>
      <c r="E2404">
        <v>770</v>
      </c>
      <c r="F2404">
        <v>308</v>
      </c>
    </row>
    <row r="2405" spans="1:6">
      <c r="A2405" t="s">
        <v>118</v>
      </c>
      <c r="B2405" t="s">
        <v>120</v>
      </c>
      <c r="C2405" t="s">
        <v>23</v>
      </c>
      <c r="D2405">
        <v>8.0502853000218363E-3</v>
      </c>
      <c r="E2405">
        <v>770</v>
      </c>
      <c r="F2405">
        <v>6</v>
      </c>
    </row>
    <row r="2406" spans="1:6">
      <c r="A2406" t="s">
        <v>118</v>
      </c>
      <c r="B2406" t="s">
        <v>118</v>
      </c>
      <c r="C2406" t="s">
        <v>19</v>
      </c>
      <c r="D2406">
        <v>0.6</v>
      </c>
      <c r="E2406">
        <v>20296</v>
      </c>
      <c r="F2406">
        <v>12178</v>
      </c>
    </row>
    <row r="2407" spans="1:6">
      <c r="A2407" t="s">
        <v>118</v>
      </c>
      <c r="B2407" t="s">
        <v>118</v>
      </c>
      <c r="C2407" t="s">
        <v>477</v>
      </c>
      <c r="D2407">
        <v>0.4</v>
      </c>
      <c r="E2407">
        <v>20296</v>
      </c>
      <c r="F2407">
        <v>8118</v>
      </c>
    </row>
    <row r="2408" spans="1:6">
      <c r="A2408" t="s">
        <v>118</v>
      </c>
      <c r="B2408" t="s">
        <v>118</v>
      </c>
      <c r="C2408" t="s">
        <v>23</v>
      </c>
      <c r="D2408">
        <v>1.5664242937534104E-2</v>
      </c>
      <c r="E2408">
        <v>20296</v>
      </c>
      <c r="F2408">
        <v>318</v>
      </c>
    </row>
    <row r="2409" spans="1:6">
      <c r="A2409" t="s">
        <v>118</v>
      </c>
      <c r="B2409" t="s">
        <v>121</v>
      </c>
      <c r="C2409" t="s">
        <v>19</v>
      </c>
      <c r="D2409">
        <v>0.6</v>
      </c>
      <c r="E2409">
        <v>867</v>
      </c>
      <c r="F2409">
        <v>520</v>
      </c>
    </row>
    <row r="2410" spans="1:6">
      <c r="A2410" t="s">
        <v>118</v>
      </c>
      <c r="B2410" t="s">
        <v>121</v>
      </c>
      <c r="C2410" t="s">
        <v>477</v>
      </c>
      <c r="D2410">
        <v>0.4</v>
      </c>
      <c r="E2410">
        <v>867</v>
      </c>
      <c r="F2410">
        <v>347</v>
      </c>
    </row>
    <row r="2411" spans="1:6">
      <c r="A2411" t="s">
        <v>118</v>
      </c>
      <c r="B2411" t="s">
        <v>121</v>
      </c>
      <c r="C2411" t="s">
        <v>23</v>
      </c>
      <c r="D2411">
        <v>3.8840231233413357E-3</v>
      </c>
      <c r="E2411">
        <v>867</v>
      </c>
      <c r="F2411">
        <v>3</v>
      </c>
    </row>
    <row r="2412" spans="1:6">
      <c r="A2412" t="s">
        <v>118</v>
      </c>
      <c r="B2412" t="s">
        <v>122</v>
      </c>
      <c r="C2412" t="s">
        <v>19</v>
      </c>
      <c r="D2412">
        <v>0.6</v>
      </c>
      <c r="E2412">
        <v>525</v>
      </c>
      <c r="F2412">
        <v>315</v>
      </c>
    </row>
    <row r="2413" spans="1:6">
      <c r="A2413" t="s">
        <v>118</v>
      </c>
      <c r="B2413" t="s">
        <v>122</v>
      </c>
      <c r="C2413" t="s">
        <v>477</v>
      </c>
      <c r="D2413">
        <v>0.4</v>
      </c>
      <c r="E2413">
        <v>525</v>
      </c>
      <c r="F2413">
        <v>210</v>
      </c>
    </row>
    <row r="2414" spans="1:6">
      <c r="A2414" t="s">
        <v>118</v>
      </c>
      <c r="B2414" t="s">
        <v>122</v>
      </c>
      <c r="C2414" t="s">
        <v>23</v>
      </c>
      <c r="D2414">
        <v>6.6903961257546943E-3</v>
      </c>
      <c r="E2414">
        <v>525</v>
      </c>
      <c r="F2414">
        <v>4</v>
      </c>
    </row>
    <row r="2415" spans="1:6">
      <c r="A2415" t="s">
        <v>118</v>
      </c>
      <c r="B2415" t="s">
        <v>123</v>
      </c>
      <c r="C2415" t="s">
        <v>19</v>
      </c>
      <c r="D2415">
        <v>0.6</v>
      </c>
      <c r="E2415">
        <v>1572</v>
      </c>
      <c r="F2415">
        <v>943</v>
      </c>
    </row>
    <row r="2416" spans="1:6">
      <c r="A2416" t="s">
        <v>118</v>
      </c>
      <c r="B2416" t="s">
        <v>123</v>
      </c>
      <c r="C2416" t="s">
        <v>477</v>
      </c>
      <c r="D2416">
        <v>0.4</v>
      </c>
      <c r="E2416">
        <v>1572</v>
      </c>
      <c r="F2416">
        <v>629</v>
      </c>
    </row>
    <row r="2417" spans="1:6">
      <c r="A2417" t="s">
        <v>118</v>
      </c>
      <c r="B2417" t="s">
        <v>123</v>
      </c>
      <c r="C2417" t="s">
        <v>23</v>
      </c>
      <c r="D2417">
        <v>1.3196922191764065E-2</v>
      </c>
      <c r="E2417">
        <v>1572</v>
      </c>
      <c r="F2417">
        <v>21</v>
      </c>
    </row>
    <row r="2418" spans="1:6">
      <c r="A2418" t="s">
        <v>118</v>
      </c>
      <c r="B2418" t="s">
        <v>124</v>
      </c>
      <c r="C2418" t="s">
        <v>19</v>
      </c>
      <c r="D2418">
        <v>0.6</v>
      </c>
      <c r="E2418">
        <v>253</v>
      </c>
      <c r="F2418">
        <v>152</v>
      </c>
    </row>
    <row r="2419" spans="1:6">
      <c r="A2419" t="s">
        <v>118</v>
      </c>
      <c r="B2419" t="s">
        <v>124</v>
      </c>
      <c r="C2419" t="s">
        <v>477</v>
      </c>
      <c r="D2419">
        <v>0.4</v>
      </c>
      <c r="E2419">
        <v>253</v>
      </c>
      <c r="F2419">
        <v>101</v>
      </c>
    </row>
    <row r="2420" spans="1:6">
      <c r="A2420" t="s">
        <v>118</v>
      </c>
      <c r="B2420" t="s">
        <v>124</v>
      </c>
      <c r="C2420" t="s">
        <v>23</v>
      </c>
      <c r="D2420">
        <v>1.6535864061665677E-2</v>
      </c>
      <c r="E2420">
        <v>253</v>
      </c>
      <c r="F2420">
        <v>4</v>
      </c>
    </row>
    <row r="2421" spans="1:6">
      <c r="A2421" t="s">
        <v>118</v>
      </c>
      <c r="B2421" t="s">
        <v>125</v>
      </c>
      <c r="C2421" t="s">
        <v>19</v>
      </c>
      <c r="D2421">
        <v>0.6</v>
      </c>
      <c r="E2421">
        <v>1058</v>
      </c>
      <c r="F2421">
        <v>635</v>
      </c>
    </row>
    <row r="2422" spans="1:6">
      <c r="A2422" t="s">
        <v>118</v>
      </c>
      <c r="B2422" t="s">
        <v>125</v>
      </c>
      <c r="C2422" t="s">
        <v>477</v>
      </c>
      <c r="D2422">
        <v>0.4</v>
      </c>
      <c r="E2422">
        <v>1058</v>
      </c>
      <c r="F2422">
        <v>423</v>
      </c>
    </row>
    <row r="2423" spans="1:6">
      <c r="A2423" t="s">
        <v>118</v>
      </c>
      <c r="B2423" t="s">
        <v>125</v>
      </c>
      <c r="C2423" t="s">
        <v>23</v>
      </c>
      <c r="D2423">
        <v>1.2979967083932223E-2</v>
      </c>
      <c r="E2423">
        <v>1058</v>
      </c>
      <c r="F2423">
        <v>14</v>
      </c>
    </row>
    <row r="2424" spans="1:6">
      <c r="A2424" t="s">
        <v>118</v>
      </c>
      <c r="B2424" t="s">
        <v>126</v>
      </c>
      <c r="C2424" t="s">
        <v>19</v>
      </c>
      <c r="D2424">
        <v>0.6</v>
      </c>
      <c r="E2424">
        <v>667</v>
      </c>
      <c r="F2424">
        <v>400</v>
      </c>
    </row>
    <row r="2425" spans="1:6">
      <c r="A2425" t="s">
        <v>118</v>
      </c>
      <c r="B2425" t="s">
        <v>126</v>
      </c>
      <c r="C2425" t="s">
        <v>477</v>
      </c>
      <c r="D2425">
        <v>0.4</v>
      </c>
      <c r="E2425">
        <v>667</v>
      </c>
      <c r="F2425">
        <v>267</v>
      </c>
    </row>
    <row r="2426" spans="1:6">
      <c r="A2426" t="s">
        <v>118</v>
      </c>
      <c r="B2426" t="s">
        <v>126</v>
      </c>
      <c r="C2426" t="s">
        <v>23</v>
      </c>
      <c r="D2426">
        <v>1.9604988133970085E-2</v>
      </c>
      <c r="E2426">
        <v>667</v>
      </c>
      <c r="F2426">
        <v>13</v>
      </c>
    </row>
    <row r="2427" spans="1:6">
      <c r="A2427" t="s">
        <v>118</v>
      </c>
      <c r="B2427" t="s">
        <v>127</v>
      </c>
      <c r="C2427" t="s">
        <v>19</v>
      </c>
      <c r="D2427">
        <v>0.6</v>
      </c>
      <c r="E2427">
        <v>1147</v>
      </c>
      <c r="F2427">
        <v>688</v>
      </c>
    </row>
    <row r="2428" spans="1:6">
      <c r="A2428" t="s">
        <v>118</v>
      </c>
      <c r="B2428" t="s">
        <v>127</v>
      </c>
      <c r="C2428" t="s">
        <v>477</v>
      </c>
      <c r="D2428">
        <v>0.4</v>
      </c>
      <c r="E2428">
        <v>1147</v>
      </c>
      <c r="F2428">
        <v>459</v>
      </c>
    </row>
    <row r="2429" spans="1:6">
      <c r="A2429" t="s">
        <v>118</v>
      </c>
      <c r="B2429" t="s">
        <v>127</v>
      </c>
      <c r="C2429" t="s">
        <v>23</v>
      </c>
      <c r="D2429">
        <v>1.1067935791344375E-3</v>
      </c>
      <c r="E2429">
        <v>1147</v>
      </c>
      <c r="F2429">
        <v>1</v>
      </c>
    </row>
    <row r="2430" spans="1:6">
      <c r="A2430" t="s">
        <v>118</v>
      </c>
      <c r="B2430" t="s">
        <v>128</v>
      </c>
      <c r="C2430" t="s">
        <v>19</v>
      </c>
      <c r="D2430">
        <v>0.6</v>
      </c>
      <c r="E2430">
        <v>1048</v>
      </c>
      <c r="F2430">
        <v>629</v>
      </c>
    </row>
    <row r="2431" spans="1:6">
      <c r="A2431" t="s">
        <v>118</v>
      </c>
      <c r="B2431" t="s">
        <v>128</v>
      </c>
      <c r="C2431" t="s">
        <v>477</v>
      </c>
      <c r="D2431">
        <v>0.4</v>
      </c>
      <c r="E2431">
        <v>1048</v>
      </c>
      <c r="F2431">
        <v>419</v>
      </c>
    </row>
    <row r="2432" spans="1:6">
      <c r="A2432" t="s">
        <v>118</v>
      </c>
      <c r="B2432" t="s">
        <v>128</v>
      </c>
      <c r="C2432" t="s">
        <v>23</v>
      </c>
      <c r="D2432">
        <v>6.1129185963077724E-3</v>
      </c>
      <c r="E2432">
        <v>1048</v>
      </c>
      <c r="F2432">
        <v>6</v>
      </c>
    </row>
    <row r="2433" spans="1:6">
      <c r="A2433" t="s">
        <v>118</v>
      </c>
      <c r="B2433" t="s">
        <v>129</v>
      </c>
      <c r="C2433" t="s">
        <v>19</v>
      </c>
      <c r="D2433">
        <v>0.6</v>
      </c>
      <c r="E2433">
        <v>1054</v>
      </c>
      <c r="F2433">
        <v>632</v>
      </c>
    </row>
    <row r="2434" spans="1:6">
      <c r="A2434" t="s">
        <v>118</v>
      </c>
      <c r="B2434" t="s">
        <v>129</v>
      </c>
      <c r="C2434" t="s">
        <v>477</v>
      </c>
      <c r="D2434">
        <v>0.4</v>
      </c>
      <c r="E2434">
        <v>1054</v>
      </c>
      <c r="F2434">
        <v>422</v>
      </c>
    </row>
    <row r="2435" spans="1:6">
      <c r="A2435" t="s">
        <v>118</v>
      </c>
      <c r="B2435" t="s">
        <v>129</v>
      </c>
      <c r="C2435" t="s">
        <v>23</v>
      </c>
      <c r="D2435">
        <v>4.8767225336603182E-3</v>
      </c>
      <c r="E2435">
        <v>1054</v>
      </c>
      <c r="F2435">
        <v>5</v>
      </c>
    </row>
    <row r="2436" spans="1:6">
      <c r="A2436" t="s">
        <v>118</v>
      </c>
      <c r="B2436" t="s">
        <v>130</v>
      </c>
      <c r="C2436" t="s">
        <v>19</v>
      </c>
      <c r="D2436">
        <v>0.6</v>
      </c>
      <c r="E2436">
        <v>392</v>
      </c>
      <c r="F2436">
        <v>235</v>
      </c>
    </row>
    <row r="2437" spans="1:6">
      <c r="A2437" t="s">
        <v>118</v>
      </c>
      <c r="B2437" t="s">
        <v>130</v>
      </c>
      <c r="C2437" t="s">
        <v>477</v>
      </c>
      <c r="D2437">
        <v>0.4</v>
      </c>
      <c r="E2437">
        <v>392</v>
      </c>
      <c r="F2437">
        <v>157</v>
      </c>
    </row>
    <row r="2438" spans="1:6">
      <c r="A2438" t="s">
        <v>118</v>
      </c>
      <c r="B2438" t="s">
        <v>130</v>
      </c>
      <c r="C2438" t="s">
        <v>23</v>
      </c>
      <c r="D2438">
        <v>1.2138912919361312E-3</v>
      </c>
      <c r="E2438">
        <v>392</v>
      </c>
      <c r="F2438">
        <v>0</v>
      </c>
    </row>
    <row r="2439" spans="1:6">
      <c r="A2439" t="s">
        <v>118</v>
      </c>
      <c r="B2439" t="s">
        <v>131</v>
      </c>
      <c r="C2439" t="s">
        <v>19</v>
      </c>
      <c r="D2439">
        <v>0.6</v>
      </c>
      <c r="E2439">
        <v>351</v>
      </c>
      <c r="F2439">
        <v>211</v>
      </c>
    </row>
    <row r="2440" spans="1:6">
      <c r="A2440" t="s">
        <v>118</v>
      </c>
      <c r="B2440" t="s">
        <v>131</v>
      </c>
      <c r="C2440" t="s">
        <v>477</v>
      </c>
      <c r="D2440">
        <v>0.4</v>
      </c>
      <c r="E2440">
        <v>351</v>
      </c>
      <c r="F2440">
        <v>140</v>
      </c>
    </row>
    <row r="2441" spans="1:6">
      <c r="A2441" t="s">
        <v>118</v>
      </c>
      <c r="B2441" t="s">
        <v>131</v>
      </c>
      <c r="C2441" t="s">
        <v>23</v>
      </c>
      <c r="D2441">
        <v>3.1475625206753822E-3</v>
      </c>
      <c r="E2441">
        <v>351</v>
      </c>
      <c r="F2441">
        <v>1</v>
      </c>
    </row>
    <row r="2442" spans="1:6">
      <c r="A2442" t="s">
        <v>118</v>
      </c>
      <c r="B2442" t="s">
        <v>133</v>
      </c>
      <c r="C2442" t="s">
        <v>19</v>
      </c>
      <c r="D2442">
        <v>0.6</v>
      </c>
      <c r="E2442">
        <v>444</v>
      </c>
      <c r="F2442">
        <v>266</v>
      </c>
    </row>
    <row r="2443" spans="1:6">
      <c r="A2443" t="s">
        <v>118</v>
      </c>
      <c r="B2443" t="s">
        <v>133</v>
      </c>
      <c r="C2443" t="s">
        <v>477</v>
      </c>
      <c r="D2443">
        <v>0.4</v>
      </c>
      <c r="E2443">
        <v>444</v>
      </c>
      <c r="F2443">
        <v>178</v>
      </c>
    </row>
    <row r="2444" spans="1:6">
      <c r="A2444" t="s">
        <v>118</v>
      </c>
      <c r="B2444" t="s">
        <v>133</v>
      </c>
      <c r="C2444" t="s">
        <v>23</v>
      </c>
      <c r="D2444">
        <v>1.8296582385509564E-2</v>
      </c>
      <c r="E2444">
        <v>444</v>
      </c>
      <c r="F2444">
        <v>8</v>
      </c>
    </row>
    <row r="2445" spans="1:6">
      <c r="A2445" t="s">
        <v>132</v>
      </c>
      <c r="B2445" t="s">
        <v>134</v>
      </c>
      <c r="C2445" t="s">
        <v>19</v>
      </c>
      <c r="D2445">
        <v>0.6</v>
      </c>
      <c r="E2445">
        <v>4560</v>
      </c>
      <c r="F2445">
        <v>2736</v>
      </c>
    </row>
    <row r="2446" spans="1:6">
      <c r="A2446" t="s">
        <v>132</v>
      </c>
      <c r="B2446" t="s">
        <v>134</v>
      </c>
      <c r="C2446" t="s">
        <v>477</v>
      </c>
      <c r="D2446">
        <v>0.4</v>
      </c>
      <c r="E2446">
        <v>4560</v>
      </c>
      <c r="F2446">
        <v>1824</v>
      </c>
    </row>
    <row r="2447" spans="1:6">
      <c r="A2447" t="s">
        <v>132</v>
      </c>
      <c r="B2447" t="s">
        <v>134</v>
      </c>
      <c r="C2447" t="s">
        <v>23</v>
      </c>
      <c r="D2447">
        <v>1.6259791101302993E-2</v>
      </c>
      <c r="E2447">
        <v>4560</v>
      </c>
      <c r="F2447">
        <v>74</v>
      </c>
    </row>
    <row r="2448" spans="1:6">
      <c r="A2448" t="s">
        <v>132</v>
      </c>
      <c r="B2448" s="16" t="s">
        <v>135</v>
      </c>
      <c r="C2448" t="s">
        <v>19</v>
      </c>
      <c r="D2448">
        <v>0.6</v>
      </c>
      <c r="E2448">
        <v>11701</v>
      </c>
      <c r="F2448">
        <v>7021</v>
      </c>
    </row>
    <row r="2449" spans="1:6">
      <c r="A2449" t="s">
        <v>132</v>
      </c>
      <c r="B2449" s="16" t="s">
        <v>135</v>
      </c>
      <c r="C2449" t="s">
        <v>477</v>
      </c>
      <c r="D2449">
        <v>0.4</v>
      </c>
      <c r="E2449">
        <v>11701</v>
      </c>
      <c r="F2449">
        <v>4680</v>
      </c>
    </row>
    <row r="2450" spans="1:6">
      <c r="A2450" t="s">
        <v>132</v>
      </c>
      <c r="B2450" s="16" t="s">
        <v>135</v>
      </c>
      <c r="C2450" t="s">
        <v>23</v>
      </c>
      <c r="D2450">
        <v>6.5929762825769371E-3</v>
      </c>
      <c r="E2450">
        <v>11701</v>
      </c>
      <c r="F2450">
        <v>77</v>
      </c>
    </row>
    <row r="2451" spans="1:6">
      <c r="A2451" t="s">
        <v>132</v>
      </c>
      <c r="B2451" t="s">
        <v>136</v>
      </c>
      <c r="C2451" t="s">
        <v>19</v>
      </c>
      <c r="D2451">
        <v>0.6</v>
      </c>
      <c r="E2451">
        <v>33255</v>
      </c>
      <c r="F2451">
        <v>19953</v>
      </c>
    </row>
    <row r="2452" spans="1:6">
      <c r="A2452" t="s">
        <v>132</v>
      </c>
      <c r="B2452" t="s">
        <v>136</v>
      </c>
      <c r="C2452" t="s">
        <v>477</v>
      </c>
      <c r="D2452">
        <v>0.4</v>
      </c>
      <c r="E2452">
        <v>33255</v>
      </c>
      <c r="F2452">
        <v>13302</v>
      </c>
    </row>
    <row r="2453" spans="1:6">
      <c r="A2453" t="s">
        <v>132</v>
      </c>
      <c r="B2453" t="s">
        <v>136</v>
      </c>
      <c r="C2453" t="s">
        <v>23</v>
      </c>
      <c r="D2453">
        <v>4.018262106349966E-3</v>
      </c>
      <c r="E2453">
        <v>33255</v>
      </c>
      <c r="F2453">
        <v>134</v>
      </c>
    </row>
    <row r="2454" spans="1:6">
      <c r="A2454" t="s">
        <v>132</v>
      </c>
      <c r="B2454" t="s">
        <v>137</v>
      </c>
      <c r="C2454" t="s">
        <v>19</v>
      </c>
      <c r="D2454">
        <v>0.6</v>
      </c>
      <c r="E2454">
        <v>1653</v>
      </c>
      <c r="F2454">
        <v>992</v>
      </c>
    </row>
    <row r="2455" spans="1:6">
      <c r="A2455" t="s">
        <v>132</v>
      </c>
      <c r="B2455" t="s">
        <v>137</v>
      </c>
      <c r="C2455" t="s">
        <v>477</v>
      </c>
      <c r="D2455">
        <v>0.4</v>
      </c>
      <c r="E2455">
        <v>1653</v>
      </c>
      <c r="F2455">
        <v>661</v>
      </c>
    </row>
    <row r="2456" spans="1:6">
      <c r="A2456" t="s">
        <v>132</v>
      </c>
      <c r="B2456" t="s">
        <v>137</v>
      </c>
      <c r="C2456" t="s">
        <v>23</v>
      </c>
      <c r="D2456">
        <v>9.3996787884777361E-3</v>
      </c>
      <c r="E2456">
        <v>1653</v>
      </c>
      <c r="F2456">
        <v>16</v>
      </c>
    </row>
    <row r="2457" spans="1:6">
      <c r="A2457" t="s">
        <v>132</v>
      </c>
      <c r="B2457" t="s">
        <v>138</v>
      </c>
      <c r="C2457" t="s">
        <v>19</v>
      </c>
      <c r="D2457">
        <v>0.6</v>
      </c>
      <c r="E2457">
        <v>3192</v>
      </c>
      <c r="F2457">
        <v>1915</v>
      </c>
    </row>
    <row r="2458" spans="1:6">
      <c r="A2458" t="s">
        <v>132</v>
      </c>
      <c r="B2458" t="s">
        <v>138</v>
      </c>
      <c r="C2458" t="s">
        <v>477</v>
      </c>
      <c r="D2458">
        <v>0.4</v>
      </c>
      <c r="E2458">
        <v>3192</v>
      </c>
      <c r="F2458">
        <v>1277</v>
      </c>
    </row>
    <row r="2459" spans="1:6">
      <c r="A2459" t="s">
        <v>132</v>
      </c>
      <c r="B2459" t="s">
        <v>138</v>
      </c>
      <c r="C2459" t="s">
        <v>23</v>
      </c>
      <c r="D2459">
        <v>6.8243889738695885E-4</v>
      </c>
      <c r="E2459">
        <v>3192</v>
      </c>
      <c r="F2459">
        <v>2</v>
      </c>
    </row>
    <row r="2460" spans="1:6">
      <c r="A2460" t="s">
        <v>132</v>
      </c>
      <c r="B2460" t="s">
        <v>139</v>
      </c>
      <c r="C2460" t="s">
        <v>19</v>
      </c>
      <c r="D2460">
        <v>0.6</v>
      </c>
      <c r="E2460">
        <v>3243</v>
      </c>
      <c r="F2460">
        <v>1946</v>
      </c>
    </row>
    <row r="2461" spans="1:6">
      <c r="A2461" t="s">
        <v>132</v>
      </c>
      <c r="B2461" t="s">
        <v>139</v>
      </c>
      <c r="C2461" t="s">
        <v>477</v>
      </c>
      <c r="D2461">
        <v>0.4</v>
      </c>
      <c r="E2461">
        <v>3243</v>
      </c>
      <c r="F2461">
        <v>1297</v>
      </c>
    </row>
    <row r="2462" spans="1:6">
      <c r="A2462" t="s">
        <v>132</v>
      </c>
      <c r="B2462" t="s">
        <v>139</v>
      </c>
      <c r="C2462" t="s">
        <v>23</v>
      </c>
      <c r="D2462">
        <v>9.2712633314444813E-3</v>
      </c>
      <c r="E2462">
        <v>3243</v>
      </c>
      <c r="F2462">
        <v>30</v>
      </c>
    </row>
    <row r="2463" spans="1:6">
      <c r="A2463" t="s">
        <v>132</v>
      </c>
      <c r="B2463" t="s">
        <v>140</v>
      </c>
      <c r="C2463" t="s">
        <v>19</v>
      </c>
      <c r="D2463">
        <v>0.6</v>
      </c>
      <c r="E2463">
        <v>1600</v>
      </c>
      <c r="F2463">
        <v>960</v>
      </c>
    </row>
    <row r="2464" spans="1:6">
      <c r="A2464" t="s">
        <v>132</v>
      </c>
      <c r="B2464" t="s">
        <v>140</v>
      </c>
      <c r="C2464" t="s">
        <v>477</v>
      </c>
      <c r="D2464">
        <v>0.4</v>
      </c>
      <c r="E2464">
        <v>1600</v>
      </c>
      <c r="F2464">
        <v>640</v>
      </c>
    </row>
    <row r="2465" spans="1:6">
      <c r="A2465" t="s">
        <v>132</v>
      </c>
      <c r="B2465" t="s">
        <v>140</v>
      </c>
      <c r="C2465" t="s">
        <v>23</v>
      </c>
      <c r="D2465">
        <v>8.5659217596572787E-3</v>
      </c>
      <c r="E2465">
        <v>1600</v>
      </c>
      <c r="F2465">
        <v>14</v>
      </c>
    </row>
    <row r="2466" spans="1:6">
      <c r="A2466" t="s">
        <v>132</v>
      </c>
      <c r="B2466" t="s">
        <v>141</v>
      </c>
      <c r="C2466" t="s">
        <v>19</v>
      </c>
      <c r="D2466">
        <v>0.6</v>
      </c>
      <c r="E2466">
        <v>5870</v>
      </c>
      <c r="F2466">
        <v>3522</v>
      </c>
    </row>
    <row r="2467" spans="1:6">
      <c r="A2467" t="s">
        <v>132</v>
      </c>
      <c r="B2467" t="s">
        <v>141</v>
      </c>
      <c r="C2467" t="s">
        <v>477</v>
      </c>
      <c r="D2467">
        <v>0.4</v>
      </c>
      <c r="E2467">
        <v>5870</v>
      </c>
      <c r="F2467">
        <v>2348</v>
      </c>
    </row>
    <row r="2468" spans="1:6">
      <c r="A2468" t="s">
        <v>132</v>
      </c>
      <c r="B2468" t="s">
        <v>141</v>
      </c>
      <c r="C2468" t="s">
        <v>23</v>
      </c>
      <c r="D2468">
        <v>1.666023314145134E-2</v>
      </c>
      <c r="E2468">
        <v>5870</v>
      </c>
      <c r="F2468">
        <v>98</v>
      </c>
    </row>
    <row r="2469" spans="1:6">
      <c r="A2469" t="s">
        <v>132</v>
      </c>
      <c r="B2469" t="s">
        <v>142</v>
      </c>
      <c r="C2469" t="s">
        <v>19</v>
      </c>
      <c r="D2469">
        <v>0.6</v>
      </c>
      <c r="E2469">
        <v>356</v>
      </c>
      <c r="F2469">
        <v>214</v>
      </c>
    </row>
    <row r="2470" spans="1:6">
      <c r="A2470" t="s">
        <v>132</v>
      </c>
      <c r="B2470" t="s">
        <v>142</v>
      </c>
      <c r="C2470" t="s">
        <v>477</v>
      </c>
      <c r="D2470">
        <v>0.4</v>
      </c>
      <c r="E2470">
        <v>356</v>
      </c>
      <c r="F2470">
        <v>142</v>
      </c>
    </row>
    <row r="2471" spans="1:6">
      <c r="A2471" t="s">
        <v>132</v>
      </c>
      <c r="B2471" t="s">
        <v>142</v>
      </c>
      <c r="C2471" t="s">
        <v>23</v>
      </c>
      <c r="D2471">
        <v>1.1145421454861373E-2</v>
      </c>
      <c r="E2471">
        <v>356</v>
      </c>
      <c r="F2471">
        <v>4</v>
      </c>
    </row>
    <row r="2472" spans="1:6">
      <c r="A2472" t="s">
        <v>132</v>
      </c>
      <c r="B2472" t="s">
        <v>143</v>
      </c>
      <c r="C2472" t="s">
        <v>19</v>
      </c>
      <c r="D2472">
        <v>0.6</v>
      </c>
      <c r="E2472">
        <v>1313</v>
      </c>
      <c r="F2472">
        <v>788</v>
      </c>
    </row>
    <row r="2473" spans="1:6">
      <c r="A2473" t="s">
        <v>132</v>
      </c>
      <c r="B2473" t="s">
        <v>143</v>
      </c>
      <c r="C2473" t="s">
        <v>477</v>
      </c>
      <c r="D2473">
        <v>0.4</v>
      </c>
      <c r="E2473">
        <v>1313</v>
      </c>
      <c r="F2473">
        <v>525</v>
      </c>
    </row>
    <row r="2474" spans="1:6">
      <c r="A2474" t="s">
        <v>132</v>
      </c>
      <c r="B2474" t="s">
        <v>143</v>
      </c>
      <c r="C2474" t="s">
        <v>23</v>
      </c>
      <c r="D2474">
        <v>1.0130255224180165E-2</v>
      </c>
      <c r="E2474">
        <v>1313</v>
      </c>
      <c r="F2474">
        <v>13</v>
      </c>
    </row>
    <row r="2475" spans="1:6">
      <c r="A2475" t="s">
        <v>132</v>
      </c>
      <c r="B2475" t="s">
        <v>144</v>
      </c>
      <c r="C2475" t="s">
        <v>19</v>
      </c>
      <c r="D2475">
        <v>0.6</v>
      </c>
      <c r="E2475">
        <v>1432</v>
      </c>
      <c r="F2475">
        <v>859</v>
      </c>
    </row>
    <row r="2476" spans="1:6">
      <c r="A2476" t="s">
        <v>132</v>
      </c>
      <c r="B2476" t="s">
        <v>144</v>
      </c>
      <c r="C2476" t="s">
        <v>477</v>
      </c>
      <c r="D2476">
        <v>0.4</v>
      </c>
      <c r="E2476">
        <v>1432</v>
      </c>
      <c r="F2476">
        <v>573</v>
      </c>
    </row>
    <row r="2477" spans="1:6">
      <c r="A2477" t="s">
        <v>132</v>
      </c>
      <c r="B2477" t="s">
        <v>144</v>
      </c>
      <c r="C2477" t="s">
        <v>23</v>
      </c>
      <c r="D2477">
        <v>9.7439107827257954E-3</v>
      </c>
      <c r="E2477">
        <v>1432</v>
      </c>
      <c r="F2477">
        <v>14</v>
      </c>
    </row>
    <row r="2478" spans="1:6">
      <c r="A2478" t="s">
        <v>132</v>
      </c>
      <c r="B2478" t="s">
        <v>145</v>
      </c>
      <c r="C2478" t="s">
        <v>19</v>
      </c>
      <c r="D2478">
        <v>0.6</v>
      </c>
      <c r="E2478">
        <v>2260</v>
      </c>
      <c r="F2478">
        <v>1356</v>
      </c>
    </row>
    <row r="2479" spans="1:6">
      <c r="A2479" t="s">
        <v>132</v>
      </c>
      <c r="B2479" t="s">
        <v>145</v>
      </c>
      <c r="C2479" t="s">
        <v>477</v>
      </c>
      <c r="D2479">
        <v>0.4</v>
      </c>
      <c r="E2479">
        <v>2260</v>
      </c>
      <c r="F2479">
        <v>904</v>
      </c>
    </row>
    <row r="2480" spans="1:6">
      <c r="A2480" t="s">
        <v>132</v>
      </c>
      <c r="B2480" t="s">
        <v>145</v>
      </c>
      <c r="C2480" t="s">
        <v>23</v>
      </c>
      <c r="D2480">
        <v>8.9426605082925325E-4</v>
      </c>
      <c r="E2480">
        <v>2260</v>
      </c>
      <c r="F2480">
        <v>2</v>
      </c>
    </row>
    <row r="2481" spans="1:6">
      <c r="A2481" t="s">
        <v>132</v>
      </c>
      <c r="B2481" t="s">
        <v>146</v>
      </c>
      <c r="C2481" t="s">
        <v>19</v>
      </c>
      <c r="D2481">
        <v>0.6</v>
      </c>
      <c r="E2481">
        <v>1909</v>
      </c>
      <c r="F2481">
        <v>1145</v>
      </c>
    </row>
    <row r="2482" spans="1:6">
      <c r="A2482" t="s">
        <v>132</v>
      </c>
      <c r="B2482" t="s">
        <v>146</v>
      </c>
      <c r="C2482" t="s">
        <v>477</v>
      </c>
      <c r="D2482">
        <v>0.4</v>
      </c>
      <c r="E2482">
        <v>1909</v>
      </c>
      <c r="F2482">
        <v>764</v>
      </c>
    </row>
    <row r="2483" spans="1:6">
      <c r="A2483" t="s">
        <v>132</v>
      </c>
      <c r="B2483" t="s">
        <v>146</v>
      </c>
      <c r="C2483" t="s">
        <v>23</v>
      </c>
      <c r="D2483">
        <v>8.4829345868325315E-3</v>
      </c>
      <c r="E2483">
        <v>1909</v>
      </c>
      <c r="F2483">
        <v>16</v>
      </c>
    </row>
    <row r="2484" spans="1:6">
      <c r="A2484" t="s">
        <v>132</v>
      </c>
      <c r="B2484" t="s">
        <v>147</v>
      </c>
      <c r="C2484" t="s">
        <v>19</v>
      </c>
      <c r="D2484">
        <v>0.6</v>
      </c>
      <c r="E2484">
        <v>1760</v>
      </c>
      <c r="F2484">
        <v>1056</v>
      </c>
    </row>
    <row r="2485" spans="1:6">
      <c r="A2485" t="s">
        <v>132</v>
      </c>
      <c r="B2485" t="s">
        <v>147</v>
      </c>
      <c r="C2485" t="s">
        <v>477</v>
      </c>
      <c r="D2485">
        <v>0.4</v>
      </c>
      <c r="E2485">
        <v>1760</v>
      </c>
      <c r="F2485">
        <v>704</v>
      </c>
    </row>
    <row r="2486" spans="1:6">
      <c r="A2486" t="s">
        <v>132</v>
      </c>
      <c r="B2486" t="s">
        <v>147</v>
      </c>
      <c r="C2486" t="s">
        <v>23</v>
      </c>
      <c r="D2486">
        <v>1.9880902888161522E-2</v>
      </c>
      <c r="E2486">
        <v>1760</v>
      </c>
      <c r="F2486">
        <v>35</v>
      </c>
    </row>
    <row r="2487" spans="1:6">
      <c r="A2487" t="s">
        <v>132</v>
      </c>
      <c r="B2487" t="s">
        <v>725</v>
      </c>
      <c r="C2487" t="s">
        <v>19</v>
      </c>
      <c r="D2487">
        <v>0.6</v>
      </c>
      <c r="E2487">
        <v>11701</v>
      </c>
      <c r="F2487">
        <v>7021</v>
      </c>
    </row>
    <row r="2488" spans="1:6">
      <c r="A2488" t="s">
        <v>132</v>
      </c>
      <c r="B2488" t="s">
        <v>725</v>
      </c>
      <c r="C2488" t="s">
        <v>477</v>
      </c>
      <c r="D2488">
        <v>0.4</v>
      </c>
      <c r="E2488">
        <v>11701</v>
      </c>
      <c r="F2488">
        <v>4680</v>
      </c>
    </row>
    <row r="2489" spans="1:6">
      <c r="A2489" t="s">
        <v>132</v>
      </c>
      <c r="B2489" t="s">
        <v>725</v>
      </c>
      <c r="C2489" t="s">
        <v>23</v>
      </c>
      <c r="D2489">
        <v>2.5833469214557713E-3</v>
      </c>
      <c r="E2489">
        <v>11701</v>
      </c>
      <c r="F2489">
        <v>30</v>
      </c>
    </row>
    <row r="2490" spans="1:6">
      <c r="A2490" t="s">
        <v>132</v>
      </c>
      <c r="B2490" t="s">
        <v>149</v>
      </c>
      <c r="C2490" t="s">
        <v>19</v>
      </c>
      <c r="D2490">
        <v>0.6</v>
      </c>
      <c r="E2490">
        <v>1046</v>
      </c>
      <c r="F2490">
        <v>628</v>
      </c>
    </row>
    <row r="2491" spans="1:6">
      <c r="A2491" t="s">
        <v>132</v>
      </c>
      <c r="B2491" t="s">
        <v>149</v>
      </c>
      <c r="C2491" t="s">
        <v>477</v>
      </c>
      <c r="D2491">
        <v>0.4</v>
      </c>
      <c r="E2491">
        <v>1046</v>
      </c>
      <c r="F2491">
        <v>418</v>
      </c>
    </row>
    <row r="2492" spans="1:6">
      <c r="A2492" t="s">
        <v>132</v>
      </c>
      <c r="B2492" t="s">
        <v>149</v>
      </c>
      <c r="C2492" t="s">
        <v>23</v>
      </c>
      <c r="D2492">
        <v>1.3720229043099011E-2</v>
      </c>
      <c r="E2492">
        <v>1046</v>
      </c>
      <c r="F2492">
        <v>14</v>
      </c>
    </row>
    <row r="2493" spans="1:6">
      <c r="A2493" t="s">
        <v>132</v>
      </c>
      <c r="B2493" t="s">
        <v>150</v>
      </c>
      <c r="C2493" t="s">
        <v>19</v>
      </c>
      <c r="D2493">
        <v>0.6</v>
      </c>
      <c r="E2493">
        <v>406</v>
      </c>
      <c r="F2493">
        <v>244</v>
      </c>
    </row>
    <row r="2494" spans="1:6">
      <c r="A2494" t="s">
        <v>132</v>
      </c>
      <c r="B2494" t="s">
        <v>150</v>
      </c>
      <c r="C2494" t="s">
        <v>477</v>
      </c>
      <c r="D2494">
        <v>0.4</v>
      </c>
      <c r="E2494">
        <v>406</v>
      </c>
      <c r="F2494">
        <v>162</v>
      </c>
    </row>
    <row r="2495" spans="1:6">
      <c r="A2495" t="s">
        <v>132</v>
      </c>
      <c r="B2495" t="s">
        <v>150</v>
      </c>
      <c r="C2495" t="s">
        <v>23</v>
      </c>
      <c r="D2495">
        <v>3.3390230536082654E-3</v>
      </c>
      <c r="E2495">
        <v>406</v>
      </c>
      <c r="F2495">
        <v>1</v>
      </c>
    </row>
    <row r="2496" spans="1:6">
      <c r="A2496" t="s">
        <v>132</v>
      </c>
      <c r="B2496" t="s">
        <v>151</v>
      </c>
      <c r="C2496" t="s">
        <v>19</v>
      </c>
      <c r="D2496">
        <v>0.6</v>
      </c>
      <c r="E2496">
        <v>404</v>
      </c>
      <c r="F2496">
        <v>242</v>
      </c>
    </row>
    <row r="2497" spans="1:6">
      <c r="A2497" t="s">
        <v>132</v>
      </c>
      <c r="B2497" t="s">
        <v>151</v>
      </c>
      <c r="C2497" t="s">
        <v>477</v>
      </c>
      <c r="D2497">
        <v>0.4</v>
      </c>
      <c r="E2497">
        <v>404</v>
      </c>
      <c r="F2497">
        <v>162</v>
      </c>
    </row>
    <row r="2498" spans="1:6">
      <c r="A2498" t="s">
        <v>132</v>
      </c>
      <c r="B2498" t="s">
        <v>151</v>
      </c>
      <c r="C2498" t="s">
        <v>23</v>
      </c>
      <c r="D2498">
        <v>1.8525245231430384E-2</v>
      </c>
      <c r="E2498">
        <v>404</v>
      </c>
      <c r="F2498">
        <v>7</v>
      </c>
    </row>
    <row r="2499" spans="1:6">
      <c r="A2499" t="s">
        <v>132</v>
      </c>
      <c r="B2499" t="s">
        <v>152</v>
      </c>
      <c r="C2499" t="s">
        <v>19</v>
      </c>
      <c r="D2499">
        <v>0.6</v>
      </c>
      <c r="E2499">
        <v>422</v>
      </c>
      <c r="F2499">
        <v>253</v>
      </c>
    </row>
    <row r="2500" spans="1:6">
      <c r="A2500" t="s">
        <v>132</v>
      </c>
      <c r="B2500" t="s">
        <v>152</v>
      </c>
      <c r="C2500" t="s">
        <v>477</v>
      </c>
      <c r="D2500">
        <v>0.4</v>
      </c>
      <c r="E2500">
        <v>422</v>
      </c>
      <c r="F2500">
        <v>169</v>
      </c>
    </row>
    <row r="2501" spans="1:6">
      <c r="A2501" t="s">
        <v>132</v>
      </c>
      <c r="B2501" t="s">
        <v>152</v>
      </c>
      <c r="C2501" t="s">
        <v>23</v>
      </c>
      <c r="D2501">
        <v>1.5541015556164028E-2</v>
      </c>
      <c r="E2501">
        <v>422</v>
      </c>
      <c r="F2501">
        <v>7</v>
      </c>
    </row>
    <row r="2502" spans="1:6">
      <c r="A2502" t="s">
        <v>132</v>
      </c>
      <c r="B2502" t="s">
        <v>153</v>
      </c>
      <c r="C2502" t="s">
        <v>19</v>
      </c>
      <c r="D2502">
        <v>0.6</v>
      </c>
      <c r="E2502">
        <v>677</v>
      </c>
      <c r="F2502">
        <v>406</v>
      </c>
    </row>
    <row r="2503" spans="1:6">
      <c r="A2503" t="s">
        <v>132</v>
      </c>
      <c r="B2503" t="s">
        <v>153</v>
      </c>
      <c r="C2503" t="s">
        <v>477</v>
      </c>
      <c r="D2503">
        <v>0.4</v>
      </c>
      <c r="E2503">
        <v>677</v>
      </c>
      <c r="F2503">
        <v>271</v>
      </c>
    </row>
    <row r="2504" spans="1:6">
      <c r="A2504" t="s">
        <v>132</v>
      </c>
      <c r="B2504" t="s">
        <v>153</v>
      </c>
      <c r="C2504" t="s">
        <v>23</v>
      </c>
      <c r="D2504">
        <v>1.2443773516710466E-2</v>
      </c>
      <c r="E2504">
        <v>677</v>
      </c>
      <c r="F2504">
        <v>8</v>
      </c>
    </row>
    <row r="2505" spans="1:6">
      <c r="A2505" t="s">
        <v>132</v>
      </c>
      <c r="B2505" t="s">
        <v>719</v>
      </c>
      <c r="C2505" t="s">
        <v>19</v>
      </c>
      <c r="D2505">
        <v>0.6</v>
      </c>
      <c r="E2505">
        <v>11701</v>
      </c>
      <c r="F2505">
        <v>7021</v>
      </c>
    </row>
    <row r="2506" spans="1:6">
      <c r="A2506" t="s">
        <v>132</v>
      </c>
      <c r="B2506" t="s">
        <v>719</v>
      </c>
      <c r="C2506" t="s">
        <v>477</v>
      </c>
      <c r="D2506">
        <v>0.4</v>
      </c>
      <c r="E2506">
        <v>11701</v>
      </c>
      <c r="F2506">
        <v>4680</v>
      </c>
    </row>
    <row r="2507" spans="1:6">
      <c r="A2507" t="s">
        <v>132</v>
      </c>
      <c r="B2507" t="s">
        <v>719</v>
      </c>
      <c r="C2507" t="s">
        <v>23</v>
      </c>
      <c r="D2507">
        <v>7.980507229850797E-4</v>
      </c>
      <c r="E2507">
        <v>11701</v>
      </c>
      <c r="F2507">
        <v>9</v>
      </c>
    </row>
    <row r="2508" spans="1:6">
      <c r="A2508" t="s">
        <v>132</v>
      </c>
      <c r="B2508" t="s">
        <v>155</v>
      </c>
      <c r="C2508" t="s">
        <v>19</v>
      </c>
      <c r="D2508">
        <v>0.6</v>
      </c>
      <c r="E2508">
        <v>115</v>
      </c>
      <c r="F2508">
        <v>69</v>
      </c>
    </row>
    <row r="2509" spans="1:6">
      <c r="A2509" t="s">
        <v>132</v>
      </c>
      <c r="B2509" t="s">
        <v>155</v>
      </c>
      <c r="C2509" t="s">
        <v>477</v>
      </c>
      <c r="D2509">
        <v>0.4</v>
      </c>
      <c r="E2509">
        <v>115</v>
      </c>
      <c r="F2509">
        <v>46</v>
      </c>
    </row>
    <row r="2510" spans="1:6">
      <c r="A2510" t="s">
        <v>132</v>
      </c>
      <c r="B2510" t="s">
        <v>155</v>
      </c>
      <c r="C2510" t="s">
        <v>23</v>
      </c>
      <c r="D2510">
        <v>6.384220741878153E-3</v>
      </c>
      <c r="E2510">
        <v>115</v>
      </c>
      <c r="F2510">
        <v>1</v>
      </c>
    </row>
    <row r="2511" spans="1:6">
      <c r="A2511" t="s">
        <v>132</v>
      </c>
      <c r="B2511" t="s">
        <v>156</v>
      </c>
      <c r="C2511" t="s">
        <v>19</v>
      </c>
      <c r="D2511">
        <v>0.6</v>
      </c>
      <c r="E2511">
        <v>164</v>
      </c>
      <c r="F2511">
        <v>98</v>
      </c>
    </row>
    <row r="2512" spans="1:6">
      <c r="A2512" t="s">
        <v>132</v>
      </c>
      <c r="B2512" t="s">
        <v>156</v>
      </c>
      <c r="C2512" t="s">
        <v>477</v>
      </c>
      <c r="D2512">
        <v>0.4</v>
      </c>
      <c r="E2512">
        <v>164</v>
      </c>
      <c r="F2512">
        <v>66</v>
      </c>
    </row>
    <row r="2513" spans="1:6">
      <c r="A2513" t="s">
        <v>132</v>
      </c>
      <c r="B2513" t="s">
        <v>156</v>
      </c>
      <c r="C2513" t="s">
        <v>23</v>
      </c>
      <c r="D2513">
        <v>1.0114579660493912E-2</v>
      </c>
      <c r="E2513">
        <v>164</v>
      </c>
      <c r="F2513">
        <v>2</v>
      </c>
    </row>
    <row r="2514" spans="1:6">
      <c r="A2514" t="s">
        <v>132</v>
      </c>
      <c r="B2514" t="s">
        <v>157</v>
      </c>
      <c r="C2514" t="s">
        <v>19</v>
      </c>
      <c r="D2514">
        <v>0.6</v>
      </c>
      <c r="E2514">
        <v>842</v>
      </c>
      <c r="F2514">
        <v>505</v>
      </c>
    </row>
    <row r="2515" spans="1:6">
      <c r="A2515" t="s">
        <v>132</v>
      </c>
      <c r="B2515" t="s">
        <v>157</v>
      </c>
      <c r="C2515" t="s">
        <v>477</v>
      </c>
      <c r="D2515">
        <v>0.4</v>
      </c>
      <c r="E2515">
        <v>842</v>
      </c>
      <c r="F2515">
        <v>337</v>
      </c>
    </row>
    <row r="2516" spans="1:6">
      <c r="A2516" t="s">
        <v>132</v>
      </c>
      <c r="B2516" t="s">
        <v>157</v>
      </c>
      <c r="C2516" t="s">
        <v>23</v>
      </c>
      <c r="D2516">
        <v>4.71747422647121E-3</v>
      </c>
      <c r="E2516">
        <v>842</v>
      </c>
      <c r="F2516">
        <v>4</v>
      </c>
    </row>
    <row r="2517" spans="1:6">
      <c r="A2517" t="s">
        <v>132</v>
      </c>
      <c r="B2517" t="s">
        <v>158</v>
      </c>
      <c r="C2517" t="s">
        <v>19</v>
      </c>
      <c r="D2517">
        <v>0.6</v>
      </c>
      <c r="E2517">
        <v>466</v>
      </c>
      <c r="F2517">
        <v>280</v>
      </c>
    </row>
    <row r="2518" spans="1:6">
      <c r="A2518" t="s">
        <v>132</v>
      </c>
      <c r="B2518" t="s">
        <v>158</v>
      </c>
      <c r="C2518" t="s">
        <v>477</v>
      </c>
      <c r="D2518">
        <v>0.4</v>
      </c>
      <c r="E2518">
        <v>466</v>
      </c>
      <c r="F2518">
        <v>186</v>
      </c>
    </row>
    <row r="2519" spans="1:6">
      <c r="A2519" t="s">
        <v>132</v>
      </c>
      <c r="B2519" t="s">
        <v>158</v>
      </c>
      <c r="C2519" t="s">
        <v>23</v>
      </c>
      <c r="D2519">
        <v>3.9907649126799801E-3</v>
      </c>
      <c r="E2519">
        <v>466</v>
      </c>
      <c r="F2519">
        <v>2</v>
      </c>
    </row>
    <row r="2520" spans="1:6">
      <c r="A2520" t="s">
        <v>132</v>
      </c>
      <c r="B2520" t="s">
        <v>159</v>
      </c>
      <c r="C2520" t="s">
        <v>19</v>
      </c>
      <c r="D2520">
        <v>0.6</v>
      </c>
      <c r="E2520">
        <v>518</v>
      </c>
      <c r="F2520">
        <v>311</v>
      </c>
    </row>
    <row r="2521" spans="1:6">
      <c r="A2521" t="s">
        <v>132</v>
      </c>
      <c r="B2521" t="s">
        <v>159</v>
      </c>
      <c r="C2521" t="s">
        <v>477</v>
      </c>
      <c r="D2521">
        <v>0.4</v>
      </c>
      <c r="E2521">
        <v>518</v>
      </c>
      <c r="F2521">
        <v>207</v>
      </c>
    </row>
    <row r="2522" spans="1:6">
      <c r="A2522" t="s">
        <v>132</v>
      </c>
      <c r="B2522" t="s">
        <v>159</v>
      </c>
      <c r="C2522" t="s">
        <v>23</v>
      </c>
      <c r="D2522">
        <v>3.0567424047000438E-3</v>
      </c>
      <c r="E2522">
        <v>518</v>
      </c>
      <c r="F2522">
        <v>2</v>
      </c>
    </row>
    <row r="2523" spans="1:6">
      <c r="A2523" t="s">
        <v>132</v>
      </c>
      <c r="B2523" t="s">
        <v>721</v>
      </c>
      <c r="C2523" t="s">
        <v>19</v>
      </c>
      <c r="D2523">
        <v>0.6</v>
      </c>
      <c r="E2523">
        <v>11701</v>
      </c>
      <c r="F2523">
        <v>7021</v>
      </c>
    </row>
    <row r="2524" spans="1:6">
      <c r="A2524" t="s">
        <v>132</v>
      </c>
      <c r="B2524" t="s">
        <v>721</v>
      </c>
      <c r="C2524" t="s">
        <v>477</v>
      </c>
      <c r="D2524">
        <v>0.4</v>
      </c>
      <c r="E2524">
        <v>11701</v>
      </c>
      <c r="F2524">
        <v>4680</v>
      </c>
    </row>
    <row r="2525" spans="1:6">
      <c r="A2525" t="s">
        <v>132</v>
      </c>
      <c r="B2525" t="s">
        <v>721</v>
      </c>
      <c r="C2525" t="s">
        <v>23</v>
      </c>
      <c r="D2525">
        <v>5.4356249351479981E-3</v>
      </c>
      <c r="E2525">
        <v>11701</v>
      </c>
      <c r="F2525">
        <v>64</v>
      </c>
    </row>
    <row r="2526" spans="1:6">
      <c r="A2526" t="s">
        <v>160</v>
      </c>
      <c r="B2526" t="s">
        <v>162</v>
      </c>
      <c r="C2526" t="s">
        <v>19</v>
      </c>
      <c r="D2526">
        <v>0.6</v>
      </c>
      <c r="E2526">
        <v>1578</v>
      </c>
      <c r="F2526">
        <v>947</v>
      </c>
    </row>
    <row r="2527" spans="1:6">
      <c r="A2527" t="s">
        <v>160</v>
      </c>
      <c r="B2527" t="s">
        <v>162</v>
      </c>
      <c r="C2527" t="s">
        <v>477</v>
      </c>
      <c r="D2527">
        <v>0.4</v>
      </c>
      <c r="E2527">
        <v>1578</v>
      </c>
      <c r="F2527">
        <v>631</v>
      </c>
    </row>
    <row r="2528" spans="1:6">
      <c r="A2528" t="s">
        <v>160</v>
      </c>
      <c r="B2528" t="s">
        <v>162</v>
      </c>
      <c r="C2528" t="s">
        <v>23</v>
      </c>
      <c r="D2528">
        <v>2.4781154735895971E-3</v>
      </c>
      <c r="E2528">
        <v>1578</v>
      </c>
      <c r="F2528">
        <v>4</v>
      </c>
    </row>
    <row r="2529" spans="1:6">
      <c r="A2529" t="s">
        <v>160</v>
      </c>
      <c r="B2529" t="s">
        <v>163</v>
      </c>
      <c r="C2529" t="s">
        <v>19</v>
      </c>
      <c r="D2529">
        <v>0.6</v>
      </c>
      <c r="E2529">
        <v>972</v>
      </c>
      <c r="F2529">
        <v>583</v>
      </c>
    </row>
    <row r="2530" spans="1:6">
      <c r="A2530" t="s">
        <v>160</v>
      </c>
      <c r="B2530" t="s">
        <v>163</v>
      </c>
      <c r="C2530" t="s">
        <v>477</v>
      </c>
      <c r="D2530">
        <v>0.4</v>
      </c>
      <c r="E2530">
        <v>972</v>
      </c>
      <c r="F2530">
        <v>389</v>
      </c>
    </row>
    <row r="2531" spans="1:6">
      <c r="A2531" t="s">
        <v>160</v>
      </c>
      <c r="B2531" t="s">
        <v>163</v>
      </c>
      <c r="C2531" t="s">
        <v>23</v>
      </c>
      <c r="D2531">
        <v>6.5613993684261419E-3</v>
      </c>
      <c r="E2531">
        <v>972</v>
      </c>
      <c r="F2531">
        <v>6</v>
      </c>
    </row>
    <row r="2532" spans="1:6">
      <c r="A2532" t="s">
        <v>160</v>
      </c>
      <c r="B2532" t="s">
        <v>164</v>
      </c>
      <c r="C2532" t="s">
        <v>19</v>
      </c>
      <c r="D2532">
        <v>0.6</v>
      </c>
      <c r="E2532">
        <v>1146</v>
      </c>
      <c r="F2532">
        <v>688</v>
      </c>
    </row>
    <row r="2533" spans="1:6">
      <c r="A2533" t="s">
        <v>160</v>
      </c>
      <c r="B2533" t="s">
        <v>164</v>
      </c>
      <c r="C2533" t="s">
        <v>477</v>
      </c>
      <c r="D2533">
        <v>0.4</v>
      </c>
      <c r="E2533">
        <v>1146</v>
      </c>
      <c r="F2533">
        <v>458</v>
      </c>
    </row>
    <row r="2534" spans="1:6">
      <c r="A2534" t="s">
        <v>160</v>
      </c>
      <c r="B2534" t="s">
        <v>164</v>
      </c>
      <c r="C2534" t="s">
        <v>23</v>
      </c>
      <c r="D2534">
        <v>8.5043074990725836E-4</v>
      </c>
      <c r="E2534">
        <v>1146</v>
      </c>
      <c r="F2534">
        <v>1</v>
      </c>
    </row>
    <row r="2535" spans="1:6">
      <c r="A2535" t="s">
        <v>160</v>
      </c>
      <c r="B2535" t="s">
        <v>165</v>
      </c>
      <c r="C2535" t="s">
        <v>19</v>
      </c>
      <c r="D2535">
        <v>0.6</v>
      </c>
      <c r="E2535">
        <v>4174</v>
      </c>
      <c r="F2535">
        <v>2504</v>
      </c>
    </row>
    <row r="2536" spans="1:6">
      <c r="A2536" t="s">
        <v>160</v>
      </c>
      <c r="B2536" t="s">
        <v>165</v>
      </c>
      <c r="C2536" t="s">
        <v>477</v>
      </c>
      <c r="D2536">
        <v>0.4</v>
      </c>
      <c r="E2536">
        <v>4174</v>
      </c>
      <c r="F2536">
        <v>1670</v>
      </c>
    </row>
    <row r="2537" spans="1:6">
      <c r="A2537" t="s">
        <v>160</v>
      </c>
      <c r="B2537" t="s">
        <v>165</v>
      </c>
      <c r="C2537" t="s">
        <v>23</v>
      </c>
      <c r="D2537">
        <v>1.1773614793725186E-2</v>
      </c>
      <c r="E2537">
        <v>4174</v>
      </c>
      <c r="F2537">
        <v>49</v>
      </c>
    </row>
    <row r="2538" spans="1:6">
      <c r="A2538" t="s">
        <v>160</v>
      </c>
      <c r="B2538" t="s">
        <v>166</v>
      </c>
      <c r="C2538" t="s">
        <v>19</v>
      </c>
      <c r="D2538">
        <v>0.6</v>
      </c>
      <c r="E2538">
        <v>1943</v>
      </c>
      <c r="F2538">
        <v>1166</v>
      </c>
    </row>
    <row r="2539" spans="1:6">
      <c r="A2539" t="s">
        <v>160</v>
      </c>
      <c r="B2539" t="s">
        <v>166</v>
      </c>
      <c r="C2539" t="s">
        <v>477</v>
      </c>
      <c r="D2539">
        <v>0.4</v>
      </c>
      <c r="E2539">
        <v>1943</v>
      </c>
      <c r="F2539">
        <v>777</v>
      </c>
    </row>
    <row r="2540" spans="1:6">
      <c r="A2540" t="s">
        <v>160</v>
      </c>
      <c r="B2540" t="s">
        <v>166</v>
      </c>
      <c r="C2540" t="s">
        <v>23</v>
      </c>
      <c r="D2540">
        <v>1.7560144113765996E-2</v>
      </c>
      <c r="E2540">
        <v>1943</v>
      </c>
      <c r="F2540">
        <v>34</v>
      </c>
    </row>
    <row r="2541" spans="1:6">
      <c r="A2541" t="s">
        <v>160</v>
      </c>
      <c r="B2541" t="s">
        <v>167</v>
      </c>
      <c r="C2541" t="s">
        <v>19</v>
      </c>
      <c r="D2541">
        <v>0.6</v>
      </c>
      <c r="E2541">
        <v>1126</v>
      </c>
      <c r="F2541">
        <v>676</v>
      </c>
    </row>
    <row r="2542" spans="1:6">
      <c r="A2542" t="s">
        <v>160</v>
      </c>
      <c r="B2542" t="s">
        <v>167</v>
      </c>
      <c r="C2542" t="s">
        <v>477</v>
      </c>
      <c r="D2542">
        <v>0.4</v>
      </c>
      <c r="E2542">
        <v>1126</v>
      </c>
      <c r="F2542">
        <v>450</v>
      </c>
    </row>
    <row r="2543" spans="1:6">
      <c r="A2543" t="s">
        <v>160</v>
      </c>
      <c r="B2543" t="s">
        <v>167</v>
      </c>
      <c r="C2543" t="s">
        <v>23</v>
      </c>
      <c r="D2543">
        <v>1.4669280875069156E-2</v>
      </c>
      <c r="E2543">
        <v>1126</v>
      </c>
      <c r="F2543">
        <v>17</v>
      </c>
    </row>
    <row r="2544" spans="1:6">
      <c r="A2544" t="s">
        <v>160</v>
      </c>
      <c r="B2544" t="s">
        <v>168</v>
      </c>
      <c r="C2544" t="s">
        <v>19</v>
      </c>
      <c r="D2544">
        <v>0.6</v>
      </c>
      <c r="E2544">
        <v>53026</v>
      </c>
      <c r="F2544">
        <v>31816</v>
      </c>
    </row>
    <row r="2545" spans="1:6">
      <c r="A2545" t="s">
        <v>160</v>
      </c>
      <c r="B2545" t="s">
        <v>168</v>
      </c>
      <c r="C2545" t="s">
        <v>477</v>
      </c>
      <c r="D2545">
        <v>0.4</v>
      </c>
      <c r="E2545">
        <v>53026</v>
      </c>
      <c r="F2545">
        <v>21210</v>
      </c>
    </row>
    <row r="2546" spans="1:6">
      <c r="A2546" t="s">
        <v>160</v>
      </c>
      <c r="B2546" t="s">
        <v>168</v>
      </c>
      <c r="C2546" t="s">
        <v>23</v>
      </c>
      <c r="D2546">
        <v>9.5569146227355486E-3</v>
      </c>
      <c r="E2546">
        <v>53026</v>
      </c>
      <c r="F2546">
        <v>507</v>
      </c>
    </row>
    <row r="2547" spans="1:6">
      <c r="A2547" t="s">
        <v>160</v>
      </c>
      <c r="B2547" t="s">
        <v>169</v>
      </c>
      <c r="C2547" t="s">
        <v>19</v>
      </c>
      <c r="D2547">
        <v>0.6</v>
      </c>
      <c r="E2547">
        <v>4282</v>
      </c>
      <c r="F2547">
        <v>2569</v>
      </c>
    </row>
    <row r="2548" spans="1:6">
      <c r="A2548" t="s">
        <v>160</v>
      </c>
      <c r="B2548" t="s">
        <v>169</v>
      </c>
      <c r="C2548" t="s">
        <v>477</v>
      </c>
      <c r="D2548">
        <v>0.4</v>
      </c>
      <c r="E2548">
        <v>4282</v>
      </c>
      <c r="F2548">
        <v>1713</v>
      </c>
    </row>
    <row r="2549" spans="1:6">
      <c r="A2549" t="s">
        <v>160</v>
      </c>
      <c r="B2549" t="s">
        <v>169</v>
      </c>
      <c r="C2549" t="s">
        <v>23</v>
      </c>
      <c r="D2549">
        <v>9.660391859821163E-3</v>
      </c>
      <c r="E2549">
        <v>4282</v>
      </c>
      <c r="F2549">
        <v>41</v>
      </c>
    </row>
    <row r="2550" spans="1:6">
      <c r="A2550" t="s">
        <v>160</v>
      </c>
      <c r="B2550" t="s">
        <v>170</v>
      </c>
      <c r="C2550" t="s">
        <v>19</v>
      </c>
      <c r="D2550">
        <v>0.6</v>
      </c>
      <c r="E2550">
        <v>1400</v>
      </c>
      <c r="F2550">
        <v>840</v>
      </c>
    </row>
    <row r="2551" spans="1:6">
      <c r="A2551" t="s">
        <v>160</v>
      </c>
      <c r="B2551" t="s">
        <v>170</v>
      </c>
      <c r="C2551" t="s">
        <v>477</v>
      </c>
      <c r="D2551">
        <v>0.4</v>
      </c>
      <c r="E2551">
        <v>1400</v>
      </c>
      <c r="F2551">
        <v>560</v>
      </c>
    </row>
    <row r="2552" spans="1:6">
      <c r="A2552" t="s">
        <v>160</v>
      </c>
      <c r="B2552" t="s">
        <v>170</v>
      </c>
      <c r="C2552" t="s">
        <v>23</v>
      </c>
      <c r="D2552">
        <v>1.5825341526905401E-2</v>
      </c>
      <c r="E2552">
        <v>1400</v>
      </c>
      <c r="F2552">
        <v>22</v>
      </c>
    </row>
    <row r="2553" spans="1:6">
      <c r="A2553" t="s">
        <v>160</v>
      </c>
      <c r="B2553" t="s">
        <v>171</v>
      </c>
      <c r="C2553" t="s">
        <v>19</v>
      </c>
      <c r="D2553">
        <v>0.6</v>
      </c>
      <c r="E2553">
        <v>2652</v>
      </c>
      <c r="F2553">
        <v>1591</v>
      </c>
    </row>
    <row r="2554" spans="1:6">
      <c r="A2554" t="s">
        <v>160</v>
      </c>
      <c r="B2554" t="s">
        <v>171</v>
      </c>
      <c r="C2554" t="s">
        <v>477</v>
      </c>
      <c r="D2554">
        <v>0.4</v>
      </c>
      <c r="E2554">
        <v>2652</v>
      </c>
      <c r="F2554">
        <v>1061</v>
      </c>
    </row>
    <row r="2555" spans="1:6">
      <c r="A2555" t="s">
        <v>160</v>
      </c>
      <c r="B2555" t="s">
        <v>171</v>
      </c>
      <c r="C2555" t="s">
        <v>23</v>
      </c>
      <c r="D2555">
        <v>1.8563498258615436E-2</v>
      </c>
      <c r="E2555">
        <v>2652</v>
      </c>
      <c r="F2555">
        <v>49</v>
      </c>
    </row>
    <row r="2556" spans="1:6">
      <c r="A2556" t="s">
        <v>160</v>
      </c>
      <c r="B2556" t="s">
        <v>172</v>
      </c>
      <c r="C2556" t="s">
        <v>19</v>
      </c>
      <c r="D2556">
        <v>0.6</v>
      </c>
      <c r="E2556">
        <v>1206</v>
      </c>
      <c r="F2556">
        <v>724</v>
      </c>
    </row>
    <row r="2557" spans="1:6">
      <c r="A2557" t="s">
        <v>160</v>
      </c>
      <c r="B2557" t="s">
        <v>172</v>
      </c>
      <c r="C2557" t="s">
        <v>477</v>
      </c>
      <c r="D2557">
        <v>0.4</v>
      </c>
      <c r="E2557">
        <v>1206</v>
      </c>
      <c r="F2557">
        <v>482</v>
      </c>
    </row>
    <row r="2558" spans="1:6">
      <c r="A2558" t="s">
        <v>160</v>
      </c>
      <c r="B2558" t="s">
        <v>172</v>
      </c>
      <c r="C2558" t="s">
        <v>23</v>
      </c>
      <c r="D2558">
        <v>1.8722434016502931E-2</v>
      </c>
      <c r="E2558">
        <v>1206</v>
      </c>
      <c r="F2558">
        <v>23</v>
      </c>
    </row>
    <row r="2559" spans="1:6">
      <c r="A2559" t="s">
        <v>160</v>
      </c>
      <c r="B2559" t="s">
        <v>173</v>
      </c>
      <c r="C2559" t="s">
        <v>19</v>
      </c>
      <c r="D2559">
        <v>0.6</v>
      </c>
      <c r="E2559">
        <v>3020</v>
      </c>
      <c r="F2559">
        <v>1812</v>
      </c>
    </row>
    <row r="2560" spans="1:6">
      <c r="A2560" t="s">
        <v>160</v>
      </c>
      <c r="B2560" t="s">
        <v>173</v>
      </c>
      <c r="C2560" t="s">
        <v>477</v>
      </c>
      <c r="D2560">
        <v>0.4</v>
      </c>
      <c r="E2560">
        <v>3020</v>
      </c>
      <c r="F2560">
        <v>1208</v>
      </c>
    </row>
    <row r="2561" spans="1:6">
      <c r="A2561" t="s">
        <v>160</v>
      </c>
      <c r="B2561" t="s">
        <v>173</v>
      </c>
      <c r="C2561" t="s">
        <v>23</v>
      </c>
      <c r="D2561">
        <v>8.5500220410740201E-3</v>
      </c>
      <c r="E2561">
        <v>3020</v>
      </c>
      <c r="F2561">
        <v>26</v>
      </c>
    </row>
    <row r="2562" spans="1:6">
      <c r="A2562" t="s">
        <v>160</v>
      </c>
      <c r="B2562" t="s">
        <v>174</v>
      </c>
      <c r="C2562" t="s">
        <v>19</v>
      </c>
      <c r="D2562">
        <v>0.6</v>
      </c>
      <c r="E2562">
        <v>1679</v>
      </c>
      <c r="F2562">
        <v>1007</v>
      </c>
    </row>
    <row r="2563" spans="1:6">
      <c r="A2563" t="s">
        <v>160</v>
      </c>
      <c r="B2563" t="s">
        <v>174</v>
      </c>
      <c r="C2563" t="s">
        <v>477</v>
      </c>
      <c r="D2563">
        <v>0.4</v>
      </c>
      <c r="E2563">
        <v>1679</v>
      </c>
      <c r="F2563">
        <v>672</v>
      </c>
    </row>
    <row r="2564" spans="1:6">
      <c r="A2564" t="s">
        <v>160</v>
      </c>
      <c r="B2564" t="s">
        <v>174</v>
      </c>
      <c r="C2564" t="s">
        <v>23</v>
      </c>
      <c r="D2564">
        <v>3.249826861981786E-4</v>
      </c>
      <c r="E2564">
        <v>1679</v>
      </c>
      <c r="F2564">
        <v>1</v>
      </c>
    </row>
    <row r="2565" spans="1:6">
      <c r="A2565" t="s">
        <v>160</v>
      </c>
      <c r="B2565" t="s">
        <v>175</v>
      </c>
      <c r="C2565" t="s">
        <v>19</v>
      </c>
      <c r="D2565">
        <v>0.6</v>
      </c>
      <c r="E2565">
        <v>600</v>
      </c>
      <c r="F2565">
        <v>360</v>
      </c>
    </row>
    <row r="2566" spans="1:6">
      <c r="A2566" t="s">
        <v>160</v>
      </c>
      <c r="B2566" t="s">
        <v>175</v>
      </c>
      <c r="C2566" t="s">
        <v>477</v>
      </c>
      <c r="D2566">
        <v>0.4</v>
      </c>
      <c r="E2566">
        <v>600</v>
      </c>
      <c r="F2566">
        <v>240</v>
      </c>
    </row>
    <row r="2567" spans="1:6">
      <c r="A2567" t="s">
        <v>160</v>
      </c>
      <c r="B2567" t="s">
        <v>175</v>
      </c>
      <c r="C2567" t="s">
        <v>23</v>
      </c>
      <c r="D2567">
        <v>1.6695722013552794E-2</v>
      </c>
      <c r="E2567">
        <v>600</v>
      </c>
      <c r="F2567">
        <v>10</v>
      </c>
    </row>
    <row r="2568" spans="1:6">
      <c r="A2568" t="s">
        <v>160</v>
      </c>
      <c r="B2568" t="s">
        <v>176</v>
      </c>
      <c r="C2568" t="s">
        <v>19</v>
      </c>
      <c r="D2568">
        <v>0.6</v>
      </c>
      <c r="E2568">
        <v>1899</v>
      </c>
      <c r="F2568">
        <v>1139</v>
      </c>
    </row>
    <row r="2569" spans="1:6">
      <c r="A2569" t="s">
        <v>160</v>
      </c>
      <c r="B2569" t="s">
        <v>176</v>
      </c>
      <c r="C2569" t="s">
        <v>477</v>
      </c>
      <c r="D2569">
        <v>0.4</v>
      </c>
      <c r="E2569">
        <v>1899</v>
      </c>
      <c r="F2569">
        <v>760</v>
      </c>
    </row>
    <row r="2570" spans="1:6">
      <c r="A2570" t="s">
        <v>160</v>
      </c>
      <c r="B2570" t="s">
        <v>176</v>
      </c>
      <c r="C2570" t="s">
        <v>23</v>
      </c>
      <c r="D2570">
        <v>1.5641462856143533E-2</v>
      </c>
      <c r="E2570">
        <v>1899</v>
      </c>
      <c r="F2570">
        <v>30</v>
      </c>
    </row>
    <row r="2571" spans="1:6">
      <c r="A2571" t="s">
        <v>160</v>
      </c>
      <c r="B2571" t="s">
        <v>177</v>
      </c>
      <c r="C2571" t="s">
        <v>19</v>
      </c>
      <c r="D2571">
        <v>0.6</v>
      </c>
      <c r="E2571">
        <v>851</v>
      </c>
      <c r="F2571">
        <v>511</v>
      </c>
    </row>
    <row r="2572" spans="1:6">
      <c r="A2572" t="s">
        <v>160</v>
      </c>
      <c r="B2572" t="s">
        <v>177</v>
      </c>
      <c r="C2572" t="s">
        <v>477</v>
      </c>
      <c r="D2572">
        <v>0.4</v>
      </c>
      <c r="E2572">
        <v>851</v>
      </c>
      <c r="F2572">
        <v>340</v>
      </c>
    </row>
    <row r="2573" spans="1:6">
      <c r="A2573" t="s">
        <v>160</v>
      </c>
      <c r="B2573" t="s">
        <v>177</v>
      </c>
      <c r="C2573" t="s">
        <v>23</v>
      </c>
      <c r="D2573">
        <v>1.3857268186530512E-2</v>
      </c>
      <c r="E2573">
        <v>851</v>
      </c>
      <c r="F2573">
        <v>12</v>
      </c>
    </row>
    <row r="2574" spans="1:6">
      <c r="A2574" t="s">
        <v>160</v>
      </c>
      <c r="B2574" t="s">
        <v>178</v>
      </c>
      <c r="C2574" t="s">
        <v>19</v>
      </c>
      <c r="D2574">
        <v>0.6</v>
      </c>
      <c r="E2574">
        <v>698</v>
      </c>
      <c r="F2574">
        <v>419</v>
      </c>
    </row>
    <row r="2575" spans="1:6">
      <c r="A2575" t="s">
        <v>160</v>
      </c>
      <c r="B2575" t="s">
        <v>178</v>
      </c>
      <c r="C2575" t="s">
        <v>477</v>
      </c>
      <c r="D2575">
        <v>0.4</v>
      </c>
      <c r="E2575">
        <v>698</v>
      </c>
      <c r="F2575">
        <v>279</v>
      </c>
    </row>
    <row r="2576" spans="1:6">
      <c r="A2576" t="s">
        <v>160</v>
      </c>
      <c r="B2576" t="s">
        <v>178</v>
      </c>
      <c r="C2576" t="s">
        <v>23</v>
      </c>
      <c r="D2576">
        <v>1.8253056072135808E-2</v>
      </c>
      <c r="E2576">
        <v>698</v>
      </c>
      <c r="F2576">
        <v>13</v>
      </c>
    </row>
    <row r="2577" spans="1:6">
      <c r="A2577" t="s">
        <v>160</v>
      </c>
      <c r="B2577" t="s">
        <v>179</v>
      </c>
      <c r="C2577" t="s">
        <v>19</v>
      </c>
      <c r="D2577">
        <v>0.6</v>
      </c>
      <c r="E2577">
        <v>759</v>
      </c>
      <c r="F2577">
        <v>455</v>
      </c>
    </row>
    <row r="2578" spans="1:6">
      <c r="A2578" t="s">
        <v>160</v>
      </c>
      <c r="B2578" t="s">
        <v>179</v>
      </c>
      <c r="C2578" t="s">
        <v>477</v>
      </c>
      <c r="D2578">
        <v>0.4</v>
      </c>
      <c r="E2578">
        <v>759</v>
      </c>
      <c r="F2578">
        <v>304</v>
      </c>
    </row>
    <row r="2579" spans="1:6">
      <c r="A2579" t="s">
        <v>160</v>
      </c>
      <c r="B2579" t="s">
        <v>179</v>
      </c>
      <c r="C2579" t="s">
        <v>23</v>
      </c>
      <c r="D2579">
        <v>1.8061698489137263E-2</v>
      </c>
      <c r="E2579">
        <v>759</v>
      </c>
      <c r="F2579">
        <v>14</v>
      </c>
    </row>
    <row r="2580" spans="1:6">
      <c r="A2580" t="s">
        <v>160</v>
      </c>
      <c r="B2580" t="s">
        <v>180</v>
      </c>
      <c r="C2580" t="s">
        <v>19</v>
      </c>
      <c r="D2580">
        <v>0.6</v>
      </c>
      <c r="E2580">
        <v>515</v>
      </c>
      <c r="F2580">
        <v>309</v>
      </c>
    </row>
    <row r="2581" spans="1:6">
      <c r="A2581" t="s">
        <v>160</v>
      </c>
      <c r="B2581" t="s">
        <v>180</v>
      </c>
      <c r="C2581" t="s">
        <v>477</v>
      </c>
      <c r="D2581">
        <v>0.4</v>
      </c>
      <c r="E2581">
        <v>515</v>
      </c>
      <c r="F2581">
        <v>206</v>
      </c>
    </row>
    <row r="2582" spans="1:6">
      <c r="A2582" t="s">
        <v>160</v>
      </c>
      <c r="B2582" t="s">
        <v>180</v>
      </c>
      <c r="C2582" t="s">
        <v>23</v>
      </c>
      <c r="D2582">
        <v>1.0949381839230578E-2</v>
      </c>
      <c r="E2582">
        <v>515</v>
      </c>
      <c r="F2582">
        <v>6</v>
      </c>
    </row>
    <row r="2583" spans="1:6">
      <c r="A2583" t="s">
        <v>160</v>
      </c>
      <c r="B2583" t="s">
        <v>181</v>
      </c>
      <c r="C2583" t="s">
        <v>19</v>
      </c>
      <c r="D2583">
        <v>0.6</v>
      </c>
      <c r="E2583">
        <v>386</v>
      </c>
      <c r="F2583">
        <v>232</v>
      </c>
    </row>
    <row r="2584" spans="1:6">
      <c r="A2584" t="s">
        <v>160</v>
      </c>
      <c r="B2584" t="s">
        <v>181</v>
      </c>
      <c r="C2584" t="s">
        <v>477</v>
      </c>
      <c r="D2584">
        <v>0.4</v>
      </c>
      <c r="E2584">
        <v>386</v>
      </c>
      <c r="F2584">
        <v>154</v>
      </c>
    </row>
    <row r="2585" spans="1:6">
      <c r="A2585" t="s">
        <v>160</v>
      </c>
      <c r="B2585" t="s">
        <v>181</v>
      </c>
      <c r="C2585" t="s">
        <v>23</v>
      </c>
      <c r="D2585">
        <v>1.6933485132741184E-2</v>
      </c>
      <c r="E2585">
        <v>386</v>
      </c>
      <c r="F2585">
        <v>7</v>
      </c>
    </row>
    <row r="2586" spans="1:6">
      <c r="A2586" t="s">
        <v>160</v>
      </c>
      <c r="B2586" t="s">
        <v>182</v>
      </c>
      <c r="C2586" t="s">
        <v>19</v>
      </c>
      <c r="D2586">
        <v>0.6</v>
      </c>
      <c r="E2586">
        <v>1007</v>
      </c>
      <c r="F2586">
        <v>604</v>
      </c>
    </row>
    <row r="2587" spans="1:6">
      <c r="A2587" t="s">
        <v>160</v>
      </c>
      <c r="B2587" t="s">
        <v>182</v>
      </c>
      <c r="C2587" t="s">
        <v>477</v>
      </c>
      <c r="D2587">
        <v>0.4</v>
      </c>
      <c r="E2587">
        <v>1007</v>
      </c>
      <c r="F2587">
        <v>403</v>
      </c>
    </row>
    <row r="2588" spans="1:6">
      <c r="A2588" t="s">
        <v>160</v>
      </c>
      <c r="B2588" t="s">
        <v>182</v>
      </c>
      <c r="C2588" t="s">
        <v>23</v>
      </c>
      <c r="D2588">
        <v>7.4537184696720354E-3</v>
      </c>
      <c r="E2588">
        <v>1007</v>
      </c>
      <c r="F2588">
        <v>8</v>
      </c>
    </row>
    <row r="2589" spans="1:6">
      <c r="A2589" t="s">
        <v>160</v>
      </c>
      <c r="B2589" t="s">
        <v>183</v>
      </c>
      <c r="C2589" t="s">
        <v>19</v>
      </c>
      <c r="D2589">
        <v>0.6</v>
      </c>
      <c r="E2589">
        <v>313</v>
      </c>
      <c r="F2589">
        <v>188</v>
      </c>
    </row>
    <row r="2590" spans="1:6">
      <c r="A2590" t="s">
        <v>160</v>
      </c>
      <c r="B2590" t="s">
        <v>183</v>
      </c>
      <c r="C2590" t="s">
        <v>477</v>
      </c>
      <c r="D2590">
        <v>0.4</v>
      </c>
      <c r="E2590">
        <v>313</v>
      </c>
      <c r="F2590">
        <v>125</v>
      </c>
    </row>
    <row r="2591" spans="1:6">
      <c r="A2591" t="s">
        <v>160</v>
      </c>
      <c r="B2591" t="s">
        <v>183</v>
      </c>
      <c r="C2591" t="s">
        <v>23</v>
      </c>
      <c r="D2591">
        <v>3.5835673023301706E-3</v>
      </c>
      <c r="E2591">
        <v>313</v>
      </c>
      <c r="F2591">
        <v>1</v>
      </c>
    </row>
    <row r="2592" spans="1:6">
      <c r="A2592" t="s">
        <v>160</v>
      </c>
      <c r="B2592" t="s">
        <v>184</v>
      </c>
      <c r="C2592" t="s">
        <v>19</v>
      </c>
      <c r="D2592">
        <v>0.6</v>
      </c>
      <c r="E2592">
        <v>730</v>
      </c>
      <c r="F2592">
        <v>438</v>
      </c>
    </row>
    <row r="2593" spans="1:6">
      <c r="A2593" t="s">
        <v>160</v>
      </c>
      <c r="B2593" t="s">
        <v>184</v>
      </c>
      <c r="C2593" t="s">
        <v>477</v>
      </c>
      <c r="D2593">
        <v>0.4</v>
      </c>
      <c r="E2593">
        <v>730</v>
      </c>
      <c r="F2593">
        <v>292</v>
      </c>
    </row>
    <row r="2594" spans="1:6">
      <c r="A2594" t="s">
        <v>160</v>
      </c>
      <c r="B2594" t="s">
        <v>184</v>
      </c>
      <c r="C2594" t="s">
        <v>23</v>
      </c>
      <c r="D2594">
        <v>7.9202045095485233E-3</v>
      </c>
      <c r="E2594">
        <v>730</v>
      </c>
      <c r="F2594">
        <v>6</v>
      </c>
    </row>
    <row r="2595" spans="1:6">
      <c r="A2595" t="s">
        <v>160</v>
      </c>
      <c r="B2595" t="s">
        <v>185</v>
      </c>
      <c r="C2595" t="s">
        <v>19</v>
      </c>
      <c r="D2595">
        <v>0.6</v>
      </c>
      <c r="E2595">
        <v>508</v>
      </c>
      <c r="F2595">
        <v>305</v>
      </c>
    </row>
    <row r="2596" spans="1:6">
      <c r="A2596" t="s">
        <v>160</v>
      </c>
      <c r="B2596" t="s">
        <v>185</v>
      </c>
      <c r="C2596" t="s">
        <v>477</v>
      </c>
      <c r="D2596">
        <v>0.4</v>
      </c>
      <c r="E2596">
        <v>508</v>
      </c>
      <c r="F2596">
        <v>203</v>
      </c>
    </row>
    <row r="2597" spans="1:6">
      <c r="A2597" t="s">
        <v>160</v>
      </c>
      <c r="B2597" t="s">
        <v>185</v>
      </c>
      <c r="C2597" t="s">
        <v>23</v>
      </c>
      <c r="D2597">
        <v>8.2715184783348113E-3</v>
      </c>
      <c r="E2597">
        <v>508</v>
      </c>
      <c r="F2597">
        <v>4</v>
      </c>
    </row>
    <row r="2598" spans="1:6">
      <c r="A2598" t="s">
        <v>160</v>
      </c>
      <c r="B2598" t="s">
        <v>186</v>
      </c>
      <c r="C2598" t="s">
        <v>19</v>
      </c>
      <c r="D2598">
        <v>0.6</v>
      </c>
      <c r="E2598">
        <v>639</v>
      </c>
      <c r="F2598">
        <v>383</v>
      </c>
    </row>
    <row r="2599" spans="1:6">
      <c r="A2599" t="s">
        <v>160</v>
      </c>
      <c r="B2599" t="s">
        <v>186</v>
      </c>
      <c r="C2599" t="s">
        <v>477</v>
      </c>
      <c r="D2599">
        <v>0.4</v>
      </c>
      <c r="E2599">
        <v>639</v>
      </c>
      <c r="F2599">
        <v>256</v>
      </c>
    </row>
    <row r="2600" spans="1:6">
      <c r="A2600" t="s">
        <v>160</v>
      </c>
      <c r="B2600" t="s">
        <v>186</v>
      </c>
      <c r="C2600" t="s">
        <v>23</v>
      </c>
      <c r="D2600">
        <v>1.9759467016572458E-2</v>
      </c>
      <c r="E2600">
        <v>639</v>
      </c>
      <c r="F2600">
        <v>13</v>
      </c>
    </row>
    <row r="2601" spans="1:6">
      <c r="A2601" t="s">
        <v>160</v>
      </c>
      <c r="B2601" t="s">
        <v>187</v>
      </c>
      <c r="C2601" t="s">
        <v>19</v>
      </c>
      <c r="D2601">
        <v>0.6</v>
      </c>
      <c r="E2601">
        <v>343</v>
      </c>
      <c r="F2601">
        <v>206</v>
      </c>
    </row>
    <row r="2602" spans="1:6">
      <c r="A2602" t="s">
        <v>160</v>
      </c>
      <c r="B2602" t="s">
        <v>187</v>
      </c>
      <c r="C2602" t="s">
        <v>477</v>
      </c>
      <c r="D2602">
        <v>0.4</v>
      </c>
      <c r="E2602">
        <v>343</v>
      </c>
      <c r="F2602">
        <v>137</v>
      </c>
    </row>
    <row r="2603" spans="1:6">
      <c r="A2603" t="s">
        <v>160</v>
      </c>
      <c r="B2603" t="s">
        <v>187</v>
      </c>
      <c r="C2603" t="s">
        <v>23</v>
      </c>
      <c r="D2603">
        <v>5.9364769924460069E-3</v>
      </c>
      <c r="E2603">
        <v>343</v>
      </c>
      <c r="F2603">
        <v>2</v>
      </c>
    </row>
    <row r="2604" spans="1:6">
      <c r="A2604" t="s">
        <v>160</v>
      </c>
      <c r="B2604" t="s">
        <v>188</v>
      </c>
      <c r="C2604" t="s">
        <v>19</v>
      </c>
      <c r="D2604">
        <v>0.6</v>
      </c>
      <c r="E2604">
        <v>2322</v>
      </c>
      <c r="F2604">
        <v>1393</v>
      </c>
    </row>
    <row r="2605" spans="1:6">
      <c r="A2605" t="s">
        <v>160</v>
      </c>
      <c r="B2605" t="s">
        <v>188</v>
      </c>
      <c r="C2605" t="s">
        <v>477</v>
      </c>
      <c r="D2605">
        <v>0.4</v>
      </c>
      <c r="E2605">
        <v>2322</v>
      </c>
      <c r="F2605">
        <v>929</v>
      </c>
    </row>
    <row r="2606" spans="1:6">
      <c r="A2606" t="s">
        <v>160</v>
      </c>
      <c r="B2606" t="s">
        <v>188</v>
      </c>
      <c r="C2606" t="s">
        <v>23</v>
      </c>
      <c r="D2606">
        <v>4.7827104329357748E-3</v>
      </c>
      <c r="E2606">
        <v>2322</v>
      </c>
      <c r="F2606">
        <v>11</v>
      </c>
    </row>
    <row r="2607" spans="1:6">
      <c r="A2607" t="s">
        <v>160</v>
      </c>
      <c r="B2607" t="s">
        <v>189</v>
      </c>
      <c r="C2607" t="s">
        <v>19</v>
      </c>
      <c r="D2607">
        <v>0.6</v>
      </c>
      <c r="E2607">
        <v>1068</v>
      </c>
      <c r="F2607">
        <v>641</v>
      </c>
    </row>
    <row r="2608" spans="1:6">
      <c r="A2608" t="s">
        <v>160</v>
      </c>
      <c r="B2608" t="s">
        <v>189</v>
      </c>
      <c r="C2608" t="s">
        <v>477</v>
      </c>
      <c r="D2608">
        <v>0.4</v>
      </c>
      <c r="E2608">
        <v>1068</v>
      </c>
      <c r="F2608">
        <v>427</v>
      </c>
    </row>
    <row r="2609" spans="1:6">
      <c r="A2609" t="s">
        <v>160</v>
      </c>
      <c r="B2609" t="s">
        <v>189</v>
      </c>
      <c r="C2609" t="s">
        <v>23</v>
      </c>
      <c r="D2609">
        <v>1.7158149356568425E-2</v>
      </c>
      <c r="E2609">
        <v>1068</v>
      </c>
      <c r="F2609">
        <v>18</v>
      </c>
    </row>
    <row r="2610" spans="1:6">
      <c r="A2610" t="s">
        <v>160</v>
      </c>
      <c r="B2610" t="s">
        <v>191</v>
      </c>
      <c r="C2610" t="s">
        <v>19</v>
      </c>
      <c r="D2610">
        <v>0.6</v>
      </c>
      <c r="E2610">
        <v>910</v>
      </c>
      <c r="F2610">
        <v>546</v>
      </c>
    </row>
    <row r="2611" spans="1:6">
      <c r="A2611" t="s">
        <v>160</v>
      </c>
      <c r="B2611" t="s">
        <v>191</v>
      </c>
      <c r="C2611" t="s">
        <v>477</v>
      </c>
      <c r="D2611">
        <v>0.4</v>
      </c>
      <c r="E2611">
        <v>910</v>
      </c>
      <c r="F2611">
        <v>364</v>
      </c>
    </row>
    <row r="2612" spans="1:6">
      <c r="A2612" t="s">
        <v>160</v>
      </c>
      <c r="B2612" t="s">
        <v>191</v>
      </c>
      <c r="C2612" t="s">
        <v>23</v>
      </c>
      <c r="D2612">
        <v>1.6397630554389139E-2</v>
      </c>
      <c r="E2612">
        <v>910</v>
      </c>
      <c r="F2612">
        <v>15</v>
      </c>
    </row>
    <row r="2613" spans="1:6">
      <c r="A2613" t="s">
        <v>190</v>
      </c>
      <c r="B2613" t="s">
        <v>192</v>
      </c>
      <c r="C2613" t="s">
        <v>19</v>
      </c>
      <c r="D2613">
        <v>0.6</v>
      </c>
      <c r="E2613">
        <v>1261</v>
      </c>
      <c r="F2613">
        <v>757</v>
      </c>
    </row>
    <row r="2614" spans="1:6">
      <c r="A2614" t="s">
        <v>190</v>
      </c>
      <c r="B2614" t="s">
        <v>192</v>
      </c>
      <c r="C2614" t="s">
        <v>477</v>
      </c>
      <c r="D2614">
        <v>0.4</v>
      </c>
      <c r="E2614">
        <v>1261</v>
      </c>
      <c r="F2614">
        <v>504</v>
      </c>
    </row>
    <row r="2615" spans="1:6">
      <c r="A2615" t="s">
        <v>190</v>
      </c>
      <c r="B2615" t="s">
        <v>192</v>
      </c>
      <c r="C2615" t="s">
        <v>23</v>
      </c>
      <c r="D2615">
        <v>9.0844744535643479E-3</v>
      </c>
      <c r="E2615">
        <v>1261</v>
      </c>
      <c r="F2615">
        <v>11</v>
      </c>
    </row>
    <row r="2616" spans="1:6">
      <c r="A2616" t="s">
        <v>190</v>
      </c>
      <c r="B2616" t="s">
        <v>193</v>
      </c>
      <c r="C2616" t="s">
        <v>19</v>
      </c>
      <c r="D2616">
        <v>0.6</v>
      </c>
      <c r="E2616">
        <v>2654</v>
      </c>
      <c r="F2616">
        <v>1592</v>
      </c>
    </row>
    <row r="2617" spans="1:6">
      <c r="A2617" t="s">
        <v>190</v>
      </c>
      <c r="B2617" t="s">
        <v>193</v>
      </c>
      <c r="C2617" t="s">
        <v>477</v>
      </c>
      <c r="D2617">
        <v>0.4</v>
      </c>
      <c r="E2617">
        <v>2654</v>
      </c>
      <c r="F2617">
        <v>1062</v>
      </c>
    </row>
    <row r="2618" spans="1:6">
      <c r="A2618" t="s">
        <v>190</v>
      </c>
      <c r="B2618" t="s">
        <v>193</v>
      </c>
      <c r="C2618" t="s">
        <v>23</v>
      </c>
      <c r="D2618">
        <v>8.3522429662563086E-3</v>
      </c>
      <c r="E2618">
        <v>2654</v>
      </c>
      <c r="F2618">
        <v>22</v>
      </c>
    </row>
    <row r="2619" spans="1:6">
      <c r="A2619" t="s">
        <v>190</v>
      </c>
      <c r="B2619" t="s">
        <v>194</v>
      </c>
      <c r="C2619" t="s">
        <v>19</v>
      </c>
      <c r="D2619">
        <v>0.6</v>
      </c>
      <c r="E2619">
        <v>4073</v>
      </c>
      <c r="F2619">
        <v>2444</v>
      </c>
    </row>
    <row r="2620" spans="1:6">
      <c r="A2620" t="s">
        <v>190</v>
      </c>
      <c r="B2620" t="s">
        <v>194</v>
      </c>
      <c r="C2620" t="s">
        <v>477</v>
      </c>
      <c r="D2620">
        <v>0.4</v>
      </c>
      <c r="E2620">
        <v>4073</v>
      </c>
      <c r="F2620">
        <v>1629</v>
      </c>
    </row>
    <row r="2621" spans="1:6">
      <c r="A2621" t="s">
        <v>190</v>
      </c>
      <c r="B2621" t="s">
        <v>194</v>
      </c>
      <c r="C2621" t="s">
        <v>23</v>
      </c>
      <c r="D2621">
        <v>1.9361974541401105E-2</v>
      </c>
      <c r="E2621">
        <v>4073</v>
      </c>
      <c r="F2621">
        <v>79</v>
      </c>
    </row>
    <row r="2622" spans="1:6">
      <c r="A2622" t="s">
        <v>190</v>
      </c>
      <c r="B2622" t="s">
        <v>195</v>
      </c>
      <c r="C2622" t="s">
        <v>19</v>
      </c>
      <c r="D2622">
        <v>0.6</v>
      </c>
      <c r="E2622">
        <v>4851</v>
      </c>
      <c r="F2622">
        <v>2911</v>
      </c>
    </row>
    <row r="2623" spans="1:6">
      <c r="A2623" t="s">
        <v>190</v>
      </c>
      <c r="B2623" t="s">
        <v>195</v>
      </c>
      <c r="C2623" t="s">
        <v>477</v>
      </c>
      <c r="D2623">
        <v>0.4</v>
      </c>
      <c r="E2623">
        <v>4851</v>
      </c>
      <c r="F2623">
        <v>1940</v>
      </c>
    </row>
    <row r="2624" spans="1:6">
      <c r="A2624" t="s">
        <v>190</v>
      </c>
      <c r="B2624" t="s">
        <v>195</v>
      </c>
      <c r="C2624" t="s">
        <v>23</v>
      </c>
      <c r="D2624">
        <v>5.670725756666644E-3</v>
      </c>
      <c r="E2624">
        <v>4851</v>
      </c>
      <c r="F2624">
        <v>28</v>
      </c>
    </row>
    <row r="2625" spans="1:6">
      <c r="A2625" t="s">
        <v>190</v>
      </c>
      <c r="B2625" t="s">
        <v>196</v>
      </c>
      <c r="C2625" t="s">
        <v>19</v>
      </c>
      <c r="D2625">
        <v>0.6</v>
      </c>
      <c r="E2625">
        <v>1949</v>
      </c>
      <c r="F2625">
        <v>1169</v>
      </c>
    </row>
    <row r="2626" spans="1:6">
      <c r="A2626" t="s">
        <v>190</v>
      </c>
      <c r="B2626" t="s">
        <v>196</v>
      </c>
      <c r="C2626" t="s">
        <v>477</v>
      </c>
      <c r="D2626">
        <v>0.4</v>
      </c>
      <c r="E2626">
        <v>1949</v>
      </c>
      <c r="F2626">
        <v>780</v>
      </c>
    </row>
    <row r="2627" spans="1:6">
      <c r="A2627" t="s">
        <v>190</v>
      </c>
      <c r="B2627" t="s">
        <v>196</v>
      </c>
      <c r="C2627" t="s">
        <v>23</v>
      </c>
      <c r="D2627">
        <v>1.7520811323032279E-2</v>
      </c>
      <c r="E2627">
        <v>1949</v>
      </c>
      <c r="F2627">
        <v>34</v>
      </c>
    </row>
    <row r="2628" spans="1:6">
      <c r="A2628" t="s">
        <v>190</v>
      </c>
      <c r="B2628" t="s">
        <v>197</v>
      </c>
      <c r="C2628" t="s">
        <v>19</v>
      </c>
      <c r="D2628">
        <v>0.6</v>
      </c>
      <c r="E2628">
        <v>3728</v>
      </c>
      <c r="F2628">
        <v>2237</v>
      </c>
    </row>
    <row r="2629" spans="1:6">
      <c r="A2629" t="s">
        <v>190</v>
      </c>
      <c r="B2629" t="s">
        <v>197</v>
      </c>
      <c r="C2629" t="s">
        <v>477</v>
      </c>
      <c r="D2629">
        <v>0.4</v>
      </c>
      <c r="E2629">
        <v>3728</v>
      </c>
      <c r="F2629">
        <v>1491</v>
      </c>
    </row>
    <row r="2630" spans="1:6">
      <c r="A2630" t="s">
        <v>190</v>
      </c>
      <c r="B2630" t="s">
        <v>197</v>
      </c>
      <c r="C2630" t="s">
        <v>23</v>
      </c>
      <c r="D2630">
        <v>5.7682306895122789E-3</v>
      </c>
      <c r="E2630">
        <v>3728</v>
      </c>
      <c r="F2630">
        <v>22</v>
      </c>
    </row>
    <row r="2631" spans="1:6">
      <c r="A2631" t="s">
        <v>190</v>
      </c>
      <c r="B2631" t="s">
        <v>198</v>
      </c>
      <c r="C2631" t="s">
        <v>19</v>
      </c>
      <c r="D2631">
        <v>0.6</v>
      </c>
      <c r="E2631">
        <v>1102</v>
      </c>
      <c r="F2631">
        <v>661</v>
      </c>
    </row>
    <row r="2632" spans="1:6">
      <c r="A2632" t="s">
        <v>190</v>
      </c>
      <c r="B2632" t="s">
        <v>198</v>
      </c>
      <c r="C2632" t="s">
        <v>477</v>
      </c>
      <c r="D2632">
        <v>0.4</v>
      </c>
      <c r="E2632">
        <v>1102</v>
      </c>
      <c r="F2632">
        <v>441</v>
      </c>
    </row>
    <row r="2633" spans="1:6">
      <c r="A2633" t="s">
        <v>190</v>
      </c>
      <c r="B2633" t="s">
        <v>198</v>
      </c>
      <c r="C2633" t="s">
        <v>23</v>
      </c>
      <c r="D2633">
        <v>2.9372921614502293E-3</v>
      </c>
      <c r="E2633">
        <v>1102</v>
      </c>
      <c r="F2633">
        <v>3</v>
      </c>
    </row>
    <row r="2634" spans="1:6">
      <c r="A2634" t="s">
        <v>190</v>
      </c>
      <c r="B2634" t="s">
        <v>190</v>
      </c>
      <c r="C2634" t="s">
        <v>19</v>
      </c>
      <c r="D2634">
        <v>0.6</v>
      </c>
      <c r="E2634">
        <v>20991</v>
      </c>
      <c r="F2634">
        <v>12595</v>
      </c>
    </row>
    <row r="2635" spans="1:6">
      <c r="A2635" t="s">
        <v>190</v>
      </c>
      <c r="B2635" t="s">
        <v>190</v>
      </c>
      <c r="C2635" t="s">
        <v>477</v>
      </c>
      <c r="D2635">
        <v>0.4</v>
      </c>
      <c r="E2635">
        <v>20991</v>
      </c>
      <c r="F2635">
        <v>8396</v>
      </c>
    </row>
    <row r="2636" spans="1:6">
      <c r="A2636" t="s">
        <v>190</v>
      </c>
      <c r="B2636" t="s">
        <v>190</v>
      </c>
      <c r="C2636" t="s">
        <v>23</v>
      </c>
      <c r="D2636">
        <v>1.5095458464039587E-2</v>
      </c>
      <c r="E2636">
        <v>20991</v>
      </c>
      <c r="F2636">
        <v>317</v>
      </c>
    </row>
    <row r="2637" spans="1:6">
      <c r="A2637" t="s">
        <v>190</v>
      </c>
      <c r="B2637" t="s">
        <v>199</v>
      </c>
      <c r="C2637" t="s">
        <v>19</v>
      </c>
      <c r="D2637">
        <v>0.6</v>
      </c>
      <c r="E2637">
        <v>1034</v>
      </c>
      <c r="F2637">
        <v>620</v>
      </c>
    </row>
    <row r="2638" spans="1:6">
      <c r="A2638" t="s">
        <v>190</v>
      </c>
      <c r="B2638" t="s">
        <v>199</v>
      </c>
      <c r="C2638" t="s">
        <v>477</v>
      </c>
      <c r="D2638">
        <v>0.4</v>
      </c>
      <c r="E2638">
        <v>1034</v>
      </c>
      <c r="F2638">
        <v>414</v>
      </c>
    </row>
    <row r="2639" spans="1:6">
      <c r="A2639" t="s">
        <v>190</v>
      </c>
      <c r="B2639" t="s">
        <v>199</v>
      </c>
      <c r="C2639" t="s">
        <v>23</v>
      </c>
      <c r="D2639">
        <v>1.2220401412077015E-2</v>
      </c>
      <c r="E2639">
        <v>1034</v>
      </c>
      <c r="F2639">
        <v>13</v>
      </c>
    </row>
    <row r="2640" spans="1:6">
      <c r="A2640" t="s">
        <v>190</v>
      </c>
      <c r="B2640" t="s">
        <v>200</v>
      </c>
      <c r="C2640" t="s">
        <v>19</v>
      </c>
      <c r="D2640">
        <v>0.6</v>
      </c>
      <c r="E2640">
        <v>1348</v>
      </c>
      <c r="F2640">
        <v>809</v>
      </c>
    </row>
    <row r="2641" spans="1:6">
      <c r="A2641" t="s">
        <v>190</v>
      </c>
      <c r="B2641" t="s">
        <v>200</v>
      </c>
      <c r="C2641" t="s">
        <v>477</v>
      </c>
      <c r="D2641">
        <v>0.4</v>
      </c>
      <c r="E2641">
        <v>1348</v>
      </c>
      <c r="F2641">
        <v>539</v>
      </c>
    </row>
    <row r="2642" spans="1:6">
      <c r="A2642" t="s">
        <v>190</v>
      </c>
      <c r="B2642" t="s">
        <v>200</v>
      </c>
      <c r="C2642" t="s">
        <v>23</v>
      </c>
      <c r="D2642">
        <v>1.5630717181765608E-2</v>
      </c>
      <c r="E2642">
        <v>1348</v>
      </c>
      <c r="F2642">
        <v>21</v>
      </c>
    </row>
    <row r="2643" spans="1:6">
      <c r="A2643" t="s">
        <v>190</v>
      </c>
      <c r="B2643" t="s">
        <v>201</v>
      </c>
      <c r="C2643" t="s">
        <v>19</v>
      </c>
      <c r="D2643">
        <v>0.6</v>
      </c>
      <c r="E2643">
        <v>715</v>
      </c>
      <c r="F2643">
        <v>429</v>
      </c>
    </row>
    <row r="2644" spans="1:6">
      <c r="A2644" t="s">
        <v>190</v>
      </c>
      <c r="B2644" t="s">
        <v>201</v>
      </c>
      <c r="C2644" t="s">
        <v>477</v>
      </c>
      <c r="D2644">
        <v>0.4</v>
      </c>
      <c r="E2644">
        <v>715</v>
      </c>
      <c r="F2644">
        <v>286</v>
      </c>
    </row>
    <row r="2645" spans="1:6">
      <c r="A2645" t="s">
        <v>190</v>
      </c>
      <c r="B2645" t="s">
        <v>201</v>
      </c>
      <c r="C2645" t="s">
        <v>23</v>
      </c>
      <c r="D2645">
        <v>1.3349577494414868E-2</v>
      </c>
      <c r="E2645">
        <v>715</v>
      </c>
      <c r="F2645">
        <v>10</v>
      </c>
    </row>
    <row r="2646" spans="1:6">
      <c r="A2646" t="s">
        <v>190</v>
      </c>
      <c r="B2646" t="s">
        <v>202</v>
      </c>
      <c r="C2646" t="s">
        <v>19</v>
      </c>
      <c r="D2646">
        <v>0.6</v>
      </c>
      <c r="E2646">
        <v>481</v>
      </c>
      <c r="F2646">
        <v>289</v>
      </c>
    </row>
    <row r="2647" spans="1:6">
      <c r="A2647" t="s">
        <v>190</v>
      </c>
      <c r="B2647" t="s">
        <v>202</v>
      </c>
      <c r="C2647" t="s">
        <v>477</v>
      </c>
      <c r="D2647">
        <v>0.4</v>
      </c>
      <c r="E2647">
        <v>481</v>
      </c>
      <c r="F2647">
        <v>192</v>
      </c>
    </row>
    <row r="2648" spans="1:6">
      <c r="A2648" t="s">
        <v>190</v>
      </c>
      <c r="B2648" t="s">
        <v>202</v>
      </c>
      <c r="C2648" t="s">
        <v>23</v>
      </c>
      <c r="D2648">
        <v>1.0999644593200278E-2</v>
      </c>
      <c r="E2648">
        <v>481</v>
      </c>
      <c r="F2648">
        <v>5</v>
      </c>
    </row>
    <row r="2649" spans="1:6">
      <c r="A2649" t="s">
        <v>190</v>
      </c>
      <c r="B2649" t="s">
        <v>203</v>
      </c>
      <c r="C2649" t="s">
        <v>19</v>
      </c>
      <c r="D2649">
        <v>0.6</v>
      </c>
      <c r="E2649">
        <v>566</v>
      </c>
      <c r="F2649">
        <v>340</v>
      </c>
    </row>
    <row r="2650" spans="1:6">
      <c r="A2650" t="s">
        <v>190</v>
      </c>
      <c r="B2650" t="s">
        <v>203</v>
      </c>
      <c r="C2650" t="s">
        <v>477</v>
      </c>
      <c r="D2650">
        <v>0.4</v>
      </c>
      <c r="E2650">
        <v>566</v>
      </c>
      <c r="F2650">
        <v>226</v>
      </c>
    </row>
    <row r="2651" spans="1:6">
      <c r="A2651" t="s">
        <v>190</v>
      </c>
      <c r="B2651" t="s">
        <v>203</v>
      </c>
      <c r="C2651" t="s">
        <v>23</v>
      </c>
      <c r="D2651">
        <v>1.9616301409003178E-2</v>
      </c>
      <c r="E2651">
        <v>566</v>
      </c>
      <c r="F2651">
        <v>11</v>
      </c>
    </row>
    <row r="2652" spans="1:6">
      <c r="A2652" t="s">
        <v>190</v>
      </c>
      <c r="B2652" t="s">
        <v>204</v>
      </c>
      <c r="C2652" t="s">
        <v>19</v>
      </c>
      <c r="D2652">
        <v>0.6</v>
      </c>
      <c r="E2652">
        <v>279</v>
      </c>
      <c r="F2652">
        <v>167</v>
      </c>
    </row>
    <row r="2653" spans="1:6">
      <c r="A2653" t="s">
        <v>190</v>
      </c>
      <c r="B2653" t="s">
        <v>204</v>
      </c>
      <c r="C2653" t="s">
        <v>477</v>
      </c>
      <c r="D2653">
        <v>0.4</v>
      </c>
      <c r="E2653">
        <v>279</v>
      </c>
      <c r="F2653">
        <v>112</v>
      </c>
    </row>
    <row r="2654" spans="1:6">
      <c r="A2654" t="s">
        <v>190</v>
      </c>
      <c r="B2654" t="s">
        <v>204</v>
      </c>
      <c r="C2654" t="s">
        <v>23</v>
      </c>
      <c r="D2654">
        <v>1.0918029853661094E-2</v>
      </c>
      <c r="E2654">
        <v>279</v>
      </c>
      <c r="F2654">
        <v>3</v>
      </c>
    </row>
    <row r="2655" spans="1:6">
      <c r="A2655" t="s">
        <v>190</v>
      </c>
      <c r="B2655" t="s">
        <v>205</v>
      </c>
      <c r="C2655" t="s">
        <v>19</v>
      </c>
      <c r="D2655">
        <v>0.6</v>
      </c>
      <c r="E2655">
        <v>368</v>
      </c>
      <c r="F2655">
        <v>221</v>
      </c>
    </row>
    <row r="2656" spans="1:6">
      <c r="A2656" t="s">
        <v>190</v>
      </c>
      <c r="B2656" t="s">
        <v>205</v>
      </c>
      <c r="C2656" t="s">
        <v>477</v>
      </c>
      <c r="D2656">
        <v>0.4</v>
      </c>
      <c r="E2656">
        <v>368</v>
      </c>
      <c r="F2656">
        <v>147</v>
      </c>
    </row>
    <row r="2657" spans="1:6">
      <c r="A2657" t="s">
        <v>190</v>
      </c>
      <c r="B2657" t="s">
        <v>205</v>
      </c>
      <c r="C2657" t="s">
        <v>23</v>
      </c>
      <c r="D2657">
        <v>2.7017966250094806E-3</v>
      </c>
      <c r="E2657">
        <v>368</v>
      </c>
      <c r="F2657">
        <v>1</v>
      </c>
    </row>
    <row r="2658" spans="1:6">
      <c r="A2658" t="s">
        <v>190</v>
      </c>
      <c r="B2658" t="s">
        <v>206</v>
      </c>
      <c r="C2658" t="s">
        <v>19</v>
      </c>
      <c r="D2658">
        <v>0.6</v>
      </c>
      <c r="E2658">
        <v>543</v>
      </c>
      <c r="F2658">
        <v>326</v>
      </c>
    </row>
    <row r="2659" spans="1:6">
      <c r="A2659" t="s">
        <v>190</v>
      </c>
      <c r="B2659" t="s">
        <v>206</v>
      </c>
      <c r="C2659" t="s">
        <v>477</v>
      </c>
      <c r="D2659">
        <v>0.4</v>
      </c>
      <c r="E2659">
        <v>543</v>
      </c>
      <c r="F2659">
        <v>217</v>
      </c>
    </row>
    <row r="2660" spans="1:6">
      <c r="A2660" t="s">
        <v>190</v>
      </c>
      <c r="B2660" t="s">
        <v>206</v>
      </c>
      <c r="C2660" t="s">
        <v>23</v>
      </c>
      <c r="D2660">
        <v>3.5338958389387921E-3</v>
      </c>
      <c r="E2660">
        <v>543</v>
      </c>
      <c r="F2660">
        <v>2</v>
      </c>
    </row>
    <row r="2661" spans="1:6">
      <c r="A2661" t="s">
        <v>190</v>
      </c>
      <c r="B2661" t="s">
        <v>207</v>
      </c>
      <c r="C2661" t="s">
        <v>19</v>
      </c>
      <c r="D2661">
        <v>0.6</v>
      </c>
      <c r="E2661">
        <v>378</v>
      </c>
      <c r="F2661">
        <v>227</v>
      </c>
    </row>
    <row r="2662" spans="1:6">
      <c r="A2662" t="s">
        <v>190</v>
      </c>
      <c r="B2662" t="s">
        <v>207</v>
      </c>
      <c r="C2662" t="s">
        <v>477</v>
      </c>
      <c r="D2662">
        <v>0.4</v>
      </c>
      <c r="E2662">
        <v>378</v>
      </c>
      <c r="F2662">
        <v>151</v>
      </c>
    </row>
    <row r="2663" spans="1:6">
      <c r="A2663" t="s">
        <v>190</v>
      </c>
      <c r="B2663" t="s">
        <v>207</v>
      </c>
      <c r="C2663" t="s">
        <v>23</v>
      </c>
      <c r="D2663">
        <v>1.6135940459444515E-2</v>
      </c>
      <c r="E2663">
        <v>378</v>
      </c>
      <c r="F2663">
        <v>6</v>
      </c>
    </row>
    <row r="2664" spans="1:6">
      <c r="A2664" t="s">
        <v>190</v>
      </c>
      <c r="B2664" t="s">
        <v>208</v>
      </c>
      <c r="C2664" t="s">
        <v>19</v>
      </c>
      <c r="D2664">
        <v>0.6</v>
      </c>
      <c r="E2664">
        <v>320</v>
      </c>
      <c r="F2664">
        <v>192</v>
      </c>
    </row>
    <row r="2665" spans="1:6">
      <c r="A2665" t="s">
        <v>190</v>
      </c>
      <c r="B2665" t="s">
        <v>208</v>
      </c>
      <c r="C2665" t="s">
        <v>477</v>
      </c>
      <c r="D2665">
        <v>0.4</v>
      </c>
      <c r="E2665">
        <v>320</v>
      </c>
      <c r="F2665">
        <v>128</v>
      </c>
    </row>
    <row r="2666" spans="1:6">
      <c r="A2666" t="s">
        <v>190</v>
      </c>
      <c r="B2666" t="s">
        <v>208</v>
      </c>
      <c r="C2666" t="s">
        <v>23</v>
      </c>
      <c r="D2666">
        <v>5.1339429248193236E-4</v>
      </c>
      <c r="E2666">
        <v>320</v>
      </c>
      <c r="F2666">
        <v>0</v>
      </c>
    </row>
    <row r="2667" spans="1:6">
      <c r="A2667" t="s">
        <v>190</v>
      </c>
      <c r="B2667" t="s">
        <v>209</v>
      </c>
      <c r="C2667" t="s">
        <v>19</v>
      </c>
      <c r="D2667">
        <v>0.6</v>
      </c>
      <c r="E2667">
        <v>265</v>
      </c>
      <c r="F2667">
        <v>159</v>
      </c>
    </row>
    <row r="2668" spans="1:6">
      <c r="A2668" t="s">
        <v>190</v>
      </c>
      <c r="B2668" t="s">
        <v>209</v>
      </c>
      <c r="C2668" t="s">
        <v>477</v>
      </c>
      <c r="D2668">
        <v>0.4</v>
      </c>
      <c r="E2668">
        <v>265</v>
      </c>
      <c r="F2668">
        <v>106</v>
      </c>
    </row>
    <row r="2669" spans="1:6">
      <c r="A2669" t="s">
        <v>190</v>
      </c>
      <c r="B2669" t="s">
        <v>209</v>
      </c>
      <c r="C2669" t="s">
        <v>23</v>
      </c>
      <c r="D2669">
        <v>2.641740100436787E-3</v>
      </c>
      <c r="E2669">
        <v>265</v>
      </c>
      <c r="F2669">
        <v>1</v>
      </c>
    </row>
    <row r="2670" spans="1:6">
      <c r="A2670" t="s">
        <v>190</v>
      </c>
      <c r="B2670" t="s">
        <v>210</v>
      </c>
      <c r="C2670" t="s">
        <v>19</v>
      </c>
      <c r="D2670">
        <v>0.6</v>
      </c>
      <c r="E2670">
        <v>487</v>
      </c>
      <c r="F2670">
        <v>292</v>
      </c>
    </row>
    <row r="2671" spans="1:6">
      <c r="A2671" t="s">
        <v>190</v>
      </c>
      <c r="B2671" t="s">
        <v>210</v>
      </c>
      <c r="C2671" t="s">
        <v>477</v>
      </c>
      <c r="D2671">
        <v>0.4</v>
      </c>
      <c r="E2671">
        <v>487</v>
      </c>
      <c r="F2671">
        <v>195</v>
      </c>
    </row>
    <row r="2672" spans="1:6">
      <c r="A2672" t="s">
        <v>190</v>
      </c>
      <c r="B2672" t="s">
        <v>210</v>
      </c>
      <c r="C2672" t="s">
        <v>23</v>
      </c>
      <c r="D2672">
        <v>1.8040610649458614E-2</v>
      </c>
      <c r="E2672">
        <v>487</v>
      </c>
      <c r="F2672">
        <v>9</v>
      </c>
    </row>
    <row r="2673" spans="1:6">
      <c r="A2673" t="s">
        <v>190</v>
      </c>
      <c r="B2673" t="s">
        <v>211</v>
      </c>
      <c r="C2673" t="s">
        <v>19</v>
      </c>
      <c r="D2673">
        <v>0.6</v>
      </c>
      <c r="E2673">
        <v>426</v>
      </c>
      <c r="F2673">
        <v>256</v>
      </c>
    </row>
    <row r="2674" spans="1:6">
      <c r="A2674" t="s">
        <v>190</v>
      </c>
      <c r="B2674" t="s">
        <v>211</v>
      </c>
      <c r="C2674" t="s">
        <v>477</v>
      </c>
      <c r="D2674">
        <v>0.4</v>
      </c>
      <c r="E2674">
        <v>426</v>
      </c>
      <c r="F2674">
        <v>170</v>
      </c>
    </row>
    <row r="2675" spans="1:6">
      <c r="A2675" t="s">
        <v>190</v>
      </c>
      <c r="B2675" t="s">
        <v>211</v>
      </c>
      <c r="C2675" t="s">
        <v>23</v>
      </c>
      <c r="D2675">
        <v>9.5533062654438589E-3</v>
      </c>
      <c r="E2675">
        <v>426</v>
      </c>
      <c r="F2675">
        <v>4</v>
      </c>
    </row>
    <row r="2676" spans="1:6">
      <c r="A2676" t="s">
        <v>190</v>
      </c>
      <c r="B2676" t="s">
        <v>212</v>
      </c>
      <c r="C2676" t="s">
        <v>19</v>
      </c>
      <c r="D2676">
        <v>0.6</v>
      </c>
      <c r="E2676">
        <v>151</v>
      </c>
      <c r="F2676">
        <v>91</v>
      </c>
    </row>
    <row r="2677" spans="1:6">
      <c r="A2677" t="s">
        <v>190</v>
      </c>
      <c r="B2677" t="s">
        <v>212</v>
      </c>
      <c r="C2677" t="s">
        <v>477</v>
      </c>
      <c r="D2677">
        <v>0.4</v>
      </c>
      <c r="E2677">
        <v>151</v>
      </c>
      <c r="F2677">
        <v>60</v>
      </c>
    </row>
    <row r="2678" spans="1:6">
      <c r="A2678" t="s">
        <v>190</v>
      </c>
      <c r="B2678" t="s">
        <v>212</v>
      </c>
      <c r="C2678" t="s">
        <v>23</v>
      </c>
      <c r="D2678">
        <v>2.7278778656468928E-3</v>
      </c>
      <c r="E2678">
        <v>151</v>
      </c>
      <c r="F2678">
        <v>0</v>
      </c>
    </row>
    <row r="2679" spans="1:6">
      <c r="A2679" t="s">
        <v>190</v>
      </c>
      <c r="B2679" t="s">
        <v>214</v>
      </c>
      <c r="C2679" t="s">
        <v>19</v>
      </c>
      <c r="D2679">
        <v>0.6</v>
      </c>
      <c r="E2679">
        <v>481</v>
      </c>
      <c r="F2679">
        <v>289</v>
      </c>
    </row>
    <row r="2680" spans="1:6">
      <c r="A2680" t="s">
        <v>190</v>
      </c>
      <c r="B2680" t="s">
        <v>214</v>
      </c>
      <c r="C2680" t="s">
        <v>477</v>
      </c>
      <c r="D2680">
        <v>0.4</v>
      </c>
      <c r="E2680">
        <v>481</v>
      </c>
      <c r="F2680">
        <v>192</v>
      </c>
    </row>
    <row r="2681" spans="1:6">
      <c r="A2681" t="s">
        <v>190</v>
      </c>
      <c r="B2681" t="s">
        <v>214</v>
      </c>
      <c r="C2681" t="s">
        <v>23</v>
      </c>
      <c r="D2681">
        <v>1.6590974929708992E-2</v>
      </c>
      <c r="E2681">
        <v>481</v>
      </c>
      <c r="F2681">
        <v>8</v>
      </c>
    </row>
    <row r="2682" spans="1:6">
      <c r="A2682" t="s">
        <v>1012</v>
      </c>
      <c r="B2682" t="s">
        <v>215</v>
      </c>
      <c r="C2682" t="s">
        <v>19</v>
      </c>
      <c r="D2682">
        <v>0.6</v>
      </c>
      <c r="E2682">
        <v>2213</v>
      </c>
      <c r="F2682">
        <v>1328</v>
      </c>
    </row>
    <row r="2683" spans="1:6">
      <c r="A2683" t="s">
        <v>1012</v>
      </c>
      <c r="B2683" t="s">
        <v>215</v>
      </c>
      <c r="C2683" t="s">
        <v>477</v>
      </c>
      <c r="D2683">
        <v>0.4</v>
      </c>
      <c r="E2683">
        <v>2213</v>
      </c>
      <c r="F2683">
        <v>885</v>
      </c>
    </row>
    <row r="2684" spans="1:6">
      <c r="A2684" t="s">
        <v>1012</v>
      </c>
      <c r="B2684" t="s">
        <v>215</v>
      </c>
      <c r="C2684" t="s">
        <v>23</v>
      </c>
      <c r="D2684">
        <v>5.7092567579271813E-3</v>
      </c>
      <c r="E2684">
        <v>2213</v>
      </c>
      <c r="F2684">
        <v>13</v>
      </c>
    </row>
    <row r="2685" spans="1:6">
      <c r="A2685" t="s">
        <v>1012</v>
      </c>
      <c r="B2685" t="s">
        <v>216</v>
      </c>
      <c r="C2685" t="s">
        <v>19</v>
      </c>
      <c r="D2685">
        <v>0.6</v>
      </c>
      <c r="E2685">
        <v>944</v>
      </c>
      <c r="F2685">
        <v>566</v>
      </c>
    </row>
    <row r="2686" spans="1:6">
      <c r="A2686" t="s">
        <v>1012</v>
      </c>
      <c r="B2686" t="s">
        <v>216</v>
      </c>
      <c r="C2686" t="s">
        <v>477</v>
      </c>
      <c r="D2686">
        <v>0.4</v>
      </c>
      <c r="E2686">
        <v>944</v>
      </c>
      <c r="F2686">
        <v>378</v>
      </c>
    </row>
    <row r="2687" spans="1:6">
      <c r="A2687" t="s">
        <v>1012</v>
      </c>
      <c r="B2687" t="s">
        <v>216</v>
      </c>
      <c r="C2687" t="s">
        <v>23</v>
      </c>
      <c r="D2687">
        <v>1.3657774011177265E-2</v>
      </c>
      <c r="E2687">
        <v>944</v>
      </c>
      <c r="F2687">
        <v>13</v>
      </c>
    </row>
    <row r="2688" spans="1:6">
      <c r="A2688" t="s">
        <v>1012</v>
      </c>
      <c r="B2688" t="s">
        <v>217</v>
      </c>
      <c r="C2688" t="s">
        <v>19</v>
      </c>
      <c r="D2688">
        <v>0.6</v>
      </c>
      <c r="E2688">
        <v>1504</v>
      </c>
      <c r="F2688">
        <v>902</v>
      </c>
    </row>
    <row r="2689" spans="1:6">
      <c r="A2689" t="s">
        <v>1012</v>
      </c>
      <c r="B2689" t="s">
        <v>217</v>
      </c>
      <c r="C2689" t="s">
        <v>477</v>
      </c>
      <c r="D2689">
        <v>0.4</v>
      </c>
      <c r="E2689">
        <v>1504</v>
      </c>
      <c r="F2689">
        <v>602</v>
      </c>
    </row>
    <row r="2690" spans="1:6">
      <c r="A2690" t="s">
        <v>1012</v>
      </c>
      <c r="B2690" t="s">
        <v>217</v>
      </c>
      <c r="C2690" t="s">
        <v>23</v>
      </c>
      <c r="D2690">
        <v>1.8237716053431784E-2</v>
      </c>
      <c r="E2690">
        <v>1504</v>
      </c>
      <c r="F2690">
        <v>27</v>
      </c>
    </row>
    <row r="2691" spans="1:6">
      <c r="A2691" t="s">
        <v>1012</v>
      </c>
      <c r="B2691" t="s">
        <v>218</v>
      </c>
      <c r="C2691" t="s">
        <v>19</v>
      </c>
      <c r="D2691">
        <v>0.6</v>
      </c>
      <c r="E2691">
        <v>1058</v>
      </c>
      <c r="F2691">
        <v>635</v>
      </c>
    </row>
    <row r="2692" spans="1:6">
      <c r="A2692" t="s">
        <v>1012</v>
      </c>
      <c r="B2692" t="s">
        <v>218</v>
      </c>
      <c r="C2692" t="s">
        <v>477</v>
      </c>
      <c r="D2692">
        <v>0.4</v>
      </c>
      <c r="E2692">
        <v>1058</v>
      </c>
      <c r="F2692">
        <v>423</v>
      </c>
    </row>
    <row r="2693" spans="1:6">
      <c r="A2693" t="s">
        <v>1012</v>
      </c>
      <c r="B2693" t="s">
        <v>218</v>
      </c>
      <c r="C2693" t="s">
        <v>23</v>
      </c>
      <c r="D2693">
        <v>1.1565341203972488E-2</v>
      </c>
      <c r="E2693">
        <v>1058</v>
      </c>
      <c r="F2693">
        <v>12</v>
      </c>
    </row>
    <row r="2694" spans="1:6">
      <c r="A2694" t="s">
        <v>1012</v>
      </c>
      <c r="B2694" t="s">
        <v>219</v>
      </c>
      <c r="C2694" t="s">
        <v>19</v>
      </c>
      <c r="D2694">
        <v>0.6</v>
      </c>
      <c r="E2694">
        <v>5447</v>
      </c>
      <c r="F2694">
        <v>3268</v>
      </c>
    </row>
    <row r="2695" spans="1:6">
      <c r="A2695" t="s">
        <v>1012</v>
      </c>
      <c r="B2695" t="s">
        <v>219</v>
      </c>
      <c r="C2695" t="s">
        <v>477</v>
      </c>
      <c r="D2695">
        <v>0.4</v>
      </c>
      <c r="E2695">
        <v>5447</v>
      </c>
      <c r="F2695">
        <v>2179</v>
      </c>
    </row>
    <row r="2696" spans="1:6">
      <c r="A2696" t="s">
        <v>1012</v>
      </c>
      <c r="B2696" t="s">
        <v>219</v>
      </c>
      <c r="C2696" t="s">
        <v>23</v>
      </c>
      <c r="D2696">
        <v>1.8963367542060891E-2</v>
      </c>
      <c r="E2696">
        <v>5447</v>
      </c>
      <c r="F2696">
        <v>103</v>
      </c>
    </row>
    <row r="2697" spans="1:6">
      <c r="A2697" t="s">
        <v>1012</v>
      </c>
      <c r="B2697" t="s">
        <v>220</v>
      </c>
      <c r="C2697" t="s">
        <v>19</v>
      </c>
      <c r="D2697">
        <v>0.6</v>
      </c>
      <c r="E2697">
        <v>2342</v>
      </c>
      <c r="F2697">
        <v>1405</v>
      </c>
    </row>
    <row r="2698" spans="1:6">
      <c r="A2698" t="s">
        <v>1012</v>
      </c>
      <c r="B2698" t="s">
        <v>220</v>
      </c>
      <c r="C2698" t="s">
        <v>477</v>
      </c>
      <c r="D2698">
        <v>0.4</v>
      </c>
      <c r="E2698">
        <v>2342</v>
      </c>
      <c r="F2698">
        <v>937</v>
      </c>
    </row>
    <row r="2699" spans="1:6">
      <c r="A2699" t="s">
        <v>1012</v>
      </c>
      <c r="B2699" t="s">
        <v>220</v>
      </c>
      <c r="C2699" t="s">
        <v>23</v>
      </c>
      <c r="D2699">
        <v>1.1126804581891891E-2</v>
      </c>
      <c r="E2699">
        <v>2342</v>
      </c>
      <c r="F2699">
        <v>26</v>
      </c>
    </row>
    <row r="2700" spans="1:6">
      <c r="A2700" t="s">
        <v>1012</v>
      </c>
      <c r="B2700" t="s">
        <v>221</v>
      </c>
      <c r="C2700" t="s">
        <v>19</v>
      </c>
      <c r="D2700">
        <v>0.6</v>
      </c>
      <c r="E2700">
        <v>2329</v>
      </c>
      <c r="F2700">
        <v>1397</v>
      </c>
    </row>
    <row r="2701" spans="1:6">
      <c r="A2701" t="s">
        <v>1012</v>
      </c>
      <c r="B2701" t="s">
        <v>221</v>
      </c>
      <c r="C2701" t="s">
        <v>477</v>
      </c>
      <c r="D2701">
        <v>0.4</v>
      </c>
      <c r="E2701">
        <v>2329</v>
      </c>
      <c r="F2701">
        <v>932</v>
      </c>
    </row>
    <row r="2702" spans="1:6">
      <c r="A2702" t="s">
        <v>1012</v>
      </c>
      <c r="B2702" t="s">
        <v>221</v>
      </c>
      <c r="C2702" t="s">
        <v>23</v>
      </c>
      <c r="D2702">
        <v>1.6964914423965177E-2</v>
      </c>
      <c r="E2702">
        <v>2329</v>
      </c>
      <c r="F2702">
        <v>40</v>
      </c>
    </row>
    <row r="2703" spans="1:6">
      <c r="A2703" t="s">
        <v>1012</v>
      </c>
      <c r="B2703" t="s">
        <v>222</v>
      </c>
      <c r="C2703" t="s">
        <v>19</v>
      </c>
      <c r="D2703">
        <v>0.6</v>
      </c>
      <c r="E2703">
        <v>1919</v>
      </c>
      <c r="F2703">
        <v>1151</v>
      </c>
    </row>
    <row r="2704" spans="1:6">
      <c r="A2704" t="s">
        <v>1012</v>
      </c>
      <c r="B2704" t="s">
        <v>222</v>
      </c>
      <c r="C2704" t="s">
        <v>477</v>
      </c>
      <c r="D2704">
        <v>0.4</v>
      </c>
      <c r="E2704">
        <v>1919</v>
      </c>
      <c r="F2704">
        <v>768</v>
      </c>
    </row>
    <row r="2705" spans="1:6">
      <c r="A2705" t="s">
        <v>1012</v>
      </c>
      <c r="B2705" t="s">
        <v>222</v>
      </c>
      <c r="C2705" t="s">
        <v>23</v>
      </c>
      <c r="D2705">
        <v>1.6679028925559239E-2</v>
      </c>
      <c r="E2705">
        <v>1919</v>
      </c>
      <c r="F2705">
        <v>32</v>
      </c>
    </row>
    <row r="2706" spans="1:6">
      <c r="A2706" t="s">
        <v>1012</v>
      </c>
      <c r="B2706" t="s">
        <v>223</v>
      </c>
      <c r="C2706" t="s">
        <v>19</v>
      </c>
      <c r="D2706">
        <v>0.6</v>
      </c>
      <c r="E2706">
        <v>64758</v>
      </c>
      <c r="F2706">
        <v>38855</v>
      </c>
    </row>
    <row r="2707" spans="1:6">
      <c r="A2707" t="s">
        <v>1012</v>
      </c>
      <c r="B2707" t="s">
        <v>223</v>
      </c>
      <c r="C2707" t="s">
        <v>477</v>
      </c>
      <c r="D2707">
        <v>0.4</v>
      </c>
      <c r="E2707">
        <v>64758</v>
      </c>
      <c r="F2707">
        <v>25903</v>
      </c>
    </row>
    <row r="2708" spans="1:6">
      <c r="A2708" t="s">
        <v>1012</v>
      </c>
      <c r="B2708" t="s">
        <v>223</v>
      </c>
      <c r="C2708" t="s">
        <v>23</v>
      </c>
      <c r="D2708">
        <v>9.7938824053154603E-3</v>
      </c>
      <c r="E2708">
        <v>64758</v>
      </c>
      <c r="F2708">
        <v>634</v>
      </c>
    </row>
    <row r="2709" spans="1:6">
      <c r="A2709" t="s">
        <v>1012</v>
      </c>
      <c r="B2709" t="s">
        <v>224</v>
      </c>
      <c r="C2709" t="s">
        <v>19</v>
      </c>
      <c r="D2709">
        <v>0.6</v>
      </c>
      <c r="E2709">
        <v>5469</v>
      </c>
      <c r="F2709">
        <v>3281</v>
      </c>
    </row>
    <row r="2710" spans="1:6">
      <c r="A2710" t="s">
        <v>1012</v>
      </c>
      <c r="B2710" t="s">
        <v>224</v>
      </c>
      <c r="C2710" t="s">
        <v>477</v>
      </c>
      <c r="D2710">
        <v>0.4</v>
      </c>
      <c r="E2710">
        <v>5469</v>
      </c>
      <c r="F2710">
        <v>2188</v>
      </c>
    </row>
    <row r="2711" spans="1:6">
      <c r="A2711" t="s">
        <v>1012</v>
      </c>
      <c r="B2711" t="s">
        <v>224</v>
      </c>
      <c r="C2711" t="s">
        <v>23</v>
      </c>
      <c r="D2711">
        <v>1.4450996003589707E-2</v>
      </c>
      <c r="E2711">
        <v>5469</v>
      </c>
      <c r="F2711">
        <v>79</v>
      </c>
    </row>
    <row r="2712" spans="1:6">
      <c r="A2712" t="s">
        <v>1012</v>
      </c>
      <c r="B2712" t="s">
        <v>225</v>
      </c>
      <c r="C2712" t="s">
        <v>19</v>
      </c>
      <c r="D2712">
        <v>0.6</v>
      </c>
      <c r="E2712">
        <v>1784</v>
      </c>
      <c r="F2712">
        <v>1070</v>
      </c>
    </row>
    <row r="2713" spans="1:6">
      <c r="A2713" t="s">
        <v>1012</v>
      </c>
      <c r="B2713" t="s">
        <v>225</v>
      </c>
      <c r="C2713" t="s">
        <v>477</v>
      </c>
      <c r="D2713">
        <v>0.4</v>
      </c>
      <c r="E2713">
        <v>1784</v>
      </c>
      <c r="F2713">
        <v>714</v>
      </c>
    </row>
    <row r="2714" spans="1:6">
      <c r="A2714" t="s">
        <v>1012</v>
      </c>
      <c r="B2714" t="s">
        <v>225</v>
      </c>
      <c r="C2714" t="s">
        <v>23</v>
      </c>
      <c r="D2714">
        <v>1.9348028723284172E-2</v>
      </c>
      <c r="E2714">
        <v>1784</v>
      </c>
      <c r="F2714">
        <v>35</v>
      </c>
    </row>
    <row r="2715" spans="1:6">
      <c r="A2715" t="s">
        <v>1012</v>
      </c>
      <c r="B2715" t="s">
        <v>226</v>
      </c>
      <c r="C2715" t="s">
        <v>19</v>
      </c>
      <c r="D2715">
        <v>0.6</v>
      </c>
      <c r="E2715">
        <v>2941</v>
      </c>
      <c r="F2715">
        <v>1765</v>
      </c>
    </row>
    <row r="2716" spans="1:6">
      <c r="A2716" t="s">
        <v>1012</v>
      </c>
      <c r="B2716" t="s">
        <v>226</v>
      </c>
      <c r="C2716" t="s">
        <v>477</v>
      </c>
      <c r="D2716">
        <v>0.4</v>
      </c>
      <c r="E2716">
        <v>2941</v>
      </c>
      <c r="F2716">
        <v>1176</v>
      </c>
    </row>
    <row r="2717" spans="1:6">
      <c r="A2717" t="s">
        <v>1012</v>
      </c>
      <c r="B2717" t="s">
        <v>226</v>
      </c>
      <c r="C2717" t="s">
        <v>23</v>
      </c>
      <c r="D2717">
        <v>1.1148303481919928E-2</v>
      </c>
      <c r="E2717">
        <v>2941</v>
      </c>
      <c r="F2717">
        <v>33</v>
      </c>
    </row>
    <row r="2718" spans="1:6">
      <c r="A2718" t="s">
        <v>1012</v>
      </c>
      <c r="B2718" t="s">
        <v>227</v>
      </c>
      <c r="C2718" t="s">
        <v>19</v>
      </c>
      <c r="D2718">
        <v>0.6</v>
      </c>
      <c r="E2718">
        <v>1326</v>
      </c>
      <c r="F2718">
        <v>796</v>
      </c>
    </row>
    <row r="2719" spans="1:6">
      <c r="A2719" t="s">
        <v>1012</v>
      </c>
      <c r="B2719" t="s">
        <v>227</v>
      </c>
      <c r="C2719" t="s">
        <v>477</v>
      </c>
      <c r="D2719">
        <v>0.4</v>
      </c>
      <c r="E2719">
        <v>1326</v>
      </c>
      <c r="F2719">
        <v>530</v>
      </c>
    </row>
    <row r="2720" spans="1:6">
      <c r="A2720" t="s">
        <v>1012</v>
      </c>
      <c r="B2720" t="s">
        <v>227</v>
      </c>
      <c r="C2720" t="s">
        <v>23</v>
      </c>
      <c r="D2720">
        <v>5.3263183728734179E-3</v>
      </c>
      <c r="E2720">
        <v>1326</v>
      </c>
      <c r="F2720">
        <v>7</v>
      </c>
    </row>
    <row r="2721" spans="1:6">
      <c r="A2721" t="s">
        <v>1012</v>
      </c>
      <c r="B2721" t="s">
        <v>228</v>
      </c>
      <c r="C2721" t="s">
        <v>19</v>
      </c>
      <c r="D2721">
        <v>0.6</v>
      </c>
      <c r="E2721">
        <v>1459</v>
      </c>
      <c r="F2721">
        <v>875</v>
      </c>
    </row>
    <row r="2722" spans="1:6">
      <c r="A2722" t="s">
        <v>1012</v>
      </c>
      <c r="B2722" t="s">
        <v>228</v>
      </c>
      <c r="C2722" t="s">
        <v>477</v>
      </c>
      <c r="D2722">
        <v>0.4</v>
      </c>
      <c r="E2722">
        <v>1459</v>
      </c>
      <c r="F2722">
        <v>584</v>
      </c>
    </row>
    <row r="2723" spans="1:6">
      <c r="A2723" t="s">
        <v>1012</v>
      </c>
      <c r="B2723" t="s">
        <v>228</v>
      </c>
      <c r="C2723" t="s">
        <v>23</v>
      </c>
      <c r="D2723">
        <v>1.0405557140091474E-2</v>
      </c>
      <c r="E2723">
        <v>1459</v>
      </c>
      <c r="F2723">
        <v>15</v>
      </c>
    </row>
    <row r="2724" spans="1:6">
      <c r="A2724" t="s">
        <v>1012</v>
      </c>
      <c r="B2724" t="s">
        <v>229</v>
      </c>
      <c r="C2724" t="s">
        <v>19</v>
      </c>
      <c r="D2724">
        <v>0.6</v>
      </c>
      <c r="E2724">
        <v>1130</v>
      </c>
      <c r="F2724">
        <v>678</v>
      </c>
    </row>
    <row r="2725" spans="1:6">
      <c r="A2725" t="s">
        <v>1012</v>
      </c>
      <c r="B2725" t="s">
        <v>229</v>
      </c>
      <c r="C2725" t="s">
        <v>477</v>
      </c>
      <c r="D2725">
        <v>0.4</v>
      </c>
      <c r="E2725">
        <v>1130</v>
      </c>
      <c r="F2725">
        <v>452</v>
      </c>
    </row>
    <row r="2726" spans="1:6">
      <c r="A2726" t="s">
        <v>1012</v>
      </c>
      <c r="B2726" t="s">
        <v>229</v>
      </c>
      <c r="C2726" t="s">
        <v>23</v>
      </c>
      <c r="D2726">
        <v>1.2713920665336562E-2</v>
      </c>
      <c r="E2726">
        <v>1130</v>
      </c>
      <c r="F2726">
        <v>14</v>
      </c>
    </row>
    <row r="2727" spans="1:6">
      <c r="A2727" t="s">
        <v>1012</v>
      </c>
      <c r="B2727" t="s">
        <v>230</v>
      </c>
      <c r="C2727" t="s">
        <v>19</v>
      </c>
      <c r="D2727">
        <v>0.6</v>
      </c>
      <c r="E2727">
        <v>498</v>
      </c>
      <c r="F2727">
        <v>299</v>
      </c>
    </row>
    <row r="2728" spans="1:6">
      <c r="A2728" t="s">
        <v>1012</v>
      </c>
      <c r="B2728" t="s">
        <v>230</v>
      </c>
      <c r="C2728" t="s">
        <v>477</v>
      </c>
      <c r="D2728">
        <v>0.4</v>
      </c>
      <c r="E2728">
        <v>498</v>
      </c>
      <c r="F2728">
        <v>199</v>
      </c>
    </row>
    <row r="2729" spans="1:6">
      <c r="A2729" t="s">
        <v>1012</v>
      </c>
      <c r="B2729" t="s">
        <v>230</v>
      </c>
      <c r="C2729" t="s">
        <v>23</v>
      </c>
      <c r="D2729">
        <v>1.7993644127161923E-2</v>
      </c>
      <c r="E2729">
        <v>498</v>
      </c>
      <c r="F2729">
        <v>9</v>
      </c>
    </row>
    <row r="2730" spans="1:6">
      <c r="A2730" t="s">
        <v>1012</v>
      </c>
      <c r="B2730" t="s">
        <v>231</v>
      </c>
      <c r="C2730" t="s">
        <v>19</v>
      </c>
      <c r="D2730">
        <v>0.6</v>
      </c>
      <c r="E2730">
        <v>518</v>
      </c>
      <c r="F2730">
        <v>311</v>
      </c>
    </row>
    <row r="2731" spans="1:6">
      <c r="A2731" t="s">
        <v>1012</v>
      </c>
      <c r="B2731" t="s">
        <v>231</v>
      </c>
      <c r="C2731" t="s">
        <v>477</v>
      </c>
      <c r="D2731">
        <v>0.4</v>
      </c>
      <c r="E2731">
        <v>518</v>
      </c>
      <c r="F2731">
        <v>207</v>
      </c>
    </row>
    <row r="2732" spans="1:6">
      <c r="A2732" t="s">
        <v>1012</v>
      </c>
      <c r="B2732" t="s">
        <v>231</v>
      </c>
      <c r="C2732" t="s">
        <v>23</v>
      </c>
      <c r="D2732">
        <v>1.2247472939487244E-2</v>
      </c>
      <c r="E2732">
        <v>518</v>
      </c>
      <c r="F2732">
        <v>6</v>
      </c>
    </row>
    <row r="2733" spans="1:6">
      <c r="A2733" t="s">
        <v>1012</v>
      </c>
      <c r="B2733" t="s">
        <v>232</v>
      </c>
      <c r="C2733" t="s">
        <v>19</v>
      </c>
      <c r="D2733">
        <v>0.6</v>
      </c>
      <c r="E2733">
        <v>369</v>
      </c>
      <c r="F2733">
        <v>221</v>
      </c>
    </row>
    <row r="2734" spans="1:6">
      <c r="A2734" t="s">
        <v>1012</v>
      </c>
      <c r="B2734" t="s">
        <v>232</v>
      </c>
      <c r="C2734" t="s">
        <v>477</v>
      </c>
      <c r="D2734">
        <v>0.4</v>
      </c>
      <c r="E2734">
        <v>369</v>
      </c>
      <c r="F2734">
        <v>148</v>
      </c>
    </row>
    <row r="2735" spans="1:6">
      <c r="A2735" t="s">
        <v>1012</v>
      </c>
      <c r="B2735" t="s">
        <v>232</v>
      </c>
      <c r="C2735" t="s">
        <v>23</v>
      </c>
      <c r="D2735">
        <v>1.9767241988789756E-2</v>
      </c>
      <c r="E2735">
        <v>369</v>
      </c>
      <c r="F2735">
        <v>7</v>
      </c>
    </row>
    <row r="2736" spans="1:6">
      <c r="A2736" t="s">
        <v>1012</v>
      </c>
      <c r="B2736" t="s">
        <v>233</v>
      </c>
      <c r="C2736" t="s">
        <v>19</v>
      </c>
      <c r="D2736">
        <v>0.6</v>
      </c>
      <c r="E2736">
        <v>423</v>
      </c>
      <c r="F2736">
        <v>254</v>
      </c>
    </row>
    <row r="2737" spans="1:6">
      <c r="A2737" t="s">
        <v>1012</v>
      </c>
      <c r="B2737" t="s">
        <v>233</v>
      </c>
      <c r="C2737" t="s">
        <v>477</v>
      </c>
      <c r="D2737">
        <v>0.4</v>
      </c>
      <c r="E2737">
        <v>423</v>
      </c>
      <c r="F2737">
        <v>169</v>
      </c>
    </row>
    <row r="2738" spans="1:6">
      <c r="A2738" t="s">
        <v>1012</v>
      </c>
      <c r="B2738" t="s">
        <v>233</v>
      </c>
      <c r="C2738" t="s">
        <v>23</v>
      </c>
      <c r="D2738">
        <v>6.8231852009114219E-3</v>
      </c>
      <c r="E2738">
        <v>423</v>
      </c>
      <c r="F2738">
        <v>3</v>
      </c>
    </row>
    <row r="2739" spans="1:6">
      <c r="A2739" t="s">
        <v>1012</v>
      </c>
      <c r="B2739" t="s">
        <v>234</v>
      </c>
      <c r="C2739" t="s">
        <v>19</v>
      </c>
      <c r="D2739">
        <v>0.6</v>
      </c>
      <c r="E2739">
        <v>413</v>
      </c>
      <c r="F2739">
        <v>248</v>
      </c>
    </row>
    <row r="2740" spans="1:6">
      <c r="A2740" t="s">
        <v>1012</v>
      </c>
      <c r="B2740" t="s">
        <v>234</v>
      </c>
      <c r="C2740" t="s">
        <v>477</v>
      </c>
      <c r="D2740">
        <v>0.4</v>
      </c>
      <c r="E2740">
        <v>413</v>
      </c>
      <c r="F2740">
        <v>165</v>
      </c>
    </row>
    <row r="2741" spans="1:6">
      <c r="A2741" t="s">
        <v>1012</v>
      </c>
      <c r="B2741" t="s">
        <v>234</v>
      </c>
      <c r="C2741" t="s">
        <v>23</v>
      </c>
      <c r="D2741">
        <v>1.1560985757568148E-2</v>
      </c>
      <c r="E2741">
        <v>413</v>
      </c>
      <c r="F2741">
        <v>5</v>
      </c>
    </row>
    <row r="2742" spans="1:6">
      <c r="A2742" t="s">
        <v>1012</v>
      </c>
      <c r="B2742" t="s">
        <v>235</v>
      </c>
      <c r="C2742" t="s">
        <v>19</v>
      </c>
      <c r="D2742">
        <v>0.6</v>
      </c>
      <c r="E2742">
        <v>623</v>
      </c>
      <c r="F2742">
        <v>374</v>
      </c>
    </row>
    <row r="2743" spans="1:6">
      <c r="A2743" t="s">
        <v>1012</v>
      </c>
      <c r="B2743" t="s">
        <v>235</v>
      </c>
      <c r="C2743" t="s">
        <v>477</v>
      </c>
      <c r="D2743">
        <v>0.4</v>
      </c>
      <c r="E2743">
        <v>623</v>
      </c>
      <c r="F2743">
        <v>249</v>
      </c>
    </row>
    <row r="2744" spans="1:6">
      <c r="A2744" t="s">
        <v>1012</v>
      </c>
      <c r="B2744" t="s">
        <v>235</v>
      </c>
      <c r="C2744" t="s">
        <v>23</v>
      </c>
      <c r="D2744">
        <v>1.8290614614278417E-2</v>
      </c>
      <c r="E2744">
        <v>623</v>
      </c>
      <c r="F2744">
        <v>11</v>
      </c>
    </row>
    <row r="2745" spans="1:6">
      <c r="A2745" t="s">
        <v>1012</v>
      </c>
      <c r="B2745" t="s">
        <v>236</v>
      </c>
      <c r="C2745" t="s">
        <v>19</v>
      </c>
      <c r="D2745">
        <v>0.6</v>
      </c>
      <c r="E2745">
        <v>521</v>
      </c>
      <c r="F2745">
        <v>313</v>
      </c>
    </row>
    <row r="2746" spans="1:6">
      <c r="A2746" t="s">
        <v>1012</v>
      </c>
      <c r="B2746" t="s">
        <v>236</v>
      </c>
      <c r="C2746" t="s">
        <v>477</v>
      </c>
      <c r="D2746">
        <v>0.4</v>
      </c>
      <c r="E2746">
        <v>521</v>
      </c>
      <c r="F2746">
        <v>208</v>
      </c>
    </row>
    <row r="2747" spans="1:6">
      <c r="A2747" t="s">
        <v>1012</v>
      </c>
      <c r="B2747" t="s">
        <v>236</v>
      </c>
      <c r="C2747" t="s">
        <v>23</v>
      </c>
      <c r="D2747">
        <v>1.3375215921877702E-2</v>
      </c>
      <c r="E2747">
        <v>521</v>
      </c>
      <c r="F2747">
        <v>7</v>
      </c>
    </row>
    <row r="2748" spans="1:6">
      <c r="A2748" t="s">
        <v>1012</v>
      </c>
      <c r="B2748" t="s">
        <v>237</v>
      </c>
      <c r="C2748" t="s">
        <v>19</v>
      </c>
      <c r="D2748">
        <v>0.6</v>
      </c>
      <c r="E2748">
        <v>738</v>
      </c>
      <c r="F2748">
        <v>443</v>
      </c>
    </row>
    <row r="2749" spans="1:6">
      <c r="A2749" t="s">
        <v>1012</v>
      </c>
      <c r="B2749" t="s">
        <v>237</v>
      </c>
      <c r="C2749" t="s">
        <v>477</v>
      </c>
      <c r="D2749">
        <v>0.4</v>
      </c>
      <c r="E2749">
        <v>738</v>
      </c>
      <c r="F2749">
        <v>295</v>
      </c>
    </row>
    <row r="2750" spans="1:6">
      <c r="A2750" t="s">
        <v>1012</v>
      </c>
      <c r="B2750" t="s">
        <v>237</v>
      </c>
      <c r="C2750" t="s">
        <v>23</v>
      </c>
      <c r="D2750">
        <v>1.7905962586707469E-3</v>
      </c>
      <c r="E2750">
        <v>738</v>
      </c>
      <c r="F2750">
        <v>1</v>
      </c>
    </row>
    <row r="2751" spans="1:6">
      <c r="A2751" t="s">
        <v>1012</v>
      </c>
      <c r="B2751" t="s">
        <v>238</v>
      </c>
      <c r="C2751" t="s">
        <v>19</v>
      </c>
      <c r="D2751">
        <v>0.6</v>
      </c>
      <c r="E2751">
        <v>466</v>
      </c>
      <c r="F2751">
        <v>280</v>
      </c>
    </row>
    <row r="2752" spans="1:6">
      <c r="A2752" t="s">
        <v>1012</v>
      </c>
      <c r="B2752" t="s">
        <v>238</v>
      </c>
      <c r="C2752" t="s">
        <v>477</v>
      </c>
      <c r="D2752">
        <v>0.4</v>
      </c>
      <c r="E2752">
        <v>466</v>
      </c>
      <c r="F2752">
        <v>186</v>
      </c>
    </row>
    <row r="2753" spans="1:6">
      <c r="A2753" t="s">
        <v>1012</v>
      </c>
      <c r="B2753" t="s">
        <v>238</v>
      </c>
      <c r="C2753" t="s">
        <v>23</v>
      </c>
      <c r="D2753">
        <v>7.7832598878527981E-3</v>
      </c>
      <c r="E2753">
        <v>466</v>
      </c>
      <c r="F2753">
        <v>4</v>
      </c>
    </row>
    <row r="2754" spans="1:6">
      <c r="A2754" t="s">
        <v>1012</v>
      </c>
      <c r="B2754" t="s">
        <v>239</v>
      </c>
      <c r="C2754" t="s">
        <v>19</v>
      </c>
      <c r="D2754">
        <v>0.6</v>
      </c>
      <c r="E2754">
        <v>839</v>
      </c>
      <c r="F2754">
        <v>503</v>
      </c>
    </row>
    <row r="2755" spans="1:6">
      <c r="A2755" t="s">
        <v>1012</v>
      </c>
      <c r="B2755" t="s">
        <v>239</v>
      </c>
      <c r="C2755" t="s">
        <v>477</v>
      </c>
      <c r="D2755">
        <v>0.4</v>
      </c>
      <c r="E2755">
        <v>839</v>
      </c>
      <c r="F2755">
        <v>336</v>
      </c>
    </row>
    <row r="2756" spans="1:6">
      <c r="A2756" t="s">
        <v>1012</v>
      </c>
      <c r="B2756" t="s">
        <v>239</v>
      </c>
      <c r="C2756" t="s">
        <v>23</v>
      </c>
      <c r="D2756">
        <v>1.6986948970024753E-2</v>
      </c>
      <c r="E2756">
        <v>839</v>
      </c>
      <c r="F2756">
        <v>14</v>
      </c>
    </row>
    <row r="2757" spans="1:6">
      <c r="A2757" t="s">
        <v>1012</v>
      </c>
      <c r="B2757" t="s">
        <v>240</v>
      </c>
      <c r="C2757" t="s">
        <v>19</v>
      </c>
      <c r="D2757">
        <v>0.6</v>
      </c>
      <c r="E2757">
        <v>2437</v>
      </c>
      <c r="F2757">
        <v>1462</v>
      </c>
    </row>
    <row r="2758" spans="1:6">
      <c r="A2758" t="s">
        <v>1012</v>
      </c>
      <c r="B2758" t="s">
        <v>240</v>
      </c>
      <c r="C2758" t="s">
        <v>477</v>
      </c>
      <c r="D2758">
        <v>0.4</v>
      </c>
      <c r="E2758">
        <v>2437</v>
      </c>
      <c r="F2758">
        <v>975</v>
      </c>
    </row>
    <row r="2759" spans="1:6">
      <c r="A2759" t="s">
        <v>1012</v>
      </c>
      <c r="B2759" t="s">
        <v>240</v>
      </c>
      <c r="C2759" t="s">
        <v>23</v>
      </c>
      <c r="D2759">
        <v>3.3016319977255382E-3</v>
      </c>
      <c r="E2759">
        <v>2437</v>
      </c>
      <c r="F2759">
        <v>8</v>
      </c>
    </row>
    <row r="2760" spans="1:6">
      <c r="A2760" t="s">
        <v>1012</v>
      </c>
      <c r="B2760" t="s">
        <v>241</v>
      </c>
      <c r="C2760" t="s">
        <v>19</v>
      </c>
      <c r="D2760">
        <v>0.6</v>
      </c>
      <c r="E2760">
        <v>392</v>
      </c>
      <c r="F2760">
        <v>235</v>
      </c>
    </row>
    <row r="2761" spans="1:6">
      <c r="A2761" t="s">
        <v>1012</v>
      </c>
      <c r="B2761" t="s">
        <v>241</v>
      </c>
      <c r="C2761" t="s">
        <v>477</v>
      </c>
      <c r="D2761">
        <v>0.4</v>
      </c>
      <c r="E2761">
        <v>392</v>
      </c>
      <c r="F2761">
        <v>157</v>
      </c>
    </row>
    <row r="2762" spans="1:6">
      <c r="A2762" t="s">
        <v>1012</v>
      </c>
      <c r="B2762" t="s">
        <v>241</v>
      </c>
      <c r="C2762" t="s">
        <v>23</v>
      </c>
      <c r="D2762">
        <v>9.33842587828408E-3</v>
      </c>
      <c r="E2762">
        <v>392</v>
      </c>
      <c r="F2762">
        <v>4</v>
      </c>
    </row>
    <row r="2763" spans="1:6">
      <c r="A2763" t="s">
        <v>1012</v>
      </c>
      <c r="B2763" t="s">
        <v>243</v>
      </c>
      <c r="C2763" t="s">
        <v>19</v>
      </c>
      <c r="D2763">
        <v>0.6</v>
      </c>
      <c r="E2763">
        <v>226</v>
      </c>
      <c r="F2763">
        <v>136</v>
      </c>
    </row>
    <row r="2764" spans="1:6">
      <c r="A2764" t="s">
        <v>1012</v>
      </c>
      <c r="B2764" t="s">
        <v>243</v>
      </c>
      <c r="C2764" t="s">
        <v>477</v>
      </c>
      <c r="D2764">
        <v>0.4</v>
      </c>
      <c r="E2764">
        <v>226</v>
      </c>
      <c r="F2764">
        <v>90</v>
      </c>
    </row>
    <row r="2765" spans="1:6">
      <c r="A2765" t="s">
        <v>1012</v>
      </c>
      <c r="B2765" t="s">
        <v>243</v>
      </c>
      <c r="C2765" t="s">
        <v>23</v>
      </c>
      <c r="D2765">
        <v>1.0135034211972663E-2</v>
      </c>
      <c r="E2765">
        <v>226</v>
      </c>
      <c r="F2765">
        <v>2</v>
      </c>
    </row>
    <row r="2766" spans="1:6">
      <c r="A2766" t="s">
        <v>242</v>
      </c>
      <c r="B2766" t="s">
        <v>244</v>
      </c>
      <c r="C2766" t="s">
        <v>19</v>
      </c>
      <c r="D2766">
        <v>0.6</v>
      </c>
      <c r="E2766">
        <v>767</v>
      </c>
      <c r="F2766">
        <v>460</v>
      </c>
    </row>
    <row r="2767" spans="1:6">
      <c r="A2767" t="s">
        <v>242</v>
      </c>
      <c r="B2767" t="s">
        <v>244</v>
      </c>
      <c r="C2767" t="s">
        <v>477</v>
      </c>
      <c r="D2767">
        <v>0.4</v>
      </c>
      <c r="E2767">
        <v>767</v>
      </c>
      <c r="F2767">
        <v>307</v>
      </c>
    </row>
    <row r="2768" spans="1:6">
      <c r="A2768" t="s">
        <v>242</v>
      </c>
      <c r="B2768" t="s">
        <v>244</v>
      </c>
      <c r="C2768" t="s">
        <v>23</v>
      </c>
      <c r="D2768">
        <v>3.36478090211801E-3</v>
      </c>
      <c r="E2768">
        <v>767</v>
      </c>
      <c r="F2768">
        <v>3</v>
      </c>
    </row>
    <row r="2769" spans="1:6">
      <c r="A2769" t="s">
        <v>242</v>
      </c>
      <c r="B2769" t="s">
        <v>242</v>
      </c>
      <c r="C2769" t="s">
        <v>19</v>
      </c>
      <c r="D2769">
        <v>0.6</v>
      </c>
      <c r="E2769">
        <v>55583</v>
      </c>
      <c r="F2769">
        <v>33350</v>
      </c>
    </row>
    <row r="2770" spans="1:6">
      <c r="A2770" t="s">
        <v>242</v>
      </c>
      <c r="B2770" t="s">
        <v>242</v>
      </c>
      <c r="C2770" t="s">
        <v>477</v>
      </c>
      <c r="D2770">
        <v>0.4</v>
      </c>
      <c r="E2770">
        <v>55583</v>
      </c>
      <c r="F2770">
        <v>22233</v>
      </c>
    </row>
    <row r="2771" spans="1:6">
      <c r="A2771" t="s">
        <v>242</v>
      </c>
      <c r="B2771" t="s">
        <v>242</v>
      </c>
      <c r="C2771" t="s">
        <v>23</v>
      </c>
      <c r="D2771">
        <v>1.8197373827713238E-2</v>
      </c>
      <c r="E2771">
        <v>55583</v>
      </c>
      <c r="F2771">
        <v>1011</v>
      </c>
    </row>
    <row r="2772" spans="1:6">
      <c r="A2772" t="s">
        <v>242</v>
      </c>
      <c r="B2772" t="s">
        <v>245</v>
      </c>
      <c r="C2772" t="s">
        <v>19</v>
      </c>
      <c r="D2772">
        <v>0.6</v>
      </c>
      <c r="E2772">
        <v>1510</v>
      </c>
      <c r="F2772">
        <v>906</v>
      </c>
    </row>
    <row r="2773" spans="1:6">
      <c r="A2773" t="s">
        <v>242</v>
      </c>
      <c r="B2773" t="s">
        <v>245</v>
      </c>
      <c r="C2773" t="s">
        <v>477</v>
      </c>
      <c r="D2773">
        <v>0.4</v>
      </c>
      <c r="E2773">
        <v>1510</v>
      </c>
      <c r="F2773">
        <v>604</v>
      </c>
    </row>
    <row r="2774" spans="1:6">
      <c r="A2774" t="s">
        <v>242</v>
      </c>
      <c r="B2774" t="s">
        <v>245</v>
      </c>
      <c r="C2774" t="s">
        <v>23</v>
      </c>
      <c r="D2774">
        <v>1.2184539186703097E-2</v>
      </c>
      <c r="E2774">
        <v>1510</v>
      </c>
      <c r="F2774">
        <v>18</v>
      </c>
    </row>
    <row r="2775" spans="1:6">
      <c r="A2775" t="s">
        <v>242</v>
      </c>
      <c r="B2775" t="s">
        <v>246</v>
      </c>
      <c r="C2775" t="s">
        <v>19</v>
      </c>
      <c r="D2775">
        <v>0.6</v>
      </c>
      <c r="E2775">
        <v>886</v>
      </c>
      <c r="F2775">
        <v>532</v>
      </c>
    </row>
    <row r="2776" spans="1:6">
      <c r="A2776" t="s">
        <v>242</v>
      </c>
      <c r="B2776" t="s">
        <v>246</v>
      </c>
      <c r="C2776" t="s">
        <v>477</v>
      </c>
      <c r="D2776">
        <v>0.4</v>
      </c>
      <c r="E2776">
        <v>886</v>
      </c>
      <c r="F2776">
        <v>354</v>
      </c>
    </row>
    <row r="2777" spans="1:6">
      <c r="A2777" t="s">
        <v>242</v>
      </c>
      <c r="B2777" t="s">
        <v>246</v>
      </c>
      <c r="C2777" t="s">
        <v>23</v>
      </c>
      <c r="D2777">
        <v>5.3980138424470248E-4</v>
      </c>
      <c r="E2777">
        <v>886</v>
      </c>
      <c r="F2777">
        <v>0</v>
      </c>
    </row>
    <row r="2778" spans="1:6">
      <c r="A2778" t="s">
        <v>242</v>
      </c>
      <c r="B2778" t="s">
        <v>247</v>
      </c>
      <c r="C2778" t="s">
        <v>19</v>
      </c>
      <c r="D2778">
        <v>0.6</v>
      </c>
      <c r="E2778">
        <v>1037</v>
      </c>
      <c r="F2778">
        <v>622</v>
      </c>
    </row>
    <row r="2779" spans="1:6">
      <c r="A2779" t="s">
        <v>242</v>
      </c>
      <c r="B2779" t="s">
        <v>247</v>
      </c>
      <c r="C2779" t="s">
        <v>477</v>
      </c>
      <c r="D2779">
        <v>0.4</v>
      </c>
      <c r="E2779">
        <v>1037</v>
      </c>
      <c r="F2779">
        <v>415</v>
      </c>
    </row>
    <row r="2780" spans="1:6">
      <c r="A2780" t="s">
        <v>242</v>
      </c>
      <c r="B2780" t="s">
        <v>247</v>
      </c>
      <c r="C2780" t="s">
        <v>23</v>
      </c>
      <c r="D2780">
        <v>1.6593331874325667E-2</v>
      </c>
      <c r="E2780">
        <v>1037</v>
      </c>
      <c r="F2780">
        <v>17</v>
      </c>
    </row>
    <row r="2781" spans="1:6">
      <c r="A2781" t="s">
        <v>242</v>
      </c>
      <c r="B2781" t="s">
        <v>248</v>
      </c>
      <c r="C2781" t="s">
        <v>19</v>
      </c>
      <c r="D2781">
        <v>0.6</v>
      </c>
      <c r="E2781">
        <v>938</v>
      </c>
      <c r="F2781">
        <v>563</v>
      </c>
    </row>
    <row r="2782" spans="1:6">
      <c r="A2782" t="s">
        <v>242</v>
      </c>
      <c r="B2782" t="s">
        <v>248</v>
      </c>
      <c r="C2782" t="s">
        <v>477</v>
      </c>
      <c r="D2782">
        <v>0.4</v>
      </c>
      <c r="E2782">
        <v>938</v>
      </c>
      <c r="F2782">
        <v>375</v>
      </c>
    </row>
    <row r="2783" spans="1:6">
      <c r="A2783" t="s">
        <v>242</v>
      </c>
      <c r="B2783" t="s">
        <v>248</v>
      </c>
      <c r="C2783" t="s">
        <v>23</v>
      </c>
      <c r="D2783">
        <v>1.8979882864572958E-2</v>
      </c>
      <c r="E2783">
        <v>938</v>
      </c>
      <c r="F2783">
        <v>18</v>
      </c>
    </row>
    <row r="2784" spans="1:6">
      <c r="A2784" t="s">
        <v>242</v>
      </c>
      <c r="B2784" t="s">
        <v>249</v>
      </c>
      <c r="C2784" t="s">
        <v>19</v>
      </c>
      <c r="D2784">
        <v>0.6</v>
      </c>
      <c r="E2784">
        <v>709</v>
      </c>
      <c r="F2784">
        <v>425</v>
      </c>
    </row>
    <row r="2785" spans="1:6">
      <c r="A2785" t="s">
        <v>242</v>
      </c>
      <c r="B2785" t="s">
        <v>249</v>
      </c>
      <c r="C2785" t="s">
        <v>477</v>
      </c>
      <c r="D2785">
        <v>0.4</v>
      </c>
      <c r="E2785">
        <v>709</v>
      </c>
      <c r="F2785">
        <v>284</v>
      </c>
    </row>
    <row r="2786" spans="1:6">
      <c r="A2786" t="s">
        <v>242</v>
      </c>
      <c r="B2786" t="s">
        <v>249</v>
      </c>
      <c r="C2786" t="s">
        <v>23</v>
      </c>
      <c r="D2786">
        <v>1.4550829855881877E-2</v>
      </c>
      <c r="E2786">
        <v>709</v>
      </c>
      <c r="F2786">
        <v>10</v>
      </c>
    </row>
    <row r="2787" spans="1:6">
      <c r="A2787" t="s">
        <v>242</v>
      </c>
      <c r="B2787" t="s">
        <v>250</v>
      </c>
      <c r="C2787" t="s">
        <v>19</v>
      </c>
      <c r="D2787">
        <v>0.6</v>
      </c>
      <c r="E2787">
        <v>2473</v>
      </c>
      <c r="F2787">
        <v>1484</v>
      </c>
    </row>
    <row r="2788" spans="1:6">
      <c r="A2788" t="s">
        <v>242</v>
      </c>
      <c r="B2788" t="s">
        <v>250</v>
      </c>
      <c r="C2788" t="s">
        <v>477</v>
      </c>
      <c r="D2788">
        <v>0.4</v>
      </c>
      <c r="E2788">
        <v>2473</v>
      </c>
      <c r="F2788">
        <v>989</v>
      </c>
    </row>
    <row r="2789" spans="1:6">
      <c r="A2789" t="s">
        <v>242</v>
      </c>
      <c r="B2789" t="s">
        <v>250</v>
      </c>
      <c r="C2789" t="s">
        <v>23</v>
      </c>
      <c r="D2789">
        <v>5.7599912988458611E-3</v>
      </c>
      <c r="E2789">
        <v>2473</v>
      </c>
      <c r="F2789">
        <v>14</v>
      </c>
    </row>
    <row r="2790" spans="1:6">
      <c r="A2790" t="s">
        <v>242</v>
      </c>
      <c r="B2790" t="s">
        <v>251</v>
      </c>
      <c r="C2790" t="s">
        <v>19</v>
      </c>
      <c r="D2790">
        <v>0.6</v>
      </c>
      <c r="E2790">
        <v>1922</v>
      </c>
      <c r="F2790">
        <v>1153</v>
      </c>
    </row>
    <row r="2791" spans="1:6">
      <c r="A2791" t="s">
        <v>242</v>
      </c>
      <c r="B2791" t="s">
        <v>251</v>
      </c>
      <c r="C2791" t="s">
        <v>477</v>
      </c>
      <c r="D2791">
        <v>0.4</v>
      </c>
      <c r="E2791">
        <v>1922</v>
      </c>
      <c r="F2791">
        <v>769</v>
      </c>
    </row>
    <row r="2792" spans="1:6">
      <c r="A2792" t="s">
        <v>242</v>
      </c>
      <c r="B2792" t="s">
        <v>251</v>
      </c>
      <c r="C2792" t="s">
        <v>23</v>
      </c>
      <c r="D2792">
        <v>1.3103296310165345E-2</v>
      </c>
      <c r="E2792">
        <v>1922</v>
      </c>
      <c r="F2792">
        <v>25</v>
      </c>
    </row>
    <row r="2793" spans="1:6">
      <c r="A2793" t="s">
        <v>242</v>
      </c>
      <c r="B2793" t="s">
        <v>580</v>
      </c>
      <c r="C2793" t="s">
        <v>19</v>
      </c>
      <c r="D2793">
        <v>0.6</v>
      </c>
      <c r="E2793">
        <v>11701</v>
      </c>
      <c r="F2793">
        <v>7021</v>
      </c>
    </row>
    <row r="2794" spans="1:6">
      <c r="A2794" t="s">
        <v>242</v>
      </c>
      <c r="B2794" t="s">
        <v>580</v>
      </c>
      <c r="C2794" t="s">
        <v>477</v>
      </c>
      <c r="D2794">
        <v>0.4</v>
      </c>
      <c r="E2794">
        <v>11701</v>
      </c>
      <c r="F2794">
        <v>4680</v>
      </c>
    </row>
    <row r="2795" spans="1:6">
      <c r="A2795" t="s">
        <v>242</v>
      </c>
      <c r="B2795" t="s">
        <v>580</v>
      </c>
      <c r="C2795" t="s">
        <v>23</v>
      </c>
      <c r="D2795">
        <v>1.2830535395576903E-3</v>
      </c>
      <c r="E2795">
        <v>11701</v>
      </c>
      <c r="F2795">
        <v>15</v>
      </c>
    </row>
    <row r="2796" spans="1:6">
      <c r="A2796" t="s">
        <v>242</v>
      </c>
      <c r="B2796" t="s">
        <v>253</v>
      </c>
      <c r="C2796" t="s">
        <v>19</v>
      </c>
      <c r="D2796">
        <v>0.6</v>
      </c>
      <c r="E2796">
        <v>1158</v>
      </c>
      <c r="F2796">
        <v>695</v>
      </c>
    </row>
    <row r="2797" spans="1:6">
      <c r="A2797" t="s">
        <v>242</v>
      </c>
      <c r="B2797" t="s">
        <v>253</v>
      </c>
      <c r="C2797" t="s">
        <v>477</v>
      </c>
      <c r="D2797">
        <v>0.4</v>
      </c>
      <c r="E2797">
        <v>1158</v>
      </c>
      <c r="F2797">
        <v>463</v>
      </c>
    </row>
    <row r="2798" spans="1:6">
      <c r="A2798" t="s">
        <v>242</v>
      </c>
      <c r="B2798" t="s">
        <v>253</v>
      </c>
      <c r="C2798" t="s">
        <v>23</v>
      </c>
      <c r="D2798">
        <v>3.3535395654362412E-3</v>
      </c>
      <c r="E2798">
        <v>1158</v>
      </c>
      <c r="F2798">
        <v>4</v>
      </c>
    </row>
    <row r="2799" spans="1:6">
      <c r="A2799" t="s">
        <v>242</v>
      </c>
      <c r="B2799" t="s">
        <v>254</v>
      </c>
      <c r="C2799" t="s">
        <v>19</v>
      </c>
      <c r="D2799">
        <v>0.6</v>
      </c>
      <c r="E2799">
        <v>2936</v>
      </c>
      <c r="F2799">
        <v>1762</v>
      </c>
    </row>
    <row r="2800" spans="1:6">
      <c r="A2800" t="s">
        <v>242</v>
      </c>
      <c r="B2800" t="s">
        <v>254</v>
      </c>
      <c r="C2800" t="s">
        <v>477</v>
      </c>
      <c r="D2800">
        <v>0.4</v>
      </c>
      <c r="E2800">
        <v>2936</v>
      </c>
      <c r="F2800">
        <v>1174</v>
      </c>
    </row>
    <row r="2801" spans="1:6">
      <c r="A2801" t="s">
        <v>242</v>
      </c>
      <c r="B2801" t="s">
        <v>254</v>
      </c>
      <c r="C2801" t="s">
        <v>23</v>
      </c>
      <c r="D2801">
        <v>2.7511660938472284E-3</v>
      </c>
      <c r="E2801">
        <v>2936</v>
      </c>
      <c r="F2801">
        <v>8</v>
      </c>
    </row>
    <row r="2802" spans="1:6">
      <c r="A2802" t="s">
        <v>242</v>
      </c>
      <c r="B2802" t="s">
        <v>255</v>
      </c>
      <c r="C2802" t="s">
        <v>19</v>
      </c>
      <c r="D2802">
        <v>0.6</v>
      </c>
      <c r="E2802">
        <v>341</v>
      </c>
      <c r="F2802">
        <v>205</v>
      </c>
    </row>
    <row r="2803" spans="1:6">
      <c r="A2803" t="s">
        <v>242</v>
      </c>
      <c r="B2803" t="s">
        <v>255</v>
      </c>
      <c r="C2803" t="s">
        <v>477</v>
      </c>
      <c r="D2803">
        <v>0.4</v>
      </c>
      <c r="E2803">
        <v>341</v>
      </c>
      <c r="F2803">
        <v>136</v>
      </c>
    </row>
    <row r="2804" spans="1:6">
      <c r="A2804" t="s">
        <v>242</v>
      </c>
      <c r="B2804" t="s">
        <v>255</v>
      </c>
      <c r="C2804" t="s">
        <v>23</v>
      </c>
      <c r="D2804">
        <v>2.8177762740756829E-3</v>
      </c>
      <c r="E2804">
        <v>341</v>
      </c>
      <c r="F2804">
        <v>1</v>
      </c>
    </row>
    <row r="2805" spans="1:6">
      <c r="A2805" t="s">
        <v>242</v>
      </c>
      <c r="B2805" t="s">
        <v>256</v>
      </c>
      <c r="C2805" t="s">
        <v>19</v>
      </c>
      <c r="D2805">
        <v>0.6</v>
      </c>
      <c r="E2805">
        <v>1953</v>
      </c>
      <c r="F2805">
        <v>1172</v>
      </c>
    </row>
    <row r="2806" spans="1:6">
      <c r="A2806" t="s">
        <v>242</v>
      </c>
      <c r="B2806" t="s">
        <v>256</v>
      </c>
      <c r="C2806" t="s">
        <v>477</v>
      </c>
      <c r="D2806">
        <v>0.4</v>
      </c>
      <c r="E2806">
        <v>1953</v>
      </c>
      <c r="F2806">
        <v>781</v>
      </c>
    </row>
    <row r="2807" spans="1:6">
      <c r="A2807" t="s">
        <v>242</v>
      </c>
      <c r="B2807" t="s">
        <v>256</v>
      </c>
      <c r="C2807" t="s">
        <v>23</v>
      </c>
      <c r="D2807">
        <v>9.3940669344633517E-3</v>
      </c>
      <c r="E2807">
        <v>1953</v>
      </c>
      <c r="F2807">
        <v>18</v>
      </c>
    </row>
    <row r="2808" spans="1:6">
      <c r="A2808" t="s">
        <v>242</v>
      </c>
      <c r="B2808" t="s">
        <v>257</v>
      </c>
      <c r="C2808" t="s">
        <v>19</v>
      </c>
      <c r="D2808">
        <v>0.6</v>
      </c>
      <c r="E2808">
        <v>847</v>
      </c>
      <c r="F2808">
        <v>508</v>
      </c>
    </row>
    <row r="2809" spans="1:6">
      <c r="A2809" t="s">
        <v>242</v>
      </c>
      <c r="B2809" t="s">
        <v>257</v>
      </c>
      <c r="C2809" t="s">
        <v>477</v>
      </c>
      <c r="D2809">
        <v>0.4</v>
      </c>
      <c r="E2809">
        <v>847</v>
      </c>
      <c r="F2809">
        <v>339</v>
      </c>
    </row>
    <row r="2810" spans="1:6">
      <c r="A2810" t="s">
        <v>242</v>
      </c>
      <c r="B2810" t="s">
        <v>257</v>
      </c>
      <c r="C2810" t="s">
        <v>23</v>
      </c>
      <c r="D2810">
        <v>1.4659667624142305E-2</v>
      </c>
      <c r="E2810">
        <v>847</v>
      </c>
      <c r="F2810">
        <v>12</v>
      </c>
    </row>
    <row r="2811" spans="1:6">
      <c r="A2811" t="s">
        <v>242</v>
      </c>
      <c r="B2811" t="s">
        <v>258</v>
      </c>
      <c r="C2811" t="s">
        <v>19</v>
      </c>
      <c r="D2811">
        <v>0.6</v>
      </c>
      <c r="E2811">
        <v>1322</v>
      </c>
      <c r="F2811">
        <v>793</v>
      </c>
    </row>
    <row r="2812" spans="1:6">
      <c r="A2812" t="s">
        <v>242</v>
      </c>
      <c r="B2812" t="s">
        <v>258</v>
      </c>
      <c r="C2812" t="s">
        <v>477</v>
      </c>
      <c r="D2812">
        <v>0.4</v>
      </c>
      <c r="E2812">
        <v>1322</v>
      </c>
      <c r="F2812">
        <v>529</v>
      </c>
    </row>
    <row r="2813" spans="1:6">
      <c r="A2813" t="s">
        <v>242</v>
      </c>
      <c r="B2813" t="s">
        <v>258</v>
      </c>
      <c r="C2813" t="s">
        <v>23</v>
      </c>
      <c r="D2813">
        <v>1.220656428419741E-2</v>
      </c>
      <c r="E2813">
        <v>1322</v>
      </c>
      <c r="F2813">
        <v>16</v>
      </c>
    </row>
    <row r="2814" spans="1:6">
      <c r="A2814" t="s">
        <v>242</v>
      </c>
      <c r="B2814" t="s">
        <v>578</v>
      </c>
      <c r="C2814" t="s">
        <v>19</v>
      </c>
      <c r="D2814">
        <v>0.6</v>
      </c>
      <c r="E2814">
        <v>11701</v>
      </c>
      <c r="F2814">
        <v>7021</v>
      </c>
    </row>
    <row r="2815" spans="1:6">
      <c r="A2815" t="s">
        <v>242</v>
      </c>
      <c r="B2815" t="s">
        <v>578</v>
      </c>
      <c r="C2815" t="s">
        <v>477</v>
      </c>
      <c r="D2815">
        <v>0.4</v>
      </c>
      <c r="E2815">
        <v>11701</v>
      </c>
      <c r="F2815">
        <v>4680</v>
      </c>
    </row>
    <row r="2816" spans="1:6">
      <c r="A2816" t="s">
        <v>242</v>
      </c>
      <c r="B2816" t="s">
        <v>578</v>
      </c>
      <c r="C2816" t="s">
        <v>23</v>
      </c>
      <c r="D2816">
        <v>1.7646796565937203E-2</v>
      </c>
      <c r="E2816">
        <v>11701</v>
      </c>
      <c r="F2816">
        <v>206</v>
      </c>
    </row>
    <row r="2817" spans="1:6">
      <c r="A2817" t="s">
        <v>242</v>
      </c>
      <c r="B2817" t="s">
        <v>260</v>
      </c>
      <c r="C2817" t="s">
        <v>19</v>
      </c>
      <c r="D2817">
        <v>0.6</v>
      </c>
      <c r="E2817">
        <v>268</v>
      </c>
      <c r="F2817">
        <v>161</v>
      </c>
    </row>
    <row r="2818" spans="1:6">
      <c r="A2818" t="s">
        <v>242</v>
      </c>
      <c r="B2818" t="s">
        <v>260</v>
      </c>
      <c r="C2818" t="s">
        <v>477</v>
      </c>
      <c r="D2818">
        <v>0.4</v>
      </c>
      <c r="E2818">
        <v>268</v>
      </c>
      <c r="F2818">
        <v>107</v>
      </c>
    </row>
    <row r="2819" spans="1:6">
      <c r="A2819" t="s">
        <v>242</v>
      </c>
      <c r="B2819" t="s">
        <v>260</v>
      </c>
      <c r="C2819" t="s">
        <v>23</v>
      </c>
      <c r="D2819">
        <v>1.2000047199709268E-2</v>
      </c>
      <c r="E2819">
        <v>268</v>
      </c>
      <c r="F2819">
        <v>3</v>
      </c>
    </row>
    <row r="2820" spans="1:6">
      <c r="A2820" t="s">
        <v>242</v>
      </c>
      <c r="B2820" t="s">
        <v>261</v>
      </c>
      <c r="C2820" t="s">
        <v>19</v>
      </c>
      <c r="D2820">
        <v>0.6</v>
      </c>
      <c r="E2820">
        <v>560</v>
      </c>
      <c r="F2820">
        <v>336</v>
      </c>
    </row>
    <row r="2821" spans="1:6">
      <c r="A2821" t="s">
        <v>242</v>
      </c>
      <c r="B2821" t="s">
        <v>261</v>
      </c>
      <c r="C2821" t="s">
        <v>477</v>
      </c>
      <c r="D2821">
        <v>0.4</v>
      </c>
      <c r="E2821">
        <v>560</v>
      </c>
      <c r="F2821">
        <v>224</v>
      </c>
    </row>
    <row r="2822" spans="1:6">
      <c r="A2822" t="s">
        <v>242</v>
      </c>
      <c r="B2822" t="s">
        <v>261</v>
      </c>
      <c r="C2822" t="s">
        <v>23</v>
      </c>
      <c r="D2822">
        <v>1.6302898161953516E-2</v>
      </c>
      <c r="E2822">
        <v>560</v>
      </c>
      <c r="F2822">
        <v>9</v>
      </c>
    </row>
    <row r="2823" spans="1:6">
      <c r="A2823" t="s">
        <v>242</v>
      </c>
      <c r="B2823" t="s">
        <v>262</v>
      </c>
      <c r="C2823" t="s">
        <v>19</v>
      </c>
      <c r="D2823">
        <v>0.6</v>
      </c>
      <c r="E2823">
        <v>524</v>
      </c>
      <c r="F2823">
        <v>314</v>
      </c>
    </row>
    <row r="2824" spans="1:6">
      <c r="A2824" t="s">
        <v>242</v>
      </c>
      <c r="B2824" t="s">
        <v>262</v>
      </c>
      <c r="C2824" t="s">
        <v>477</v>
      </c>
      <c r="D2824">
        <v>0.4</v>
      </c>
      <c r="E2824">
        <v>524</v>
      </c>
      <c r="F2824">
        <v>210</v>
      </c>
    </row>
    <row r="2825" spans="1:6">
      <c r="A2825" t="s">
        <v>242</v>
      </c>
      <c r="B2825" t="s">
        <v>262</v>
      </c>
      <c r="C2825" t="s">
        <v>23</v>
      </c>
      <c r="D2825">
        <v>1.5582141784450134E-2</v>
      </c>
      <c r="E2825">
        <v>524</v>
      </c>
      <c r="F2825">
        <v>8</v>
      </c>
    </row>
    <row r="2826" spans="1:6">
      <c r="A2826" t="s">
        <v>242</v>
      </c>
      <c r="B2826" t="s">
        <v>263</v>
      </c>
      <c r="C2826" t="s">
        <v>19</v>
      </c>
      <c r="D2826">
        <v>0.6</v>
      </c>
      <c r="E2826">
        <v>523</v>
      </c>
      <c r="F2826">
        <v>314</v>
      </c>
    </row>
    <row r="2827" spans="1:6">
      <c r="A2827" t="s">
        <v>242</v>
      </c>
      <c r="B2827" t="s">
        <v>263</v>
      </c>
      <c r="C2827" t="s">
        <v>477</v>
      </c>
      <c r="D2827">
        <v>0.4</v>
      </c>
      <c r="E2827">
        <v>523</v>
      </c>
      <c r="F2827">
        <v>209</v>
      </c>
    </row>
    <row r="2828" spans="1:6">
      <c r="A2828" t="s">
        <v>242</v>
      </c>
      <c r="B2828" t="s">
        <v>263</v>
      </c>
      <c r="C2828" t="s">
        <v>23</v>
      </c>
      <c r="D2828">
        <v>1.7493856235460372E-2</v>
      </c>
      <c r="E2828">
        <v>523</v>
      </c>
      <c r="F2828">
        <v>9</v>
      </c>
    </row>
    <row r="2829" spans="1:6">
      <c r="A2829" t="s">
        <v>242</v>
      </c>
      <c r="B2829" t="s">
        <v>264</v>
      </c>
      <c r="C2829" t="s">
        <v>19</v>
      </c>
      <c r="D2829">
        <v>0.6</v>
      </c>
      <c r="E2829">
        <v>524</v>
      </c>
      <c r="F2829">
        <v>314</v>
      </c>
    </row>
    <row r="2830" spans="1:6">
      <c r="A2830" t="s">
        <v>242</v>
      </c>
      <c r="B2830" t="s">
        <v>264</v>
      </c>
      <c r="C2830" t="s">
        <v>477</v>
      </c>
      <c r="D2830">
        <v>0.4</v>
      </c>
      <c r="E2830">
        <v>524</v>
      </c>
      <c r="F2830">
        <v>210</v>
      </c>
    </row>
    <row r="2831" spans="1:6">
      <c r="A2831" t="s">
        <v>242</v>
      </c>
      <c r="B2831" t="s">
        <v>264</v>
      </c>
      <c r="C2831" t="s">
        <v>23</v>
      </c>
      <c r="D2831">
        <v>4.5718562612310706E-3</v>
      </c>
      <c r="E2831">
        <v>524</v>
      </c>
      <c r="F2831">
        <v>2</v>
      </c>
    </row>
    <row r="2832" spans="1:6">
      <c r="A2832" t="s">
        <v>242</v>
      </c>
      <c r="B2832" t="s">
        <v>265</v>
      </c>
      <c r="C2832" t="s">
        <v>19</v>
      </c>
      <c r="D2832">
        <v>0.6</v>
      </c>
      <c r="E2832">
        <v>227</v>
      </c>
      <c r="F2832">
        <v>136</v>
      </c>
    </row>
    <row r="2833" spans="1:6">
      <c r="A2833" t="s">
        <v>242</v>
      </c>
      <c r="B2833" t="s">
        <v>265</v>
      </c>
      <c r="C2833" t="s">
        <v>477</v>
      </c>
      <c r="D2833">
        <v>0.4</v>
      </c>
      <c r="E2833">
        <v>227</v>
      </c>
      <c r="F2833">
        <v>91</v>
      </c>
    </row>
    <row r="2834" spans="1:6">
      <c r="A2834" t="s">
        <v>242</v>
      </c>
      <c r="B2834" t="s">
        <v>265</v>
      </c>
      <c r="C2834" t="s">
        <v>23</v>
      </c>
      <c r="D2834">
        <v>1.461708016299308E-3</v>
      </c>
      <c r="E2834">
        <v>227</v>
      </c>
      <c r="F2834">
        <v>0</v>
      </c>
    </row>
    <row r="2835" spans="1:6">
      <c r="A2835" t="s">
        <v>242</v>
      </c>
      <c r="B2835" t="s">
        <v>267</v>
      </c>
      <c r="C2835" t="s">
        <v>19</v>
      </c>
      <c r="D2835">
        <v>0.6</v>
      </c>
      <c r="E2835">
        <v>494</v>
      </c>
      <c r="F2835">
        <v>296</v>
      </c>
    </row>
    <row r="2836" spans="1:6">
      <c r="A2836" t="s">
        <v>242</v>
      </c>
      <c r="B2836" t="s">
        <v>267</v>
      </c>
      <c r="C2836" t="s">
        <v>477</v>
      </c>
      <c r="D2836">
        <v>0.4</v>
      </c>
      <c r="E2836">
        <v>494</v>
      </c>
      <c r="F2836">
        <v>198</v>
      </c>
    </row>
    <row r="2837" spans="1:6">
      <c r="A2837" t="s">
        <v>242</v>
      </c>
      <c r="B2837" t="s">
        <v>267</v>
      </c>
      <c r="C2837" t="s">
        <v>23</v>
      </c>
      <c r="D2837">
        <v>1.1322181518304527E-2</v>
      </c>
      <c r="E2837">
        <v>494</v>
      </c>
      <c r="F2837">
        <v>6</v>
      </c>
    </row>
    <row r="2838" spans="1:6">
      <c r="A2838" t="s">
        <v>1014</v>
      </c>
      <c r="B2838" t="s">
        <v>268</v>
      </c>
      <c r="C2838" t="s">
        <v>19</v>
      </c>
      <c r="D2838">
        <v>0.6</v>
      </c>
      <c r="E2838">
        <v>3126</v>
      </c>
      <c r="F2838">
        <v>1876</v>
      </c>
    </row>
    <row r="2839" spans="1:6">
      <c r="A2839" t="s">
        <v>1014</v>
      </c>
      <c r="B2839" t="s">
        <v>268</v>
      </c>
      <c r="C2839" t="s">
        <v>477</v>
      </c>
      <c r="D2839">
        <v>0.4</v>
      </c>
      <c r="E2839">
        <v>3126</v>
      </c>
      <c r="F2839">
        <v>1250</v>
      </c>
    </row>
    <row r="2840" spans="1:6">
      <c r="A2840" t="s">
        <v>1014</v>
      </c>
      <c r="B2840" t="s">
        <v>268</v>
      </c>
      <c r="C2840" t="s">
        <v>23</v>
      </c>
      <c r="D2840">
        <v>2.9426016586900959E-3</v>
      </c>
      <c r="E2840">
        <v>3126</v>
      </c>
      <c r="F2840">
        <v>9</v>
      </c>
    </row>
    <row r="2841" spans="1:6">
      <c r="A2841" t="s">
        <v>1014</v>
      </c>
      <c r="B2841" t="s">
        <v>269</v>
      </c>
      <c r="C2841" t="s">
        <v>19</v>
      </c>
      <c r="D2841">
        <v>0.6</v>
      </c>
      <c r="E2841">
        <v>863</v>
      </c>
      <c r="F2841">
        <v>518</v>
      </c>
    </row>
    <row r="2842" spans="1:6">
      <c r="A2842" t="s">
        <v>1014</v>
      </c>
      <c r="B2842" t="s">
        <v>269</v>
      </c>
      <c r="C2842" t="s">
        <v>477</v>
      </c>
      <c r="D2842">
        <v>0.4</v>
      </c>
      <c r="E2842">
        <v>863</v>
      </c>
      <c r="F2842">
        <v>345</v>
      </c>
    </row>
    <row r="2843" spans="1:6">
      <c r="A2843" t="s">
        <v>1014</v>
      </c>
      <c r="B2843" t="s">
        <v>269</v>
      </c>
      <c r="C2843" t="s">
        <v>23</v>
      </c>
      <c r="D2843">
        <v>2.5857799304641604E-3</v>
      </c>
      <c r="E2843">
        <v>863</v>
      </c>
      <c r="F2843">
        <v>2</v>
      </c>
    </row>
    <row r="2844" spans="1:6">
      <c r="A2844" t="s">
        <v>1014</v>
      </c>
      <c r="B2844" t="s">
        <v>270</v>
      </c>
      <c r="C2844" t="s">
        <v>19</v>
      </c>
      <c r="D2844">
        <v>0.6</v>
      </c>
      <c r="E2844">
        <v>2249</v>
      </c>
      <c r="F2844">
        <v>1349</v>
      </c>
    </row>
    <row r="2845" spans="1:6">
      <c r="A2845" t="s">
        <v>1014</v>
      </c>
      <c r="B2845" t="s">
        <v>270</v>
      </c>
      <c r="C2845" t="s">
        <v>477</v>
      </c>
      <c r="D2845">
        <v>0.4</v>
      </c>
      <c r="E2845">
        <v>2249</v>
      </c>
      <c r="F2845">
        <v>900</v>
      </c>
    </row>
    <row r="2846" spans="1:6">
      <c r="A2846" t="s">
        <v>1014</v>
      </c>
      <c r="B2846" t="s">
        <v>270</v>
      </c>
      <c r="C2846" t="s">
        <v>23</v>
      </c>
      <c r="D2846">
        <v>6.1982025569351177E-3</v>
      </c>
      <c r="E2846">
        <v>2249</v>
      </c>
      <c r="F2846">
        <v>14</v>
      </c>
    </row>
    <row r="2847" spans="1:6">
      <c r="A2847" t="s">
        <v>1014</v>
      </c>
      <c r="B2847" t="s">
        <v>271</v>
      </c>
      <c r="C2847" t="s">
        <v>19</v>
      </c>
      <c r="D2847">
        <v>0.6</v>
      </c>
      <c r="E2847">
        <v>3283</v>
      </c>
      <c r="F2847">
        <v>1970</v>
      </c>
    </row>
    <row r="2848" spans="1:6">
      <c r="A2848" t="s">
        <v>1014</v>
      </c>
      <c r="B2848" t="s">
        <v>271</v>
      </c>
      <c r="C2848" t="s">
        <v>477</v>
      </c>
      <c r="D2848">
        <v>0.4</v>
      </c>
      <c r="E2848">
        <v>3283</v>
      </c>
      <c r="F2848">
        <v>1313</v>
      </c>
    </row>
    <row r="2849" spans="1:6">
      <c r="A2849" t="s">
        <v>1014</v>
      </c>
      <c r="B2849" t="s">
        <v>271</v>
      </c>
      <c r="C2849" t="s">
        <v>23</v>
      </c>
      <c r="D2849">
        <v>1.1650068637420588E-2</v>
      </c>
      <c r="E2849">
        <v>3283</v>
      </c>
      <c r="F2849">
        <v>38</v>
      </c>
    </row>
    <row r="2850" spans="1:6">
      <c r="A2850" t="s">
        <v>1014</v>
      </c>
      <c r="B2850" t="s">
        <v>272</v>
      </c>
      <c r="C2850" t="s">
        <v>19</v>
      </c>
      <c r="D2850">
        <v>0.6</v>
      </c>
      <c r="E2850">
        <v>9899</v>
      </c>
      <c r="F2850">
        <v>5939</v>
      </c>
    </row>
    <row r="2851" spans="1:6">
      <c r="A2851" t="s">
        <v>1014</v>
      </c>
      <c r="B2851" t="s">
        <v>272</v>
      </c>
      <c r="C2851" t="s">
        <v>477</v>
      </c>
      <c r="D2851">
        <v>0.4</v>
      </c>
      <c r="E2851">
        <v>9899</v>
      </c>
      <c r="F2851">
        <v>3960</v>
      </c>
    </row>
    <row r="2852" spans="1:6">
      <c r="A2852" t="s">
        <v>1014</v>
      </c>
      <c r="B2852" t="s">
        <v>272</v>
      </c>
      <c r="C2852" t="s">
        <v>23</v>
      </c>
      <c r="D2852">
        <v>1.3383453882435892E-2</v>
      </c>
      <c r="E2852">
        <v>9899</v>
      </c>
      <c r="F2852">
        <v>132</v>
      </c>
    </row>
    <row r="2853" spans="1:6">
      <c r="A2853" t="s">
        <v>1014</v>
      </c>
      <c r="B2853" t="s">
        <v>273</v>
      </c>
      <c r="C2853" t="s">
        <v>19</v>
      </c>
      <c r="D2853">
        <v>0.6</v>
      </c>
      <c r="E2853">
        <v>1681</v>
      </c>
      <c r="F2853">
        <v>1009</v>
      </c>
    </row>
    <row r="2854" spans="1:6">
      <c r="A2854" t="s">
        <v>1014</v>
      </c>
      <c r="B2854" t="s">
        <v>273</v>
      </c>
      <c r="C2854" t="s">
        <v>477</v>
      </c>
      <c r="D2854">
        <v>0.4</v>
      </c>
      <c r="E2854">
        <v>1681</v>
      </c>
      <c r="F2854">
        <v>672</v>
      </c>
    </row>
    <row r="2855" spans="1:6">
      <c r="A2855" t="s">
        <v>1014</v>
      </c>
      <c r="B2855" t="s">
        <v>273</v>
      </c>
      <c r="C2855" t="s">
        <v>23</v>
      </c>
      <c r="D2855">
        <v>1.7369474861523401E-2</v>
      </c>
      <c r="E2855">
        <v>1681</v>
      </c>
      <c r="F2855">
        <v>29</v>
      </c>
    </row>
    <row r="2856" spans="1:6">
      <c r="A2856" t="s">
        <v>1014</v>
      </c>
      <c r="B2856" t="s">
        <v>274</v>
      </c>
      <c r="C2856" t="s">
        <v>19</v>
      </c>
      <c r="D2856">
        <v>0.6</v>
      </c>
      <c r="E2856">
        <v>724</v>
      </c>
      <c r="F2856">
        <v>434</v>
      </c>
    </row>
    <row r="2857" spans="1:6">
      <c r="A2857" t="s">
        <v>1014</v>
      </c>
      <c r="B2857" t="s">
        <v>274</v>
      </c>
      <c r="C2857" t="s">
        <v>477</v>
      </c>
      <c r="D2857">
        <v>0.4</v>
      </c>
      <c r="E2857">
        <v>724</v>
      </c>
      <c r="F2857">
        <v>290</v>
      </c>
    </row>
    <row r="2858" spans="1:6">
      <c r="A2858" t="s">
        <v>1014</v>
      </c>
      <c r="B2858" t="s">
        <v>274</v>
      </c>
      <c r="C2858" t="s">
        <v>23</v>
      </c>
      <c r="D2858">
        <v>5.9375990510643903E-4</v>
      </c>
      <c r="E2858">
        <v>724</v>
      </c>
      <c r="F2858">
        <v>0</v>
      </c>
    </row>
    <row r="2859" spans="1:6">
      <c r="A2859" t="s">
        <v>1014</v>
      </c>
      <c r="B2859" t="s">
        <v>275</v>
      </c>
      <c r="C2859" t="s">
        <v>19</v>
      </c>
      <c r="D2859">
        <v>0.6</v>
      </c>
      <c r="E2859">
        <v>1547</v>
      </c>
      <c r="F2859">
        <v>928</v>
      </c>
    </row>
    <row r="2860" spans="1:6">
      <c r="A2860" t="s">
        <v>1014</v>
      </c>
      <c r="B2860" t="s">
        <v>275</v>
      </c>
      <c r="C2860" t="s">
        <v>477</v>
      </c>
      <c r="D2860">
        <v>0.4</v>
      </c>
      <c r="E2860">
        <v>1547</v>
      </c>
      <c r="F2860">
        <v>619</v>
      </c>
    </row>
    <row r="2861" spans="1:6">
      <c r="A2861" t="s">
        <v>1014</v>
      </c>
      <c r="B2861" t="s">
        <v>275</v>
      </c>
      <c r="C2861" t="s">
        <v>23</v>
      </c>
      <c r="D2861">
        <v>1.3793758385284958E-2</v>
      </c>
      <c r="E2861">
        <v>1547</v>
      </c>
      <c r="F2861">
        <v>21</v>
      </c>
    </row>
    <row r="2862" spans="1:6">
      <c r="A2862" t="s">
        <v>1014</v>
      </c>
      <c r="B2862" t="s">
        <v>276</v>
      </c>
      <c r="C2862" t="s">
        <v>19</v>
      </c>
      <c r="D2862">
        <v>0.6</v>
      </c>
      <c r="E2862">
        <v>281</v>
      </c>
      <c r="F2862">
        <v>169</v>
      </c>
    </row>
    <row r="2863" spans="1:6">
      <c r="A2863" t="s">
        <v>1014</v>
      </c>
      <c r="B2863" t="s">
        <v>276</v>
      </c>
      <c r="C2863" t="s">
        <v>477</v>
      </c>
      <c r="D2863">
        <v>0.4</v>
      </c>
      <c r="E2863">
        <v>281</v>
      </c>
      <c r="F2863">
        <v>112</v>
      </c>
    </row>
    <row r="2864" spans="1:6">
      <c r="A2864" t="s">
        <v>1014</v>
      </c>
      <c r="B2864" t="s">
        <v>276</v>
      </c>
      <c r="C2864" t="s">
        <v>23</v>
      </c>
      <c r="D2864">
        <v>1.4075776029479682E-2</v>
      </c>
      <c r="E2864">
        <v>281</v>
      </c>
      <c r="F2864">
        <v>4</v>
      </c>
    </row>
    <row r="2865" spans="1:6">
      <c r="A2865" t="s">
        <v>1014</v>
      </c>
      <c r="B2865" t="s">
        <v>277</v>
      </c>
      <c r="C2865" t="s">
        <v>19</v>
      </c>
      <c r="D2865">
        <v>0.6</v>
      </c>
      <c r="E2865">
        <v>1054</v>
      </c>
      <c r="F2865">
        <v>632</v>
      </c>
    </row>
    <row r="2866" spans="1:6">
      <c r="A2866" t="s">
        <v>1014</v>
      </c>
      <c r="B2866" t="s">
        <v>277</v>
      </c>
      <c r="C2866" t="s">
        <v>477</v>
      </c>
      <c r="D2866">
        <v>0.4</v>
      </c>
      <c r="E2866">
        <v>1054</v>
      </c>
      <c r="F2866">
        <v>422</v>
      </c>
    </row>
    <row r="2867" spans="1:6">
      <c r="A2867" t="s">
        <v>1014</v>
      </c>
      <c r="B2867" t="s">
        <v>277</v>
      </c>
      <c r="C2867" t="s">
        <v>23</v>
      </c>
      <c r="D2867">
        <v>1.2956388621622529E-2</v>
      </c>
      <c r="E2867">
        <v>1054</v>
      </c>
      <c r="F2867">
        <v>14</v>
      </c>
    </row>
    <row r="2868" spans="1:6">
      <c r="A2868" t="s">
        <v>1014</v>
      </c>
      <c r="B2868" t="s">
        <v>278</v>
      </c>
      <c r="C2868" t="s">
        <v>19</v>
      </c>
      <c r="D2868">
        <v>0.6</v>
      </c>
      <c r="E2868">
        <v>689</v>
      </c>
      <c r="F2868">
        <v>413</v>
      </c>
    </row>
    <row r="2869" spans="1:6">
      <c r="A2869" t="s">
        <v>1014</v>
      </c>
      <c r="B2869" t="s">
        <v>278</v>
      </c>
      <c r="C2869" t="s">
        <v>477</v>
      </c>
      <c r="D2869">
        <v>0.4</v>
      </c>
      <c r="E2869">
        <v>689</v>
      </c>
      <c r="F2869">
        <v>276</v>
      </c>
    </row>
    <row r="2870" spans="1:6">
      <c r="A2870" t="s">
        <v>1014</v>
      </c>
      <c r="B2870" t="s">
        <v>278</v>
      </c>
      <c r="C2870" t="s">
        <v>23</v>
      </c>
      <c r="D2870">
        <v>1.1177341980937351E-2</v>
      </c>
      <c r="E2870">
        <v>689</v>
      </c>
      <c r="F2870">
        <v>8</v>
      </c>
    </row>
    <row r="2871" spans="1:6">
      <c r="A2871" t="s">
        <v>1014</v>
      </c>
      <c r="B2871" t="s">
        <v>279</v>
      </c>
      <c r="C2871" t="s">
        <v>19</v>
      </c>
      <c r="D2871">
        <v>0.6</v>
      </c>
      <c r="E2871">
        <v>427</v>
      </c>
      <c r="F2871">
        <v>256</v>
      </c>
    </row>
    <row r="2872" spans="1:6">
      <c r="A2872" t="s">
        <v>1014</v>
      </c>
      <c r="B2872" t="s">
        <v>279</v>
      </c>
      <c r="C2872" t="s">
        <v>477</v>
      </c>
      <c r="D2872">
        <v>0.4</v>
      </c>
      <c r="E2872">
        <v>427</v>
      </c>
      <c r="F2872">
        <v>171</v>
      </c>
    </row>
    <row r="2873" spans="1:6">
      <c r="A2873" t="s">
        <v>1014</v>
      </c>
      <c r="B2873" t="s">
        <v>279</v>
      </c>
      <c r="C2873" t="s">
        <v>23</v>
      </c>
      <c r="D2873">
        <v>2.5655075745457936E-3</v>
      </c>
      <c r="E2873">
        <v>427</v>
      </c>
      <c r="F2873">
        <v>1</v>
      </c>
    </row>
    <row r="2874" spans="1:6">
      <c r="A2874" t="s">
        <v>1014</v>
      </c>
      <c r="B2874" t="s">
        <v>280</v>
      </c>
      <c r="C2874" t="s">
        <v>19</v>
      </c>
      <c r="D2874">
        <v>0.6</v>
      </c>
      <c r="E2874">
        <v>300</v>
      </c>
      <c r="F2874">
        <v>180</v>
      </c>
    </row>
    <row r="2875" spans="1:6">
      <c r="A2875" t="s">
        <v>1014</v>
      </c>
      <c r="B2875" t="s">
        <v>280</v>
      </c>
      <c r="C2875" t="s">
        <v>477</v>
      </c>
      <c r="D2875">
        <v>0.4</v>
      </c>
      <c r="E2875">
        <v>300</v>
      </c>
      <c r="F2875">
        <v>120</v>
      </c>
    </row>
    <row r="2876" spans="1:6">
      <c r="A2876" t="s">
        <v>1014</v>
      </c>
      <c r="B2876" t="s">
        <v>280</v>
      </c>
      <c r="C2876" t="s">
        <v>23</v>
      </c>
      <c r="D2876">
        <v>5.4201385674909376E-3</v>
      </c>
      <c r="E2876">
        <v>300</v>
      </c>
      <c r="F2876">
        <v>2</v>
      </c>
    </row>
    <row r="2877" spans="1:6">
      <c r="A2877" t="s">
        <v>1014</v>
      </c>
      <c r="B2877" t="s">
        <v>281</v>
      </c>
      <c r="C2877" t="s">
        <v>19</v>
      </c>
      <c r="D2877">
        <v>0.6</v>
      </c>
      <c r="E2877">
        <v>351</v>
      </c>
      <c r="F2877">
        <v>211</v>
      </c>
    </row>
    <row r="2878" spans="1:6">
      <c r="A2878" t="s">
        <v>1014</v>
      </c>
      <c r="B2878" t="s">
        <v>281</v>
      </c>
      <c r="C2878" t="s">
        <v>477</v>
      </c>
      <c r="D2878">
        <v>0.4</v>
      </c>
      <c r="E2878">
        <v>351</v>
      </c>
      <c r="F2878">
        <v>140</v>
      </c>
    </row>
    <row r="2879" spans="1:6">
      <c r="A2879" t="s">
        <v>1014</v>
      </c>
      <c r="B2879" t="s">
        <v>281</v>
      </c>
      <c r="C2879" t="s">
        <v>23</v>
      </c>
      <c r="D2879">
        <v>2.0486670892129722E-3</v>
      </c>
      <c r="E2879">
        <v>351</v>
      </c>
      <c r="F2879">
        <v>1</v>
      </c>
    </row>
    <row r="2880" spans="1:6">
      <c r="A2880" t="s">
        <v>1014</v>
      </c>
      <c r="B2880" t="s">
        <v>282</v>
      </c>
      <c r="C2880" t="s">
        <v>19</v>
      </c>
      <c r="D2880">
        <v>0.6</v>
      </c>
      <c r="E2880">
        <v>343</v>
      </c>
      <c r="F2880">
        <v>206</v>
      </c>
    </row>
    <row r="2881" spans="1:6">
      <c r="A2881" t="s">
        <v>1014</v>
      </c>
      <c r="B2881" t="s">
        <v>282</v>
      </c>
      <c r="C2881" t="s">
        <v>477</v>
      </c>
      <c r="D2881">
        <v>0.4</v>
      </c>
      <c r="E2881">
        <v>343</v>
      </c>
      <c r="F2881">
        <v>137</v>
      </c>
    </row>
    <row r="2882" spans="1:6">
      <c r="A2882" t="s">
        <v>1014</v>
      </c>
      <c r="B2882" t="s">
        <v>282</v>
      </c>
      <c r="C2882" t="s">
        <v>23</v>
      </c>
      <c r="D2882">
        <v>1.6694785760819054E-2</v>
      </c>
      <c r="E2882">
        <v>343</v>
      </c>
      <c r="F2882">
        <v>6</v>
      </c>
    </row>
    <row r="2883" spans="1:6">
      <c r="A2883" t="s">
        <v>1014</v>
      </c>
      <c r="B2883" t="s">
        <v>283</v>
      </c>
      <c r="C2883" t="s">
        <v>19</v>
      </c>
      <c r="D2883">
        <v>0.6</v>
      </c>
      <c r="E2883">
        <v>448</v>
      </c>
      <c r="F2883">
        <v>269</v>
      </c>
    </row>
    <row r="2884" spans="1:6">
      <c r="A2884" t="s">
        <v>1014</v>
      </c>
      <c r="B2884" t="s">
        <v>283</v>
      </c>
      <c r="C2884" t="s">
        <v>477</v>
      </c>
      <c r="D2884">
        <v>0.4</v>
      </c>
      <c r="E2884">
        <v>448</v>
      </c>
      <c r="F2884">
        <v>179</v>
      </c>
    </row>
    <row r="2885" spans="1:6">
      <c r="A2885" t="s">
        <v>1014</v>
      </c>
      <c r="B2885" t="s">
        <v>283</v>
      </c>
      <c r="C2885" t="s">
        <v>23</v>
      </c>
      <c r="D2885">
        <v>2.3001236972002294E-4</v>
      </c>
      <c r="E2885">
        <v>448</v>
      </c>
      <c r="F2885">
        <v>0</v>
      </c>
    </row>
    <row r="2886" spans="1:6">
      <c r="A2886" t="s">
        <v>1014</v>
      </c>
      <c r="B2886" t="s">
        <v>284</v>
      </c>
      <c r="C2886" t="s">
        <v>19</v>
      </c>
      <c r="D2886">
        <v>0.6</v>
      </c>
      <c r="E2886">
        <v>346</v>
      </c>
      <c r="F2886">
        <v>208</v>
      </c>
    </row>
    <row r="2887" spans="1:6">
      <c r="A2887" t="s">
        <v>1014</v>
      </c>
      <c r="B2887" t="s">
        <v>284</v>
      </c>
      <c r="C2887" t="s">
        <v>477</v>
      </c>
      <c r="D2887">
        <v>0.4</v>
      </c>
      <c r="E2887">
        <v>346</v>
      </c>
      <c r="F2887">
        <v>138</v>
      </c>
    </row>
    <row r="2888" spans="1:6">
      <c r="A2888" t="s">
        <v>1014</v>
      </c>
      <c r="B2888" t="s">
        <v>284</v>
      </c>
      <c r="C2888" t="s">
        <v>23</v>
      </c>
      <c r="D2888">
        <v>7.6041284755083986E-4</v>
      </c>
      <c r="E2888">
        <v>346</v>
      </c>
      <c r="F2888">
        <v>0</v>
      </c>
    </row>
    <row r="2889" spans="1:6">
      <c r="A2889" t="s">
        <v>1014</v>
      </c>
      <c r="B2889" t="s">
        <v>285</v>
      </c>
      <c r="C2889" t="s">
        <v>19</v>
      </c>
      <c r="D2889">
        <v>0.6</v>
      </c>
      <c r="E2889">
        <v>254</v>
      </c>
      <c r="F2889">
        <v>152</v>
      </c>
    </row>
    <row r="2890" spans="1:6">
      <c r="A2890" t="s">
        <v>1014</v>
      </c>
      <c r="B2890" t="s">
        <v>285</v>
      </c>
      <c r="C2890" t="s">
        <v>477</v>
      </c>
      <c r="D2890">
        <v>0.4</v>
      </c>
      <c r="E2890">
        <v>254</v>
      </c>
      <c r="F2890">
        <v>102</v>
      </c>
    </row>
    <row r="2891" spans="1:6">
      <c r="A2891" t="s">
        <v>1014</v>
      </c>
      <c r="B2891" t="s">
        <v>285</v>
      </c>
      <c r="C2891" t="s">
        <v>23</v>
      </c>
      <c r="D2891">
        <v>1.4617770893463784E-2</v>
      </c>
      <c r="E2891">
        <v>254</v>
      </c>
      <c r="F2891">
        <v>4</v>
      </c>
    </row>
    <row r="2892" spans="1:6">
      <c r="A2892" t="s">
        <v>1014</v>
      </c>
      <c r="B2892" t="s">
        <v>287</v>
      </c>
      <c r="C2892" t="s">
        <v>19</v>
      </c>
      <c r="D2892">
        <v>0.6</v>
      </c>
      <c r="E2892">
        <v>254</v>
      </c>
      <c r="F2892">
        <v>152</v>
      </c>
    </row>
    <row r="2893" spans="1:6">
      <c r="A2893" t="s">
        <v>1014</v>
      </c>
      <c r="B2893" t="s">
        <v>287</v>
      </c>
      <c r="C2893" t="s">
        <v>477</v>
      </c>
      <c r="D2893">
        <v>0.4</v>
      </c>
      <c r="E2893">
        <v>254</v>
      </c>
      <c r="F2893">
        <v>102</v>
      </c>
    </row>
    <row r="2894" spans="1:6">
      <c r="A2894" t="s">
        <v>1014</v>
      </c>
      <c r="B2894" t="s">
        <v>287</v>
      </c>
      <c r="C2894" t="s">
        <v>23</v>
      </c>
      <c r="D2894">
        <v>1.0964402470543784E-2</v>
      </c>
      <c r="E2894">
        <v>254</v>
      </c>
      <c r="F2894">
        <v>3</v>
      </c>
    </row>
    <row r="2895" spans="1:6">
      <c r="A2895" t="s">
        <v>286</v>
      </c>
      <c r="B2895" t="s">
        <v>288</v>
      </c>
      <c r="C2895" t="s">
        <v>19</v>
      </c>
      <c r="D2895">
        <v>0.6</v>
      </c>
      <c r="E2895">
        <v>1768</v>
      </c>
      <c r="F2895">
        <v>1061</v>
      </c>
    </row>
    <row r="2896" spans="1:6">
      <c r="A2896" t="s">
        <v>286</v>
      </c>
      <c r="B2896" t="s">
        <v>288</v>
      </c>
      <c r="C2896" t="s">
        <v>477</v>
      </c>
      <c r="D2896">
        <v>0.4</v>
      </c>
      <c r="E2896">
        <v>1768</v>
      </c>
      <c r="F2896">
        <v>707</v>
      </c>
    </row>
    <row r="2897" spans="1:6">
      <c r="A2897" t="s">
        <v>286</v>
      </c>
      <c r="B2897" t="s">
        <v>288</v>
      </c>
      <c r="C2897" t="s">
        <v>23</v>
      </c>
      <c r="D2897">
        <v>1.2964848001384317E-2</v>
      </c>
      <c r="E2897">
        <v>1768</v>
      </c>
      <c r="F2897">
        <v>23</v>
      </c>
    </row>
    <row r="2898" spans="1:6">
      <c r="A2898" t="s">
        <v>286</v>
      </c>
      <c r="B2898" t="s">
        <v>289</v>
      </c>
      <c r="C2898" t="s">
        <v>19</v>
      </c>
      <c r="D2898">
        <v>0.6</v>
      </c>
      <c r="E2898">
        <v>1462</v>
      </c>
      <c r="F2898">
        <v>877</v>
      </c>
    </row>
    <row r="2899" spans="1:6">
      <c r="A2899" t="s">
        <v>286</v>
      </c>
      <c r="B2899" t="s">
        <v>289</v>
      </c>
      <c r="C2899" t="s">
        <v>477</v>
      </c>
      <c r="D2899">
        <v>0.4</v>
      </c>
      <c r="E2899">
        <v>1462</v>
      </c>
      <c r="F2899">
        <v>585</v>
      </c>
    </row>
    <row r="2900" spans="1:6">
      <c r="A2900" t="s">
        <v>286</v>
      </c>
      <c r="B2900" t="s">
        <v>289</v>
      </c>
      <c r="C2900" t="s">
        <v>23</v>
      </c>
      <c r="D2900">
        <v>1.9338616819065369E-3</v>
      </c>
      <c r="E2900">
        <v>1462</v>
      </c>
      <c r="F2900">
        <v>3</v>
      </c>
    </row>
    <row r="2901" spans="1:6">
      <c r="A2901" t="s">
        <v>286</v>
      </c>
      <c r="B2901" t="s">
        <v>290</v>
      </c>
      <c r="C2901" t="s">
        <v>19</v>
      </c>
      <c r="D2901">
        <v>0.6</v>
      </c>
      <c r="E2901">
        <v>2784</v>
      </c>
      <c r="F2901">
        <v>1670</v>
      </c>
    </row>
    <row r="2902" spans="1:6">
      <c r="A2902" t="s">
        <v>286</v>
      </c>
      <c r="B2902" t="s">
        <v>290</v>
      </c>
      <c r="C2902" t="s">
        <v>477</v>
      </c>
      <c r="D2902">
        <v>0.4</v>
      </c>
      <c r="E2902">
        <v>2784</v>
      </c>
      <c r="F2902">
        <v>1114</v>
      </c>
    </row>
    <row r="2903" spans="1:6">
      <c r="A2903" t="s">
        <v>286</v>
      </c>
      <c r="B2903" t="s">
        <v>290</v>
      </c>
      <c r="C2903" t="s">
        <v>23</v>
      </c>
      <c r="D2903">
        <v>1.9460801279150276E-2</v>
      </c>
      <c r="E2903">
        <v>2784</v>
      </c>
      <c r="F2903">
        <v>54</v>
      </c>
    </row>
    <row r="2904" spans="1:6">
      <c r="A2904" t="s">
        <v>286</v>
      </c>
      <c r="B2904" t="s">
        <v>291</v>
      </c>
      <c r="C2904" t="s">
        <v>19</v>
      </c>
      <c r="D2904">
        <v>0.6</v>
      </c>
      <c r="E2904">
        <v>11748</v>
      </c>
      <c r="F2904">
        <v>7049</v>
      </c>
    </row>
    <row r="2905" spans="1:6">
      <c r="A2905" t="s">
        <v>286</v>
      </c>
      <c r="B2905" t="s">
        <v>291</v>
      </c>
      <c r="C2905" t="s">
        <v>477</v>
      </c>
      <c r="D2905">
        <v>0.4</v>
      </c>
      <c r="E2905">
        <v>11748</v>
      </c>
      <c r="F2905">
        <v>4699</v>
      </c>
    </row>
    <row r="2906" spans="1:6">
      <c r="A2906" t="s">
        <v>286</v>
      </c>
      <c r="B2906" t="s">
        <v>291</v>
      </c>
      <c r="C2906" t="s">
        <v>23</v>
      </c>
      <c r="D2906">
        <v>1.7205426447000637E-2</v>
      </c>
      <c r="E2906">
        <v>11748</v>
      </c>
      <c r="F2906">
        <v>202</v>
      </c>
    </row>
    <row r="2907" spans="1:6">
      <c r="A2907" t="s">
        <v>286</v>
      </c>
      <c r="B2907" t="s">
        <v>292</v>
      </c>
      <c r="C2907" t="s">
        <v>19</v>
      </c>
      <c r="D2907">
        <v>0.6</v>
      </c>
      <c r="E2907">
        <v>1689</v>
      </c>
      <c r="F2907">
        <v>1013</v>
      </c>
    </row>
    <row r="2908" spans="1:6">
      <c r="A2908" t="s">
        <v>286</v>
      </c>
      <c r="B2908" t="s">
        <v>292</v>
      </c>
      <c r="C2908" t="s">
        <v>477</v>
      </c>
      <c r="D2908">
        <v>0.4</v>
      </c>
      <c r="E2908">
        <v>1689</v>
      </c>
      <c r="F2908">
        <v>676</v>
      </c>
    </row>
    <row r="2909" spans="1:6">
      <c r="A2909" t="s">
        <v>286</v>
      </c>
      <c r="B2909" t="s">
        <v>292</v>
      </c>
      <c r="C2909" t="s">
        <v>23</v>
      </c>
      <c r="D2909">
        <v>1.2235777670967332E-2</v>
      </c>
      <c r="E2909">
        <v>1689</v>
      </c>
      <c r="F2909">
        <v>21</v>
      </c>
    </row>
    <row r="2910" spans="1:6">
      <c r="A2910" t="s">
        <v>286</v>
      </c>
      <c r="B2910" t="s">
        <v>293</v>
      </c>
      <c r="C2910" t="s">
        <v>19</v>
      </c>
      <c r="D2910">
        <v>0.6</v>
      </c>
      <c r="E2910">
        <v>2157</v>
      </c>
      <c r="F2910">
        <v>1294</v>
      </c>
    </row>
    <row r="2911" spans="1:6">
      <c r="A2911" t="s">
        <v>286</v>
      </c>
      <c r="B2911" t="s">
        <v>293</v>
      </c>
      <c r="C2911" t="s">
        <v>477</v>
      </c>
      <c r="D2911">
        <v>0.4</v>
      </c>
      <c r="E2911">
        <v>2157</v>
      </c>
      <c r="F2911">
        <v>863</v>
      </c>
    </row>
    <row r="2912" spans="1:6">
      <c r="A2912" t="s">
        <v>286</v>
      </c>
      <c r="B2912" t="s">
        <v>293</v>
      </c>
      <c r="C2912" t="s">
        <v>23</v>
      </c>
      <c r="D2912">
        <v>1.9015070456111317E-2</v>
      </c>
      <c r="E2912">
        <v>2157</v>
      </c>
      <c r="F2912">
        <v>41</v>
      </c>
    </row>
    <row r="2913" spans="1:6">
      <c r="A2913" t="s">
        <v>286</v>
      </c>
      <c r="B2913" t="s">
        <v>294</v>
      </c>
      <c r="C2913" t="s">
        <v>19</v>
      </c>
      <c r="D2913">
        <v>0.6</v>
      </c>
      <c r="E2913">
        <v>1373</v>
      </c>
      <c r="F2913">
        <v>824</v>
      </c>
    </row>
    <row r="2914" spans="1:6">
      <c r="A2914" t="s">
        <v>286</v>
      </c>
      <c r="B2914" t="s">
        <v>294</v>
      </c>
      <c r="C2914" t="s">
        <v>477</v>
      </c>
      <c r="D2914">
        <v>0.4</v>
      </c>
      <c r="E2914">
        <v>1373</v>
      </c>
      <c r="F2914">
        <v>549</v>
      </c>
    </row>
    <row r="2915" spans="1:6">
      <c r="A2915" t="s">
        <v>286</v>
      </c>
      <c r="B2915" t="s">
        <v>294</v>
      </c>
      <c r="C2915" t="s">
        <v>23</v>
      </c>
      <c r="D2915">
        <v>7.3160697022308053E-3</v>
      </c>
      <c r="E2915">
        <v>1373</v>
      </c>
      <c r="F2915">
        <v>10</v>
      </c>
    </row>
    <row r="2916" spans="1:6">
      <c r="A2916" t="s">
        <v>286</v>
      </c>
      <c r="B2916" t="s">
        <v>295</v>
      </c>
      <c r="C2916" t="s">
        <v>19</v>
      </c>
      <c r="D2916">
        <v>0.6</v>
      </c>
      <c r="E2916">
        <v>1300</v>
      </c>
      <c r="F2916">
        <v>780</v>
      </c>
    </row>
    <row r="2917" spans="1:6">
      <c r="A2917" t="s">
        <v>286</v>
      </c>
      <c r="B2917" t="s">
        <v>295</v>
      </c>
      <c r="C2917" t="s">
        <v>477</v>
      </c>
      <c r="D2917">
        <v>0.4</v>
      </c>
      <c r="E2917">
        <v>1300</v>
      </c>
      <c r="F2917">
        <v>520</v>
      </c>
    </row>
    <row r="2918" spans="1:6">
      <c r="A2918" t="s">
        <v>286</v>
      </c>
      <c r="B2918" t="s">
        <v>295</v>
      </c>
      <c r="C2918" t="s">
        <v>23</v>
      </c>
      <c r="D2918">
        <v>4.8940043864972175E-3</v>
      </c>
      <c r="E2918">
        <v>1300</v>
      </c>
      <c r="F2918">
        <v>6</v>
      </c>
    </row>
    <row r="2919" spans="1:6">
      <c r="A2919" t="s">
        <v>286</v>
      </c>
      <c r="B2919" t="s">
        <v>296</v>
      </c>
      <c r="C2919" t="s">
        <v>19</v>
      </c>
      <c r="D2919">
        <v>0.6</v>
      </c>
      <c r="E2919">
        <v>637</v>
      </c>
      <c r="F2919">
        <v>382</v>
      </c>
    </row>
    <row r="2920" spans="1:6">
      <c r="A2920" t="s">
        <v>286</v>
      </c>
      <c r="B2920" t="s">
        <v>296</v>
      </c>
      <c r="C2920" t="s">
        <v>477</v>
      </c>
      <c r="D2920">
        <v>0.4</v>
      </c>
      <c r="E2920">
        <v>637</v>
      </c>
      <c r="F2920">
        <v>255</v>
      </c>
    </row>
    <row r="2921" spans="1:6">
      <c r="A2921" t="s">
        <v>286</v>
      </c>
      <c r="B2921" t="s">
        <v>296</v>
      </c>
      <c r="C2921" t="s">
        <v>23</v>
      </c>
      <c r="D2921">
        <v>1.7593203113959767E-2</v>
      </c>
      <c r="E2921">
        <v>637</v>
      </c>
      <c r="F2921">
        <v>11</v>
      </c>
    </row>
    <row r="2922" spans="1:6">
      <c r="A2922" t="s">
        <v>286</v>
      </c>
      <c r="B2922" t="s">
        <v>298</v>
      </c>
      <c r="C2922" t="s">
        <v>19</v>
      </c>
      <c r="D2922">
        <v>0.6</v>
      </c>
      <c r="E2922">
        <v>643</v>
      </c>
      <c r="F2922">
        <v>386</v>
      </c>
    </row>
    <row r="2923" spans="1:6">
      <c r="A2923" t="s">
        <v>286</v>
      </c>
      <c r="B2923" t="s">
        <v>298</v>
      </c>
      <c r="C2923" t="s">
        <v>477</v>
      </c>
      <c r="D2923">
        <v>0.4</v>
      </c>
      <c r="E2923">
        <v>643</v>
      </c>
      <c r="F2923">
        <v>257</v>
      </c>
    </row>
    <row r="2924" spans="1:6">
      <c r="A2924" t="s">
        <v>286</v>
      </c>
      <c r="B2924" t="s">
        <v>298</v>
      </c>
      <c r="C2924" t="s">
        <v>23</v>
      </c>
      <c r="D2924">
        <v>1.6177279433002293E-2</v>
      </c>
      <c r="E2924">
        <v>643</v>
      </c>
      <c r="F2924">
        <v>10</v>
      </c>
    </row>
    <row r="2925" spans="1:6">
      <c r="A2925" t="s">
        <v>297</v>
      </c>
      <c r="B2925" t="s">
        <v>299</v>
      </c>
      <c r="C2925" t="s">
        <v>19</v>
      </c>
      <c r="D2925">
        <v>0.6</v>
      </c>
      <c r="E2925">
        <v>1418</v>
      </c>
      <c r="F2925">
        <v>851</v>
      </c>
    </row>
    <row r="2926" spans="1:6">
      <c r="A2926" t="s">
        <v>297</v>
      </c>
      <c r="B2926" t="s">
        <v>299</v>
      </c>
      <c r="C2926" t="s">
        <v>477</v>
      </c>
      <c r="D2926">
        <v>0.4</v>
      </c>
      <c r="E2926">
        <v>1418</v>
      </c>
      <c r="F2926">
        <v>567</v>
      </c>
    </row>
    <row r="2927" spans="1:6">
      <c r="A2927" t="s">
        <v>297</v>
      </c>
      <c r="B2927" t="s">
        <v>299</v>
      </c>
      <c r="C2927" t="s">
        <v>23</v>
      </c>
      <c r="D2927">
        <v>1.6567111756328617E-2</v>
      </c>
      <c r="E2927">
        <v>1418</v>
      </c>
      <c r="F2927">
        <v>23</v>
      </c>
    </row>
    <row r="2928" spans="1:6">
      <c r="A2928" t="s">
        <v>297</v>
      </c>
      <c r="B2928" t="s">
        <v>300</v>
      </c>
      <c r="C2928" t="s">
        <v>19</v>
      </c>
      <c r="D2928">
        <v>0.6</v>
      </c>
      <c r="E2928">
        <v>4164</v>
      </c>
      <c r="F2928">
        <v>2498</v>
      </c>
    </row>
    <row r="2929" spans="1:6">
      <c r="A2929" t="s">
        <v>297</v>
      </c>
      <c r="B2929" t="s">
        <v>300</v>
      </c>
      <c r="C2929" t="s">
        <v>477</v>
      </c>
      <c r="D2929">
        <v>0.4</v>
      </c>
      <c r="E2929">
        <v>4164</v>
      </c>
      <c r="F2929">
        <v>1666</v>
      </c>
    </row>
    <row r="2930" spans="1:6">
      <c r="A2930" t="s">
        <v>297</v>
      </c>
      <c r="B2930" t="s">
        <v>300</v>
      </c>
      <c r="C2930" t="s">
        <v>23</v>
      </c>
      <c r="D2930">
        <v>1.3365277440928951E-2</v>
      </c>
      <c r="E2930">
        <v>4164</v>
      </c>
      <c r="F2930">
        <v>56</v>
      </c>
    </row>
    <row r="2931" spans="1:6">
      <c r="A2931" t="s">
        <v>297</v>
      </c>
      <c r="B2931" t="s">
        <v>301</v>
      </c>
      <c r="C2931" t="s">
        <v>19</v>
      </c>
      <c r="D2931">
        <v>0.6</v>
      </c>
      <c r="E2931">
        <v>2354</v>
      </c>
      <c r="F2931">
        <v>1412</v>
      </c>
    </row>
    <row r="2932" spans="1:6">
      <c r="A2932" t="s">
        <v>297</v>
      </c>
      <c r="B2932" t="s">
        <v>301</v>
      </c>
      <c r="C2932" t="s">
        <v>477</v>
      </c>
      <c r="D2932">
        <v>0.4</v>
      </c>
      <c r="E2932">
        <v>2354</v>
      </c>
      <c r="F2932">
        <v>942</v>
      </c>
    </row>
    <row r="2933" spans="1:6">
      <c r="A2933" t="s">
        <v>297</v>
      </c>
      <c r="B2933" t="s">
        <v>301</v>
      </c>
      <c r="C2933" t="s">
        <v>23</v>
      </c>
      <c r="D2933">
        <v>1.2640577022141351E-2</v>
      </c>
      <c r="E2933">
        <v>2354</v>
      </c>
      <c r="F2933">
        <v>30</v>
      </c>
    </row>
    <row r="2934" spans="1:6">
      <c r="A2934" t="s">
        <v>297</v>
      </c>
      <c r="B2934" t="s">
        <v>297</v>
      </c>
      <c r="C2934" t="s">
        <v>19</v>
      </c>
      <c r="D2934">
        <v>0.6</v>
      </c>
      <c r="E2934">
        <v>14759</v>
      </c>
      <c r="F2934">
        <v>8855</v>
      </c>
    </row>
    <row r="2935" spans="1:6">
      <c r="A2935" t="s">
        <v>297</v>
      </c>
      <c r="B2935" t="s">
        <v>297</v>
      </c>
      <c r="C2935" t="s">
        <v>477</v>
      </c>
      <c r="D2935">
        <v>0.4</v>
      </c>
      <c r="E2935">
        <v>14759</v>
      </c>
      <c r="F2935">
        <v>5904</v>
      </c>
    </row>
    <row r="2936" spans="1:6">
      <c r="A2936" t="s">
        <v>297</v>
      </c>
      <c r="B2936" t="s">
        <v>297</v>
      </c>
      <c r="C2936" t="s">
        <v>23</v>
      </c>
      <c r="D2936">
        <v>1.809464389410851E-2</v>
      </c>
      <c r="E2936">
        <v>14759</v>
      </c>
      <c r="F2936">
        <v>267</v>
      </c>
    </row>
    <row r="2937" spans="1:6">
      <c r="A2937" t="s">
        <v>297</v>
      </c>
      <c r="B2937" t="s">
        <v>302</v>
      </c>
      <c r="C2937" t="s">
        <v>19</v>
      </c>
      <c r="D2937">
        <v>0.6</v>
      </c>
      <c r="E2937">
        <v>1412</v>
      </c>
      <c r="F2937">
        <v>847</v>
      </c>
    </row>
    <row r="2938" spans="1:6">
      <c r="A2938" t="s">
        <v>297</v>
      </c>
      <c r="B2938" t="s">
        <v>302</v>
      </c>
      <c r="C2938" t="s">
        <v>477</v>
      </c>
      <c r="D2938">
        <v>0.4</v>
      </c>
      <c r="E2938">
        <v>1412</v>
      </c>
      <c r="F2938">
        <v>565</v>
      </c>
    </row>
    <row r="2939" spans="1:6">
      <c r="A2939" t="s">
        <v>297</v>
      </c>
      <c r="B2939" t="s">
        <v>302</v>
      </c>
      <c r="C2939" t="s">
        <v>23</v>
      </c>
      <c r="D2939">
        <v>7.1132461908527782E-3</v>
      </c>
      <c r="E2939">
        <v>1412</v>
      </c>
      <c r="F2939">
        <v>10</v>
      </c>
    </row>
    <row r="2940" spans="1:6">
      <c r="A2940" t="s">
        <v>297</v>
      </c>
      <c r="B2940" t="s">
        <v>303</v>
      </c>
      <c r="C2940" t="s">
        <v>19</v>
      </c>
      <c r="D2940">
        <v>0.6</v>
      </c>
      <c r="E2940">
        <v>1192</v>
      </c>
      <c r="F2940">
        <v>715</v>
      </c>
    </row>
    <row r="2941" spans="1:6">
      <c r="A2941" t="s">
        <v>297</v>
      </c>
      <c r="B2941" t="s">
        <v>303</v>
      </c>
      <c r="C2941" t="s">
        <v>477</v>
      </c>
      <c r="D2941">
        <v>0.4</v>
      </c>
      <c r="E2941">
        <v>1192</v>
      </c>
      <c r="F2941">
        <v>477</v>
      </c>
    </row>
    <row r="2942" spans="1:6">
      <c r="A2942" t="s">
        <v>297</v>
      </c>
      <c r="B2942" t="s">
        <v>303</v>
      </c>
      <c r="C2942" t="s">
        <v>23</v>
      </c>
      <c r="D2942">
        <v>1.6913861395122864E-2</v>
      </c>
      <c r="E2942">
        <v>1192</v>
      </c>
      <c r="F2942">
        <v>20</v>
      </c>
    </row>
    <row r="2943" spans="1:6">
      <c r="A2943" t="s">
        <v>297</v>
      </c>
      <c r="B2943" t="s">
        <v>304</v>
      </c>
      <c r="C2943" t="s">
        <v>19</v>
      </c>
      <c r="D2943">
        <v>0.6</v>
      </c>
      <c r="E2943">
        <v>1151</v>
      </c>
      <c r="F2943">
        <v>691</v>
      </c>
    </row>
    <row r="2944" spans="1:6">
      <c r="A2944" t="s">
        <v>297</v>
      </c>
      <c r="B2944" t="s">
        <v>304</v>
      </c>
      <c r="C2944" t="s">
        <v>477</v>
      </c>
      <c r="D2944">
        <v>0.4</v>
      </c>
      <c r="E2944">
        <v>1151</v>
      </c>
      <c r="F2944">
        <v>460</v>
      </c>
    </row>
    <row r="2945" spans="1:6">
      <c r="A2945" t="s">
        <v>297</v>
      </c>
      <c r="B2945" t="s">
        <v>304</v>
      </c>
      <c r="C2945" t="s">
        <v>23</v>
      </c>
      <c r="D2945">
        <v>1.9164473605333288E-2</v>
      </c>
      <c r="E2945">
        <v>1151</v>
      </c>
      <c r="F2945">
        <v>22</v>
      </c>
    </row>
    <row r="2946" spans="1:6">
      <c r="A2946" t="s">
        <v>297</v>
      </c>
      <c r="B2946" t="s">
        <v>305</v>
      </c>
      <c r="C2946" t="s">
        <v>19</v>
      </c>
      <c r="D2946">
        <v>0.6</v>
      </c>
      <c r="E2946">
        <v>1378</v>
      </c>
      <c r="F2946">
        <v>827</v>
      </c>
    </row>
    <row r="2947" spans="1:6">
      <c r="A2947" t="s">
        <v>297</v>
      </c>
      <c r="B2947" t="s">
        <v>305</v>
      </c>
      <c r="C2947" t="s">
        <v>477</v>
      </c>
      <c r="D2947">
        <v>0.4</v>
      </c>
      <c r="E2947">
        <v>1378</v>
      </c>
      <c r="F2947">
        <v>551</v>
      </c>
    </row>
    <row r="2948" spans="1:6">
      <c r="A2948" t="s">
        <v>297</v>
      </c>
      <c r="B2948" t="s">
        <v>305</v>
      </c>
      <c r="C2948" t="s">
        <v>23</v>
      </c>
      <c r="D2948">
        <v>1.8989819872672759E-2</v>
      </c>
      <c r="E2948">
        <v>1378</v>
      </c>
      <c r="F2948">
        <v>26</v>
      </c>
    </row>
    <row r="2949" spans="1:6">
      <c r="A2949" t="s">
        <v>297</v>
      </c>
      <c r="B2949" t="s">
        <v>307</v>
      </c>
      <c r="C2949" t="s">
        <v>19</v>
      </c>
      <c r="D2949">
        <v>0.6</v>
      </c>
      <c r="E2949">
        <v>536</v>
      </c>
      <c r="F2949">
        <v>322</v>
      </c>
    </row>
    <row r="2950" spans="1:6">
      <c r="A2950" t="s">
        <v>297</v>
      </c>
      <c r="B2950" t="s">
        <v>307</v>
      </c>
      <c r="C2950" t="s">
        <v>477</v>
      </c>
      <c r="D2950">
        <v>0.4</v>
      </c>
      <c r="E2950">
        <v>536</v>
      </c>
      <c r="F2950">
        <v>214</v>
      </c>
    </row>
    <row r="2951" spans="1:6">
      <c r="A2951" t="s">
        <v>297</v>
      </c>
      <c r="B2951" t="s">
        <v>307</v>
      </c>
      <c r="C2951" t="s">
        <v>23</v>
      </c>
      <c r="D2951">
        <v>2.8491028218351143E-3</v>
      </c>
      <c r="E2951">
        <v>536</v>
      </c>
      <c r="F2951">
        <v>2</v>
      </c>
    </row>
    <row r="2952" spans="1:6">
      <c r="A2952" t="s">
        <v>1010</v>
      </c>
      <c r="B2952" t="s">
        <v>308</v>
      </c>
      <c r="C2952" t="s">
        <v>19</v>
      </c>
      <c r="D2952">
        <v>0.6</v>
      </c>
      <c r="E2952">
        <v>2034</v>
      </c>
      <c r="F2952">
        <v>1220</v>
      </c>
    </row>
    <row r="2953" spans="1:6">
      <c r="A2953" t="s">
        <v>1010</v>
      </c>
      <c r="B2953" t="s">
        <v>308</v>
      </c>
      <c r="C2953" t="s">
        <v>477</v>
      </c>
      <c r="D2953">
        <v>0.4</v>
      </c>
      <c r="E2953">
        <v>2034</v>
      </c>
      <c r="F2953">
        <v>814</v>
      </c>
    </row>
    <row r="2954" spans="1:6">
      <c r="A2954" t="s">
        <v>1010</v>
      </c>
      <c r="B2954" t="s">
        <v>308</v>
      </c>
      <c r="C2954" t="s">
        <v>23</v>
      </c>
      <c r="D2954">
        <v>1.0244527344724761E-2</v>
      </c>
      <c r="E2954">
        <v>2034</v>
      </c>
      <c r="F2954">
        <v>21</v>
      </c>
    </row>
    <row r="2955" spans="1:6">
      <c r="A2955" t="s">
        <v>1010</v>
      </c>
      <c r="B2955" t="s">
        <v>309</v>
      </c>
      <c r="C2955" t="s">
        <v>19</v>
      </c>
      <c r="D2955">
        <v>0.6</v>
      </c>
      <c r="E2955">
        <v>7685</v>
      </c>
      <c r="F2955">
        <v>4611</v>
      </c>
    </row>
    <row r="2956" spans="1:6">
      <c r="A2956" t="s">
        <v>1010</v>
      </c>
      <c r="B2956" t="s">
        <v>309</v>
      </c>
      <c r="C2956" t="s">
        <v>477</v>
      </c>
      <c r="D2956">
        <v>0.4</v>
      </c>
      <c r="E2956">
        <v>7685</v>
      </c>
      <c r="F2956">
        <v>3074</v>
      </c>
    </row>
    <row r="2957" spans="1:6">
      <c r="A2957" t="s">
        <v>1010</v>
      </c>
      <c r="B2957" t="s">
        <v>309</v>
      </c>
      <c r="C2957" t="s">
        <v>23</v>
      </c>
      <c r="D2957">
        <v>7.1691748642625395E-4</v>
      </c>
      <c r="E2957">
        <v>7685</v>
      </c>
      <c r="F2957">
        <v>6</v>
      </c>
    </row>
    <row r="2958" spans="1:6">
      <c r="A2958" t="s">
        <v>1010</v>
      </c>
      <c r="B2958" t="s">
        <v>310</v>
      </c>
      <c r="C2958" t="s">
        <v>19</v>
      </c>
      <c r="D2958">
        <v>0.6</v>
      </c>
      <c r="E2958">
        <v>2095</v>
      </c>
      <c r="F2958">
        <v>1257</v>
      </c>
    </row>
    <row r="2959" spans="1:6">
      <c r="A2959" t="s">
        <v>1010</v>
      </c>
      <c r="B2959" t="s">
        <v>310</v>
      </c>
      <c r="C2959" t="s">
        <v>477</v>
      </c>
      <c r="D2959">
        <v>0.4</v>
      </c>
      <c r="E2959">
        <v>2095</v>
      </c>
      <c r="F2959">
        <v>838</v>
      </c>
    </row>
    <row r="2960" spans="1:6">
      <c r="A2960" t="s">
        <v>1010</v>
      </c>
      <c r="B2960" t="s">
        <v>310</v>
      </c>
      <c r="C2960" t="s">
        <v>23</v>
      </c>
      <c r="D2960">
        <v>2.9453206725092974E-3</v>
      </c>
      <c r="E2960">
        <v>2095</v>
      </c>
      <c r="F2960">
        <v>6</v>
      </c>
    </row>
    <row r="2961" spans="1:6">
      <c r="A2961" t="s">
        <v>1010</v>
      </c>
      <c r="B2961" t="s">
        <v>311</v>
      </c>
      <c r="C2961" t="s">
        <v>19</v>
      </c>
      <c r="D2961">
        <v>0.6</v>
      </c>
      <c r="E2961">
        <v>2508</v>
      </c>
      <c r="F2961">
        <v>1505</v>
      </c>
    </row>
    <row r="2962" spans="1:6">
      <c r="A2962" t="s">
        <v>1010</v>
      </c>
      <c r="B2962" t="s">
        <v>311</v>
      </c>
      <c r="C2962" t="s">
        <v>477</v>
      </c>
      <c r="D2962">
        <v>0.4</v>
      </c>
      <c r="E2962">
        <v>2508</v>
      </c>
      <c r="F2962">
        <v>1003</v>
      </c>
    </row>
    <row r="2963" spans="1:6">
      <c r="A2963" t="s">
        <v>1010</v>
      </c>
      <c r="B2963" t="s">
        <v>311</v>
      </c>
      <c r="C2963" t="s">
        <v>23</v>
      </c>
      <c r="D2963">
        <v>7.0449269941315132E-3</v>
      </c>
      <c r="E2963">
        <v>2508</v>
      </c>
      <c r="F2963">
        <v>18</v>
      </c>
    </row>
    <row r="2964" spans="1:6">
      <c r="A2964" t="s">
        <v>1010</v>
      </c>
      <c r="B2964" t="s">
        <v>312</v>
      </c>
      <c r="C2964" t="s">
        <v>19</v>
      </c>
      <c r="D2964">
        <v>0.6</v>
      </c>
      <c r="E2964">
        <v>784</v>
      </c>
      <c r="F2964">
        <v>470</v>
      </c>
    </row>
    <row r="2965" spans="1:6">
      <c r="A2965" t="s">
        <v>1010</v>
      </c>
      <c r="B2965" t="s">
        <v>312</v>
      </c>
      <c r="C2965" t="s">
        <v>477</v>
      </c>
      <c r="D2965">
        <v>0.4</v>
      </c>
      <c r="E2965">
        <v>784</v>
      </c>
      <c r="F2965">
        <v>314</v>
      </c>
    </row>
    <row r="2966" spans="1:6">
      <c r="A2966" t="s">
        <v>1010</v>
      </c>
      <c r="B2966" t="s">
        <v>312</v>
      </c>
      <c r="C2966" t="s">
        <v>23</v>
      </c>
      <c r="D2966">
        <v>5.7410981184415656E-3</v>
      </c>
      <c r="E2966">
        <v>784</v>
      </c>
      <c r="F2966">
        <v>5</v>
      </c>
    </row>
    <row r="2967" spans="1:6">
      <c r="A2967" t="s">
        <v>1010</v>
      </c>
      <c r="B2967" t="s">
        <v>313</v>
      </c>
      <c r="C2967" t="s">
        <v>19</v>
      </c>
      <c r="D2967">
        <v>0.6</v>
      </c>
      <c r="E2967">
        <v>539</v>
      </c>
      <c r="F2967">
        <v>323</v>
      </c>
    </row>
    <row r="2968" spans="1:6">
      <c r="A2968" t="s">
        <v>1010</v>
      </c>
      <c r="B2968" t="s">
        <v>313</v>
      </c>
      <c r="C2968" t="s">
        <v>477</v>
      </c>
      <c r="D2968">
        <v>0.4</v>
      </c>
      <c r="E2968">
        <v>539</v>
      </c>
      <c r="F2968">
        <v>216</v>
      </c>
    </row>
    <row r="2969" spans="1:6">
      <c r="A2969" t="s">
        <v>1010</v>
      </c>
      <c r="B2969" t="s">
        <v>313</v>
      </c>
      <c r="C2969" t="s">
        <v>23</v>
      </c>
      <c r="D2969">
        <v>1.9650980688761137E-2</v>
      </c>
      <c r="E2969">
        <v>539</v>
      </c>
      <c r="F2969">
        <v>11</v>
      </c>
    </row>
    <row r="2970" spans="1:6">
      <c r="A2970" t="s">
        <v>1010</v>
      </c>
      <c r="B2970" t="s">
        <v>314</v>
      </c>
      <c r="C2970" t="s">
        <v>19</v>
      </c>
      <c r="D2970">
        <v>0.6</v>
      </c>
      <c r="E2970">
        <v>771</v>
      </c>
      <c r="F2970">
        <v>463</v>
      </c>
    </row>
    <row r="2971" spans="1:6">
      <c r="A2971" t="s">
        <v>1010</v>
      </c>
      <c r="B2971" t="s">
        <v>314</v>
      </c>
      <c r="C2971" t="s">
        <v>477</v>
      </c>
      <c r="D2971">
        <v>0.4</v>
      </c>
      <c r="E2971">
        <v>771</v>
      </c>
      <c r="F2971">
        <v>308</v>
      </c>
    </row>
    <row r="2972" spans="1:6">
      <c r="A2972" t="s">
        <v>1010</v>
      </c>
      <c r="B2972" t="s">
        <v>314</v>
      </c>
      <c r="C2972" t="s">
        <v>23</v>
      </c>
      <c r="D2972">
        <v>1.7946444414352142E-2</v>
      </c>
      <c r="E2972">
        <v>771</v>
      </c>
      <c r="F2972">
        <v>14</v>
      </c>
    </row>
    <row r="2973" spans="1:6">
      <c r="A2973" t="s">
        <v>1010</v>
      </c>
      <c r="B2973" t="s">
        <v>315</v>
      </c>
      <c r="C2973" t="s">
        <v>19</v>
      </c>
      <c r="D2973">
        <v>0.6</v>
      </c>
      <c r="E2973">
        <v>612</v>
      </c>
      <c r="F2973">
        <v>367</v>
      </c>
    </row>
    <row r="2974" spans="1:6">
      <c r="A2974" t="s">
        <v>1010</v>
      </c>
      <c r="B2974" t="s">
        <v>315</v>
      </c>
      <c r="C2974" t="s">
        <v>477</v>
      </c>
      <c r="D2974">
        <v>0.4</v>
      </c>
      <c r="E2974">
        <v>612</v>
      </c>
      <c r="F2974">
        <v>245</v>
      </c>
    </row>
    <row r="2975" spans="1:6">
      <c r="A2975" t="s">
        <v>1010</v>
      </c>
      <c r="B2975" t="s">
        <v>315</v>
      </c>
      <c r="C2975" t="s">
        <v>23</v>
      </c>
      <c r="D2975">
        <v>8.6019149048935633E-3</v>
      </c>
      <c r="E2975">
        <v>612</v>
      </c>
      <c r="F2975">
        <v>5</v>
      </c>
    </row>
    <row r="2976" spans="1:6">
      <c r="A2976" t="s">
        <v>1010</v>
      </c>
      <c r="B2976" t="s">
        <v>317</v>
      </c>
      <c r="C2976" t="s">
        <v>19</v>
      </c>
      <c r="D2976">
        <v>0.6</v>
      </c>
      <c r="E2976">
        <v>472</v>
      </c>
      <c r="F2976">
        <v>283</v>
      </c>
    </row>
    <row r="2977" spans="1:6">
      <c r="A2977" t="s">
        <v>1010</v>
      </c>
      <c r="B2977" t="s">
        <v>317</v>
      </c>
      <c r="C2977" t="s">
        <v>477</v>
      </c>
      <c r="D2977">
        <v>0.4</v>
      </c>
      <c r="E2977">
        <v>472</v>
      </c>
      <c r="F2977">
        <v>189</v>
      </c>
    </row>
    <row r="2978" spans="1:6">
      <c r="A2978" t="s">
        <v>1010</v>
      </c>
      <c r="B2978" t="s">
        <v>317</v>
      </c>
      <c r="C2978" t="s">
        <v>23</v>
      </c>
      <c r="D2978">
        <v>1.4132226235575963E-2</v>
      </c>
      <c r="E2978">
        <v>472</v>
      </c>
      <c r="F2978">
        <v>7</v>
      </c>
    </row>
    <row r="2979" spans="1:6">
      <c r="A2979" t="s">
        <v>316</v>
      </c>
      <c r="B2979" t="s">
        <v>318</v>
      </c>
      <c r="C2979" t="s">
        <v>19</v>
      </c>
      <c r="D2979">
        <v>0.6</v>
      </c>
      <c r="E2979">
        <v>1976</v>
      </c>
      <c r="F2979">
        <v>1186</v>
      </c>
    </row>
    <row r="2980" spans="1:6">
      <c r="A2980" t="s">
        <v>316</v>
      </c>
      <c r="B2980" t="s">
        <v>318</v>
      </c>
      <c r="C2980" t="s">
        <v>477</v>
      </c>
      <c r="D2980">
        <v>0.4</v>
      </c>
      <c r="E2980">
        <v>1976</v>
      </c>
      <c r="F2980">
        <v>790</v>
      </c>
    </row>
    <row r="2981" spans="1:6">
      <c r="A2981" t="s">
        <v>316</v>
      </c>
      <c r="B2981" t="s">
        <v>318</v>
      </c>
      <c r="C2981" t="s">
        <v>23</v>
      </c>
      <c r="D2981">
        <v>1.7189409536423911E-2</v>
      </c>
      <c r="E2981">
        <v>1976</v>
      </c>
      <c r="F2981">
        <v>34</v>
      </c>
    </row>
    <row r="2982" spans="1:6">
      <c r="A2982" t="s">
        <v>316</v>
      </c>
      <c r="B2982" t="s">
        <v>319</v>
      </c>
      <c r="C2982" t="s">
        <v>19</v>
      </c>
      <c r="D2982">
        <v>0.6</v>
      </c>
      <c r="E2982">
        <v>4034</v>
      </c>
      <c r="F2982">
        <v>2420</v>
      </c>
    </row>
    <row r="2983" spans="1:6">
      <c r="A2983" t="s">
        <v>316</v>
      </c>
      <c r="B2983" t="s">
        <v>319</v>
      </c>
      <c r="C2983" t="s">
        <v>477</v>
      </c>
      <c r="D2983">
        <v>0.4</v>
      </c>
      <c r="E2983">
        <v>4034</v>
      </c>
      <c r="F2983">
        <v>1614</v>
      </c>
    </row>
    <row r="2984" spans="1:6">
      <c r="A2984" t="s">
        <v>316</v>
      </c>
      <c r="B2984" t="s">
        <v>319</v>
      </c>
      <c r="C2984" t="s">
        <v>23</v>
      </c>
      <c r="D2984">
        <v>5.1530797951456165E-3</v>
      </c>
      <c r="E2984">
        <v>4034</v>
      </c>
      <c r="F2984">
        <v>21</v>
      </c>
    </row>
    <row r="2985" spans="1:6">
      <c r="A2985" t="s">
        <v>316</v>
      </c>
      <c r="B2985" t="s">
        <v>320</v>
      </c>
      <c r="C2985" t="s">
        <v>19</v>
      </c>
      <c r="D2985">
        <v>0.6</v>
      </c>
      <c r="E2985">
        <v>2293</v>
      </c>
      <c r="F2985">
        <v>1376</v>
      </c>
    </row>
    <row r="2986" spans="1:6">
      <c r="A2986" t="s">
        <v>316</v>
      </c>
      <c r="B2986" t="s">
        <v>320</v>
      </c>
      <c r="C2986" t="s">
        <v>477</v>
      </c>
      <c r="D2986">
        <v>0.4</v>
      </c>
      <c r="E2986">
        <v>2293</v>
      </c>
      <c r="F2986">
        <v>917</v>
      </c>
    </row>
    <row r="2987" spans="1:6">
      <c r="A2987" t="s">
        <v>316</v>
      </c>
      <c r="B2987" t="s">
        <v>320</v>
      </c>
      <c r="C2987" t="s">
        <v>23</v>
      </c>
      <c r="D2987">
        <v>1.0627137956281958E-2</v>
      </c>
      <c r="E2987">
        <v>2293</v>
      </c>
      <c r="F2987">
        <v>24</v>
      </c>
    </row>
    <row r="2988" spans="1:6">
      <c r="A2988" t="s">
        <v>316</v>
      </c>
      <c r="B2988" t="s">
        <v>321</v>
      </c>
      <c r="C2988" t="s">
        <v>19</v>
      </c>
      <c r="D2988">
        <v>0.6</v>
      </c>
      <c r="E2988">
        <v>1581</v>
      </c>
      <c r="F2988">
        <v>949</v>
      </c>
    </row>
    <row r="2989" spans="1:6">
      <c r="A2989" t="s">
        <v>316</v>
      </c>
      <c r="B2989" t="s">
        <v>321</v>
      </c>
      <c r="C2989" t="s">
        <v>477</v>
      </c>
      <c r="D2989">
        <v>0.4</v>
      </c>
      <c r="E2989">
        <v>1581</v>
      </c>
      <c r="F2989">
        <v>632</v>
      </c>
    </row>
    <row r="2990" spans="1:6">
      <c r="A2990" t="s">
        <v>316</v>
      </c>
      <c r="B2990" t="s">
        <v>321</v>
      </c>
      <c r="C2990" t="s">
        <v>23</v>
      </c>
      <c r="D2990">
        <v>1.8843217222370835E-3</v>
      </c>
      <c r="E2990">
        <v>1581</v>
      </c>
      <c r="F2990">
        <v>3</v>
      </c>
    </row>
    <row r="2991" spans="1:6">
      <c r="A2991" t="s">
        <v>316</v>
      </c>
      <c r="B2991" t="s">
        <v>322</v>
      </c>
      <c r="C2991" t="s">
        <v>19</v>
      </c>
      <c r="D2991">
        <v>0.6</v>
      </c>
      <c r="E2991">
        <v>1856</v>
      </c>
      <c r="F2991">
        <v>1114</v>
      </c>
    </row>
    <row r="2992" spans="1:6">
      <c r="A2992" t="s">
        <v>316</v>
      </c>
      <c r="B2992" t="s">
        <v>322</v>
      </c>
      <c r="C2992" t="s">
        <v>477</v>
      </c>
      <c r="D2992">
        <v>0.4</v>
      </c>
      <c r="E2992">
        <v>1856</v>
      </c>
      <c r="F2992">
        <v>742</v>
      </c>
    </row>
    <row r="2993" spans="1:6">
      <c r="A2993" t="s">
        <v>316</v>
      </c>
      <c r="B2993" t="s">
        <v>322</v>
      </c>
      <c r="C2993" t="s">
        <v>23</v>
      </c>
      <c r="D2993">
        <v>1.5167729559278123E-2</v>
      </c>
      <c r="E2993">
        <v>1856</v>
      </c>
      <c r="F2993">
        <v>28</v>
      </c>
    </row>
    <row r="2994" spans="1:6">
      <c r="A2994" t="s">
        <v>316</v>
      </c>
      <c r="B2994" t="s">
        <v>819</v>
      </c>
      <c r="C2994" t="s">
        <v>19</v>
      </c>
      <c r="D2994">
        <v>0.6</v>
      </c>
      <c r="E2994">
        <v>11701</v>
      </c>
      <c r="F2994">
        <v>7021</v>
      </c>
    </row>
    <row r="2995" spans="1:6">
      <c r="A2995" t="s">
        <v>316</v>
      </c>
      <c r="B2995" t="s">
        <v>819</v>
      </c>
      <c r="C2995" t="s">
        <v>477</v>
      </c>
      <c r="D2995">
        <v>0.4</v>
      </c>
      <c r="E2995">
        <v>11701</v>
      </c>
      <c r="F2995">
        <v>4680</v>
      </c>
    </row>
    <row r="2996" spans="1:6">
      <c r="A2996" t="s">
        <v>316</v>
      </c>
      <c r="B2996" t="s">
        <v>819</v>
      </c>
      <c r="C2996" t="s">
        <v>23</v>
      </c>
      <c r="D2996">
        <v>1.8454063070943647E-2</v>
      </c>
      <c r="E2996">
        <v>11701</v>
      </c>
      <c r="F2996">
        <v>216</v>
      </c>
    </row>
    <row r="2997" spans="1:6">
      <c r="A2997" t="s">
        <v>316</v>
      </c>
      <c r="B2997" t="s">
        <v>324</v>
      </c>
      <c r="C2997" t="s">
        <v>19</v>
      </c>
      <c r="D2997">
        <v>0.6</v>
      </c>
      <c r="E2997">
        <v>1018</v>
      </c>
      <c r="F2997">
        <v>611</v>
      </c>
    </row>
    <row r="2998" spans="1:6">
      <c r="A2998" t="s">
        <v>316</v>
      </c>
      <c r="B2998" t="s">
        <v>324</v>
      </c>
      <c r="C2998" t="s">
        <v>477</v>
      </c>
      <c r="D2998">
        <v>0.4</v>
      </c>
      <c r="E2998">
        <v>1018</v>
      </c>
      <c r="F2998">
        <v>407</v>
      </c>
    </row>
    <row r="2999" spans="1:6">
      <c r="A2999" t="s">
        <v>316</v>
      </c>
      <c r="B2999" t="s">
        <v>324</v>
      </c>
      <c r="C2999" t="s">
        <v>23</v>
      </c>
      <c r="D2999">
        <v>7.3106790589226871E-4</v>
      </c>
      <c r="E2999">
        <v>1018</v>
      </c>
      <c r="F2999">
        <v>1</v>
      </c>
    </row>
    <row r="3000" spans="1:6">
      <c r="A3000" t="s">
        <v>316</v>
      </c>
      <c r="B3000" t="s">
        <v>325</v>
      </c>
      <c r="C3000" t="s">
        <v>19</v>
      </c>
      <c r="D3000">
        <v>0.6</v>
      </c>
      <c r="E3000">
        <v>1062</v>
      </c>
      <c r="F3000">
        <v>637</v>
      </c>
    </row>
    <row r="3001" spans="1:6">
      <c r="A3001" t="s">
        <v>316</v>
      </c>
      <c r="B3001" t="s">
        <v>325</v>
      </c>
      <c r="C3001" t="s">
        <v>477</v>
      </c>
      <c r="D3001">
        <v>0.4</v>
      </c>
      <c r="E3001">
        <v>1062</v>
      </c>
      <c r="F3001">
        <v>425</v>
      </c>
    </row>
    <row r="3002" spans="1:6">
      <c r="A3002" t="s">
        <v>316</v>
      </c>
      <c r="B3002" t="s">
        <v>325</v>
      </c>
      <c r="C3002" t="s">
        <v>23</v>
      </c>
      <c r="D3002">
        <v>9.3770468726752914E-3</v>
      </c>
      <c r="E3002">
        <v>1062</v>
      </c>
      <c r="F3002">
        <v>10</v>
      </c>
    </row>
    <row r="3003" spans="1:6">
      <c r="A3003" t="s">
        <v>316</v>
      </c>
      <c r="B3003" t="s">
        <v>326</v>
      </c>
      <c r="C3003" t="s">
        <v>19</v>
      </c>
      <c r="D3003">
        <v>0.6</v>
      </c>
      <c r="E3003">
        <v>1021</v>
      </c>
      <c r="F3003">
        <v>613</v>
      </c>
    </row>
    <row r="3004" spans="1:6">
      <c r="A3004" t="s">
        <v>316</v>
      </c>
      <c r="B3004" t="s">
        <v>326</v>
      </c>
      <c r="C3004" t="s">
        <v>477</v>
      </c>
      <c r="D3004">
        <v>0.4</v>
      </c>
      <c r="E3004">
        <v>1021</v>
      </c>
      <c r="F3004">
        <v>408</v>
      </c>
    </row>
    <row r="3005" spans="1:6">
      <c r="A3005" t="s">
        <v>316</v>
      </c>
      <c r="B3005" t="s">
        <v>326</v>
      </c>
      <c r="C3005" t="s">
        <v>23</v>
      </c>
      <c r="D3005">
        <v>1.4134842889319339E-2</v>
      </c>
      <c r="E3005">
        <v>1021</v>
      </c>
      <c r="F3005">
        <v>14</v>
      </c>
    </row>
    <row r="3006" spans="1:6">
      <c r="A3006" t="s">
        <v>316</v>
      </c>
      <c r="B3006" t="s">
        <v>327</v>
      </c>
      <c r="C3006" t="s">
        <v>19</v>
      </c>
      <c r="D3006">
        <v>0.6</v>
      </c>
      <c r="E3006">
        <v>565</v>
      </c>
      <c r="F3006">
        <v>339</v>
      </c>
    </row>
    <row r="3007" spans="1:6">
      <c r="A3007" t="s">
        <v>316</v>
      </c>
      <c r="B3007" t="s">
        <v>327</v>
      </c>
      <c r="C3007" t="s">
        <v>477</v>
      </c>
      <c r="D3007">
        <v>0.4</v>
      </c>
      <c r="E3007">
        <v>565</v>
      </c>
      <c r="F3007">
        <v>226</v>
      </c>
    </row>
    <row r="3008" spans="1:6">
      <c r="A3008" t="s">
        <v>316</v>
      </c>
      <c r="B3008" t="s">
        <v>327</v>
      </c>
      <c r="C3008" t="s">
        <v>23</v>
      </c>
      <c r="D3008">
        <v>1.2784266800786937E-2</v>
      </c>
      <c r="E3008">
        <v>565</v>
      </c>
      <c r="F3008">
        <v>7</v>
      </c>
    </row>
    <row r="3009" spans="1:6">
      <c r="A3009" t="s">
        <v>316</v>
      </c>
      <c r="B3009" t="s">
        <v>817</v>
      </c>
      <c r="C3009" t="s">
        <v>19</v>
      </c>
      <c r="D3009">
        <v>0.6</v>
      </c>
      <c r="E3009">
        <v>11701</v>
      </c>
      <c r="F3009">
        <v>7021</v>
      </c>
    </row>
    <row r="3010" spans="1:6">
      <c r="A3010" t="s">
        <v>316</v>
      </c>
      <c r="B3010" t="s">
        <v>817</v>
      </c>
      <c r="C3010" t="s">
        <v>477</v>
      </c>
      <c r="D3010">
        <v>0.4</v>
      </c>
      <c r="E3010">
        <v>11701</v>
      </c>
      <c r="F3010">
        <v>4680</v>
      </c>
    </row>
    <row r="3011" spans="1:6">
      <c r="A3011" t="s">
        <v>316</v>
      </c>
      <c r="B3011" t="s">
        <v>817</v>
      </c>
      <c r="C3011" t="s">
        <v>23</v>
      </c>
      <c r="D3011">
        <v>6.7703082217922496E-3</v>
      </c>
      <c r="E3011">
        <v>11701</v>
      </c>
      <c r="F3011">
        <v>79</v>
      </c>
    </row>
    <row r="3012" spans="1:6">
      <c r="A3012" t="s">
        <v>328</v>
      </c>
      <c r="B3012" t="s">
        <v>328</v>
      </c>
      <c r="C3012" t="s">
        <v>19</v>
      </c>
      <c r="D3012">
        <v>0.6</v>
      </c>
      <c r="E3012">
        <v>4799</v>
      </c>
      <c r="F3012">
        <v>2879</v>
      </c>
    </row>
    <row r="3013" spans="1:6">
      <c r="A3013" t="s">
        <v>328</v>
      </c>
      <c r="B3013" t="s">
        <v>328</v>
      </c>
      <c r="C3013" t="s">
        <v>477</v>
      </c>
      <c r="D3013">
        <v>0.4</v>
      </c>
      <c r="E3013">
        <v>4799</v>
      </c>
      <c r="F3013">
        <v>1920</v>
      </c>
    </row>
    <row r="3014" spans="1:6">
      <c r="A3014" t="s">
        <v>328</v>
      </c>
      <c r="B3014" t="s">
        <v>328</v>
      </c>
      <c r="C3014" t="s">
        <v>23</v>
      </c>
      <c r="D3014">
        <v>1.1047322051911173E-2</v>
      </c>
      <c r="E3014">
        <v>4799</v>
      </c>
      <c r="F3014">
        <v>53</v>
      </c>
    </row>
    <row r="3015" spans="1:6">
      <c r="A3015" t="s">
        <v>328</v>
      </c>
      <c r="B3015" t="s">
        <v>330</v>
      </c>
      <c r="C3015" t="s">
        <v>19</v>
      </c>
      <c r="D3015">
        <v>0.6</v>
      </c>
      <c r="E3015">
        <v>292</v>
      </c>
      <c r="F3015">
        <v>175</v>
      </c>
    </row>
    <row r="3016" spans="1:6">
      <c r="A3016" t="s">
        <v>328</v>
      </c>
      <c r="B3016" t="s">
        <v>330</v>
      </c>
      <c r="C3016" t="s">
        <v>477</v>
      </c>
      <c r="D3016">
        <v>0.4</v>
      </c>
      <c r="E3016">
        <v>292</v>
      </c>
      <c r="F3016">
        <v>117</v>
      </c>
    </row>
    <row r="3017" spans="1:6">
      <c r="A3017" t="s">
        <v>328</v>
      </c>
      <c r="B3017" t="s">
        <v>330</v>
      </c>
      <c r="C3017" t="s">
        <v>23</v>
      </c>
      <c r="D3017">
        <v>1.4649489846707962E-2</v>
      </c>
      <c r="E3017">
        <v>292</v>
      </c>
      <c r="F3017">
        <v>4</v>
      </c>
    </row>
    <row r="3018" spans="1:6">
      <c r="A3018" t="s">
        <v>328</v>
      </c>
      <c r="B3018" t="s">
        <v>331</v>
      </c>
      <c r="C3018" t="s">
        <v>19</v>
      </c>
      <c r="D3018">
        <v>0.6</v>
      </c>
      <c r="E3018">
        <v>842</v>
      </c>
      <c r="F3018">
        <v>505</v>
      </c>
    </row>
    <row r="3019" spans="1:6">
      <c r="A3019" t="s">
        <v>328</v>
      </c>
      <c r="B3019" t="s">
        <v>331</v>
      </c>
      <c r="C3019" t="s">
        <v>477</v>
      </c>
      <c r="D3019">
        <v>0.4</v>
      </c>
      <c r="E3019">
        <v>842</v>
      </c>
      <c r="F3019">
        <v>337</v>
      </c>
    </row>
    <row r="3020" spans="1:6">
      <c r="A3020" t="s">
        <v>328</v>
      </c>
      <c r="B3020" t="s">
        <v>331</v>
      </c>
      <c r="C3020" t="s">
        <v>23</v>
      </c>
      <c r="D3020">
        <v>1.6149501862221246E-2</v>
      </c>
      <c r="E3020">
        <v>842</v>
      </c>
      <c r="F3020">
        <v>14</v>
      </c>
    </row>
    <row r="3021" spans="1:6">
      <c r="A3021" t="s">
        <v>328</v>
      </c>
      <c r="B3021" t="s">
        <v>332</v>
      </c>
      <c r="C3021" t="s">
        <v>19</v>
      </c>
      <c r="D3021">
        <v>0.6</v>
      </c>
      <c r="E3021">
        <v>869</v>
      </c>
      <c r="F3021">
        <v>521</v>
      </c>
    </row>
    <row r="3022" spans="1:6">
      <c r="A3022" t="s">
        <v>328</v>
      </c>
      <c r="B3022" t="s">
        <v>332</v>
      </c>
      <c r="C3022" t="s">
        <v>477</v>
      </c>
      <c r="D3022">
        <v>0.4</v>
      </c>
      <c r="E3022">
        <v>869</v>
      </c>
      <c r="F3022">
        <v>348</v>
      </c>
    </row>
    <row r="3023" spans="1:6">
      <c r="A3023" t="s">
        <v>328</v>
      </c>
      <c r="B3023" t="s">
        <v>332</v>
      </c>
      <c r="C3023" t="s">
        <v>23</v>
      </c>
      <c r="D3023">
        <v>5.4136916545232854E-3</v>
      </c>
      <c r="E3023">
        <v>869</v>
      </c>
      <c r="F3023">
        <v>5</v>
      </c>
    </row>
    <row r="3024" spans="1:6">
      <c r="A3024" t="s">
        <v>328</v>
      </c>
      <c r="B3024" t="s">
        <v>333</v>
      </c>
      <c r="C3024" t="s">
        <v>19</v>
      </c>
      <c r="D3024">
        <v>0.6</v>
      </c>
      <c r="E3024">
        <v>522</v>
      </c>
      <c r="F3024">
        <v>313</v>
      </c>
    </row>
    <row r="3025" spans="1:6">
      <c r="A3025" t="s">
        <v>328</v>
      </c>
      <c r="B3025" t="s">
        <v>333</v>
      </c>
      <c r="C3025" t="s">
        <v>477</v>
      </c>
      <c r="D3025">
        <v>0.4</v>
      </c>
      <c r="E3025">
        <v>522</v>
      </c>
      <c r="F3025">
        <v>209</v>
      </c>
    </row>
    <row r="3026" spans="1:6">
      <c r="A3026" t="s">
        <v>328</v>
      </c>
      <c r="B3026" t="s">
        <v>333</v>
      </c>
      <c r="C3026" t="s">
        <v>23</v>
      </c>
      <c r="D3026">
        <v>1.2854698308006483E-2</v>
      </c>
      <c r="E3026">
        <v>522</v>
      </c>
      <c r="F3026">
        <v>7</v>
      </c>
    </row>
    <row r="3027" spans="1:6">
      <c r="A3027" t="s">
        <v>328</v>
      </c>
      <c r="B3027" t="s">
        <v>334</v>
      </c>
      <c r="C3027" t="s">
        <v>19</v>
      </c>
      <c r="D3027">
        <v>0.6</v>
      </c>
      <c r="E3027">
        <v>665</v>
      </c>
      <c r="F3027">
        <v>399</v>
      </c>
    </row>
    <row r="3028" spans="1:6">
      <c r="A3028" t="s">
        <v>328</v>
      </c>
      <c r="B3028" t="s">
        <v>334</v>
      </c>
      <c r="C3028" t="s">
        <v>477</v>
      </c>
      <c r="D3028">
        <v>0.4</v>
      </c>
      <c r="E3028">
        <v>665</v>
      </c>
      <c r="F3028">
        <v>266</v>
      </c>
    </row>
    <row r="3029" spans="1:6">
      <c r="A3029" t="s">
        <v>328</v>
      </c>
      <c r="B3029" t="s">
        <v>334</v>
      </c>
      <c r="C3029" t="s">
        <v>23</v>
      </c>
      <c r="D3029">
        <v>6.1984809447983708E-3</v>
      </c>
      <c r="E3029">
        <v>665</v>
      </c>
      <c r="F3029">
        <v>4</v>
      </c>
    </row>
    <row r="3030" spans="1:6">
      <c r="A3030" t="s">
        <v>328</v>
      </c>
      <c r="B3030" t="s">
        <v>335</v>
      </c>
      <c r="C3030" t="s">
        <v>19</v>
      </c>
      <c r="D3030">
        <v>0.6</v>
      </c>
      <c r="E3030">
        <v>657</v>
      </c>
      <c r="F3030">
        <v>394</v>
      </c>
    </row>
    <row r="3031" spans="1:6">
      <c r="A3031" t="s">
        <v>328</v>
      </c>
      <c r="B3031" t="s">
        <v>335</v>
      </c>
      <c r="C3031" t="s">
        <v>477</v>
      </c>
      <c r="D3031">
        <v>0.4</v>
      </c>
      <c r="E3031">
        <v>657</v>
      </c>
      <c r="F3031">
        <v>263</v>
      </c>
    </row>
    <row r="3032" spans="1:6">
      <c r="A3032" t="s">
        <v>328</v>
      </c>
      <c r="B3032" t="s">
        <v>335</v>
      </c>
      <c r="C3032" t="s">
        <v>23</v>
      </c>
      <c r="D3032">
        <v>3.3699622903837945E-3</v>
      </c>
      <c r="E3032">
        <v>657</v>
      </c>
      <c r="F3032">
        <v>2</v>
      </c>
    </row>
    <row r="3033" spans="1:6">
      <c r="A3033" t="s">
        <v>328</v>
      </c>
      <c r="B3033" t="s">
        <v>336</v>
      </c>
      <c r="C3033" t="s">
        <v>19</v>
      </c>
      <c r="D3033">
        <v>0.6</v>
      </c>
      <c r="E3033">
        <v>185</v>
      </c>
      <c r="F3033">
        <v>111</v>
      </c>
    </row>
    <row r="3034" spans="1:6">
      <c r="A3034" t="s">
        <v>328</v>
      </c>
      <c r="B3034" t="s">
        <v>336</v>
      </c>
      <c r="C3034" t="s">
        <v>477</v>
      </c>
      <c r="D3034">
        <v>0.4</v>
      </c>
      <c r="E3034">
        <v>185</v>
      </c>
      <c r="F3034">
        <v>74</v>
      </c>
    </row>
    <row r="3035" spans="1:6">
      <c r="A3035" t="s">
        <v>328</v>
      </c>
      <c r="B3035" t="s">
        <v>336</v>
      </c>
      <c r="C3035" t="s">
        <v>23</v>
      </c>
      <c r="D3035">
        <v>2.4282189823640189E-3</v>
      </c>
      <c r="E3035">
        <v>185</v>
      </c>
      <c r="F3035">
        <v>0</v>
      </c>
    </row>
    <row r="3036" spans="1:6">
      <c r="A3036" t="s">
        <v>328</v>
      </c>
      <c r="B3036" t="s">
        <v>337</v>
      </c>
      <c r="C3036" t="s">
        <v>19</v>
      </c>
      <c r="D3036">
        <v>0.6</v>
      </c>
      <c r="E3036">
        <v>190</v>
      </c>
      <c r="F3036">
        <v>114</v>
      </c>
    </row>
    <row r="3037" spans="1:6">
      <c r="A3037" t="s">
        <v>328</v>
      </c>
      <c r="B3037" t="s">
        <v>337</v>
      </c>
      <c r="C3037" t="s">
        <v>477</v>
      </c>
      <c r="D3037">
        <v>0.4</v>
      </c>
      <c r="E3037">
        <v>190</v>
      </c>
      <c r="F3037">
        <v>76</v>
      </c>
    </row>
    <row r="3038" spans="1:6">
      <c r="A3038" t="s">
        <v>328</v>
      </c>
      <c r="B3038" t="s">
        <v>337</v>
      </c>
      <c r="C3038" t="s">
        <v>23</v>
      </c>
      <c r="D3038">
        <v>9.4401753343870201E-3</v>
      </c>
      <c r="E3038">
        <v>190</v>
      </c>
      <c r="F3038">
        <v>2</v>
      </c>
    </row>
    <row r="3039" spans="1:6">
      <c r="A3039" t="s">
        <v>328</v>
      </c>
      <c r="B3039" t="s">
        <v>339</v>
      </c>
      <c r="C3039" t="s">
        <v>19</v>
      </c>
      <c r="D3039">
        <v>0.6</v>
      </c>
      <c r="E3039">
        <v>147</v>
      </c>
      <c r="F3039">
        <v>88</v>
      </c>
    </row>
    <row r="3040" spans="1:6">
      <c r="A3040" t="s">
        <v>328</v>
      </c>
      <c r="B3040" t="s">
        <v>339</v>
      </c>
      <c r="C3040" t="s">
        <v>477</v>
      </c>
      <c r="D3040">
        <v>0.4</v>
      </c>
      <c r="E3040">
        <v>147</v>
      </c>
      <c r="F3040">
        <v>59</v>
      </c>
    </row>
    <row r="3041" spans="1:6">
      <c r="A3041" t="s">
        <v>328</v>
      </c>
      <c r="B3041" t="s">
        <v>339</v>
      </c>
      <c r="C3041" t="s">
        <v>23</v>
      </c>
      <c r="D3041">
        <v>9.8599935561036588E-3</v>
      </c>
      <c r="E3041">
        <v>147</v>
      </c>
      <c r="F3041">
        <v>1</v>
      </c>
    </row>
    <row r="3042" spans="1:6">
      <c r="A3042" t="s">
        <v>1015</v>
      </c>
      <c r="B3042" t="s">
        <v>340</v>
      </c>
      <c r="C3042" t="s">
        <v>19</v>
      </c>
      <c r="D3042">
        <v>0.6</v>
      </c>
      <c r="E3042">
        <v>2586</v>
      </c>
      <c r="F3042">
        <v>1552</v>
      </c>
    </row>
    <row r="3043" spans="1:6">
      <c r="A3043" t="s">
        <v>1015</v>
      </c>
      <c r="B3043" t="s">
        <v>340</v>
      </c>
      <c r="C3043" t="s">
        <v>477</v>
      </c>
      <c r="D3043">
        <v>0.4</v>
      </c>
      <c r="E3043">
        <v>2586</v>
      </c>
      <c r="F3043">
        <v>1034</v>
      </c>
    </row>
    <row r="3044" spans="1:6">
      <c r="A3044" t="s">
        <v>1015</v>
      </c>
      <c r="B3044" t="s">
        <v>340</v>
      </c>
      <c r="C3044" t="s">
        <v>23</v>
      </c>
      <c r="D3044">
        <v>1.7103785120562955E-2</v>
      </c>
      <c r="E3044">
        <v>2586</v>
      </c>
      <c r="F3044">
        <v>44</v>
      </c>
    </row>
    <row r="3045" spans="1:6">
      <c r="A3045" t="s">
        <v>1015</v>
      </c>
      <c r="B3045" t="s">
        <v>341</v>
      </c>
      <c r="C3045" t="s">
        <v>19</v>
      </c>
      <c r="D3045">
        <v>0.6</v>
      </c>
      <c r="E3045">
        <v>2429</v>
      </c>
      <c r="F3045">
        <v>1457</v>
      </c>
    </row>
    <row r="3046" spans="1:6">
      <c r="A3046" t="s">
        <v>1015</v>
      </c>
      <c r="B3046" t="s">
        <v>341</v>
      </c>
      <c r="C3046" t="s">
        <v>477</v>
      </c>
      <c r="D3046">
        <v>0.4</v>
      </c>
      <c r="E3046">
        <v>2429</v>
      </c>
      <c r="F3046">
        <v>972</v>
      </c>
    </row>
    <row r="3047" spans="1:6">
      <c r="A3047" t="s">
        <v>1015</v>
      </c>
      <c r="B3047" t="s">
        <v>341</v>
      </c>
      <c r="C3047" t="s">
        <v>23</v>
      </c>
      <c r="D3047">
        <v>1.3315448556725507E-4</v>
      </c>
      <c r="E3047">
        <v>2429</v>
      </c>
      <c r="F3047">
        <v>0</v>
      </c>
    </row>
    <row r="3048" spans="1:6">
      <c r="A3048" t="s">
        <v>1015</v>
      </c>
      <c r="B3048" t="s">
        <v>342</v>
      </c>
      <c r="C3048" t="s">
        <v>19</v>
      </c>
      <c r="D3048">
        <v>0.6</v>
      </c>
      <c r="E3048">
        <v>2342</v>
      </c>
      <c r="F3048">
        <v>1405</v>
      </c>
    </row>
    <row r="3049" spans="1:6">
      <c r="A3049" t="s">
        <v>1015</v>
      </c>
      <c r="B3049" t="s">
        <v>342</v>
      </c>
      <c r="C3049" t="s">
        <v>477</v>
      </c>
      <c r="D3049">
        <v>0.4</v>
      </c>
      <c r="E3049">
        <v>2342</v>
      </c>
      <c r="F3049">
        <v>937</v>
      </c>
    </row>
    <row r="3050" spans="1:6">
      <c r="A3050" t="s">
        <v>1015</v>
      </c>
      <c r="B3050" t="s">
        <v>342</v>
      </c>
      <c r="C3050" t="s">
        <v>23</v>
      </c>
      <c r="D3050">
        <v>6.3498666190011897E-3</v>
      </c>
      <c r="E3050">
        <v>2342</v>
      </c>
      <c r="F3050">
        <v>15</v>
      </c>
    </row>
    <row r="3051" spans="1:6">
      <c r="A3051" t="s">
        <v>1015</v>
      </c>
      <c r="B3051" t="s">
        <v>343</v>
      </c>
      <c r="C3051" t="s">
        <v>19</v>
      </c>
      <c r="D3051">
        <v>0.6</v>
      </c>
      <c r="E3051">
        <v>480</v>
      </c>
      <c r="F3051">
        <v>288</v>
      </c>
    </row>
    <row r="3052" spans="1:6">
      <c r="A3052" t="s">
        <v>1015</v>
      </c>
      <c r="B3052" t="s">
        <v>343</v>
      </c>
      <c r="C3052" t="s">
        <v>477</v>
      </c>
      <c r="D3052">
        <v>0.4</v>
      </c>
      <c r="E3052">
        <v>480</v>
      </c>
      <c r="F3052">
        <v>192</v>
      </c>
    </row>
    <row r="3053" spans="1:6">
      <c r="A3053" t="s">
        <v>1015</v>
      </c>
      <c r="B3053" t="s">
        <v>343</v>
      </c>
      <c r="C3053" t="s">
        <v>23</v>
      </c>
      <c r="D3053">
        <v>3.1359679652154561E-3</v>
      </c>
      <c r="E3053">
        <v>480</v>
      </c>
      <c r="F3053">
        <v>2</v>
      </c>
    </row>
    <row r="3054" spans="1:6">
      <c r="A3054" t="s">
        <v>1015</v>
      </c>
      <c r="B3054" t="s">
        <v>344</v>
      </c>
      <c r="C3054" t="s">
        <v>19</v>
      </c>
      <c r="D3054">
        <v>0.6</v>
      </c>
      <c r="E3054">
        <v>466</v>
      </c>
      <c r="F3054">
        <v>280</v>
      </c>
    </row>
    <row r="3055" spans="1:6">
      <c r="A3055" t="s">
        <v>1015</v>
      </c>
      <c r="B3055" t="s">
        <v>344</v>
      </c>
      <c r="C3055" t="s">
        <v>477</v>
      </c>
      <c r="D3055">
        <v>0.4</v>
      </c>
      <c r="E3055">
        <v>466</v>
      </c>
      <c r="F3055">
        <v>186</v>
      </c>
    </row>
    <row r="3056" spans="1:6">
      <c r="A3056" t="s">
        <v>1015</v>
      </c>
      <c r="B3056" t="s">
        <v>344</v>
      </c>
      <c r="C3056" t="s">
        <v>23</v>
      </c>
      <c r="D3056">
        <v>7.7659536897829234E-3</v>
      </c>
      <c r="E3056">
        <v>466</v>
      </c>
      <c r="F3056">
        <v>4</v>
      </c>
    </row>
    <row r="3057" spans="1:6">
      <c r="A3057" t="s">
        <v>1015</v>
      </c>
      <c r="B3057" t="s">
        <v>345</v>
      </c>
      <c r="C3057" t="s">
        <v>19</v>
      </c>
      <c r="D3057">
        <v>0.6</v>
      </c>
      <c r="E3057">
        <v>293</v>
      </c>
      <c r="F3057">
        <v>176</v>
      </c>
    </row>
    <row r="3058" spans="1:6">
      <c r="A3058" t="s">
        <v>1015</v>
      </c>
      <c r="B3058" t="s">
        <v>345</v>
      </c>
      <c r="C3058" t="s">
        <v>477</v>
      </c>
      <c r="D3058">
        <v>0.4</v>
      </c>
      <c r="E3058">
        <v>293</v>
      </c>
      <c r="F3058">
        <v>117</v>
      </c>
    </row>
    <row r="3059" spans="1:6">
      <c r="A3059" t="s">
        <v>1015</v>
      </c>
      <c r="B3059" t="s">
        <v>345</v>
      </c>
      <c r="C3059" t="s">
        <v>23</v>
      </c>
      <c r="D3059">
        <v>1.8658875015650757E-2</v>
      </c>
      <c r="E3059">
        <v>293</v>
      </c>
      <c r="F3059">
        <v>5</v>
      </c>
    </row>
    <row r="3060" spans="1:6">
      <c r="A3060" t="s">
        <v>1015</v>
      </c>
      <c r="B3060" t="s">
        <v>346</v>
      </c>
      <c r="C3060" t="s">
        <v>19</v>
      </c>
      <c r="D3060">
        <v>0.6</v>
      </c>
      <c r="E3060">
        <v>266</v>
      </c>
      <c r="F3060">
        <v>160</v>
      </c>
    </row>
    <row r="3061" spans="1:6">
      <c r="A3061" t="s">
        <v>1015</v>
      </c>
      <c r="B3061" t="s">
        <v>346</v>
      </c>
      <c r="C3061" t="s">
        <v>477</v>
      </c>
      <c r="D3061">
        <v>0.4</v>
      </c>
      <c r="E3061">
        <v>266</v>
      </c>
      <c r="F3061">
        <v>106</v>
      </c>
    </row>
    <row r="3062" spans="1:6">
      <c r="A3062" t="s">
        <v>1015</v>
      </c>
      <c r="B3062" t="s">
        <v>346</v>
      </c>
      <c r="C3062" t="s">
        <v>23</v>
      </c>
      <c r="D3062">
        <v>5.7887111363252868E-6</v>
      </c>
      <c r="E3062">
        <v>266</v>
      </c>
      <c r="F3062">
        <v>0</v>
      </c>
    </row>
    <row r="3063" spans="1:6">
      <c r="A3063" t="s">
        <v>1015</v>
      </c>
      <c r="B3063" t="s">
        <v>348</v>
      </c>
      <c r="C3063" t="s">
        <v>19</v>
      </c>
      <c r="D3063">
        <v>0.6</v>
      </c>
      <c r="E3063">
        <v>303</v>
      </c>
      <c r="F3063">
        <v>182</v>
      </c>
    </row>
    <row r="3064" spans="1:6">
      <c r="A3064" t="s">
        <v>1015</v>
      </c>
      <c r="B3064" t="s">
        <v>348</v>
      </c>
      <c r="C3064" t="s">
        <v>477</v>
      </c>
      <c r="D3064">
        <v>0.4</v>
      </c>
      <c r="E3064">
        <v>303</v>
      </c>
      <c r="F3064">
        <v>121</v>
      </c>
    </row>
    <row r="3065" spans="1:6">
      <c r="A3065" t="s">
        <v>1015</v>
      </c>
      <c r="B3065" t="s">
        <v>348</v>
      </c>
      <c r="C3065" t="s">
        <v>23</v>
      </c>
      <c r="D3065">
        <v>1.2333226389733439E-2</v>
      </c>
      <c r="E3065">
        <v>303</v>
      </c>
      <c r="F3065">
        <v>4</v>
      </c>
    </row>
    <row r="3066" spans="1:6">
      <c r="A3066" t="s">
        <v>347</v>
      </c>
      <c r="B3066" t="s">
        <v>347</v>
      </c>
      <c r="C3066" t="s">
        <v>19</v>
      </c>
      <c r="D3066">
        <v>0.6</v>
      </c>
      <c r="E3066">
        <v>6150</v>
      </c>
      <c r="F3066">
        <v>3690</v>
      </c>
    </row>
    <row r="3067" spans="1:6">
      <c r="A3067" t="s">
        <v>347</v>
      </c>
      <c r="B3067" t="s">
        <v>347</v>
      </c>
      <c r="C3067" t="s">
        <v>477</v>
      </c>
      <c r="D3067">
        <v>0.4</v>
      </c>
      <c r="E3067">
        <v>6150</v>
      </c>
      <c r="F3067">
        <v>2460</v>
      </c>
    </row>
    <row r="3068" spans="1:6">
      <c r="A3068" t="s">
        <v>347</v>
      </c>
      <c r="B3068" t="s">
        <v>347</v>
      </c>
      <c r="C3068" t="s">
        <v>23</v>
      </c>
      <c r="D3068">
        <v>7.5701365929038379E-3</v>
      </c>
      <c r="E3068">
        <v>6150</v>
      </c>
      <c r="F3068">
        <v>47</v>
      </c>
    </row>
    <row r="3069" spans="1:6">
      <c r="A3069" t="s">
        <v>347</v>
      </c>
      <c r="B3069" t="s">
        <v>349</v>
      </c>
      <c r="C3069" t="s">
        <v>19</v>
      </c>
      <c r="D3069">
        <v>0.6</v>
      </c>
      <c r="E3069">
        <v>935</v>
      </c>
      <c r="F3069">
        <v>561</v>
      </c>
    </row>
    <row r="3070" spans="1:6">
      <c r="A3070" t="s">
        <v>347</v>
      </c>
      <c r="B3070" t="s">
        <v>349</v>
      </c>
      <c r="C3070" t="s">
        <v>477</v>
      </c>
      <c r="D3070">
        <v>0.4</v>
      </c>
      <c r="E3070">
        <v>935</v>
      </c>
      <c r="F3070">
        <v>374</v>
      </c>
    </row>
    <row r="3071" spans="1:6">
      <c r="A3071" t="s">
        <v>347</v>
      </c>
      <c r="B3071" t="s">
        <v>349</v>
      </c>
      <c r="C3071" t="s">
        <v>23</v>
      </c>
      <c r="D3071">
        <v>4.3636885930673922E-3</v>
      </c>
      <c r="E3071">
        <v>935</v>
      </c>
      <c r="F3071">
        <v>4</v>
      </c>
    </row>
    <row r="3072" spans="1:6">
      <c r="A3072" t="s">
        <v>347</v>
      </c>
      <c r="B3072" t="s">
        <v>350</v>
      </c>
      <c r="C3072" t="s">
        <v>19</v>
      </c>
      <c r="D3072">
        <v>0.6</v>
      </c>
      <c r="E3072">
        <v>2962</v>
      </c>
      <c r="F3072">
        <v>1777</v>
      </c>
    </row>
    <row r="3073" spans="1:6">
      <c r="A3073" t="s">
        <v>347</v>
      </c>
      <c r="B3073" t="s">
        <v>350</v>
      </c>
      <c r="C3073" t="s">
        <v>477</v>
      </c>
      <c r="D3073">
        <v>0.4</v>
      </c>
      <c r="E3073">
        <v>2962</v>
      </c>
      <c r="F3073">
        <v>1185</v>
      </c>
    </row>
    <row r="3074" spans="1:6">
      <c r="A3074" t="s">
        <v>347</v>
      </c>
      <c r="B3074" t="s">
        <v>350</v>
      </c>
      <c r="C3074" t="s">
        <v>23</v>
      </c>
      <c r="D3074">
        <v>1.8491373498962415E-2</v>
      </c>
      <c r="E3074">
        <v>2962</v>
      </c>
      <c r="F3074">
        <v>55</v>
      </c>
    </row>
    <row r="3075" spans="1:6">
      <c r="A3075" t="s">
        <v>347</v>
      </c>
      <c r="B3075" t="s">
        <v>351</v>
      </c>
      <c r="C3075" t="s">
        <v>19</v>
      </c>
      <c r="D3075">
        <v>0.6</v>
      </c>
      <c r="E3075">
        <v>1191</v>
      </c>
      <c r="F3075">
        <v>715</v>
      </c>
    </row>
    <row r="3076" spans="1:6">
      <c r="A3076" t="s">
        <v>347</v>
      </c>
      <c r="B3076" t="s">
        <v>351</v>
      </c>
      <c r="C3076" t="s">
        <v>477</v>
      </c>
      <c r="D3076">
        <v>0.4</v>
      </c>
      <c r="E3076">
        <v>1191</v>
      </c>
      <c r="F3076">
        <v>476</v>
      </c>
    </row>
    <row r="3077" spans="1:6">
      <c r="A3077" t="s">
        <v>347</v>
      </c>
      <c r="B3077" t="s">
        <v>351</v>
      </c>
      <c r="C3077" t="s">
        <v>23</v>
      </c>
      <c r="D3077">
        <v>2.1653335720542399E-4</v>
      </c>
      <c r="E3077">
        <v>1191</v>
      </c>
      <c r="F3077">
        <v>0</v>
      </c>
    </row>
    <row r="3078" spans="1:6">
      <c r="A3078" t="s">
        <v>347</v>
      </c>
      <c r="B3078" t="s">
        <v>352</v>
      </c>
      <c r="C3078" t="s">
        <v>19</v>
      </c>
      <c r="D3078">
        <v>0.6</v>
      </c>
      <c r="E3078">
        <v>359</v>
      </c>
      <c r="F3078">
        <v>215</v>
      </c>
    </row>
    <row r="3079" spans="1:6">
      <c r="A3079" t="s">
        <v>347</v>
      </c>
      <c r="B3079" t="s">
        <v>352</v>
      </c>
      <c r="C3079" t="s">
        <v>477</v>
      </c>
      <c r="D3079">
        <v>0.4</v>
      </c>
      <c r="E3079">
        <v>359</v>
      </c>
      <c r="F3079">
        <v>144</v>
      </c>
    </row>
    <row r="3080" spans="1:6">
      <c r="A3080" t="s">
        <v>347</v>
      </c>
      <c r="B3080" t="s">
        <v>352</v>
      </c>
      <c r="C3080" t="s">
        <v>23</v>
      </c>
      <c r="D3080">
        <v>1.659505285743143E-2</v>
      </c>
      <c r="E3080">
        <v>359</v>
      </c>
      <c r="F3080">
        <v>6</v>
      </c>
    </row>
    <row r="3081" spans="1:6">
      <c r="A3081" t="s">
        <v>347</v>
      </c>
      <c r="B3081" t="s">
        <v>353</v>
      </c>
      <c r="C3081" t="s">
        <v>19</v>
      </c>
      <c r="D3081">
        <v>0.6</v>
      </c>
      <c r="E3081">
        <v>1292</v>
      </c>
      <c r="F3081">
        <v>775</v>
      </c>
    </row>
    <row r="3082" spans="1:6">
      <c r="A3082" t="s">
        <v>347</v>
      </c>
      <c r="B3082" t="s">
        <v>353</v>
      </c>
      <c r="C3082" t="s">
        <v>477</v>
      </c>
      <c r="D3082">
        <v>0.4</v>
      </c>
      <c r="E3082">
        <v>1292</v>
      </c>
      <c r="F3082">
        <v>517</v>
      </c>
    </row>
    <row r="3083" spans="1:6">
      <c r="A3083" t="s">
        <v>347</v>
      </c>
      <c r="B3083" t="s">
        <v>353</v>
      </c>
      <c r="C3083" t="s">
        <v>23</v>
      </c>
      <c r="D3083">
        <v>1.2960362833880079E-2</v>
      </c>
      <c r="E3083">
        <v>1292</v>
      </c>
      <c r="F3083">
        <v>17</v>
      </c>
    </row>
    <row r="3084" spans="1:6">
      <c r="A3084" t="s">
        <v>347</v>
      </c>
      <c r="B3084" t="s">
        <v>354</v>
      </c>
      <c r="C3084" t="s">
        <v>19</v>
      </c>
      <c r="D3084">
        <v>0.6</v>
      </c>
      <c r="E3084">
        <v>1393</v>
      </c>
      <c r="F3084">
        <v>836</v>
      </c>
    </row>
    <row r="3085" spans="1:6">
      <c r="A3085" t="s">
        <v>347</v>
      </c>
      <c r="B3085" t="s">
        <v>354</v>
      </c>
      <c r="C3085" t="s">
        <v>477</v>
      </c>
      <c r="D3085">
        <v>0.4</v>
      </c>
      <c r="E3085">
        <v>1393</v>
      </c>
      <c r="F3085">
        <v>557</v>
      </c>
    </row>
    <row r="3086" spans="1:6">
      <c r="A3086" t="s">
        <v>347</v>
      </c>
      <c r="B3086" t="s">
        <v>354</v>
      </c>
      <c r="C3086" t="s">
        <v>23</v>
      </c>
      <c r="D3086">
        <v>1.1872542819326697E-2</v>
      </c>
      <c r="E3086">
        <v>1393</v>
      </c>
      <c r="F3086">
        <v>17</v>
      </c>
    </row>
    <row r="3087" spans="1:6">
      <c r="A3087" t="s">
        <v>347</v>
      </c>
      <c r="B3087" t="s">
        <v>355</v>
      </c>
      <c r="C3087" t="s">
        <v>19</v>
      </c>
      <c r="D3087">
        <v>0.6</v>
      </c>
      <c r="E3087">
        <v>487</v>
      </c>
      <c r="F3087">
        <v>292</v>
      </c>
    </row>
    <row r="3088" spans="1:6">
      <c r="A3088" t="s">
        <v>347</v>
      </c>
      <c r="B3088" t="s">
        <v>355</v>
      </c>
      <c r="C3088" t="s">
        <v>477</v>
      </c>
      <c r="D3088">
        <v>0.4</v>
      </c>
      <c r="E3088">
        <v>487</v>
      </c>
      <c r="F3088">
        <v>195</v>
      </c>
    </row>
    <row r="3089" spans="1:6">
      <c r="A3089" t="s">
        <v>347</v>
      </c>
      <c r="B3089" t="s">
        <v>355</v>
      </c>
      <c r="C3089" t="s">
        <v>23</v>
      </c>
      <c r="D3089">
        <v>7.68850935943064E-4</v>
      </c>
      <c r="E3089">
        <v>487</v>
      </c>
      <c r="F3089">
        <v>0</v>
      </c>
    </row>
    <row r="3090" spans="1:6">
      <c r="A3090" t="s">
        <v>347</v>
      </c>
      <c r="B3090" t="s">
        <v>356</v>
      </c>
      <c r="C3090" t="s">
        <v>19</v>
      </c>
      <c r="D3090">
        <v>0.6</v>
      </c>
      <c r="E3090">
        <v>679</v>
      </c>
      <c r="F3090">
        <v>407</v>
      </c>
    </row>
    <row r="3091" spans="1:6">
      <c r="A3091" t="s">
        <v>347</v>
      </c>
      <c r="B3091" t="s">
        <v>356</v>
      </c>
      <c r="C3091" t="s">
        <v>477</v>
      </c>
      <c r="D3091">
        <v>0.4</v>
      </c>
      <c r="E3091">
        <v>679</v>
      </c>
      <c r="F3091">
        <v>272</v>
      </c>
    </row>
    <row r="3092" spans="1:6">
      <c r="A3092" t="s">
        <v>347</v>
      </c>
      <c r="B3092" t="s">
        <v>356</v>
      </c>
      <c r="C3092" t="s">
        <v>23</v>
      </c>
      <c r="D3092">
        <v>1.9118300829404689E-3</v>
      </c>
      <c r="E3092">
        <v>679</v>
      </c>
      <c r="F3092">
        <v>1</v>
      </c>
    </row>
    <row r="3093" spans="1:6">
      <c r="A3093" t="s">
        <v>347</v>
      </c>
      <c r="B3093" t="s">
        <v>358</v>
      </c>
      <c r="C3093" t="s">
        <v>19</v>
      </c>
      <c r="D3093">
        <v>0.6</v>
      </c>
      <c r="E3093">
        <v>594</v>
      </c>
      <c r="F3093">
        <v>356</v>
      </c>
    </row>
    <row r="3094" spans="1:6">
      <c r="A3094" t="s">
        <v>347</v>
      </c>
      <c r="B3094" t="s">
        <v>358</v>
      </c>
      <c r="C3094" t="s">
        <v>477</v>
      </c>
      <c r="D3094">
        <v>0.4</v>
      </c>
      <c r="E3094">
        <v>594</v>
      </c>
      <c r="F3094">
        <v>238</v>
      </c>
    </row>
    <row r="3095" spans="1:6">
      <c r="A3095" t="s">
        <v>347</v>
      </c>
      <c r="B3095" t="s">
        <v>358</v>
      </c>
      <c r="C3095" t="s">
        <v>23</v>
      </c>
      <c r="D3095">
        <v>1.2665097292048913E-2</v>
      </c>
      <c r="E3095">
        <v>594</v>
      </c>
      <c r="F3095">
        <v>8</v>
      </c>
    </row>
    <row r="3096" spans="1:6">
      <c r="A3096" t="s">
        <v>357</v>
      </c>
      <c r="B3096" t="s">
        <v>359</v>
      </c>
      <c r="C3096" t="s">
        <v>19</v>
      </c>
      <c r="D3096">
        <v>0.6</v>
      </c>
      <c r="E3096">
        <v>3124</v>
      </c>
      <c r="F3096">
        <v>1874</v>
      </c>
    </row>
    <row r="3097" spans="1:6">
      <c r="A3097" t="s">
        <v>357</v>
      </c>
      <c r="B3097" t="s">
        <v>359</v>
      </c>
      <c r="C3097" t="s">
        <v>477</v>
      </c>
      <c r="D3097">
        <v>0.4</v>
      </c>
      <c r="E3097">
        <v>3124</v>
      </c>
      <c r="F3097">
        <v>1250</v>
      </c>
    </row>
    <row r="3098" spans="1:6">
      <c r="A3098" t="s">
        <v>357</v>
      </c>
      <c r="B3098" t="s">
        <v>359</v>
      </c>
      <c r="C3098" t="s">
        <v>23</v>
      </c>
      <c r="D3098">
        <v>3.4857537730581334E-3</v>
      </c>
      <c r="E3098">
        <v>3124</v>
      </c>
      <c r="F3098">
        <v>11</v>
      </c>
    </row>
    <row r="3099" spans="1:6">
      <c r="A3099" t="s">
        <v>357</v>
      </c>
      <c r="B3099" t="s">
        <v>360</v>
      </c>
      <c r="C3099" t="s">
        <v>19</v>
      </c>
      <c r="D3099">
        <v>0.6</v>
      </c>
      <c r="E3099">
        <v>1960</v>
      </c>
      <c r="F3099">
        <v>1176</v>
      </c>
    </row>
    <row r="3100" spans="1:6">
      <c r="A3100" t="s">
        <v>357</v>
      </c>
      <c r="B3100" t="s">
        <v>360</v>
      </c>
      <c r="C3100" t="s">
        <v>477</v>
      </c>
      <c r="D3100">
        <v>0.4</v>
      </c>
      <c r="E3100">
        <v>1960</v>
      </c>
      <c r="F3100">
        <v>784</v>
      </c>
    </row>
    <row r="3101" spans="1:6">
      <c r="A3101" t="s">
        <v>357</v>
      </c>
      <c r="B3101" t="s">
        <v>360</v>
      </c>
      <c r="C3101" t="s">
        <v>23</v>
      </c>
      <c r="D3101">
        <v>2.4039718967363457E-3</v>
      </c>
      <c r="E3101">
        <v>1960</v>
      </c>
      <c r="F3101">
        <v>5</v>
      </c>
    </row>
    <row r="3102" spans="1:6">
      <c r="A3102" t="s">
        <v>357</v>
      </c>
      <c r="B3102" t="s">
        <v>357</v>
      </c>
      <c r="C3102" t="s">
        <v>19</v>
      </c>
      <c r="D3102">
        <v>0.6</v>
      </c>
      <c r="E3102">
        <v>10264</v>
      </c>
      <c r="F3102">
        <v>6158</v>
      </c>
    </row>
    <row r="3103" spans="1:6">
      <c r="A3103" t="s">
        <v>357</v>
      </c>
      <c r="B3103" t="s">
        <v>357</v>
      </c>
      <c r="C3103" t="s">
        <v>477</v>
      </c>
      <c r="D3103">
        <v>0.4</v>
      </c>
      <c r="E3103">
        <v>10264</v>
      </c>
      <c r="F3103">
        <v>4106</v>
      </c>
    </row>
    <row r="3104" spans="1:6">
      <c r="A3104" t="s">
        <v>357</v>
      </c>
      <c r="B3104" t="s">
        <v>357</v>
      </c>
      <c r="C3104" t="s">
        <v>23</v>
      </c>
      <c r="D3104">
        <v>8.1403320857461985E-3</v>
      </c>
      <c r="E3104">
        <v>10264</v>
      </c>
      <c r="F3104">
        <v>84</v>
      </c>
    </row>
    <row r="3105" spans="1:6">
      <c r="A3105" t="s">
        <v>357</v>
      </c>
      <c r="B3105" t="s">
        <v>361</v>
      </c>
      <c r="C3105" t="s">
        <v>19</v>
      </c>
      <c r="D3105">
        <v>0.6</v>
      </c>
      <c r="E3105">
        <v>416</v>
      </c>
      <c r="F3105">
        <v>250</v>
      </c>
    </row>
    <row r="3106" spans="1:6">
      <c r="A3106" t="s">
        <v>357</v>
      </c>
      <c r="B3106" t="s">
        <v>361</v>
      </c>
      <c r="C3106" t="s">
        <v>477</v>
      </c>
      <c r="D3106">
        <v>0.4</v>
      </c>
      <c r="E3106">
        <v>416</v>
      </c>
      <c r="F3106">
        <v>166</v>
      </c>
    </row>
    <row r="3107" spans="1:6">
      <c r="A3107" t="s">
        <v>357</v>
      </c>
      <c r="B3107" t="s">
        <v>361</v>
      </c>
      <c r="C3107" t="s">
        <v>23</v>
      </c>
      <c r="D3107">
        <v>6.9989988990835908E-3</v>
      </c>
      <c r="E3107">
        <v>416</v>
      </c>
      <c r="F3107">
        <v>3</v>
      </c>
    </row>
    <row r="3108" spans="1:6">
      <c r="A3108" t="s">
        <v>357</v>
      </c>
      <c r="B3108" t="s">
        <v>362</v>
      </c>
      <c r="C3108" t="s">
        <v>19</v>
      </c>
      <c r="D3108">
        <v>0.6</v>
      </c>
      <c r="E3108">
        <v>962</v>
      </c>
      <c r="F3108">
        <v>577</v>
      </c>
    </row>
    <row r="3109" spans="1:6">
      <c r="A3109" t="s">
        <v>357</v>
      </c>
      <c r="B3109" t="s">
        <v>362</v>
      </c>
      <c r="C3109" t="s">
        <v>477</v>
      </c>
      <c r="D3109">
        <v>0.4</v>
      </c>
      <c r="E3109">
        <v>962</v>
      </c>
      <c r="F3109">
        <v>385</v>
      </c>
    </row>
    <row r="3110" spans="1:6">
      <c r="A3110" t="s">
        <v>357</v>
      </c>
      <c r="B3110" t="s">
        <v>362</v>
      </c>
      <c r="C3110" t="s">
        <v>23</v>
      </c>
      <c r="D3110">
        <v>1.6008119890761063E-2</v>
      </c>
      <c r="E3110">
        <v>962</v>
      </c>
      <c r="F3110">
        <v>15</v>
      </c>
    </row>
    <row r="3111" spans="1:6">
      <c r="A3111" t="s">
        <v>357</v>
      </c>
      <c r="B3111" t="s">
        <v>363</v>
      </c>
      <c r="C3111" t="s">
        <v>19</v>
      </c>
      <c r="D3111">
        <v>0.6</v>
      </c>
      <c r="E3111">
        <v>597</v>
      </c>
      <c r="F3111">
        <v>358</v>
      </c>
    </row>
    <row r="3112" spans="1:6">
      <c r="A3112" t="s">
        <v>357</v>
      </c>
      <c r="B3112" t="s">
        <v>363</v>
      </c>
      <c r="C3112" t="s">
        <v>477</v>
      </c>
      <c r="D3112">
        <v>0.4</v>
      </c>
      <c r="E3112">
        <v>597</v>
      </c>
      <c r="F3112">
        <v>239</v>
      </c>
    </row>
    <row r="3113" spans="1:6">
      <c r="A3113" t="s">
        <v>357</v>
      </c>
      <c r="B3113" t="s">
        <v>363</v>
      </c>
      <c r="C3113" t="s">
        <v>23</v>
      </c>
      <c r="D3113">
        <v>1.3098945605379862E-2</v>
      </c>
      <c r="E3113">
        <v>597</v>
      </c>
      <c r="F3113">
        <v>8</v>
      </c>
    </row>
    <row r="3114" spans="1:6">
      <c r="A3114" t="s">
        <v>357</v>
      </c>
      <c r="B3114" t="s">
        <v>364</v>
      </c>
      <c r="C3114" t="s">
        <v>19</v>
      </c>
      <c r="D3114">
        <v>0.6</v>
      </c>
      <c r="E3114">
        <v>539</v>
      </c>
      <c r="F3114">
        <v>323</v>
      </c>
    </row>
    <row r="3115" spans="1:6">
      <c r="A3115" t="s">
        <v>357</v>
      </c>
      <c r="B3115" t="s">
        <v>364</v>
      </c>
      <c r="C3115" t="s">
        <v>477</v>
      </c>
      <c r="D3115">
        <v>0.4</v>
      </c>
      <c r="E3115">
        <v>539</v>
      </c>
      <c r="F3115">
        <v>216</v>
      </c>
    </row>
    <row r="3116" spans="1:6">
      <c r="A3116" t="s">
        <v>357</v>
      </c>
      <c r="B3116" t="s">
        <v>364</v>
      </c>
      <c r="C3116" t="s">
        <v>23</v>
      </c>
      <c r="D3116">
        <v>9.9134858110390845E-3</v>
      </c>
      <c r="E3116">
        <v>539</v>
      </c>
      <c r="F3116">
        <v>5</v>
      </c>
    </row>
    <row r="3117" spans="1:6">
      <c r="A3117" t="s">
        <v>357</v>
      </c>
      <c r="B3117" t="s">
        <v>366</v>
      </c>
      <c r="C3117" t="s">
        <v>19</v>
      </c>
      <c r="D3117">
        <v>0.6</v>
      </c>
      <c r="E3117">
        <v>278</v>
      </c>
      <c r="F3117">
        <v>167</v>
      </c>
    </row>
    <row r="3118" spans="1:6">
      <c r="A3118" t="s">
        <v>357</v>
      </c>
      <c r="B3118" t="s">
        <v>366</v>
      </c>
      <c r="C3118" t="s">
        <v>477</v>
      </c>
      <c r="D3118">
        <v>0.4</v>
      </c>
      <c r="E3118">
        <v>278</v>
      </c>
      <c r="F3118">
        <v>111</v>
      </c>
    </row>
    <row r="3119" spans="1:6">
      <c r="A3119" t="s">
        <v>357</v>
      </c>
      <c r="B3119" t="s">
        <v>366</v>
      </c>
      <c r="C3119" t="s">
        <v>23</v>
      </c>
      <c r="D3119">
        <v>7.6440350849523876E-3</v>
      </c>
      <c r="E3119">
        <v>278</v>
      </c>
      <c r="F3119">
        <v>2</v>
      </c>
    </row>
    <row r="3120" spans="1:6">
      <c r="A3120" t="s">
        <v>365</v>
      </c>
      <c r="B3120" t="s">
        <v>367</v>
      </c>
      <c r="C3120" t="s">
        <v>19</v>
      </c>
      <c r="D3120">
        <v>0.6</v>
      </c>
      <c r="E3120">
        <v>1600</v>
      </c>
      <c r="F3120">
        <v>960</v>
      </c>
    </row>
    <row r="3121" spans="1:6">
      <c r="A3121" t="s">
        <v>365</v>
      </c>
      <c r="B3121" t="s">
        <v>367</v>
      </c>
      <c r="C3121" t="s">
        <v>477</v>
      </c>
      <c r="D3121">
        <v>0.4</v>
      </c>
      <c r="E3121">
        <v>1600</v>
      </c>
      <c r="F3121">
        <v>640</v>
      </c>
    </row>
    <row r="3122" spans="1:6">
      <c r="A3122" t="s">
        <v>365</v>
      </c>
      <c r="B3122" t="s">
        <v>367</v>
      </c>
      <c r="C3122" t="s">
        <v>23</v>
      </c>
      <c r="D3122">
        <v>1.6079593106899936E-2</v>
      </c>
      <c r="E3122">
        <v>1600</v>
      </c>
      <c r="F3122">
        <v>26</v>
      </c>
    </row>
    <row r="3123" spans="1:6">
      <c r="A3123" t="s">
        <v>365</v>
      </c>
      <c r="B3123" t="s">
        <v>365</v>
      </c>
      <c r="C3123" t="s">
        <v>19</v>
      </c>
      <c r="D3123">
        <v>0.6</v>
      </c>
      <c r="E3123">
        <v>4529</v>
      </c>
      <c r="F3123">
        <v>2717</v>
      </c>
    </row>
    <row r="3124" spans="1:6">
      <c r="A3124" t="s">
        <v>365</v>
      </c>
      <c r="B3124" t="s">
        <v>365</v>
      </c>
      <c r="C3124" t="s">
        <v>477</v>
      </c>
      <c r="D3124">
        <v>0.4</v>
      </c>
      <c r="E3124">
        <v>4529</v>
      </c>
      <c r="F3124">
        <v>1812</v>
      </c>
    </row>
    <row r="3125" spans="1:6">
      <c r="A3125" t="s">
        <v>365</v>
      </c>
      <c r="B3125" t="s">
        <v>365</v>
      </c>
      <c r="C3125" t="s">
        <v>23</v>
      </c>
      <c r="D3125">
        <v>1.0236431334182743E-2</v>
      </c>
      <c r="E3125">
        <v>4529</v>
      </c>
      <c r="F3125">
        <v>46</v>
      </c>
    </row>
    <row r="3126" spans="1:6">
      <c r="A3126" t="s">
        <v>365</v>
      </c>
      <c r="B3126" t="s">
        <v>368</v>
      </c>
      <c r="C3126" t="s">
        <v>19</v>
      </c>
      <c r="D3126">
        <v>0.6</v>
      </c>
      <c r="E3126">
        <v>5812</v>
      </c>
      <c r="F3126">
        <v>3487</v>
      </c>
    </row>
    <row r="3127" spans="1:6">
      <c r="A3127" t="s">
        <v>365</v>
      </c>
      <c r="B3127" t="s">
        <v>368</v>
      </c>
      <c r="C3127" t="s">
        <v>477</v>
      </c>
      <c r="D3127">
        <v>0.4</v>
      </c>
      <c r="E3127">
        <v>5812</v>
      </c>
      <c r="F3127">
        <v>2325</v>
      </c>
    </row>
    <row r="3128" spans="1:6">
      <c r="A3128" t="s">
        <v>365</v>
      </c>
      <c r="B3128" t="s">
        <v>368</v>
      </c>
      <c r="C3128" t="s">
        <v>23</v>
      </c>
      <c r="D3128">
        <v>9.9842673614455868E-3</v>
      </c>
      <c r="E3128">
        <v>5812</v>
      </c>
      <c r="F3128">
        <v>58</v>
      </c>
    </row>
    <row r="3129" spans="1:6">
      <c r="A3129" t="s">
        <v>365</v>
      </c>
      <c r="B3129" t="s">
        <v>369</v>
      </c>
      <c r="C3129" t="s">
        <v>19</v>
      </c>
      <c r="D3129">
        <v>0.6</v>
      </c>
      <c r="E3129">
        <v>1290</v>
      </c>
      <c r="F3129">
        <v>774</v>
      </c>
    </row>
    <row r="3130" spans="1:6">
      <c r="A3130" t="s">
        <v>365</v>
      </c>
      <c r="B3130" t="s">
        <v>369</v>
      </c>
      <c r="C3130" t="s">
        <v>477</v>
      </c>
      <c r="D3130">
        <v>0.4</v>
      </c>
      <c r="E3130">
        <v>1290</v>
      </c>
      <c r="F3130">
        <v>516</v>
      </c>
    </row>
    <row r="3131" spans="1:6">
      <c r="A3131" t="s">
        <v>365</v>
      </c>
      <c r="B3131" t="s">
        <v>369</v>
      </c>
      <c r="C3131" t="s">
        <v>23</v>
      </c>
      <c r="D3131">
        <v>5.8684802231047531E-3</v>
      </c>
      <c r="E3131">
        <v>1290</v>
      </c>
      <c r="F3131">
        <v>8</v>
      </c>
    </row>
    <row r="3132" spans="1:6">
      <c r="A3132" t="s">
        <v>365</v>
      </c>
      <c r="B3132" t="s">
        <v>370</v>
      </c>
      <c r="C3132" t="s">
        <v>19</v>
      </c>
      <c r="D3132">
        <v>0.6</v>
      </c>
      <c r="E3132">
        <v>361</v>
      </c>
      <c r="F3132">
        <v>217</v>
      </c>
    </row>
    <row r="3133" spans="1:6">
      <c r="A3133" t="s">
        <v>365</v>
      </c>
      <c r="B3133" t="s">
        <v>370</v>
      </c>
      <c r="C3133" t="s">
        <v>477</v>
      </c>
      <c r="D3133">
        <v>0.4</v>
      </c>
      <c r="E3133">
        <v>361</v>
      </c>
      <c r="F3133">
        <v>144</v>
      </c>
    </row>
    <row r="3134" spans="1:6">
      <c r="A3134" t="s">
        <v>365</v>
      </c>
      <c r="B3134" t="s">
        <v>370</v>
      </c>
      <c r="C3134" t="s">
        <v>23</v>
      </c>
      <c r="D3134">
        <v>3.0592002951856934E-4</v>
      </c>
      <c r="E3134">
        <v>361</v>
      </c>
      <c r="F3134">
        <v>0</v>
      </c>
    </row>
    <row r="3135" spans="1:6">
      <c r="A3135" t="s">
        <v>365</v>
      </c>
      <c r="B3135" t="s">
        <v>371</v>
      </c>
      <c r="C3135" t="s">
        <v>19</v>
      </c>
      <c r="D3135">
        <v>0.6</v>
      </c>
      <c r="E3135">
        <v>292</v>
      </c>
      <c r="F3135">
        <v>175</v>
      </c>
    </row>
    <row r="3136" spans="1:6">
      <c r="A3136" t="s">
        <v>365</v>
      </c>
      <c r="B3136" t="s">
        <v>371</v>
      </c>
      <c r="C3136" t="s">
        <v>477</v>
      </c>
      <c r="D3136">
        <v>0.4</v>
      </c>
      <c r="E3136">
        <v>292</v>
      </c>
      <c r="F3136">
        <v>117</v>
      </c>
    </row>
    <row r="3137" spans="1:6">
      <c r="A3137" t="s">
        <v>365</v>
      </c>
      <c r="B3137" t="s">
        <v>371</v>
      </c>
      <c r="C3137" t="s">
        <v>23</v>
      </c>
      <c r="D3137">
        <v>1.8219777955473828E-2</v>
      </c>
      <c r="E3137">
        <v>292</v>
      </c>
      <c r="F3137">
        <v>5</v>
      </c>
    </row>
    <row r="3138" spans="1:6">
      <c r="A3138" t="s">
        <v>365</v>
      </c>
      <c r="B3138" t="s">
        <v>372</v>
      </c>
      <c r="C3138" t="s">
        <v>19</v>
      </c>
      <c r="D3138">
        <v>0.6</v>
      </c>
      <c r="E3138">
        <v>671</v>
      </c>
      <c r="F3138">
        <v>403</v>
      </c>
    </row>
    <row r="3139" spans="1:6">
      <c r="A3139" t="s">
        <v>365</v>
      </c>
      <c r="B3139" t="s">
        <v>372</v>
      </c>
      <c r="C3139" t="s">
        <v>477</v>
      </c>
      <c r="D3139">
        <v>0.4</v>
      </c>
      <c r="E3139">
        <v>671</v>
      </c>
      <c r="F3139">
        <v>268</v>
      </c>
    </row>
    <row r="3140" spans="1:6">
      <c r="A3140" t="s">
        <v>365</v>
      </c>
      <c r="B3140" t="s">
        <v>372</v>
      </c>
      <c r="C3140" t="s">
        <v>23</v>
      </c>
      <c r="D3140">
        <v>2.7516759446444363E-3</v>
      </c>
      <c r="E3140">
        <v>671</v>
      </c>
      <c r="F3140">
        <v>2</v>
      </c>
    </row>
    <row r="3141" spans="1:6">
      <c r="A3141" t="s">
        <v>365</v>
      </c>
      <c r="B3141" t="s">
        <v>374</v>
      </c>
      <c r="C3141" t="s">
        <v>19</v>
      </c>
      <c r="D3141">
        <v>0.6</v>
      </c>
      <c r="E3141">
        <v>145</v>
      </c>
      <c r="F3141">
        <v>87</v>
      </c>
    </row>
    <row r="3142" spans="1:6">
      <c r="A3142" t="s">
        <v>365</v>
      </c>
      <c r="B3142" t="s">
        <v>374</v>
      </c>
      <c r="C3142" t="s">
        <v>477</v>
      </c>
      <c r="D3142">
        <v>0.4</v>
      </c>
      <c r="E3142">
        <v>145</v>
      </c>
      <c r="F3142">
        <v>58</v>
      </c>
    </row>
    <row r="3143" spans="1:6">
      <c r="A3143" t="s">
        <v>365</v>
      </c>
      <c r="B3143" t="s">
        <v>374</v>
      </c>
      <c r="C3143" t="s">
        <v>23</v>
      </c>
      <c r="D3143">
        <v>2.4348854971470192E-3</v>
      </c>
      <c r="E3143">
        <v>145</v>
      </c>
      <c r="F3143">
        <v>0</v>
      </c>
    </row>
    <row r="3144" spans="1:6">
      <c r="A3144" t="s">
        <v>373</v>
      </c>
      <c r="B3144" t="s">
        <v>375</v>
      </c>
      <c r="C3144" t="s">
        <v>19</v>
      </c>
      <c r="D3144">
        <v>0.6</v>
      </c>
      <c r="E3144">
        <v>1598</v>
      </c>
      <c r="F3144">
        <v>959</v>
      </c>
    </row>
    <row r="3145" spans="1:6">
      <c r="A3145" t="s">
        <v>373</v>
      </c>
      <c r="B3145" t="s">
        <v>375</v>
      </c>
      <c r="C3145" t="s">
        <v>477</v>
      </c>
      <c r="D3145">
        <v>0.4</v>
      </c>
      <c r="E3145">
        <v>1598</v>
      </c>
      <c r="F3145">
        <v>639</v>
      </c>
    </row>
    <row r="3146" spans="1:6">
      <c r="A3146" t="s">
        <v>373</v>
      </c>
      <c r="B3146" t="s">
        <v>375</v>
      </c>
      <c r="C3146" t="s">
        <v>23</v>
      </c>
      <c r="D3146">
        <v>3.4285983989818815E-3</v>
      </c>
      <c r="E3146">
        <v>1598</v>
      </c>
      <c r="F3146">
        <v>5</v>
      </c>
    </row>
    <row r="3147" spans="1:6">
      <c r="A3147" t="s">
        <v>373</v>
      </c>
      <c r="B3147" t="s">
        <v>376</v>
      </c>
      <c r="C3147" t="s">
        <v>19</v>
      </c>
      <c r="D3147">
        <v>0.6</v>
      </c>
      <c r="E3147">
        <v>822</v>
      </c>
      <c r="F3147">
        <v>493</v>
      </c>
    </row>
    <row r="3148" spans="1:6">
      <c r="A3148" t="s">
        <v>373</v>
      </c>
      <c r="B3148" t="s">
        <v>376</v>
      </c>
      <c r="C3148" t="s">
        <v>477</v>
      </c>
      <c r="D3148">
        <v>0.4</v>
      </c>
      <c r="E3148">
        <v>822</v>
      </c>
      <c r="F3148">
        <v>329</v>
      </c>
    </row>
    <row r="3149" spans="1:6">
      <c r="A3149" t="s">
        <v>373</v>
      </c>
      <c r="B3149" t="s">
        <v>376</v>
      </c>
      <c r="C3149" t="s">
        <v>23</v>
      </c>
      <c r="D3149">
        <v>5.333083519428585E-3</v>
      </c>
      <c r="E3149">
        <v>822</v>
      </c>
      <c r="F3149">
        <v>4</v>
      </c>
    </row>
    <row r="3150" spans="1:6">
      <c r="A3150" t="s">
        <v>373</v>
      </c>
      <c r="B3150" t="s">
        <v>377</v>
      </c>
      <c r="C3150" t="s">
        <v>19</v>
      </c>
      <c r="D3150">
        <v>0.6</v>
      </c>
      <c r="E3150">
        <v>2023</v>
      </c>
      <c r="F3150">
        <v>1214</v>
      </c>
    </row>
    <row r="3151" spans="1:6">
      <c r="A3151" t="s">
        <v>373</v>
      </c>
      <c r="B3151" t="s">
        <v>377</v>
      </c>
      <c r="C3151" t="s">
        <v>477</v>
      </c>
      <c r="D3151">
        <v>0.4</v>
      </c>
      <c r="E3151">
        <v>2023</v>
      </c>
      <c r="F3151">
        <v>809</v>
      </c>
    </row>
    <row r="3152" spans="1:6">
      <c r="A3152" t="s">
        <v>373</v>
      </c>
      <c r="B3152" t="s">
        <v>377</v>
      </c>
      <c r="C3152" t="s">
        <v>23</v>
      </c>
      <c r="D3152">
        <v>1.3528037949557916E-2</v>
      </c>
      <c r="E3152">
        <v>2023</v>
      </c>
      <c r="F3152">
        <v>27</v>
      </c>
    </row>
    <row r="3153" spans="1:6">
      <c r="A3153" t="s">
        <v>373</v>
      </c>
      <c r="B3153" t="s">
        <v>378</v>
      </c>
      <c r="C3153" t="s">
        <v>19</v>
      </c>
      <c r="D3153">
        <v>0.6</v>
      </c>
      <c r="E3153">
        <v>1475</v>
      </c>
      <c r="F3153">
        <v>885</v>
      </c>
    </row>
    <row r="3154" spans="1:6">
      <c r="A3154" t="s">
        <v>373</v>
      </c>
      <c r="B3154" t="s">
        <v>378</v>
      </c>
      <c r="C3154" t="s">
        <v>477</v>
      </c>
      <c r="D3154">
        <v>0.4</v>
      </c>
      <c r="E3154">
        <v>1475</v>
      </c>
      <c r="F3154">
        <v>590</v>
      </c>
    </row>
    <row r="3155" spans="1:6">
      <c r="A3155" t="s">
        <v>373</v>
      </c>
      <c r="B3155" t="s">
        <v>378</v>
      </c>
      <c r="C3155" t="s">
        <v>23</v>
      </c>
      <c r="D3155">
        <v>1.6443487842197433E-2</v>
      </c>
      <c r="E3155">
        <v>1475</v>
      </c>
      <c r="F3155">
        <v>24</v>
      </c>
    </row>
    <row r="3156" spans="1:6">
      <c r="A3156" t="s">
        <v>373</v>
      </c>
      <c r="B3156" t="s">
        <v>373</v>
      </c>
      <c r="C3156" t="s">
        <v>19</v>
      </c>
      <c r="D3156">
        <v>0.6</v>
      </c>
      <c r="E3156">
        <v>18070</v>
      </c>
      <c r="F3156">
        <v>10842</v>
      </c>
    </row>
    <row r="3157" spans="1:6">
      <c r="A3157" t="s">
        <v>373</v>
      </c>
      <c r="B3157" t="s">
        <v>373</v>
      </c>
      <c r="C3157" t="s">
        <v>477</v>
      </c>
      <c r="D3157">
        <v>0.4</v>
      </c>
      <c r="E3157">
        <v>18070</v>
      </c>
      <c r="F3157">
        <v>7228</v>
      </c>
    </row>
    <row r="3158" spans="1:6">
      <c r="A3158" t="s">
        <v>373</v>
      </c>
      <c r="B3158" t="s">
        <v>373</v>
      </c>
      <c r="C3158" t="s">
        <v>23</v>
      </c>
      <c r="D3158">
        <v>1.1510398975137299E-2</v>
      </c>
      <c r="E3158">
        <v>18070</v>
      </c>
      <c r="F3158">
        <v>208</v>
      </c>
    </row>
    <row r="3159" spans="1:6">
      <c r="A3159" t="s">
        <v>373</v>
      </c>
      <c r="B3159" t="s">
        <v>379</v>
      </c>
      <c r="C3159" t="s">
        <v>19</v>
      </c>
      <c r="D3159">
        <v>0.6</v>
      </c>
      <c r="E3159">
        <v>1734</v>
      </c>
      <c r="F3159">
        <v>1040</v>
      </c>
    </row>
    <row r="3160" spans="1:6">
      <c r="A3160" t="s">
        <v>373</v>
      </c>
      <c r="B3160" t="s">
        <v>379</v>
      </c>
      <c r="C3160" t="s">
        <v>477</v>
      </c>
      <c r="D3160">
        <v>0.4</v>
      </c>
      <c r="E3160">
        <v>1734</v>
      </c>
      <c r="F3160">
        <v>694</v>
      </c>
    </row>
    <row r="3161" spans="1:6">
      <c r="A3161" t="s">
        <v>373</v>
      </c>
      <c r="B3161" t="s">
        <v>379</v>
      </c>
      <c r="C3161" t="s">
        <v>23</v>
      </c>
      <c r="D3161">
        <v>2.5337689706955691E-3</v>
      </c>
      <c r="E3161">
        <v>1734</v>
      </c>
      <c r="F3161">
        <v>4</v>
      </c>
    </row>
    <row r="3162" spans="1:6">
      <c r="A3162" t="s">
        <v>373</v>
      </c>
      <c r="B3162" t="s">
        <v>380</v>
      </c>
      <c r="C3162" t="s">
        <v>19</v>
      </c>
      <c r="D3162">
        <v>0.6</v>
      </c>
      <c r="E3162">
        <v>948</v>
      </c>
      <c r="F3162">
        <v>569</v>
      </c>
    </row>
    <row r="3163" spans="1:6">
      <c r="A3163" t="s">
        <v>373</v>
      </c>
      <c r="B3163" t="s">
        <v>380</v>
      </c>
      <c r="C3163" t="s">
        <v>477</v>
      </c>
      <c r="D3163">
        <v>0.4</v>
      </c>
      <c r="E3163">
        <v>948</v>
      </c>
      <c r="F3163">
        <v>379</v>
      </c>
    </row>
    <row r="3164" spans="1:6">
      <c r="A3164" t="s">
        <v>373</v>
      </c>
      <c r="B3164" t="s">
        <v>380</v>
      </c>
      <c r="C3164" t="s">
        <v>23</v>
      </c>
      <c r="D3164">
        <v>5.6705198545813395E-3</v>
      </c>
      <c r="E3164">
        <v>948</v>
      </c>
      <c r="F3164">
        <v>5</v>
      </c>
    </row>
    <row r="3165" spans="1:6">
      <c r="A3165" t="s">
        <v>373</v>
      </c>
      <c r="B3165" t="s">
        <v>999</v>
      </c>
      <c r="C3165" t="s">
        <v>19</v>
      </c>
      <c r="D3165">
        <v>0.6</v>
      </c>
      <c r="E3165">
        <v>11701</v>
      </c>
      <c r="F3165">
        <v>7021</v>
      </c>
    </row>
    <row r="3166" spans="1:6">
      <c r="A3166" t="s">
        <v>373</v>
      </c>
      <c r="B3166" t="s">
        <v>999</v>
      </c>
      <c r="C3166" t="s">
        <v>477</v>
      </c>
      <c r="D3166">
        <v>0.4</v>
      </c>
      <c r="E3166">
        <v>11701</v>
      </c>
      <c r="F3166">
        <v>4680</v>
      </c>
    </row>
    <row r="3167" spans="1:6">
      <c r="A3167" t="s">
        <v>373</v>
      </c>
      <c r="B3167" t="s">
        <v>999</v>
      </c>
      <c r="C3167" t="s">
        <v>23</v>
      </c>
      <c r="D3167">
        <v>9.582407683157896E-3</v>
      </c>
      <c r="E3167">
        <v>11701</v>
      </c>
      <c r="F3167">
        <v>112</v>
      </c>
    </row>
    <row r="3168" spans="1:6">
      <c r="A3168" t="s">
        <v>373</v>
      </c>
      <c r="B3168" t="s">
        <v>382</v>
      </c>
      <c r="C3168" t="s">
        <v>19</v>
      </c>
      <c r="D3168">
        <v>0.6</v>
      </c>
      <c r="E3168">
        <v>860</v>
      </c>
      <c r="F3168">
        <v>516</v>
      </c>
    </row>
    <row r="3169" spans="1:6">
      <c r="A3169" t="s">
        <v>373</v>
      </c>
      <c r="B3169" t="s">
        <v>382</v>
      </c>
      <c r="C3169" t="s">
        <v>477</v>
      </c>
      <c r="D3169">
        <v>0.4</v>
      </c>
      <c r="E3169">
        <v>860</v>
      </c>
      <c r="F3169">
        <v>344</v>
      </c>
    </row>
    <row r="3170" spans="1:6">
      <c r="A3170" t="s">
        <v>373</v>
      </c>
      <c r="B3170" t="s">
        <v>382</v>
      </c>
      <c r="C3170" t="s">
        <v>23</v>
      </c>
      <c r="D3170">
        <v>9.1521605204495926E-3</v>
      </c>
      <c r="E3170">
        <v>860</v>
      </c>
      <c r="F3170">
        <v>8</v>
      </c>
    </row>
    <row r="3171" spans="1:6">
      <c r="A3171" t="s">
        <v>383</v>
      </c>
      <c r="B3171" t="s">
        <v>385</v>
      </c>
      <c r="C3171" t="s">
        <v>19</v>
      </c>
      <c r="D3171">
        <v>0.6</v>
      </c>
      <c r="E3171">
        <v>112</v>
      </c>
      <c r="F3171">
        <v>67</v>
      </c>
    </row>
    <row r="3172" spans="1:6">
      <c r="A3172" t="s">
        <v>383</v>
      </c>
      <c r="B3172" t="s">
        <v>385</v>
      </c>
      <c r="C3172" t="s">
        <v>477</v>
      </c>
      <c r="D3172">
        <v>0.4</v>
      </c>
      <c r="E3172">
        <v>112</v>
      </c>
      <c r="F3172">
        <v>45</v>
      </c>
    </row>
    <row r="3173" spans="1:6">
      <c r="A3173" t="s">
        <v>383</v>
      </c>
      <c r="B3173" t="s">
        <v>385</v>
      </c>
      <c r="C3173" t="s">
        <v>23</v>
      </c>
      <c r="D3173">
        <v>1.7347006727304996E-2</v>
      </c>
      <c r="E3173">
        <v>112</v>
      </c>
      <c r="F3173">
        <v>2</v>
      </c>
    </row>
    <row r="3174" spans="1:6">
      <c r="A3174" t="s">
        <v>383</v>
      </c>
      <c r="B3174" t="s">
        <v>386</v>
      </c>
      <c r="C3174" t="s">
        <v>19</v>
      </c>
      <c r="D3174">
        <v>0.6</v>
      </c>
      <c r="E3174">
        <v>11488</v>
      </c>
      <c r="F3174">
        <v>6893</v>
      </c>
    </row>
    <row r="3175" spans="1:6">
      <c r="A3175" t="s">
        <v>383</v>
      </c>
      <c r="B3175" t="s">
        <v>386</v>
      </c>
      <c r="C3175" t="s">
        <v>477</v>
      </c>
      <c r="D3175">
        <v>0.4</v>
      </c>
      <c r="E3175">
        <v>11488</v>
      </c>
      <c r="F3175">
        <v>4595</v>
      </c>
    </row>
    <row r="3176" spans="1:6">
      <c r="A3176" t="s">
        <v>383</v>
      </c>
      <c r="B3176" t="s">
        <v>386</v>
      </c>
      <c r="C3176" t="s">
        <v>23</v>
      </c>
      <c r="D3176">
        <v>9.3437660322560519E-3</v>
      </c>
      <c r="E3176">
        <v>11488</v>
      </c>
      <c r="F3176">
        <v>107</v>
      </c>
    </row>
    <row r="3177" spans="1:6">
      <c r="A3177" t="s">
        <v>383</v>
      </c>
      <c r="B3177" t="s">
        <v>387</v>
      </c>
      <c r="C3177" t="s">
        <v>19</v>
      </c>
      <c r="D3177">
        <v>0.6</v>
      </c>
      <c r="E3177">
        <v>2193</v>
      </c>
      <c r="F3177">
        <v>1316</v>
      </c>
    </row>
    <row r="3178" spans="1:6">
      <c r="A3178" t="s">
        <v>383</v>
      </c>
      <c r="B3178" t="s">
        <v>387</v>
      </c>
      <c r="C3178" t="s">
        <v>477</v>
      </c>
      <c r="D3178">
        <v>0.4</v>
      </c>
      <c r="E3178">
        <v>2193</v>
      </c>
      <c r="F3178">
        <v>877</v>
      </c>
    </row>
    <row r="3179" spans="1:6">
      <c r="A3179" t="s">
        <v>383</v>
      </c>
      <c r="B3179" t="s">
        <v>387</v>
      </c>
      <c r="C3179" t="s">
        <v>23</v>
      </c>
      <c r="D3179">
        <v>3.9285931586902348E-3</v>
      </c>
      <c r="E3179">
        <v>2193</v>
      </c>
      <c r="F3179">
        <v>9</v>
      </c>
    </row>
    <row r="3180" spans="1:6">
      <c r="A3180" t="s">
        <v>383</v>
      </c>
      <c r="B3180" t="s">
        <v>388</v>
      </c>
      <c r="C3180" t="s">
        <v>19</v>
      </c>
      <c r="D3180">
        <v>0.6</v>
      </c>
      <c r="E3180">
        <v>1216</v>
      </c>
      <c r="F3180">
        <v>730</v>
      </c>
    </row>
    <row r="3181" spans="1:6">
      <c r="A3181" t="s">
        <v>383</v>
      </c>
      <c r="B3181" t="s">
        <v>388</v>
      </c>
      <c r="C3181" t="s">
        <v>477</v>
      </c>
      <c r="D3181">
        <v>0.4</v>
      </c>
      <c r="E3181">
        <v>1216</v>
      </c>
      <c r="F3181">
        <v>486</v>
      </c>
    </row>
    <row r="3182" spans="1:6">
      <c r="A3182" t="s">
        <v>383</v>
      </c>
      <c r="B3182" t="s">
        <v>388</v>
      </c>
      <c r="C3182" t="s">
        <v>23</v>
      </c>
      <c r="D3182">
        <v>1.5660894785823089E-3</v>
      </c>
      <c r="E3182">
        <v>1216</v>
      </c>
      <c r="F3182">
        <v>2</v>
      </c>
    </row>
    <row r="3183" spans="1:6">
      <c r="A3183" t="s">
        <v>383</v>
      </c>
      <c r="B3183" t="s">
        <v>389</v>
      </c>
      <c r="C3183" t="s">
        <v>19</v>
      </c>
      <c r="D3183">
        <v>0.6</v>
      </c>
      <c r="E3183">
        <v>2644</v>
      </c>
      <c r="F3183">
        <v>1586</v>
      </c>
    </row>
    <row r="3184" spans="1:6">
      <c r="A3184" t="s">
        <v>383</v>
      </c>
      <c r="B3184" t="s">
        <v>389</v>
      </c>
      <c r="C3184" t="s">
        <v>477</v>
      </c>
      <c r="D3184">
        <v>0.4</v>
      </c>
      <c r="E3184">
        <v>2644</v>
      </c>
      <c r="F3184">
        <v>1058</v>
      </c>
    </row>
    <row r="3185" spans="1:6">
      <c r="A3185" t="s">
        <v>383</v>
      </c>
      <c r="B3185" t="s">
        <v>389</v>
      </c>
      <c r="C3185" t="s">
        <v>23</v>
      </c>
      <c r="D3185">
        <v>3.2036016176581763E-3</v>
      </c>
      <c r="E3185">
        <v>2644</v>
      </c>
      <c r="F3185">
        <v>8</v>
      </c>
    </row>
    <row r="3186" spans="1:6">
      <c r="A3186" t="s">
        <v>383</v>
      </c>
      <c r="B3186" t="s">
        <v>390</v>
      </c>
      <c r="C3186" t="s">
        <v>19</v>
      </c>
      <c r="D3186">
        <v>0.6</v>
      </c>
      <c r="E3186">
        <v>477</v>
      </c>
      <c r="F3186">
        <v>286</v>
      </c>
    </row>
    <row r="3187" spans="1:6">
      <c r="A3187" t="s">
        <v>383</v>
      </c>
      <c r="B3187" t="s">
        <v>390</v>
      </c>
      <c r="C3187" t="s">
        <v>477</v>
      </c>
      <c r="D3187">
        <v>0.4</v>
      </c>
      <c r="E3187">
        <v>477</v>
      </c>
      <c r="F3187">
        <v>191</v>
      </c>
    </row>
    <row r="3188" spans="1:6">
      <c r="A3188" t="s">
        <v>383</v>
      </c>
      <c r="B3188" t="s">
        <v>390</v>
      </c>
      <c r="C3188" t="s">
        <v>23</v>
      </c>
      <c r="D3188">
        <v>1.5029662573177097E-2</v>
      </c>
      <c r="E3188">
        <v>477</v>
      </c>
      <c r="F3188">
        <v>7</v>
      </c>
    </row>
    <row r="3189" spans="1:6">
      <c r="A3189" t="s">
        <v>383</v>
      </c>
      <c r="B3189" t="s">
        <v>391</v>
      </c>
      <c r="C3189" t="s">
        <v>19</v>
      </c>
      <c r="D3189">
        <v>0.6</v>
      </c>
      <c r="E3189">
        <v>1670</v>
      </c>
      <c r="F3189">
        <v>1002</v>
      </c>
    </row>
    <row r="3190" spans="1:6">
      <c r="A3190" t="s">
        <v>383</v>
      </c>
      <c r="B3190" t="s">
        <v>391</v>
      </c>
      <c r="C3190" t="s">
        <v>477</v>
      </c>
      <c r="D3190">
        <v>0.4</v>
      </c>
      <c r="E3190">
        <v>1670</v>
      </c>
      <c r="F3190">
        <v>668</v>
      </c>
    </row>
    <row r="3191" spans="1:6">
      <c r="A3191" t="s">
        <v>383</v>
      </c>
      <c r="B3191" t="s">
        <v>391</v>
      </c>
      <c r="C3191" t="s">
        <v>23</v>
      </c>
      <c r="D3191">
        <v>3.4030891656633999E-3</v>
      </c>
      <c r="E3191">
        <v>1670</v>
      </c>
      <c r="F3191">
        <v>6</v>
      </c>
    </row>
    <row r="3192" spans="1:6">
      <c r="A3192" t="s">
        <v>383</v>
      </c>
      <c r="B3192" t="s">
        <v>392</v>
      </c>
      <c r="C3192" t="s">
        <v>19</v>
      </c>
      <c r="D3192">
        <v>0.6</v>
      </c>
      <c r="E3192">
        <v>682</v>
      </c>
      <c r="F3192">
        <v>409</v>
      </c>
    </row>
    <row r="3193" spans="1:6">
      <c r="A3193" t="s">
        <v>383</v>
      </c>
      <c r="B3193" t="s">
        <v>392</v>
      </c>
      <c r="C3193" t="s">
        <v>477</v>
      </c>
      <c r="D3193">
        <v>0.4</v>
      </c>
      <c r="E3193">
        <v>682</v>
      </c>
      <c r="F3193">
        <v>273</v>
      </c>
    </row>
    <row r="3194" spans="1:6">
      <c r="A3194" t="s">
        <v>383</v>
      </c>
      <c r="B3194" t="s">
        <v>392</v>
      </c>
      <c r="C3194" t="s">
        <v>23</v>
      </c>
      <c r="D3194">
        <v>8.5304685972205311E-3</v>
      </c>
      <c r="E3194">
        <v>682</v>
      </c>
      <c r="F3194">
        <v>6</v>
      </c>
    </row>
    <row r="3195" spans="1:6">
      <c r="A3195" t="s">
        <v>383</v>
      </c>
      <c r="B3195" t="s">
        <v>393</v>
      </c>
      <c r="C3195" t="s">
        <v>19</v>
      </c>
      <c r="D3195">
        <v>0.6</v>
      </c>
      <c r="E3195">
        <v>2127</v>
      </c>
      <c r="F3195">
        <v>1276</v>
      </c>
    </row>
    <row r="3196" spans="1:6">
      <c r="A3196" t="s">
        <v>383</v>
      </c>
      <c r="B3196" t="s">
        <v>393</v>
      </c>
      <c r="C3196" t="s">
        <v>477</v>
      </c>
      <c r="D3196">
        <v>0.4</v>
      </c>
      <c r="E3196">
        <v>2127</v>
      </c>
      <c r="F3196">
        <v>851</v>
      </c>
    </row>
    <row r="3197" spans="1:6">
      <c r="A3197" t="s">
        <v>383</v>
      </c>
      <c r="B3197" t="s">
        <v>393</v>
      </c>
      <c r="C3197" t="s">
        <v>23</v>
      </c>
      <c r="D3197">
        <v>1.4550608059143559E-2</v>
      </c>
      <c r="E3197">
        <v>2127</v>
      </c>
      <c r="F3197">
        <v>31</v>
      </c>
    </row>
    <row r="3198" spans="1:6">
      <c r="A3198" t="s">
        <v>383</v>
      </c>
      <c r="B3198" t="s">
        <v>394</v>
      </c>
      <c r="C3198" t="s">
        <v>19</v>
      </c>
      <c r="D3198">
        <v>0.6</v>
      </c>
      <c r="E3198">
        <v>756</v>
      </c>
      <c r="F3198">
        <v>454</v>
      </c>
    </row>
    <row r="3199" spans="1:6">
      <c r="A3199" t="s">
        <v>383</v>
      </c>
      <c r="B3199" t="s">
        <v>394</v>
      </c>
      <c r="C3199" t="s">
        <v>477</v>
      </c>
      <c r="D3199">
        <v>0.4</v>
      </c>
      <c r="E3199">
        <v>756</v>
      </c>
      <c r="F3199">
        <v>302</v>
      </c>
    </row>
    <row r="3200" spans="1:6">
      <c r="A3200" t="s">
        <v>383</v>
      </c>
      <c r="B3200" t="s">
        <v>394</v>
      </c>
      <c r="C3200" t="s">
        <v>23</v>
      </c>
      <c r="D3200">
        <v>4.9960249810140087E-3</v>
      </c>
      <c r="E3200">
        <v>756</v>
      </c>
      <c r="F3200">
        <v>4</v>
      </c>
    </row>
    <row r="3201" spans="1:6">
      <c r="A3201" t="s">
        <v>383</v>
      </c>
      <c r="B3201" t="s">
        <v>395</v>
      </c>
      <c r="C3201" t="s">
        <v>19</v>
      </c>
      <c r="D3201">
        <v>0.6</v>
      </c>
      <c r="E3201">
        <v>1674</v>
      </c>
      <c r="F3201">
        <v>1004</v>
      </c>
    </row>
    <row r="3202" spans="1:6">
      <c r="A3202" t="s">
        <v>383</v>
      </c>
      <c r="B3202" t="s">
        <v>395</v>
      </c>
      <c r="C3202" t="s">
        <v>477</v>
      </c>
      <c r="D3202">
        <v>0.4</v>
      </c>
      <c r="E3202">
        <v>1674</v>
      </c>
      <c r="F3202">
        <v>670</v>
      </c>
    </row>
    <row r="3203" spans="1:6">
      <c r="A3203" t="s">
        <v>383</v>
      </c>
      <c r="B3203" t="s">
        <v>395</v>
      </c>
      <c r="C3203" t="s">
        <v>23</v>
      </c>
      <c r="D3203">
        <v>1.7865656366539584E-3</v>
      </c>
      <c r="E3203">
        <v>1674</v>
      </c>
      <c r="F3203">
        <v>3</v>
      </c>
    </row>
    <row r="3204" spans="1:6">
      <c r="A3204" t="s">
        <v>383</v>
      </c>
      <c r="B3204" t="s">
        <v>396</v>
      </c>
      <c r="C3204" t="s">
        <v>19</v>
      </c>
      <c r="D3204">
        <v>0.6</v>
      </c>
      <c r="E3204">
        <v>499</v>
      </c>
      <c r="F3204">
        <v>299</v>
      </c>
    </row>
    <row r="3205" spans="1:6">
      <c r="A3205" t="s">
        <v>383</v>
      </c>
      <c r="B3205" t="s">
        <v>396</v>
      </c>
      <c r="C3205" t="s">
        <v>477</v>
      </c>
      <c r="D3205">
        <v>0.4</v>
      </c>
      <c r="E3205">
        <v>499</v>
      </c>
      <c r="F3205">
        <v>200</v>
      </c>
    </row>
    <row r="3206" spans="1:6">
      <c r="A3206" t="s">
        <v>383</v>
      </c>
      <c r="B3206" t="s">
        <v>396</v>
      </c>
      <c r="C3206" t="s">
        <v>23</v>
      </c>
      <c r="D3206">
        <v>1.6119483998347409E-2</v>
      </c>
      <c r="E3206">
        <v>499</v>
      </c>
      <c r="F3206">
        <v>8</v>
      </c>
    </row>
    <row r="3207" spans="1:6">
      <c r="A3207" t="s">
        <v>383</v>
      </c>
      <c r="B3207" t="s">
        <v>398</v>
      </c>
      <c r="C3207" t="s">
        <v>19</v>
      </c>
      <c r="D3207">
        <v>0.6</v>
      </c>
      <c r="E3207">
        <v>440</v>
      </c>
      <c r="F3207">
        <v>264</v>
      </c>
    </row>
    <row r="3208" spans="1:6">
      <c r="A3208" t="s">
        <v>383</v>
      </c>
      <c r="B3208" t="s">
        <v>398</v>
      </c>
      <c r="C3208" t="s">
        <v>477</v>
      </c>
      <c r="D3208">
        <v>0.4</v>
      </c>
      <c r="E3208">
        <v>440</v>
      </c>
      <c r="F3208">
        <v>176</v>
      </c>
    </row>
    <row r="3209" spans="1:6">
      <c r="A3209" t="s">
        <v>383</v>
      </c>
      <c r="B3209" t="s">
        <v>398</v>
      </c>
      <c r="C3209" t="s">
        <v>23</v>
      </c>
      <c r="D3209">
        <v>1.7166372383674817E-2</v>
      </c>
      <c r="E3209">
        <v>440</v>
      </c>
      <c r="F3209">
        <v>8</v>
      </c>
    </row>
    <row r="3210" spans="1:6">
      <c r="A3210" t="s">
        <v>397</v>
      </c>
      <c r="B3210" t="s">
        <v>397</v>
      </c>
      <c r="C3210" t="s">
        <v>19</v>
      </c>
      <c r="D3210">
        <v>0.6</v>
      </c>
      <c r="E3210">
        <v>144933</v>
      </c>
      <c r="F3210">
        <v>86960</v>
      </c>
    </row>
    <row r="3211" spans="1:6">
      <c r="A3211" t="s">
        <v>397</v>
      </c>
      <c r="B3211" t="s">
        <v>397</v>
      </c>
      <c r="C3211" t="s">
        <v>477</v>
      </c>
      <c r="D3211">
        <v>0.4</v>
      </c>
      <c r="E3211">
        <v>144933</v>
      </c>
      <c r="F3211">
        <v>57973</v>
      </c>
    </row>
    <row r="3212" spans="1:6">
      <c r="A3212" t="s">
        <v>397</v>
      </c>
      <c r="B3212" t="s">
        <v>397</v>
      </c>
      <c r="C3212" t="s">
        <v>23</v>
      </c>
      <c r="D3212">
        <v>4.5442856670427026E-4</v>
      </c>
      <c r="E3212">
        <v>144933</v>
      </c>
      <c r="F3212">
        <v>66</v>
      </c>
    </row>
    <row r="3213" spans="1:6">
      <c r="A3213" t="s">
        <v>397</v>
      </c>
      <c r="B3213" t="s">
        <v>399</v>
      </c>
      <c r="C3213" t="s">
        <v>19</v>
      </c>
      <c r="D3213">
        <v>0.6</v>
      </c>
      <c r="E3213">
        <v>1366</v>
      </c>
      <c r="F3213">
        <v>820</v>
      </c>
    </row>
    <row r="3214" spans="1:6">
      <c r="A3214" t="s">
        <v>397</v>
      </c>
      <c r="B3214" t="s">
        <v>399</v>
      </c>
      <c r="C3214" t="s">
        <v>477</v>
      </c>
      <c r="D3214">
        <v>0.4</v>
      </c>
      <c r="E3214">
        <v>1366</v>
      </c>
      <c r="F3214">
        <v>546</v>
      </c>
    </row>
    <row r="3215" spans="1:6">
      <c r="A3215" t="s">
        <v>397</v>
      </c>
      <c r="B3215" t="s">
        <v>399</v>
      </c>
      <c r="C3215" t="s">
        <v>23</v>
      </c>
      <c r="D3215">
        <v>2.9741571875576025E-3</v>
      </c>
      <c r="E3215">
        <v>1366</v>
      </c>
      <c r="F3215">
        <v>4</v>
      </c>
    </row>
    <row r="3216" spans="1:6">
      <c r="A3216" t="s">
        <v>397</v>
      </c>
      <c r="B3216" t="s">
        <v>400</v>
      </c>
      <c r="C3216" t="s">
        <v>19</v>
      </c>
      <c r="D3216">
        <v>0.6</v>
      </c>
      <c r="E3216">
        <v>5999</v>
      </c>
      <c r="F3216">
        <v>3599</v>
      </c>
    </row>
    <row r="3217" spans="1:6">
      <c r="A3217" t="s">
        <v>397</v>
      </c>
      <c r="B3217" t="s">
        <v>400</v>
      </c>
      <c r="C3217" t="s">
        <v>477</v>
      </c>
      <c r="D3217">
        <v>0.4</v>
      </c>
      <c r="E3217">
        <v>5999</v>
      </c>
      <c r="F3217">
        <v>2400</v>
      </c>
    </row>
    <row r="3218" spans="1:6">
      <c r="A3218" t="s">
        <v>397</v>
      </c>
      <c r="B3218" t="s">
        <v>400</v>
      </c>
      <c r="C3218" t="s">
        <v>23</v>
      </c>
      <c r="D3218">
        <v>1.2997475222320904E-2</v>
      </c>
      <c r="E3218">
        <v>5999</v>
      </c>
      <c r="F3218">
        <v>78</v>
      </c>
    </row>
    <row r="3219" spans="1:6">
      <c r="A3219" t="s">
        <v>397</v>
      </c>
      <c r="B3219" t="s">
        <v>401</v>
      </c>
      <c r="C3219" t="s">
        <v>19</v>
      </c>
      <c r="D3219">
        <v>0.6</v>
      </c>
      <c r="E3219">
        <v>1040</v>
      </c>
      <c r="F3219">
        <v>624</v>
      </c>
    </row>
    <row r="3220" spans="1:6">
      <c r="A3220" t="s">
        <v>397</v>
      </c>
      <c r="B3220" t="s">
        <v>401</v>
      </c>
      <c r="C3220" t="s">
        <v>477</v>
      </c>
      <c r="D3220">
        <v>0.4</v>
      </c>
      <c r="E3220">
        <v>1040</v>
      </c>
      <c r="F3220">
        <v>416</v>
      </c>
    </row>
    <row r="3221" spans="1:6">
      <c r="A3221" t="s">
        <v>397</v>
      </c>
      <c r="B3221" t="s">
        <v>401</v>
      </c>
      <c r="C3221" t="s">
        <v>23</v>
      </c>
      <c r="D3221">
        <v>1.6294184182067798E-2</v>
      </c>
      <c r="E3221">
        <v>1040</v>
      </c>
      <c r="F3221">
        <v>17</v>
      </c>
    </row>
    <row r="3222" spans="1:6">
      <c r="A3222" t="s">
        <v>397</v>
      </c>
      <c r="B3222" t="s">
        <v>402</v>
      </c>
      <c r="C3222" t="s">
        <v>19</v>
      </c>
      <c r="D3222">
        <v>0.6</v>
      </c>
      <c r="E3222">
        <v>3472</v>
      </c>
      <c r="F3222">
        <v>2083</v>
      </c>
    </row>
    <row r="3223" spans="1:6">
      <c r="A3223" t="s">
        <v>397</v>
      </c>
      <c r="B3223" t="s">
        <v>402</v>
      </c>
      <c r="C3223" t="s">
        <v>477</v>
      </c>
      <c r="D3223">
        <v>0.4</v>
      </c>
      <c r="E3223">
        <v>3472</v>
      </c>
      <c r="F3223">
        <v>1389</v>
      </c>
    </row>
    <row r="3224" spans="1:6">
      <c r="A3224" t="s">
        <v>397</v>
      </c>
      <c r="B3224" t="s">
        <v>402</v>
      </c>
      <c r="C3224" t="s">
        <v>23</v>
      </c>
      <c r="D3224">
        <v>5.0815130216847653E-3</v>
      </c>
      <c r="E3224">
        <v>3472</v>
      </c>
      <c r="F3224">
        <v>18</v>
      </c>
    </row>
    <row r="3225" spans="1:6">
      <c r="A3225" t="s">
        <v>397</v>
      </c>
      <c r="B3225" t="s">
        <v>403</v>
      </c>
      <c r="C3225" t="s">
        <v>19</v>
      </c>
      <c r="D3225">
        <v>0.6</v>
      </c>
      <c r="E3225">
        <v>5281</v>
      </c>
      <c r="F3225">
        <v>3169</v>
      </c>
    </row>
    <row r="3226" spans="1:6">
      <c r="A3226" t="s">
        <v>397</v>
      </c>
      <c r="B3226" t="s">
        <v>403</v>
      </c>
      <c r="C3226" t="s">
        <v>477</v>
      </c>
      <c r="D3226">
        <v>0.4</v>
      </c>
      <c r="E3226">
        <v>5281</v>
      </c>
      <c r="F3226">
        <v>2112</v>
      </c>
    </row>
    <row r="3227" spans="1:6">
      <c r="A3227" t="s">
        <v>397</v>
      </c>
      <c r="B3227" t="s">
        <v>403</v>
      </c>
      <c r="C3227" t="s">
        <v>23</v>
      </c>
      <c r="D3227">
        <v>1.9796756608836247E-2</v>
      </c>
      <c r="E3227">
        <v>5281</v>
      </c>
      <c r="F3227">
        <v>105</v>
      </c>
    </row>
    <row r="3228" spans="1:6">
      <c r="A3228" t="s">
        <v>397</v>
      </c>
      <c r="B3228" t="s">
        <v>404</v>
      </c>
      <c r="C3228" t="s">
        <v>19</v>
      </c>
      <c r="D3228">
        <v>0.6</v>
      </c>
      <c r="E3228">
        <v>3188</v>
      </c>
      <c r="F3228">
        <v>1913</v>
      </c>
    </row>
    <row r="3229" spans="1:6">
      <c r="A3229" t="s">
        <v>397</v>
      </c>
      <c r="B3229" t="s">
        <v>404</v>
      </c>
      <c r="C3229" t="s">
        <v>477</v>
      </c>
      <c r="D3229">
        <v>0.4</v>
      </c>
      <c r="E3229">
        <v>3188</v>
      </c>
      <c r="F3229">
        <v>1275</v>
      </c>
    </row>
    <row r="3230" spans="1:6">
      <c r="A3230" t="s">
        <v>397</v>
      </c>
      <c r="B3230" t="s">
        <v>404</v>
      </c>
      <c r="C3230" t="s">
        <v>23</v>
      </c>
      <c r="D3230">
        <v>5.1197892500058021E-3</v>
      </c>
      <c r="E3230">
        <v>3188</v>
      </c>
      <c r="F3230">
        <v>16</v>
      </c>
    </row>
    <row r="3231" spans="1:6">
      <c r="A3231" t="s">
        <v>397</v>
      </c>
      <c r="B3231" t="s">
        <v>405</v>
      </c>
      <c r="C3231" t="s">
        <v>19</v>
      </c>
      <c r="D3231">
        <v>0.6</v>
      </c>
      <c r="E3231">
        <v>968</v>
      </c>
      <c r="F3231">
        <v>581</v>
      </c>
    </row>
    <row r="3232" spans="1:6">
      <c r="A3232" t="s">
        <v>397</v>
      </c>
      <c r="B3232" t="s">
        <v>405</v>
      </c>
      <c r="C3232" t="s">
        <v>477</v>
      </c>
      <c r="D3232">
        <v>0.4</v>
      </c>
      <c r="E3232">
        <v>968</v>
      </c>
      <c r="F3232">
        <v>387</v>
      </c>
    </row>
    <row r="3233" spans="1:6">
      <c r="A3233" t="s">
        <v>397</v>
      </c>
      <c r="B3233" t="s">
        <v>405</v>
      </c>
      <c r="C3233" t="s">
        <v>23</v>
      </c>
      <c r="D3233">
        <v>5.4377396647910282E-3</v>
      </c>
      <c r="E3233">
        <v>968</v>
      </c>
      <c r="F3233">
        <v>5</v>
      </c>
    </row>
    <row r="3234" spans="1:6">
      <c r="A3234" t="s">
        <v>397</v>
      </c>
      <c r="B3234" t="s">
        <v>406</v>
      </c>
      <c r="C3234" t="s">
        <v>19</v>
      </c>
      <c r="D3234">
        <v>0.6</v>
      </c>
      <c r="E3234">
        <v>2206</v>
      </c>
      <c r="F3234">
        <v>1324</v>
      </c>
    </row>
    <row r="3235" spans="1:6">
      <c r="A3235" t="s">
        <v>397</v>
      </c>
      <c r="B3235" t="s">
        <v>406</v>
      </c>
      <c r="C3235" t="s">
        <v>477</v>
      </c>
      <c r="D3235">
        <v>0.4</v>
      </c>
      <c r="E3235">
        <v>2206</v>
      </c>
      <c r="F3235">
        <v>882</v>
      </c>
    </row>
    <row r="3236" spans="1:6">
      <c r="A3236" t="s">
        <v>397</v>
      </c>
      <c r="B3236" t="s">
        <v>406</v>
      </c>
      <c r="C3236" t="s">
        <v>23</v>
      </c>
      <c r="D3236">
        <v>1.9799895454460873E-2</v>
      </c>
      <c r="E3236">
        <v>2206</v>
      </c>
      <c r="F3236">
        <v>44</v>
      </c>
    </row>
    <row r="3237" spans="1:6">
      <c r="A3237" t="s">
        <v>397</v>
      </c>
      <c r="B3237" t="s">
        <v>407</v>
      </c>
      <c r="C3237" t="s">
        <v>19</v>
      </c>
      <c r="D3237">
        <v>0.6</v>
      </c>
      <c r="E3237">
        <v>496</v>
      </c>
      <c r="F3237">
        <v>298</v>
      </c>
    </row>
    <row r="3238" spans="1:6">
      <c r="A3238" t="s">
        <v>397</v>
      </c>
      <c r="B3238" t="s">
        <v>407</v>
      </c>
      <c r="C3238" t="s">
        <v>477</v>
      </c>
      <c r="D3238">
        <v>0.4</v>
      </c>
      <c r="E3238">
        <v>496</v>
      </c>
      <c r="F3238">
        <v>198</v>
      </c>
    </row>
    <row r="3239" spans="1:6">
      <c r="A3239" t="s">
        <v>397</v>
      </c>
      <c r="B3239" t="s">
        <v>407</v>
      </c>
      <c r="C3239" t="s">
        <v>23</v>
      </c>
      <c r="D3239">
        <v>5.2218817927681552E-3</v>
      </c>
      <c r="E3239">
        <v>496</v>
      </c>
      <c r="F3239">
        <v>3</v>
      </c>
    </row>
    <row r="3240" spans="1:6">
      <c r="A3240" t="s">
        <v>397</v>
      </c>
      <c r="B3240" t="s">
        <v>408</v>
      </c>
      <c r="C3240" t="s">
        <v>19</v>
      </c>
      <c r="D3240">
        <v>0.6</v>
      </c>
      <c r="E3240">
        <v>955</v>
      </c>
      <c r="F3240">
        <v>573</v>
      </c>
    </row>
    <row r="3241" spans="1:6">
      <c r="A3241" t="s">
        <v>397</v>
      </c>
      <c r="B3241" t="s">
        <v>408</v>
      </c>
      <c r="C3241" t="s">
        <v>477</v>
      </c>
      <c r="D3241">
        <v>0.4</v>
      </c>
      <c r="E3241">
        <v>955</v>
      </c>
      <c r="F3241">
        <v>382</v>
      </c>
    </row>
    <row r="3242" spans="1:6">
      <c r="A3242" t="s">
        <v>397</v>
      </c>
      <c r="B3242" t="s">
        <v>408</v>
      </c>
      <c r="C3242" t="s">
        <v>23</v>
      </c>
      <c r="D3242">
        <v>9.8853987608094936E-3</v>
      </c>
      <c r="E3242">
        <v>955</v>
      </c>
      <c r="F3242">
        <v>9</v>
      </c>
    </row>
    <row r="3243" spans="1:6">
      <c r="A3243" t="s">
        <v>397</v>
      </c>
      <c r="B3243" t="s">
        <v>409</v>
      </c>
      <c r="C3243" t="s">
        <v>19</v>
      </c>
      <c r="D3243">
        <v>0.6</v>
      </c>
      <c r="E3243">
        <v>1311</v>
      </c>
      <c r="F3243">
        <v>787</v>
      </c>
    </row>
    <row r="3244" spans="1:6">
      <c r="A3244" t="s">
        <v>397</v>
      </c>
      <c r="B3244" t="s">
        <v>409</v>
      </c>
      <c r="C3244" t="s">
        <v>477</v>
      </c>
      <c r="D3244">
        <v>0.4</v>
      </c>
      <c r="E3244">
        <v>1311</v>
      </c>
      <c r="F3244">
        <v>524</v>
      </c>
    </row>
    <row r="3245" spans="1:6">
      <c r="A3245" t="s">
        <v>397</v>
      </c>
      <c r="B3245" t="s">
        <v>409</v>
      </c>
      <c r="C3245" t="s">
        <v>23</v>
      </c>
      <c r="D3245">
        <v>9.0922735094542562E-3</v>
      </c>
      <c r="E3245">
        <v>1311</v>
      </c>
      <c r="F3245">
        <v>12</v>
      </c>
    </row>
    <row r="3246" spans="1:6">
      <c r="A3246" t="s">
        <v>397</v>
      </c>
      <c r="B3246" t="s">
        <v>410</v>
      </c>
      <c r="C3246" t="s">
        <v>19</v>
      </c>
      <c r="D3246">
        <v>0.6</v>
      </c>
      <c r="E3246">
        <v>540</v>
      </c>
      <c r="F3246">
        <v>324</v>
      </c>
    </row>
    <row r="3247" spans="1:6">
      <c r="A3247" t="s">
        <v>397</v>
      </c>
      <c r="B3247" t="s">
        <v>410</v>
      </c>
      <c r="C3247" t="s">
        <v>477</v>
      </c>
      <c r="D3247">
        <v>0.4</v>
      </c>
      <c r="E3247">
        <v>540</v>
      </c>
      <c r="F3247">
        <v>216</v>
      </c>
    </row>
    <row r="3248" spans="1:6">
      <c r="A3248" t="s">
        <v>397</v>
      </c>
      <c r="B3248" t="s">
        <v>410</v>
      </c>
      <c r="C3248" t="s">
        <v>23</v>
      </c>
      <c r="D3248">
        <v>7.0619814963706843E-3</v>
      </c>
      <c r="E3248">
        <v>540</v>
      </c>
      <c r="F3248">
        <v>4</v>
      </c>
    </row>
    <row r="3249" spans="1:6">
      <c r="A3249" t="s">
        <v>397</v>
      </c>
      <c r="B3249" t="s">
        <v>411</v>
      </c>
      <c r="C3249" t="s">
        <v>19</v>
      </c>
      <c r="D3249">
        <v>0.6</v>
      </c>
      <c r="E3249">
        <v>1870</v>
      </c>
      <c r="F3249">
        <v>1122</v>
      </c>
    </row>
    <row r="3250" spans="1:6">
      <c r="A3250" t="s">
        <v>397</v>
      </c>
      <c r="B3250" t="s">
        <v>411</v>
      </c>
      <c r="C3250" t="s">
        <v>477</v>
      </c>
      <c r="D3250">
        <v>0.4</v>
      </c>
      <c r="E3250">
        <v>1870</v>
      </c>
      <c r="F3250">
        <v>748</v>
      </c>
    </row>
    <row r="3251" spans="1:6">
      <c r="A3251" t="s">
        <v>397</v>
      </c>
      <c r="B3251" t="s">
        <v>411</v>
      </c>
      <c r="C3251" t="s">
        <v>23</v>
      </c>
      <c r="D3251">
        <v>1.8623982380418912E-2</v>
      </c>
      <c r="E3251">
        <v>1870</v>
      </c>
      <c r="F3251">
        <v>35</v>
      </c>
    </row>
    <row r="3252" spans="1:6">
      <c r="A3252" t="s">
        <v>397</v>
      </c>
      <c r="B3252" t="s">
        <v>412</v>
      </c>
      <c r="C3252" t="s">
        <v>19</v>
      </c>
      <c r="D3252">
        <v>0.6</v>
      </c>
      <c r="E3252">
        <v>2046</v>
      </c>
      <c r="F3252">
        <v>1228</v>
      </c>
    </row>
    <row r="3253" spans="1:6">
      <c r="A3253" t="s">
        <v>397</v>
      </c>
      <c r="B3253" t="s">
        <v>412</v>
      </c>
      <c r="C3253" t="s">
        <v>477</v>
      </c>
      <c r="D3253">
        <v>0.4</v>
      </c>
      <c r="E3253">
        <v>2046</v>
      </c>
      <c r="F3253">
        <v>818</v>
      </c>
    </row>
    <row r="3254" spans="1:6">
      <c r="A3254" t="s">
        <v>397</v>
      </c>
      <c r="B3254" t="s">
        <v>412</v>
      </c>
      <c r="C3254" t="s">
        <v>23</v>
      </c>
      <c r="D3254">
        <v>1.0512485691067202E-2</v>
      </c>
      <c r="E3254">
        <v>2046</v>
      </c>
      <c r="F3254">
        <v>22</v>
      </c>
    </row>
    <row r="3255" spans="1:6">
      <c r="A3255" t="s">
        <v>397</v>
      </c>
      <c r="B3255" t="s">
        <v>650</v>
      </c>
      <c r="C3255" t="s">
        <v>19</v>
      </c>
      <c r="D3255">
        <v>0.6</v>
      </c>
      <c r="E3255">
        <v>11701</v>
      </c>
      <c r="F3255">
        <v>7021</v>
      </c>
    </row>
    <row r="3256" spans="1:6">
      <c r="A3256" t="s">
        <v>397</v>
      </c>
      <c r="B3256" t="s">
        <v>650</v>
      </c>
      <c r="C3256" t="s">
        <v>477</v>
      </c>
      <c r="D3256">
        <v>0.4</v>
      </c>
      <c r="E3256">
        <v>11701</v>
      </c>
      <c r="F3256">
        <v>4680</v>
      </c>
    </row>
    <row r="3257" spans="1:6">
      <c r="A3257" t="s">
        <v>397</v>
      </c>
      <c r="B3257" t="s">
        <v>650</v>
      </c>
      <c r="C3257" t="s">
        <v>23</v>
      </c>
      <c r="D3257">
        <v>1.0073884915709114E-2</v>
      </c>
      <c r="E3257">
        <v>11701</v>
      </c>
      <c r="F3257">
        <v>118</v>
      </c>
    </row>
    <row r="3258" spans="1:6">
      <c r="A3258" t="s">
        <v>413</v>
      </c>
      <c r="B3258" t="s">
        <v>413</v>
      </c>
      <c r="C3258" t="s">
        <v>19</v>
      </c>
      <c r="D3258">
        <v>0.6</v>
      </c>
      <c r="E3258">
        <v>12494</v>
      </c>
      <c r="F3258">
        <v>7496</v>
      </c>
    </row>
    <row r="3259" spans="1:6">
      <c r="A3259" t="s">
        <v>413</v>
      </c>
      <c r="B3259" t="s">
        <v>413</v>
      </c>
      <c r="C3259" t="s">
        <v>477</v>
      </c>
      <c r="D3259">
        <v>0.4</v>
      </c>
      <c r="E3259">
        <v>12494</v>
      </c>
      <c r="F3259">
        <v>4998</v>
      </c>
    </row>
    <row r="3260" spans="1:6">
      <c r="A3260" t="s">
        <v>413</v>
      </c>
      <c r="B3260" t="s">
        <v>413</v>
      </c>
      <c r="C3260" t="s">
        <v>23</v>
      </c>
      <c r="D3260">
        <v>4.7768531354152382E-3</v>
      </c>
      <c r="E3260">
        <v>12494</v>
      </c>
      <c r="F3260">
        <v>60</v>
      </c>
    </row>
    <row r="3261" spans="1:6">
      <c r="A3261" t="s">
        <v>413</v>
      </c>
      <c r="B3261" t="s">
        <v>415</v>
      </c>
      <c r="C3261" t="s">
        <v>19</v>
      </c>
      <c r="D3261">
        <v>0.6</v>
      </c>
      <c r="E3261">
        <v>356</v>
      </c>
      <c r="F3261">
        <v>214</v>
      </c>
    </row>
    <row r="3262" spans="1:6">
      <c r="A3262" t="s">
        <v>413</v>
      </c>
      <c r="B3262" t="s">
        <v>415</v>
      </c>
      <c r="C3262" t="s">
        <v>477</v>
      </c>
      <c r="D3262">
        <v>0.4</v>
      </c>
      <c r="E3262">
        <v>356</v>
      </c>
      <c r="F3262">
        <v>142</v>
      </c>
    </row>
    <row r="3263" spans="1:6">
      <c r="A3263" t="s">
        <v>413</v>
      </c>
      <c r="B3263" t="s">
        <v>415</v>
      </c>
      <c r="C3263" t="s">
        <v>23</v>
      </c>
      <c r="D3263">
        <v>1.3226504895562109E-2</v>
      </c>
      <c r="E3263">
        <v>356</v>
      </c>
      <c r="F3263">
        <v>5</v>
      </c>
    </row>
    <row r="3264" spans="1:6">
      <c r="A3264" t="s">
        <v>413</v>
      </c>
      <c r="B3264" t="s">
        <v>416</v>
      </c>
      <c r="C3264" t="s">
        <v>19</v>
      </c>
      <c r="D3264">
        <v>0.6</v>
      </c>
      <c r="E3264">
        <v>1370</v>
      </c>
      <c r="F3264">
        <v>822</v>
      </c>
    </row>
    <row r="3265" spans="1:6">
      <c r="A3265" t="s">
        <v>413</v>
      </c>
      <c r="B3265" t="s">
        <v>416</v>
      </c>
      <c r="C3265" t="s">
        <v>477</v>
      </c>
      <c r="D3265">
        <v>0.4</v>
      </c>
      <c r="E3265">
        <v>1370</v>
      </c>
      <c r="F3265">
        <v>548</v>
      </c>
    </row>
    <row r="3266" spans="1:6">
      <c r="A3266" t="s">
        <v>413</v>
      </c>
      <c r="B3266" t="s">
        <v>416</v>
      </c>
      <c r="C3266" t="s">
        <v>23</v>
      </c>
      <c r="D3266">
        <v>7.6922724917205601E-3</v>
      </c>
      <c r="E3266">
        <v>1370</v>
      </c>
      <c r="F3266">
        <v>11</v>
      </c>
    </row>
    <row r="3267" spans="1:6">
      <c r="A3267" t="s">
        <v>413</v>
      </c>
      <c r="B3267" t="s">
        <v>417</v>
      </c>
      <c r="C3267" t="s">
        <v>19</v>
      </c>
      <c r="D3267">
        <v>0.6</v>
      </c>
      <c r="E3267">
        <v>1172</v>
      </c>
      <c r="F3267">
        <v>703</v>
      </c>
    </row>
    <row r="3268" spans="1:6">
      <c r="A3268" t="s">
        <v>413</v>
      </c>
      <c r="B3268" t="s">
        <v>417</v>
      </c>
      <c r="C3268" t="s">
        <v>477</v>
      </c>
      <c r="D3268">
        <v>0.4</v>
      </c>
      <c r="E3268">
        <v>1172</v>
      </c>
      <c r="F3268">
        <v>469</v>
      </c>
    </row>
    <row r="3269" spans="1:6">
      <c r="A3269" t="s">
        <v>413</v>
      </c>
      <c r="B3269" t="s">
        <v>417</v>
      </c>
      <c r="C3269" t="s">
        <v>23</v>
      </c>
      <c r="D3269">
        <v>2.7077272411194352E-3</v>
      </c>
      <c r="E3269">
        <v>1172</v>
      </c>
      <c r="F3269">
        <v>3</v>
      </c>
    </row>
    <row r="3270" spans="1:6">
      <c r="A3270" t="s">
        <v>413</v>
      </c>
      <c r="B3270" t="s">
        <v>418</v>
      </c>
      <c r="C3270" t="s">
        <v>19</v>
      </c>
      <c r="D3270">
        <v>0.6</v>
      </c>
      <c r="E3270">
        <v>1166</v>
      </c>
      <c r="F3270">
        <v>700</v>
      </c>
    </row>
    <row r="3271" spans="1:6">
      <c r="A3271" t="s">
        <v>413</v>
      </c>
      <c r="B3271" t="s">
        <v>418</v>
      </c>
      <c r="C3271" t="s">
        <v>477</v>
      </c>
      <c r="D3271">
        <v>0.4</v>
      </c>
      <c r="E3271">
        <v>1166</v>
      </c>
      <c r="F3271">
        <v>466</v>
      </c>
    </row>
    <row r="3272" spans="1:6">
      <c r="A3272" t="s">
        <v>413</v>
      </c>
      <c r="B3272" t="s">
        <v>418</v>
      </c>
      <c r="C3272" t="s">
        <v>23</v>
      </c>
      <c r="D3272">
        <v>2.9474829098455179E-3</v>
      </c>
      <c r="E3272">
        <v>1166</v>
      </c>
      <c r="F3272">
        <v>3</v>
      </c>
    </row>
    <row r="3273" spans="1:6">
      <c r="A3273" t="s">
        <v>413</v>
      </c>
      <c r="B3273" t="s">
        <v>419</v>
      </c>
      <c r="C3273" t="s">
        <v>19</v>
      </c>
      <c r="D3273">
        <v>0.6</v>
      </c>
      <c r="E3273">
        <v>864</v>
      </c>
      <c r="F3273">
        <v>518</v>
      </c>
    </row>
    <row r="3274" spans="1:6">
      <c r="A3274" t="s">
        <v>413</v>
      </c>
      <c r="B3274" t="s">
        <v>419</v>
      </c>
      <c r="C3274" t="s">
        <v>477</v>
      </c>
      <c r="D3274">
        <v>0.4</v>
      </c>
      <c r="E3274">
        <v>864</v>
      </c>
      <c r="F3274">
        <v>346</v>
      </c>
    </row>
    <row r="3275" spans="1:6">
      <c r="A3275" t="s">
        <v>413</v>
      </c>
      <c r="B3275" t="s">
        <v>419</v>
      </c>
      <c r="C3275" t="s">
        <v>23</v>
      </c>
      <c r="D3275">
        <v>5.41197549678609E-3</v>
      </c>
      <c r="E3275">
        <v>864</v>
      </c>
      <c r="F3275">
        <v>5</v>
      </c>
    </row>
    <row r="3276" spans="1:6">
      <c r="A3276" t="s">
        <v>413</v>
      </c>
      <c r="B3276" t="s">
        <v>420</v>
      </c>
      <c r="C3276" t="s">
        <v>19</v>
      </c>
      <c r="D3276">
        <v>0.6</v>
      </c>
      <c r="E3276">
        <v>358</v>
      </c>
      <c r="F3276">
        <v>215</v>
      </c>
    </row>
    <row r="3277" spans="1:6">
      <c r="A3277" t="s">
        <v>413</v>
      </c>
      <c r="B3277" t="s">
        <v>420</v>
      </c>
      <c r="C3277" t="s">
        <v>477</v>
      </c>
      <c r="D3277">
        <v>0.4</v>
      </c>
      <c r="E3277">
        <v>358</v>
      </c>
      <c r="F3277">
        <v>143</v>
      </c>
    </row>
    <row r="3278" spans="1:6">
      <c r="A3278" t="s">
        <v>413</v>
      </c>
      <c r="B3278" t="s">
        <v>420</v>
      </c>
      <c r="C3278" t="s">
        <v>23</v>
      </c>
      <c r="D3278">
        <v>1.9074198496051561E-2</v>
      </c>
      <c r="E3278">
        <v>358</v>
      </c>
      <c r="F3278">
        <v>7</v>
      </c>
    </row>
    <row r="3279" spans="1:6">
      <c r="A3279" t="s">
        <v>413</v>
      </c>
      <c r="B3279" t="s">
        <v>421</v>
      </c>
      <c r="C3279" t="s">
        <v>19</v>
      </c>
      <c r="D3279">
        <v>0.6</v>
      </c>
      <c r="E3279">
        <v>798</v>
      </c>
      <c r="F3279">
        <v>479</v>
      </c>
    </row>
    <row r="3280" spans="1:6">
      <c r="A3280" t="s">
        <v>413</v>
      </c>
      <c r="B3280" t="s">
        <v>421</v>
      </c>
      <c r="C3280" t="s">
        <v>477</v>
      </c>
      <c r="D3280">
        <v>0.4</v>
      </c>
      <c r="E3280">
        <v>798</v>
      </c>
      <c r="F3280">
        <v>319</v>
      </c>
    </row>
    <row r="3281" spans="1:6">
      <c r="A3281" t="s">
        <v>413</v>
      </c>
      <c r="B3281" t="s">
        <v>421</v>
      </c>
      <c r="C3281" t="s">
        <v>23</v>
      </c>
      <c r="D3281">
        <v>8.10422810239236E-3</v>
      </c>
      <c r="E3281">
        <v>798</v>
      </c>
      <c r="F3281">
        <v>6</v>
      </c>
    </row>
    <row r="3282" spans="1:6">
      <c r="A3282" t="s">
        <v>413</v>
      </c>
      <c r="B3282" t="s">
        <v>422</v>
      </c>
      <c r="C3282" t="s">
        <v>19</v>
      </c>
      <c r="D3282">
        <v>0.6</v>
      </c>
      <c r="E3282">
        <v>265</v>
      </c>
      <c r="F3282">
        <v>159</v>
      </c>
    </row>
    <row r="3283" spans="1:6">
      <c r="A3283" t="s">
        <v>413</v>
      </c>
      <c r="B3283" t="s">
        <v>422</v>
      </c>
      <c r="C3283" t="s">
        <v>477</v>
      </c>
      <c r="D3283">
        <v>0.4</v>
      </c>
      <c r="E3283">
        <v>265</v>
      </c>
      <c r="F3283">
        <v>106</v>
      </c>
    </row>
    <row r="3284" spans="1:6">
      <c r="A3284" t="s">
        <v>413</v>
      </c>
      <c r="B3284" t="s">
        <v>422</v>
      </c>
      <c r="C3284" t="s">
        <v>23</v>
      </c>
      <c r="D3284">
        <v>8.236053198727708E-3</v>
      </c>
      <c r="E3284">
        <v>265</v>
      </c>
      <c r="F3284">
        <v>2</v>
      </c>
    </row>
    <row r="3285" spans="1:6">
      <c r="A3285" t="s">
        <v>413</v>
      </c>
      <c r="B3285" t="s">
        <v>424</v>
      </c>
      <c r="C3285" t="s">
        <v>19</v>
      </c>
      <c r="D3285">
        <v>0.6</v>
      </c>
      <c r="E3285">
        <v>204</v>
      </c>
      <c r="F3285">
        <v>122</v>
      </c>
    </row>
    <row r="3286" spans="1:6">
      <c r="A3286" t="s">
        <v>413</v>
      </c>
      <c r="B3286" t="s">
        <v>424</v>
      </c>
      <c r="C3286" t="s">
        <v>477</v>
      </c>
      <c r="D3286">
        <v>0.4</v>
      </c>
      <c r="E3286">
        <v>204</v>
      </c>
      <c r="F3286">
        <v>82</v>
      </c>
    </row>
    <row r="3287" spans="1:6">
      <c r="A3287" t="s">
        <v>413</v>
      </c>
      <c r="B3287" t="s">
        <v>424</v>
      </c>
      <c r="C3287" t="s">
        <v>23</v>
      </c>
      <c r="D3287">
        <v>1.5289705033543061E-2</v>
      </c>
      <c r="E3287">
        <v>204</v>
      </c>
      <c r="F3287">
        <v>3</v>
      </c>
    </row>
    <row r="3288" spans="1:6">
      <c r="A3288" t="s">
        <v>423</v>
      </c>
      <c r="B3288" t="s">
        <v>423</v>
      </c>
      <c r="C3288" t="s">
        <v>19</v>
      </c>
      <c r="D3288">
        <v>0.6</v>
      </c>
      <c r="E3288">
        <v>19334</v>
      </c>
      <c r="F3288">
        <v>11600</v>
      </c>
    </row>
    <row r="3289" spans="1:6">
      <c r="A3289" t="s">
        <v>423</v>
      </c>
      <c r="B3289" t="s">
        <v>423</v>
      </c>
      <c r="C3289" t="s">
        <v>477</v>
      </c>
      <c r="D3289">
        <v>0.4</v>
      </c>
      <c r="E3289">
        <v>19334</v>
      </c>
      <c r="F3289">
        <v>7734</v>
      </c>
    </row>
    <row r="3290" spans="1:6">
      <c r="A3290" t="s">
        <v>423</v>
      </c>
      <c r="B3290" t="s">
        <v>423</v>
      </c>
      <c r="C3290" t="s">
        <v>23</v>
      </c>
      <c r="D3290">
        <v>1.0850432733655281E-2</v>
      </c>
      <c r="E3290">
        <v>19334</v>
      </c>
      <c r="F3290">
        <v>210</v>
      </c>
    </row>
    <row r="3291" spans="1:6">
      <c r="A3291" t="s">
        <v>425</v>
      </c>
      <c r="B3291" t="s">
        <v>426</v>
      </c>
      <c r="C3291" t="s">
        <v>19</v>
      </c>
      <c r="D3291">
        <v>0.6</v>
      </c>
      <c r="E3291">
        <v>1156</v>
      </c>
      <c r="F3291">
        <v>694</v>
      </c>
    </row>
    <row r="3292" spans="1:6">
      <c r="A3292" t="s">
        <v>425</v>
      </c>
      <c r="B3292" t="s">
        <v>426</v>
      </c>
      <c r="C3292" t="s">
        <v>477</v>
      </c>
      <c r="D3292">
        <v>0.4</v>
      </c>
      <c r="E3292">
        <v>1156</v>
      </c>
      <c r="F3292">
        <v>462</v>
      </c>
    </row>
    <row r="3293" spans="1:6">
      <c r="A3293" t="s">
        <v>425</v>
      </c>
      <c r="B3293" t="s">
        <v>426</v>
      </c>
      <c r="C3293" t="s">
        <v>23</v>
      </c>
      <c r="D3293">
        <v>1.8185037698999002E-2</v>
      </c>
      <c r="E3293">
        <v>1156</v>
      </c>
      <c r="F3293">
        <v>21</v>
      </c>
    </row>
    <row r="3294" spans="1:6">
      <c r="A3294" t="s">
        <v>425</v>
      </c>
      <c r="B3294" t="s">
        <v>427</v>
      </c>
      <c r="C3294" t="s">
        <v>19</v>
      </c>
      <c r="D3294">
        <v>0.6</v>
      </c>
      <c r="E3294">
        <v>2446</v>
      </c>
      <c r="F3294">
        <v>1468</v>
      </c>
    </row>
    <row r="3295" spans="1:6">
      <c r="A3295" t="s">
        <v>425</v>
      </c>
      <c r="B3295" t="s">
        <v>427</v>
      </c>
      <c r="C3295" t="s">
        <v>477</v>
      </c>
      <c r="D3295">
        <v>0.4</v>
      </c>
      <c r="E3295">
        <v>2446</v>
      </c>
      <c r="F3295">
        <v>978</v>
      </c>
    </row>
    <row r="3296" spans="1:6">
      <c r="A3296" t="s">
        <v>425</v>
      </c>
      <c r="B3296" t="s">
        <v>427</v>
      </c>
      <c r="C3296" t="s">
        <v>23</v>
      </c>
      <c r="D3296">
        <v>1.4761537797845441E-2</v>
      </c>
      <c r="E3296">
        <v>2446</v>
      </c>
      <c r="F3296">
        <v>36</v>
      </c>
    </row>
    <row r="3297" spans="1:6">
      <c r="A3297" t="s">
        <v>425</v>
      </c>
      <c r="B3297" t="s">
        <v>425</v>
      </c>
      <c r="C3297" t="s">
        <v>19</v>
      </c>
      <c r="D3297">
        <v>0.6</v>
      </c>
      <c r="E3297">
        <v>14272</v>
      </c>
      <c r="F3297">
        <v>8563</v>
      </c>
    </row>
    <row r="3298" spans="1:6">
      <c r="A3298" t="s">
        <v>425</v>
      </c>
      <c r="B3298" t="s">
        <v>425</v>
      </c>
      <c r="C3298" t="s">
        <v>477</v>
      </c>
      <c r="D3298">
        <v>0.4</v>
      </c>
      <c r="E3298">
        <v>14272</v>
      </c>
      <c r="F3298">
        <v>5709</v>
      </c>
    </row>
    <row r="3299" spans="1:6">
      <c r="A3299" t="s">
        <v>425</v>
      </c>
      <c r="B3299" t="s">
        <v>425</v>
      </c>
      <c r="C3299" t="s">
        <v>23</v>
      </c>
      <c r="D3299">
        <v>1.3182352192772724E-2</v>
      </c>
      <c r="E3299">
        <v>14272</v>
      </c>
      <c r="F3299">
        <v>188</v>
      </c>
    </row>
    <row r="3300" spans="1:6">
      <c r="A3300" t="s">
        <v>425</v>
      </c>
      <c r="B3300" t="s">
        <v>428</v>
      </c>
      <c r="C3300" t="s">
        <v>19</v>
      </c>
      <c r="D3300">
        <v>0.6</v>
      </c>
      <c r="E3300">
        <v>730</v>
      </c>
      <c r="F3300">
        <v>438</v>
      </c>
    </row>
    <row r="3301" spans="1:6">
      <c r="A3301" t="s">
        <v>425</v>
      </c>
      <c r="B3301" t="s">
        <v>428</v>
      </c>
      <c r="C3301" t="s">
        <v>477</v>
      </c>
      <c r="D3301">
        <v>0.4</v>
      </c>
      <c r="E3301">
        <v>730</v>
      </c>
      <c r="F3301">
        <v>292</v>
      </c>
    </row>
    <row r="3302" spans="1:6">
      <c r="A3302" t="s">
        <v>425</v>
      </c>
      <c r="B3302" t="s">
        <v>428</v>
      </c>
      <c r="C3302" t="s">
        <v>23</v>
      </c>
      <c r="D3302">
        <v>7.5797604730305015E-3</v>
      </c>
      <c r="E3302">
        <v>730</v>
      </c>
      <c r="F3302">
        <v>6</v>
      </c>
    </row>
    <row r="3303" spans="1:6">
      <c r="A3303" t="s">
        <v>425</v>
      </c>
      <c r="B3303" t="s">
        <v>429</v>
      </c>
      <c r="C3303" t="s">
        <v>19</v>
      </c>
      <c r="D3303">
        <v>0.6</v>
      </c>
      <c r="E3303">
        <v>820</v>
      </c>
      <c r="F3303">
        <v>492</v>
      </c>
    </row>
    <row r="3304" spans="1:6">
      <c r="A3304" t="s">
        <v>425</v>
      </c>
      <c r="B3304" t="s">
        <v>429</v>
      </c>
      <c r="C3304" t="s">
        <v>477</v>
      </c>
      <c r="D3304">
        <v>0.4</v>
      </c>
      <c r="E3304">
        <v>820</v>
      </c>
      <c r="F3304">
        <v>328</v>
      </c>
    </row>
    <row r="3305" spans="1:6">
      <c r="A3305" t="s">
        <v>425</v>
      </c>
      <c r="B3305" t="s">
        <v>429</v>
      </c>
      <c r="C3305" t="s">
        <v>23</v>
      </c>
      <c r="D3305">
        <v>1.1360781318056292E-2</v>
      </c>
      <c r="E3305">
        <v>820</v>
      </c>
      <c r="F3305">
        <v>9</v>
      </c>
    </row>
    <row r="3306" spans="1:6">
      <c r="A3306" t="s">
        <v>425</v>
      </c>
      <c r="B3306" t="s">
        <v>431</v>
      </c>
      <c r="C3306" t="s">
        <v>19</v>
      </c>
      <c r="D3306">
        <v>0.6</v>
      </c>
      <c r="E3306">
        <v>486</v>
      </c>
      <c r="F3306">
        <v>292</v>
      </c>
    </row>
    <row r="3307" spans="1:6">
      <c r="A3307" t="s">
        <v>425</v>
      </c>
      <c r="B3307" t="s">
        <v>431</v>
      </c>
      <c r="C3307" t="s">
        <v>477</v>
      </c>
      <c r="D3307">
        <v>0.4</v>
      </c>
      <c r="E3307">
        <v>486</v>
      </c>
      <c r="F3307">
        <v>194</v>
      </c>
    </row>
    <row r="3308" spans="1:6">
      <c r="A3308" t="s">
        <v>425</v>
      </c>
      <c r="B3308" t="s">
        <v>431</v>
      </c>
      <c r="C3308" t="s">
        <v>23</v>
      </c>
      <c r="D3308">
        <v>5.6792399713946028E-3</v>
      </c>
      <c r="E3308">
        <v>486</v>
      </c>
      <c r="F3308">
        <v>3</v>
      </c>
    </row>
    <row r="3309" spans="1:6">
      <c r="A3309" t="s">
        <v>430</v>
      </c>
      <c r="B3309" t="s">
        <v>432</v>
      </c>
      <c r="C3309" t="s">
        <v>19</v>
      </c>
      <c r="D3309">
        <v>0.6</v>
      </c>
      <c r="E3309">
        <v>948</v>
      </c>
      <c r="F3309">
        <v>569</v>
      </c>
    </row>
    <row r="3310" spans="1:6">
      <c r="A3310" t="s">
        <v>430</v>
      </c>
      <c r="B3310" t="s">
        <v>432</v>
      </c>
      <c r="C3310" t="s">
        <v>477</v>
      </c>
      <c r="D3310">
        <v>0.4</v>
      </c>
      <c r="E3310">
        <v>948</v>
      </c>
      <c r="F3310">
        <v>379</v>
      </c>
    </row>
    <row r="3311" spans="1:6">
      <c r="A3311" t="s">
        <v>430</v>
      </c>
      <c r="B3311" t="s">
        <v>432</v>
      </c>
      <c r="C3311" t="s">
        <v>23</v>
      </c>
      <c r="D3311">
        <v>1.0216478527173858E-2</v>
      </c>
      <c r="E3311">
        <v>948</v>
      </c>
      <c r="F3311">
        <v>10</v>
      </c>
    </row>
    <row r="3312" spans="1:6">
      <c r="A3312" t="s">
        <v>430</v>
      </c>
      <c r="B3312" t="s">
        <v>433</v>
      </c>
      <c r="C3312" t="s">
        <v>19</v>
      </c>
      <c r="D3312">
        <v>0.6</v>
      </c>
      <c r="E3312">
        <v>362</v>
      </c>
      <c r="F3312">
        <v>217</v>
      </c>
    </row>
    <row r="3313" spans="1:6">
      <c r="A3313" t="s">
        <v>430</v>
      </c>
      <c r="B3313" t="s">
        <v>433</v>
      </c>
      <c r="C3313" t="s">
        <v>477</v>
      </c>
      <c r="D3313">
        <v>0.4</v>
      </c>
      <c r="E3313">
        <v>362</v>
      </c>
      <c r="F3313">
        <v>145</v>
      </c>
    </row>
    <row r="3314" spans="1:6">
      <c r="A3314" t="s">
        <v>430</v>
      </c>
      <c r="B3314" t="s">
        <v>433</v>
      </c>
      <c r="C3314" t="s">
        <v>23</v>
      </c>
      <c r="D3314">
        <v>9.9319624969542949E-4</v>
      </c>
      <c r="E3314">
        <v>362</v>
      </c>
      <c r="F3314">
        <v>0</v>
      </c>
    </row>
    <row r="3315" spans="1:6">
      <c r="A3315" t="s">
        <v>430</v>
      </c>
      <c r="B3315" t="s">
        <v>434</v>
      </c>
      <c r="C3315" t="s">
        <v>19</v>
      </c>
      <c r="D3315">
        <v>0.6</v>
      </c>
      <c r="E3315">
        <v>944</v>
      </c>
      <c r="F3315">
        <v>566</v>
      </c>
    </row>
    <row r="3316" spans="1:6">
      <c r="A3316" t="s">
        <v>430</v>
      </c>
      <c r="B3316" t="s">
        <v>434</v>
      </c>
      <c r="C3316" t="s">
        <v>477</v>
      </c>
      <c r="D3316">
        <v>0.4</v>
      </c>
      <c r="E3316">
        <v>944</v>
      </c>
      <c r="F3316">
        <v>378</v>
      </c>
    </row>
    <row r="3317" spans="1:6">
      <c r="A3317" t="s">
        <v>430</v>
      </c>
      <c r="B3317" t="s">
        <v>434</v>
      </c>
      <c r="C3317" t="s">
        <v>23</v>
      </c>
      <c r="D3317">
        <v>6.6654645813630569E-3</v>
      </c>
      <c r="E3317">
        <v>944</v>
      </c>
      <c r="F3317">
        <v>6</v>
      </c>
    </row>
    <row r="3318" spans="1:6">
      <c r="A3318" t="s">
        <v>430</v>
      </c>
      <c r="B3318" t="s">
        <v>435</v>
      </c>
      <c r="C3318" t="s">
        <v>19</v>
      </c>
      <c r="D3318">
        <v>0.6</v>
      </c>
      <c r="E3318">
        <v>460</v>
      </c>
      <c r="F3318">
        <v>276</v>
      </c>
    </row>
    <row r="3319" spans="1:6">
      <c r="A3319" t="s">
        <v>430</v>
      </c>
      <c r="B3319" t="s">
        <v>435</v>
      </c>
      <c r="C3319" t="s">
        <v>477</v>
      </c>
      <c r="D3319">
        <v>0.4</v>
      </c>
      <c r="E3319">
        <v>460</v>
      </c>
      <c r="F3319">
        <v>184</v>
      </c>
    </row>
    <row r="3320" spans="1:6">
      <c r="A3320" t="s">
        <v>430</v>
      </c>
      <c r="B3320" t="s">
        <v>435</v>
      </c>
      <c r="C3320" t="s">
        <v>23</v>
      </c>
      <c r="D3320">
        <v>9.1212677844220574E-3</v>
      </c>
      <c r="E3320">
        <v>460</v>
      </c>
      <c r="F3320">
        <v>4</v>
      </c>
    </row>
    <row r="3321" spans="1:6">
      <c r="A3321" t="s">
        <v>430</v>
      </c>
      <c r="B3321" t="s">
        <v>436</v>
      </c>
      <c r="C3321" t="s">
        <v>19</v>
      </c>
      <c r="D3321">
        <v>0.6</v>
      </c>
      <c r="E3321">
        <v>11530</v>
      </c>
      <c r="F3321">
        <v>6918</v>
      </c>
    </row>
    <row r="3322" spans="1:6">
      <c r="A3322" t="s">
        <v>430</v>
      </c>
      <c r="B3322" t="s">
        <v>436</v>
      </c>
      <c r="C3322" t="s">
        <v>477</v>
      </c>
      <c r="D3322">
        <v>0.4</v>
      </c>
      <c r="E3322">
        <v>11530</v>
      </c>
      <c r="F3322">
        <v>4612</v>
      </c>
    </row>
    <row r="3323" spans="1:6">
      <c r="A3323" t="s">
        <v>430</v>
      </c>
      <c r="B3323" t="s">
        <v>436</v>
      </c>
      <c r="C3323" t="s">
        <v>23</v>
      </c>
      <c r="D3323">
        <v>1.7452948047720575E-4</v>
      </c>
      <c r="E3323">
        <v>11530</v>
      </c>
      <c r="F3323">
        <v>2</v>
      </c>
    </row>
    <row r="3324" spans="1:6">
      <c r="A3324" t="s">
        <v>430</v>
      </c>
      <c r="B3324" t="s">
        <v>437</v>
      </c>
      <c r="C3324" t="s">
        <v>19</v>
      </c>
      <c r="D3324">
        <v>0.6</v>
      </c>
      <c r="E3324">
        <v>2181</v>
      </c>
      <c r="F3324">
        <v>1309</v>
      </c>
    </row>
    <row r="3325" spans="1:6">
      <c r="A3325" t="s">
        <v>430</v>
      </c>
      <c r="B3325" t="s">
        <v>437</v>
      </c>
      <c r="C3325" t="s">
        <v>477</v>
      </c>
      <c r="D3325">
        <v>0.4</v>
      </c>
      <c r="E3325">
        <v>2181</v>
      </c>
      <c r="F3325">
        <v>872</v>
      </c>
    </row>
    <row r="3326" spans="1:6">
      <c r="A3326" t="s">
        <v>430</v>
      </c>
      <c r="B3326" t="s">
        <v>437</v>
      </c>
      <c r="C3326" t="s">
        <v>23</v>
      </c>
      <c r="D3326">
        <v>1.0121914224940133E-2</v>
      </c>
      <c r="E3326">
        <v>2181</v>
      </c>
      <c r="F3326">
        <v>22</v>
      </c>
    </row>
    <row r="3327" spans="1:6">
      <c r="A3327" t="s">
        <v>430</v>
      </c>
      <c r="B3327" t="s">
        <v>438</v>
      </c>
      <c r="C3327" t="s">
        <v>19</v>
      </c>
      <c r="D3327">
        <v>0.6</v>
      </c>
      <c r="E3327">
        <v>1464</v>
      </c>
      <c r="F3327">
        <v>878</v>
      </c>
    </row>
    <row r="3328" spans="1:6">
      <c r="A3328" t="s">
        <v>430</v>
      </c>
      <c r="B3328" t="s">
        <v>438</v>
      </c>
      <c r="C3328" t="s">
        <v>477</v>
      </c>
      <c r="D3328">
        <v>0.4</v>
      </c>
      <c r="E3328">
        <v>1464</v>
      </c>
      <c r="F3328">
        <v>586</v>
      </c>
    </row>
    <row r="3329" spans="1:6">
      <c r="A3329" t="s">
        <v>430</v>
      </c>
      <c r="B3329" t="s">
        <v>438</v>
      </c>
      <c r="C3329" t="s">
        <v>23</v>
      </c>
      <c r="D3329">
        <v>1.8947603801781853E-2</v>
      </c>
      <c r="E3329">
        <v>1464</v>
      </c>
      <c r="F3329">
        <v>28</v>
      </c>
    </row>
    <row r="3330" spans="1:6">
      <c r="A3330" t="s">
        <v>430</v>
      </c>
      <c r="B3330" t="s">
        <v>439</v>
      </c>
      <c r="C3330" t="s">
        <v>19</v>
      </c>
      <c r="D3330">
        <v>0.6</v>
      </c>
      <c r="E3330">
        <v>2182</v>
      </c>
      <c r="F3330">
        <v>1309</v>
      </c>
    </row>
    <row r="3331" spans="1:6">
      <c r="A3331" t="s">
        <v>430</v>
      </c>
      <c r="B3331" t="s">
        <v>439</v>
      </c>
      <c r="C3331" t="s">
        <v>477</v>
      </c>
      <c r="D3331">
        <v>0.4</v>
      </c>
      <c r="E3331">
        <v>2182</v>
      </c>
      <c r="F3331">
        <v>873</v>
      </c>
    </row>
    <row r="3332" spans="1:6">
      <c r="A3332" t="s">
        <v>430</v>
      </c>
      <c r="B3332" t="s">
        <v>439</v>
      </c>
      <c r="C3332" t="s">
        <v>23</v>
      </c>
      <c r="D3332">
        <v>1.509718430562134E-2</v>
      </c>
      <c r="E3332">
        <v>2182</v>
      </c>
      <c r="F3332">
        <v>33</v>
      </c>
    </row>
    <row r="3333" spans="1:6">
      <c r="A3333" t="s">
        <v>430</v>
      </c>
      <c r="B3333" t="s">
        <v>440</v>
      </c>
      <c r="C3333" t="s">
        <v>19</v>
      </c>
      <c r="D3333">
        <v>0.6</v>
      </c>
      <c r="E3333">
        <v>2989</v>
      </c>
      <c r="F3333">
        <v>1793</v>
      </c>
    </row>
    <row r="3334" spans="1:6">
      <c r="A3334" t="s">
        <v>430</v>
      </c>
      <c r="B3334" t="s">
        <v>440</v>
      </c>
      <c r="C3334" t="s">
        <v>477</v>
      </c>
      <c r="D3334">
        <v>0.4</v>
      </c>
      <c r="E3334">
        <v>2989</v>
      </c>
      <c r="F3334">
        <v>1196</v>
      </c>
    </row>
    <row r="3335" spans="1:6">
      <c r="A3335" t="s">
        <v>430</v>
      </c>
      <c r="B3335" t="s">
        <v>440</v>
      </c>
      <c r="C3335" t="s">
        <v>23</v>
      </c>
      <c r="D3335">
        <v>1.7876193715784462E-2</v>
      </c>
      <c r="E3335">
        <v>2989</v>
      </c>
      <c r="F3335">
        <v>53</v>
      </c>
    </row>
    <row r="3336" spans="1:6">
      <c r="A3336" t="s">
        <v>430</v>
      </c>
      <c r="B3336" t="s">
        <v>441</v>
      </c>
      <c r="C3336" t="s">
        <v>19</v>
      </c>
      <c r="D3336">
        <v>0.6</v>
      </c>
      <c r="E3336">
        <v>978</v>
      </c>
      <c r="F3336">
        <v>587</v>
      </c>
    </row>
    <row r="3337" spans="1:6">
      <c r="A3337" t="s">
        <v>430</v>
      </c>
      <c r="B3337" t="s">
        <v>441</v>
      </c>
      <c r="C3337" t="s">
        <v>477</v>
      </c>
      <c r="D3337">
        <v>0.4</v>
      </c>
      <c r="E3337">
        <v>978</v>
      </c>
      <c r="F3337">
        <v>391</v>
      </c>
    </row>
    <row r="3338" spans="1:6">
      <c r="A3338" t="s">
        <v>430</v>
      </c>
      <c r="B3338" t="s">
        <v>441</v>
      </c>
      <c r="C3338" t="s">
        <v>23</v>
      </c>
      <c r="D3338">
        <v>1.5379228730554561E-2</v>
      </c>
      <c r="E3338">
        <v>978</v>
      </c>
      <c r="F3338">
        <v>15</v>
      </c>
    </row>
    <row r="3339" spans="1:6">
      <c r="A3339" t="s">
        <v>430</v>
      </c>
      <c r="B3339" t="s">
        <v>442</v>
      </c>
      <c r="C3339" t="s">
        <v>19</v>
      </c>
      <c r="D3339">
        <v>0.6</v>
      </c>
      <c r="E3339">
        <v>897</v>
      </c>
      <c r="F3339">
        <v>538</v>
      </c>
    </row>
    <row r="3340" spans="1:6">
      <c r="A3340" t="s">
        <v>430</v>
      </c>
      <c r="B3340" t="s">
        <v>442</v>
      </c>
      <c r="C3340" t="s">
        <v>477</v>
      </c>
      <c r="D3340">
        <v>0.4</v>
      </c>
      <c r="E3340">
        <v>897</v>
      </c>
      <c r="F3340">
        <v>359</v>
      </c>
    </row>
    <row r="3341" spans="1:6">
      <c r="A3341" t="s">
        <v>430</v>
      </c>
      <c r="B3341" t="s">
        <v>442</v>
      </c>
      <c r="C3341" t="s">
        <v>23</v>
      </c>
      <c r="D3341">
        <v>4.9903584729882192E-3</v>
      </c>
      <c r="E3341">
        <v>897</v>
      </c>
      <c r="F3341">
        <v>4</v>
      </c>
    </row>
    <row r="3342" spans="1:6">
      <c r="A3342" t="s">
        <v>430</v>
      </c>
      <c r="B3342" t="s">
        <v>443</v>
      </c>
      <c r="C3342" t="s">
        <v>19</v>
      </c>
      <c r="D3342">
        <v>0.6</v>
      </c>
      <c r="E3342">
        <v>1608</v>
      </c>
      <c r="F3342">
        <v>965</v>
      </c>
    </row>
    <row r="3343" spans="1:6">
      <c r="A3343" t="s">
        <v>430</v>
      </c>
      <c r="B3343" t="s">
        <v>443</v>
      </c>
      <c r="C3343" t="s">
        <v>477</v>
      </c>
      <c r="D3343">
        <v>0.4</v>
      </c>
      <c r="E3343">
        <v>1608</v>
      </c>
      <c r="F3343">
        <v>643</v>
      </c>
    </row>
    <row r="3344" spans="1:6">
      <c r="A3344" t="s">
        <v>430</v>
      </c>
      <c r="B3344" t="s">
        <v>443</v>
      </c>
      <c r="C3344" t="s">
        <v>23</v>
      </c>
      <c r="D3344">
        <v>6.6152665233401714E-3</v>
      </c>
      <c r="E3344">
        <v>1608</v>
      </c>
      <c r="F3344">
        <v>11</v>
      </c>
    </row>
    <row r="3345" spans="1:6">
      <c r="A3345" t="s">
        <v>430</v>
      </c>
      <c r="B3345" t="s">
        <v>444</v>
      </c>
      <c r="C3345" t="s">
        <v>19</v>
      </c>
      <c r="D3345">
        <v>0.6</v>
      </c>
      <c r="E3345">
        <v>402</v>
      </c>
      <c r="F3345">
        <v>241</v>
      </c>
    </row>
    <row r="3346" spans="1:6">
      <c r="A3346" t="s">
        <v>430</v>
      </c>
      <c r="B3346" t="s">
        <v>444</v>
      </c>
      <c r="C3346" t="s">
        <v>477</v>
      </c>
      <c r="D3346">
        <v>0.4</v>
      </c>
      <c r="E3346">
        <v>402</v>
      </c>
      <c r="F3346">
        <v>161</v>
      </c>
    </row>
    <row r="3347" spans="1:6">
      <c r="A3347" t="s">
        <v>430</v>
      </c>
      <c r="B3347" t="s">
        <v>444</v>
      </c>
      <c r="C3347" t="s">
        <v>23</v>
      </c>
      <c r="D3347">
        <v>3.237551020286349E-3</v>
      </c>
      <c r="E3347">
        <v>402</v>
      </c>
      <c r="F3347">
        <v>1</v>
      </c>
    </row>
    <row r="3348" spans="1:6">
      <c r="A3348" t="s">
        <v>430</v>
      </c>
      <c r="B3348" t="s">
        <v>446</v>
      </c>
      <c r="C3348" t="s">
        <v>19</v>
      </c>
      <c r="D3348">
        <v>0.6</v>
      </c>
      <c r="E3348">
        <v>564</v>
      </c>
      <c r="F3348">
        <v>338</v>
      </c>
    </row>
    <row r="3349" spans="1:6">
      <c r="A3349" t="s">
        <v>430</v>
      </c>
      <c r="B3349" t="s">
        <v>446</v>
      </c>
      <c r="C3349" t="s">
        <v>477</v>
      </c>
      <c r="D3349">
        <v>0.4</v>
      </c>
      <c r="E3349">
        <v>564</v>
      </c>
      <c r="F3349">
        <v>226</v>
      </c>
    </row>
    <row r="3350" spans="1:6">
      <c r="A3350" t="s">
        <v>430</v>
      </c>
      <c r="B3350" t="s">
        <v>446</v>
      </c>
      <c r="C3350" t="s">
        <v>23</v>
      </c>
      <c r="D3350">
        <v>1.6727417869464842E-2</v>
      </c>
      <c r="E3350">
        <v>564</v>
      </c>
      <c r="F3350">
        <v>9</v>
      </c>
    </row>
    <row r="3351" spans="1:6">
      <c r="A3351" t="s">
        <v>1013</v>
      </c>
      <c r="B3351" t="s">
        <v>447</v>
      </c>
      <c r="C3351" t="s">
        <v>19</v>
      </c>
      <c r="D3351">
        <v>0.6</v>
      </c>
      <c r="E3351">
        <v>1538</v>
      </c>
      <c r="F3351">
        <v>923</v>
      </c>
    </row>
    <row r="3352" spans="1:6">
      <c r="A3352" t="s">
        <v>1013</v>
      </c>
      <c r="B3352" t="s">
        <v>447</v>
      </c>
      <c r="C3352" t="s">
        <v>477</v>
      </c>
      <c r="D3352">
        <v>0.4</v>
      </c>
      <c r="E3352">
        <v>1538</v>
      </c>
      <c r="F3352">
        <v>615</v>
      </c>
    </row>
    <row r="3353" spans="1:6">
      <c r="A3353" t="s">
        <v>1013</v>
      </c>
      <c r="B3353" t="s">
        <v>447</v>
      </c>
      <c r="C3353" t="s">
        <v>23</v>
      </c>
      <c r="D3353">
        <v>1.6071053797890596E-2</v>
      </c>
      <c r="E3353">
        <v>1538</v>
      </c>
      <c r="F3353">
        <v>25</v>
      </c>
    </row>
    <row r="3354" spans="1:6">
      <c r="A3354" t="s">
        <v>1013</v>
      </c>
      <c r="B3354" t="s">
        <v>448</v>
      </c>
      <c r="C3354" t="s">
        <v>19</v>
      </c>
      <c r="D3354">
        <v>0.6</v>
      </c>
      <c r="E3354">
        <v>6329</v>
      </c>
      <c r="F3354">
        <v>3797</v>
      </c>
    </row>
    <row r="3355" spans="1:6">
      <c r="A3355" t="s">
        <v>1013</v>
      </c>
      <c r="B3355" t="s">
        <v>448</v>
      </c>
      <c r="C3355" t="s">
        <v>477</v>
      </c>
      <c r="D3355">
        <v>0.4</v>
      </c>
      <c r="E3355">
        <v>6329</v>
      </c>
      <c r="F3355">
        <v>2532</v>
      </c>
    </row>
    <row r="3356" spans="1:6">
      <c r="A3356" t="s">
        <v>1013</v>
      </c>
      <c r="B3356" t="s">
        <v>448</v>
      </c>
      <c r="C3356" t="s">
        <v>23</v>
      </c>
      <c r="D3356">
        <v>5.192946464215773E-3</v>
      </c>
      <c r="E3356">
        <v>6329</v>
      </c>
      <c r="F3356">
        <v>33</v>
      </c>
    </row>
    <row r="3357" spans="1:6">
      <c r="A3357" t="s">
        <v>1013</v>
      </c>
      <c r="B3357" t="s">
        <v>449</v>
      </c>
      <c r="C3357" t="s">
        <v>19</v>
      </c>
      <c r="D3357">
        <v>0.6</v>
      </c>
      <c r="E3357">
        <v>509</v>
      </c>
      <c r="F3357">
        <v>305</v>
      </c>
    </row>
    <row r="3358" spans="1:6">
      <c r="A3358" t="s">
        <v>1013</v>
      </c>
      <c r="B3358" t="s">
        <v>449</v>
      </c>
      <c r="C3358" t="s">
        <v>477</v>
      </c>
      <c r="D3358">
        <v>0.4</v>
      </c>
      <c r="E3358">
        <v>509</v>
      </c>
      <c r="F3358">
        <v>204</v>
      </c>
    </row>
    <row r="3359" spans="1:6">
      <c r="A3359" t="s">
        <v>1013</v>
      </c>
      <c r="B3359" t="s">
        <v>449</v>
      </c>
      <c r="C3359" t="s">
        <v>23</v>
      </c>
      <c r="D3359">
        <v>1.1888000299361377E-2</v>
      </c>
      <c r="E3359">
        <v>509</v>
      </c>
      <c r="F3359">
        <v>6</v>
      </c>
    </row>
    <row r="3360" spans="1:6">
      <c r="A3360" t="s">
        <v>1013</v>
      </c>
      <c r="B3360" t="s">
        <v>450</v>
      </c>
      <c r="C3360" t="s">
        <v>19</v>
      </c>
      <c r="D3360">
        <v>0.6</v>
      </c>
      <c r="E3360">
        <v>2203</v>
      </c>
      <c r="F3360">
        <v>1322</v>
      </c>
    </row>
    <row r="3361" spans="1:6">
      <c r="A3361" t="s">
        <v>1013</v>
      </c>
      <c r="B3361" t="s">
        <v>450</v>
      </c>
      <c r="C3361" t="s">
        <v>477</v>
      </c>
      <c r="D3361">
        <v>0.4</v>
      </c>
      <c r="E3361">
        <v>2203</v>
      </c>
      <c r="F3361">
        <v>881</v>
      </c>
    </row>
    <row r="3362" spans="1:6">
      <c r="A3362" t="s">
        <v>1013</v>
      </c>
      <c r="B3362" t="s">
        <v>450</v>
      </c>
      <c r="C3362" t="s">
        <v>23</v>
      </c>
      <c r="D3362">
        <v>5.2296687899913933E-3</v>
      </c>
      <c r="E3362">
        <v>2203</v>
      </c>
      <c r="F3362">
        <v>12</v>
      </c>
    </row>
    <row r="3363" spans="1:6">
      <c r="A3363" t="s">
        <v>1013</v>
      </c>
      <c r="B3363" t="s">
        <v>451</v>
      </c>
      <c r="C3363" t="s">
        <v>19</v>
      </c>
      <c r="D3363">
        <v>0.6</v>
      </c>
      <c r="E3363">
        <v>539</v>
      </c>
      <c r="F3363">
        <v>323</v>
      </c>
    </row>
    <row r="3364" spans="1:6">
      <c r="A3364" t="s">
        <v>1013</v>
      </c>
      <c r="B3364" t="s">
        <v>451</v>
      </c>
      <c r="C3364" t="s">
        <v>477</v>
      </c>
      <c r="D3364">
        <v>0.4</v>
      </c>
      <c r="E3364">
        <v>539</v>
      </c>
      <c r="F3364">
        <v>216</v>
      </c>
    </row>
    <row r="3365" spans="1:6">
      <c r="A3365" t="s">
        <v>1013</v>
      </c>
      <c r="B3365" t="s">
        <v>451</v>
      </c>
      <c r="C3365" t="s">
        <v>23</v>
      </c>
      <c r="D3365">
        <v>1.4440616299918765E-2</v>
      </c>
      <c r="E3365">
        <v>539</v>
      </c>
      <c r="F3365">
        <v>8</v>
      </c>
    </row>
    <row r="3366" spans="1:6">
      <c r="A3366" t="s">
        <v>1013</v>
      </c>
      <c r="B3366" t="s">
        <v>452</v>
      </c>
      <c r="C3366" t="s">
        <v>19</v>
      </c>
      <c r="D3366">
        <v>0.6</v>
      </c>
      <c r="E3366">
        <v>692</v>
      </c>
      <c r="F3366">
        <v>415</v>
      </c>
    </row>
    <row r="3367" spans="1:6">
      <c r="A3367" t="s">
        <v>1013</v>
      </c>
      <c r="B3367" t="s">
        <v>452</v>
      </c>
      <c r="C3367" t="s">
        <v>477</v>
      </c>
      <c r="D3367">
        <v>0.4</v>
      </c>
      <c r="E3367">
        <v>692</v>
      </c>
      <c r="F3367">
        <v>277</v>
      </c>
    </row>
    <row r="3368" spans="1:6">
      <c r="A3368" t="s">
        <v>1013</v>
      </c>
      <c r="B3368" t="s">
        <v>452</v>
      </c>
      <c r="C3368" t="s">
        <v>23</v>
      </c>
      <c r="D3368">
        <v>1.3352814340928196E-2</v>
      </c>
      <c r="E3368">
        <v>692</v>
      </c>
      <c r="F3368">
        <v>9</v>
      </c>
    </row>
    <row r="3369" spans="1:6">
      <c r="A3369" t="s">
        <v>1013</v>
      </c>
      <c r="B3369" t="s">
        <v>453</v>
      </c>
      <c r="C3369" t="s">
        <v>19</v>
      </c>
      <c r="D3369">
        <v>0.6</v>
      </c>
      <c r="E3369">
        <v>156</v>
      </c>
      <c r="F3369">
        <v>94</v>
      </c>
    </row>
    <row r="3370" spans="1:6">
      <c r="A3370" t="s">
        <v>1013</v>
      </c>
      <c r="B3370" t="s">
        <v>453</v>
      </c>
      <c r="C3370" t="s">
        <v>477</v>
      </c>
      <c r="D3370">
        <v>0.4</v>
      </c>
      <c r="E3370">
        <v>156</v>
      </c>
      <c r="F3370">
        <v>62</v>
      </c>
    </row>
    <row r="3371" spans="1:6">
      <c r="A3371" t="s">
        <v>1013</v>
      </c>
      <c r="B3371" t="s">
        <v>453</v>
      </c>
      <c r="C3371" t="s">
        <v>23</v>
      </c>
      <c r="D3371">
        <v>4.8419604906385152E-3</v>
      </c>
      <c r="E3371">
        <v>156</v>
      </c>
      <c r="F3371">
        <v>1</v>
      </c>
    </row>
    <row r="3372" spans="1:6">
      <c r="A3372" t="s">
        <v>1013</v>
      </c>
      <c r="B3372" t="s">
        <v>455</v>
      </c>
      <c r="C3372" t="s">
        <v>19</v>
      </c>
      <c r="D3372">
        <v>0.6</v>
      </c>
      <c r="E3372">
        <v>553</v>
      </c>
      <c r="F3372">
        <v>332</v>
      </c>
    </row>
    <row r="3373" spans="1:6">
      <c r="A3373" t="s">
        <v>1013</v>
      </c>
      <c r="B3373" t="s">
        <v>455</v>
      </c>
      <c r="C3373" t="s">
        <v>477</v>
      </c>
      <c r="D3373">
        <v>0.4</v>
      </c>
      <c r="E3373">
        <v>553</v>
      </c>
      <c r="F3373">
        <v>221</v>
      </c>
    </row>
    <row r="3374" spans="1:6">
      <c r="A3374" t="s">
        <v>1013</v>
      </c>
      <c r="B3374" t="s">
        <v>455</v>
      </c>
      <c r="C3374" t="s">
        <v>23</v>
      </c>
      <c r="D3374">
        <v>1.6338855342063207E-2</v>
      </c>
      <c r="E3374">
        <v>553</v>
      </c>
      <c r="F3374">
        <v>9</v>
      </c>
    </row>
    <row r="3375" spans="1:6">
      <c r="A3375" t="s">
        <v>1011</v>
      </c>
      <c r="B3375" t="s">
        <v>456</v>
      </c>
      <c r="C3375" t="s">
        <v>19</v>
      </c>
      <c r="D3375">
        <v>0.6</v>
      </c>
      <c r="E3375">
        <v>6420</v>
      </c>
      <c r="F3375">
        <v>3852</v>
      </c>
    </row>
    <row r="3376" spans="1:6">
      <c r="A3376" t="s">
        <v>1011</v>
      </c>
      <c r="B3376" t="s">
        <v>456</v>
      </c>
      <c r="C3376" t="s">
        <v>477</v>
      </c>
      <c r="D3376">
        <v>0.4</v>
      </c>
      <c r="E3376">
        <v>6420</v>
      </c>
      <c r="F3376">
        <v>2568</v>
      </c>
    </row>
    <row r="3377" spans="1:6">
      <c r="A3377" t="s">
        <v>1011</v>
      </c>
      <c r="B3377" t="s">
        <v>456</v>
      </c>
      <c r="C3377" t="s">
        <v>23</v>
      </c>
      <c r="D3377">
        <v>1.658209566528265E-2</v>
      </c>
      <c r="E3377">
        <v>6420</v>
      </c>
      <c r="F3377">
        <v>106</v>
      </c>
    </row>
    <row r="3378" spans="1:6">
      <c r="A3378" t="s">
        <v>1011</v>
      </c>
      <c r="B3378" t="s">
        <v>457</v>
      </c>
      <c r="C3378" t="s">
        <v>19</v>
      </c>
      <c r="D3378">
        <v>0.6</v>
      </c>
      <c r="E3378">
        <v>632</v>
      </c>
      <c r="F3378">
        <v>379</v>
      </c>
    </row>
    <row r="3379" spans="1:6">
      <c r="A3379" t="s">
        <v>1011</v>
      </c>
      <c r="B3379" t="s">
        <v>457</v>
      </c>
      <c r="C3379" t="s">
        <v>477</v>
      </c>
      <c r="D3379">
        <v>0.4</v>
      </c>
      <c r="E3379">
        <v>632</v>
      </c>
      <c r="F3379">
        <v>253</v>
      </c>
    </row>
    <row r="3380" spans="1:6">
      <c r="A3380" t="s">
        <v>1011</v>
      </c>
      <c r="B3380" t="s">
        <v>457</v>
      </c>
      <c r="C3380" t="s">
        <v>23</v>
      </c>
      <c r="D3380">
        <v>4.3830333936247029E-3</v>
      </c>
      <c r="E3380">
        <v>632</v>
      </c>
      <c r="F3380">
        <v>3</v>
      </c>
    </row>
    <row r="3381" spans="1:6">
      <c r="A3381" t="s">
        <v>1011</v>
      </c>
      <c r="B3381" t="s">
        <v>458</v>
      </c>
      <c r="C3381" t="s">
        <v>19</v>
      </c>
      <c r="D3381">
        <v>0.6</v>
      </c>
      <c r="E3381">
        <v>469</v>
      </c>
      <c r="F3381">
        <v>281</v>
      </c>
    </row>
    <row r="3382" spans="1:6">
      <c r="A3382" t="s">
        <v>1011</v>
      </c>
      <c r="B3382" t="s">
        <v>458</v>
      </c>
      <c r="C3382" t="s">
        <v>477</v>
      </c>
      <c r="D3382">
        <v>0.4</v>
      </c>
      <c r="E3382">
        <v>469</v>
      </c>
      <c r="F3382">
        <v>188</v>
      </c>
    </row>
    <row r="3383" spans="1:6">
      <c r="A3383" t="s">
        <v>1011</v>
      </c>
      <c r="B3383" t="s">
        <v>458</v>
      </c>
      <c r="C3383" t="s">
        <v>23</v>
      </c>
      <c r="D3383">
        <v>3.3733782117456503E-3</v>
      </c>
      <c r="E3383">
        <v>469</v>
      </c>
      <c r="F3383">
        <v>2</v>
      </c>
    </row>
    <row r="3384" spans="1:6">
      <c r="A3384" t="s">
        <v>1011</v>
      </c>
      <c r="B3384" t="s">
        <v>459</v>
      </c>
      <c r="C3384" t="s">
        <v>19</v>
      </c>
      <c r="D3384">
        <v>0.6</v>
      </c>
      <c r="E3384">
        <v>1615</v>
      </c>
      <c r="F3384">
        <v>969</v>
      </c>
    </row>
    <row r="3385" spans="1:6">
      <c r="A3385" t="s">
        <v>1011</v>
      </c>
      <c r="B3385" t="s">
        <v>459</v>
      </c>
      <c r="C3385" t="s">
        <v>477</v>
      </c>
      <c r="D3385">
        <v>0.4</v>
      </c>
      <c r="E3385">
        <v>1615</v>
      </c>
      <c r="F3385">
        <v>646</v>
      </c>
    </row>
    <row r="3386" spans="1:6">
      <c r="A3386" t="s">
        <v>1011</v>
      </c>
      <c r="B3386" t="s">
        <v>459</v>
      </c>
      <c r="C3386" t="s">
        <v>23</v>
      </c>
      <c r="D3386">
        <v>5.8118114056460567E-3</v>
      </c>
      <c r="E3386">
        <v>1615</v>
      </c>
      <c r="F3386">
        <v>9</v>
      </c>
    </row>
    <row r="3387" spans="1:6">
      <c r="A3387" t="s">
        <v>1011</v>
      </c>
      <c r="B3387" t="s">
        <v>460</v>
      </c>
      <c r="C3387" t="s">
        <v>19</v>
      </c>
      <c r="D3387">
        <v>0.6</v>
      </c>
      <c r="E3387">
        <v>659</v>
      </c>
      <c r="F3387">
        <v>395</v>
      </c>
    </row>
    <row r="3388" spans="1:6">
      <c r="A3388" t="s">
        <v>1011</v>
      </c>
      <c r="B3388" t="s">
        <v>460</v>
      </c>
      <c r="C3388" t="s">
        <v>477</v>
      </c>
      <c r="D3388">
        <v>0.4</v>
      </c>
      <c r="E3388">
        <v>659</v>
      </c>
      <c r="F3388">
        <v>264</v>
      </c>
    </row>
    <row r="3389" spans="1:6">
      <c r="A3389" t="s">
        <v>1011</v>
      </c>
      <c r="B3389" t="s">
        <v>460</v>
      </c>
      <c r="C3389" t="s">
        <v>23</v>
      </c>
      <c r="D3389">
        <v>1.0084541119514985E-2</v>
      </c>
      <c r="E3389">
        <v>659</v>
      </c>
      <c r="F3389">
        <v>7</v>
      </c>
    </row>
    <row r="3390" spans="1:6">
      <c r="A3390" t="s">
        <v>1011</v>
      </c>
      <c r="B3390" t="s">
        <v>461</v>
      </c>
      <c r="C3390" t="s">
        <v>19</v>
      </c>
      <c r="D3390">
        <v>0.6</v>
      </c>
      <c r="E3390">
        <v>398</v>
      </c>
      <c r="F3390">
        <v>239</v>
      </c>
    </row>
    <row r="3391" spans="1:6">
      <c r="A3391" t="s">
        <v>1011</v>
      </c>
      <c r="B3391" t="s">
        <v>461</v>
      </c>
      <c r="C3391" t="s">
        <v>477</v>
      </c>
      <c r="D3391">
        <v>0.4</v>
      </c>
      <c r="E3391">
        <v>398</v>
      </c>
      <c r="F3391">
        <v>159</v>
      </c>
    </row>
    <row r="3392" spans="1:6">
      <c r="A3392" t="s">
        <v>1011</v>
      </c>
      <c r="B3392" t="s">
        <v>461</v>
      </c>
      <c r="C3392" t="s">
        <v>23</v>
      </c>
      <c r="D3392">
        <v>6.0945133930911943E-3</v>
      </c>
      <c r="E3392">
        <v>398</v>
      </c>
      <c r="F3392">
        <v>2</v>
      </c>
    </row>
    <row r="3393" spans="1:6">
      <c r="A3393" t="s">
        <v>1011</v>
      </c>
      <c r="B3393" t="s">
        <v>462</v>
      </c>
      <c r="C3393" t="s">
        <v>19</v>
      </c>
      <c r="D3393">
        <v>0.6</v>
      </c>
      <c r="E3393">
        <v>1251</v>
      </c>
      <c r="F3393">
        <v>751</v>
      </c>
    </row>
    <row r="3394" spans="1:6">
      <c r="A3394" t="s">
        <v>1011</v>
      </c>
      <c r="B3394" t="s">
        <v>462</v>
      </c>
      <c r="C3394" t="s">
        <v>477</v>
      </c>
      <c r="D3394">
        <v>0.4</v>
      </c>
      <c r="E3394">
        <v>1251</v>
      </c>
      <c r="F3394">
        <v>500</v>
      </c>
    </row>
    <row r="3395" spans="1:6">
      <c r="A3395" t="s">
        <v>1011</v>
      </c>
      <c r="B3395" t="s">
        <v>462</v>
      </c>
      <c r="C3395" t="s">
        <v>23</v>
      </c>
      <c r="D3395">
        <v>1.7234198881641193E-2</v>
      </c>
      <c r="E3395">
        <v>1251</v>
      </c>
      <c r="F3395">
        <v>22</v>
      </c>
    </row>
    <row r="3396" spans="1:6">
      <c r="A3396" t="s">
        <v>1011</v>
      </c>
      <c r="B3396" t="s">
        <v>463</v>
      </c>
      <c r="C3396" t="s">
        <v>19</v>
      </c>
      <c r="D3396">
        <v>0.6</v>
      </c>
      <c r="E3396">
        <v>362</v>
      </c>
      <c r="F3396">
        <v>217</v>
      </c>
    </row>
    <row r="3397" spans="1:6">
      <c r="A3397" t="s">
        <v>1011</v>
      </c>
      <c r="B3397" t="s">
        <v>463</v>
      </c>
      <c r="C3397" t="s">
        <v>477</v>
      </c>
      <c r="D3397">
        <v>0.4</v>
      </c>
      <c r="E3397">
        <v>362</v>
      </c>
      <c r="F3397">
        <v>145</v>
      </c>
    </row>
    <row r="3398" spans="1:6">
      <c r="A3398" t="s">
        <v>1011</v>
      </c>
      <c r="B3398" t="s">
        <v>463</v>
      </c>
      <c r="C3398" t="s">
        <v>23</v>
      </c>
      <c r="D3398">
        <v>1.8487438486709962E-2</v>
      </c>
      <c r="E3398">
        <v>362</v>
      </c>
      <c r="F3398">
        <v>7</v>
      </c>
    </row>
    <row r="3399" spans="1:6">
      <c r="A3399" t="s">
        <v>1011</v>
      </c>
      <c r="B3399" t="s">
        <v>464</v>
      </c>
      <c r="C3399" t="s">
        <v>19</v>
      </c>
      <c r="D3399">
        <v>0.6</v>
      </c>
      <c r="E3399">
        <v>575</v>
      </c>
      <c r="F3399">
        <v>345</v>
      </c>
    </row>
    <row r="3400" spans="1:6">
      <c r="A3400" t="s">
        <v>1011</v>
      </c>
      <c r="B3400" t="s">
        <v>464</v>
      </c>
      <c r="C3400" t="s">
        <v>477</v>
      </c>
      <c r="D3400">
        <v>0.4</v>
      </c>
      <c r="E3400">
        <v>575</v>
      </c>
      <c r="F3400">
        <v>230</v>
      </c>
    </row>
    <row r="3401" spans="1:6">
      <c r="A3401" t="s">
        <v>1011</v>
      </c>
      <c r="B3401" t="s">
        <v>464</v>
      </c>
      <c r="C3401" t="s">
        <v>23</v>
      </c>
      <c r="D3401">
        <v>6.8816271692937157E-3</v>
      </c>
      <c r="E3401">
        <v>575</v>
      </c>
      <c r="F3401">
        <v>4</v>
      </c>
    </row>
    <row r="3402" spans="1:6">
      <c r="A3402" t="s">
        <v>1011</v>
      </c>
      <c r="B3402" t="s">
        <v>465</v>
      </c>
      <c r="C3402" t="s">
        <v>19</v>
      </c>
      <c r="D3402">
        <v>0.6</v>
      </c>
      <c r="E3402">
        <v>208</v>
      </c>
      <c r="F3402">
        <v>125</v>
      </c>
    </row>
    <row r="3403" spans="1:6">
      <c r="A3403" t="s">
        <v>1011</v>
      </c>
      <c r="B3403" t="s">
        <v>465</v>
      </c>
      <c r="C3403" t="s">
        <v>477</v>
      </c>
      <c r="D3403">
        <v>0.4</v>
      </c>
      <c r="E3403">
        <v>208</v>
      </c>
      <c r="F3403">
        <v>83</v>
      </c>
    </row>
    <row r="3404" spans="1:6">
      <c r="A3404" t="s">
        <v>1011</v>
      </c>
      <c r="B3404" t="s">
        <v>465</v>
      </c>
      <c r="C3404" t="s">
        <v>23</v>
      </c>
      <c r="D3404">
        <v>1.3435676507552572E-2</v>
      </c>
      <c r="E3404">
        <v>208</v>
      </c>
      <c r="F3404">
        <v>3</v>
      </c>
    </row>
    <row r="3405" spans="1:6">
      <c r="A3405" t="s">
        <v>1011</v>
      </c>
      <c r="B3405" t="s">
        <v>466</v>
      </c>
      <c r="C3405" t="s">
        <v>19</v>
      </c>
      <c r="D3405">
        <v>0.6</v>
      </c>
      <c r="E3405">
        <v>1374</v>
      </c>
      <c r="F3405">
        <v>824</v>
      </c>
    </row>
    <row r="3406" spans="1:6">
      <c r="A3406" t="s">
        <v>1011</v>
      </c>
      <c r="B3406" t="s">
        <v>466</v>
      </c>
      <c r="C3406" t="s">
        <v>477</v>
      </c>
      <c r="D3406">
        <v>0.4</v>
      </c>
      <c r="E3406">
        <v>1374</v>
      </c>
      <c r="F3406">
        <v>550</v>
      </c>
    </row>
    <row r="3407" spans="1:6">
      <c r="A3407" t="s">
        <v>1011</v>
      </c>
      <c r="B3407" t="s">
        <v>466</v>
      </c>
      <c r="C3407" t="s">
        <v>23</v>
      </c>
      <c r="D3407">
        <v>3.5015880336722652E-4</v>
      </c>
      <c r="E3407">
        <v>1374</v>
      </c>
      <c r="F3407">
        <v>0</v>
      </c>
    </row>
    <row r="3408" spans="1:6">
      <c r="A3408" t="s">
        <v>429</v>
      </c>
      <c r="B3408" t="s">
        <v>467</v>
      </c>
      <c r="C3408" t="s">
        <v>19</v>
      </c>
      <c r="D3408">
        <v>0.6</v>
      </c>
      <c r="E3408">
        <v>29180</v>
      </c>
      <c r="F3408">
        <v>17508</v>
      </c>
    </row>
    <row r="3409" spans="1:6">
      <c r="A3409" t="s">
        <v>429</v>
      </c>
      <c r="B3409" t="s">
        <v>467</v>
      </c>
      <c r="C3409" t="s">
        <v>477</v>
      </c>
      <c r="D3409">
        <v>0.4</v>
      </c>
      <c r="E3409">
        <v>29180</v>
      </c>
      <c r="F3409">
        <v>11672</v>
      </c>
    </row>
    <row r="3410" spans="1:6">
      <c r="A3410" t="s">
        <v>429</v>
      </c>
      <c r="B3410" t="s">
        <v>467</v>
      </c>
      <c r="C3410" t="s">
        <v>23</v>
      </c>
      <c r="D3410">
        <v>1.0361082525744891E-2</v>
      </c>
      <c r="E3410">
        <v>29180</v>
      </c>
      <c r="F3410">
        <v>302</v>
      </c>
    </row>
    <row r="3411" spans="1:6">
      <c r="A3411" t="s">
        <v>429</v>
      </c>
      <c r="B3411" t="s">
        <v>468</v>
      </c>
      <c r="C3411" t="s">
        <v>19</v>
      </c>
      <c r="D3411">
        <v>0.6</v>
      </c>
      <c r="E3411">
        <v>1623</v>
      </c>
      <c r="F3411">
        <v>974</v>
      </c>
    </row>
    <row r="3412" spans="1:6">
      <c r="A3412" t="s">
        <v>429</v>
      </c>
      <c r="B3412" t="s">
        <v>468</v>
      </c>
      <c r="C3412" t="s">
        <v>477</v>
      </c>
      <c r="D3412">
        <v>0.4</v>
      </c>
      <c r="E3412">
        <v>1623</v>
      </c>
      <c r="F3412">
        <v>649</v>
      </c>
    </row>
    <row r="3413" spans="1:6">
      <c r="A3413" t="s">
        <v>429</v>
      </c>
      <c r="B3413" t="s">
        <v>468</v>
      </c>
      <c r="C3413" t="s">
        <v>23</v>
      </c>
      <c r="D3413">
        <v>1.5129671106468994E-2</v>
      </c>
      <c r="E3413">
        <v>1623</v>
      </c>
      <c r="F3413">
        <v>25</v>
      </c>
    </row>
    <row r="3414" spans="1:6">
      <c r="A3414" t="s">
        <v>429</v>
      </c>
      <c r="B3414" t="s">
        <v>469</v>
      </c>
      <c r="C3414" t="s">
        <v>19</v>
      </c>
      <c r="D3414">
        <v>0.6</v>
      </c>
      <c r="E3414">
        <v>916</v>
      </c>
      <c r="F3414">
        <v>550</v>
      </c>
    </row>
    <row r="3415" spans="1:6">
      <c r="A3415" t="s">
        <v>429</v>
      </c>
      <c r="B3415" t="s">
        <v>469</v>
      </c>
      <c r="C3415" t="s">
        <v>477</v>
      </c>
      <c r="D3415">
        <v>0.4</v>
      </c>
      <c r="E3415">
        <v>916</v>
      </c>
      <c r="F3415">
        <v>366</v>
      </c>
    </row>
    <row r="3416" spans="1:6">
      <c r="A3416" t="s">
        <v>429</v>
      </c>
      <c r="B3416" t="s">
        <v>469</v>
      </c>
      <c r="C3416" t="s">
        <v>23</v>
      </c>
      <c r="D3416">
        <v>2.7384926400797994E-3</v>
      </c>
      <c r="E3416">
        <v>916</v>
      </c>
      <c r="F3416">
        <v>3</v>
      </c>
    </row>
    <row r="3417" spans="1:6">
      <c r="A3417" t="s">
        <v>429</v>
      </c>
      <c r="B3417" t="s">
        <v>470</v>
      </c>
      <c r="C3417" t="s">
        <v>19</v>
      </c>
      <c r="D3417">
        <v>0.6</v>
      </c>
      <c r="E3417">
        <v>143</v>
      </c>
      <c r="F3417">
        <v>86</v>
      </c>
    </row>
    <row r="3418" spans="1:6">
      <c r="A3418" t="s">
        <v>429</v>
      </c>
      <c r="B3418" t="s">
        <v>470</v>
      </c>
      <c r="C3418" t="s">
        <v>477</v>
      </c>
      <c r="D3418">
        <v>0.4</v>
      </c>
      <c r="E3418">
        <v>143</v>
      </c>
      <c r="F3418">
        <v>57</v>
      </c>
    </row>
    <row r="3419" spans="1:6">
      <c r="A3419" t="s">
        <v>429</v>
      </c>
      <c r="B3419" t="s">
        <v>470</v>
      </c>
      <c r="C3419" t="s">
        <v>23</v>
      </c>
      <c r="D3419">
        <v>8.3078285688211982E-3</v>
      </c>
      <c r="E3419">
        <v>143</v>
      </c>
      <c r="F3419">
        <v>1</v>
      </c>
    </row>
    <row r="3420" spans="1:6">
      <c r="A3420" t="s">
        <v>429</v>
      </c>
      <c r="B3420" t="s">
        <v>471</v>
      </c>
      <c r="C3420" t="s">
        <v>19</v>
      </c>
      <c r="D3420">
        <v>0.6</v>
      </c>
      <c r="E3420">
        <v>444</v>
      </c>
      <c r="F3420">
        <v>266</v>
      </c>
    </row>
    <row r="3421" spans="1:6">
      <c r="A3421" t="s">
        <v>429</v>
      </c>
      <c r="B3421" t="s">
        <v>471</v>
      </c>
      <c r="C3421" t="s">
        <v>477</v>
      </c>
      <c r="D3421">
        <v>0.4</v>
      </c>
      <c r="E3421">
        <v>444</v>
      </c>
      <c r="F3421">
        <v>178</v>
      </c>
    </row>
    <row r="3422" spans="1:6">
      <c r="A3422" t="s">
        <v>429</v>
      </c>
      <c r="B3422" t="s">
        <v>471</v>
      </c>
      <c r="C3422" t="s">
        <v>23</v>
      </c>
      <c r="D3422">
        <v>5.2939579169463506E-3</v>
      </c>
      <c r="E3422">
        <v>444</v>
      </c>
      <c r="F3422">
        <v>2</v>
      </c>
    </row>
    <row r="3423" spans="1:6">
      <c r="A3423" t="s">
        <v>429</v>
      </c>
      <c r="B3423" t="s">
        <v>604</v>
      </c>
      <c r="C3423" t="s">
        <v>19</v>
      </c>
      <c r="D3423">
        <v>0.6</v>
      </c>
      <c r="E3423">
        <v>11701</v>
      </c>
      <c r="F3423">
        <v>7021</v>
      </c>
    </row>
    <row r="3424" spans="1:6">
      <c r="A3424" t="s">
        <v>429</v>
      </c>
      <c r="B3424" t="s">
        <v>604</v>
      </c>
      <c r="C3424" t="s">
        <v>477</v>
      </c>
      <c r="D3424">
        <v>0.4</v>
      </c>
      <c r="E3424">
        <v>11701</v>
      </c>
      <c r="F3424">
        <v>4680</v>
      </c>
    </row>
    <row r="3425" spans="1:6">
      <c r="A3425" t="s">
        <v>429</v>
      </c>
      <c r="B3425" t="s">
        <v>604</v>
      </c>
      <c r="C3425" t="s">
        <v>23</v>
      </c>
      <c r="D3425">
        <v>1.48429205866471E-2</v>
      </c>
      <c r="E3425">
        <v>11701</v>
      </c>
      <c r="F3425">
        <v>174</v>
      </c>
    </row>
    <row r="3426" spans="1:6">
      <c r="A3426" t="s">
        <v>27</v>
      </c>
      <c r="B3426" t="s">
        <v>28</v>
      </c>
      <c r="C3426" t="s">
        <v>24</v>
      </c>
      <c r="D3426">
        <v>0.1172495474325581</v>
      </c>
      <c r="E3426">
        <v>11701</v>
      </c>
      <c r="F3426">
        <v>1372</v>
      </c>
    </row>
    <row r="3427" spans="1:6">
      <c r="A3427" t="s">
        <v>27</v>
      </c>
      <c r="B3427" t="s">
        <v>29</v>
      </c>
      <c r="C3427" t="s">
        <v>24</v>
      </c>
      <c r="D3427">
        <v>0.19271956825432038</v>
      </c>
      <c r="E3427">
        <v>402</v>
      </c>
      <c r="F3427">
        <v>77</v>
      </c>
    </row>
    <row r="3428" spans="1:6">
      <c r="A3428" t="s">
        <v>27</v>
      </c>
      <c r="B3428" t="s">
        <v>30</v>
      </c>
      <c r="C3428" t="s">
        <v>24</v>
      </c>
      <c r="D3428">
        <v>8.6294371207161061E-2</v>
      </c>
      <c r="E3428">
        <v>559</v>
      </c>
      <c r="F3428">
        <v>48</v>
      </c>
    </row>
    <row r="3429" spans="1:6">
      <c r="A3429" t="s">
        <v>27</v>
      </c>
      <c r="B3429" t="s">
        <v>31</v>
      </c>
      <c r="C3429" t="s">
        <v>24</v>
      </c>
      <c r="D3429">
        <v>0.1632476247786121</v>
      </c>
      <c r="E3429">
        <v>1536</v>
      </c>
      <c r="F3429">
        <v>251</v>
      </c>
    </row>
    <row r="3430" spans="1:6">
      <c r="A3430" t="s">
        <v>27</v>
      </c>
      <c r="B3430" t="s">
        <v>32</v>
      </c>
      <c r="C3430" t="s">
        <v>24</v>
      </c>
      <c r="D3430">
        <v>9.3275953770703954E-2</v>
      </c>
      <c r="E3430">
        <v>674</v>
      </c>
      <c r="F3430">
        <v>63</v>
      </c>
    </row>
    <row r="3431" spans="1:6">
      <c r="A3431" t="s">
        <v>27</v>
      </c>
      <c r="B3431" t="s">
        <v>33</v>
      </c>
      <c r="C3431" t="s">
        <v>24</v>
      </c>
      <c r="D3431">
        <v>0.19272325323570375</v>
      </c>
      <c r="E3431">
        <v>3746</v>
      </c>
      <c r="F3431">
        <v>722</v>
      </c>
    </row>
    <row r="3432" spans="1:6">
      <c r="A3432" t="s">
        <v>27</v>
      </c>
      <c r="B3432" t="s">
        <v>34</v>
      </c>
      <c r="C3432" t="s">
        <v>24</v>
      </c>
      <c r="D3432">
        <v>0.14703248249002879</v>
      </c>
      <c r="E3432">
        <v>1294</v>
      </c>
      <c r="F3432">
        <v>190</v>
      </c>
    </row>
    <row r="3433" spans="1:6">
      <c r="A3433" t="s">
        <v>27</v>
      </c>
      <c r="B3433" t="s">
        <v>35</v>
      </c>
      <c r="C3433" t="s">
        <v>24</v>
      </c>
      <c r="D3433">
        <v>7.4333387089940708E-2</v>
      </c>
      <c r="E3433">
        <v>640</v>
      </c>
      <c r="F3433">
        <v>48</v>
      </c>
    </row>
    <row r="3434" spans="1:6">
      <c r="A3434" t="s">
        <v>27</v>
      </c>
      <c r="B3434" t="s">
        <v>36</v>
      </c>
      <c r="C3434" t="s">
        <v>24</v>
      </c>
      <c r="D3434">
        <v>2.1883938891582713E-2</v>
      </c>
      <c r="E3434">
        <v>686</v>
      </c>
      <c r="F3434">
        <v>15</v>
      </c>
    </row>
    <row r="3435" spans="1:6">
      <c r="A3435" t="s">
        <v>27</v>
      </c>
      <c r="B3435" t="s">
        <v>37</v>
      </c>
      <c r="C3435" t="s">
        <v>24</v>
      </c>
      <c r="D3435">
        <v>0.15262199191618395</v>
      </c>
      <c r="E3435">
        <v>481</v>
      </c>
      <c r="F3435">
        <v>73</v>
      </c>
    </row>
    <row r="3436" spans="1:6">
      <c r="A3436" t="s">
        <v>27</v>
      </c>
      <c r="B3436" t="s">
        <v>38</v>
      </c>
      <c r="C3436" t="s">
        <v>24</v>
      </c>
      <c r="D3436">
        <v>1.8391715100790986E-2</v>
      </c>
      <c r="E3436">
        <v>713</v>
      </c>
      <c r="F3436">
        <v>13</v>
      </c>
    </row>
    <row r="3437" spans="1:6">
      <c r="A3437" t="s">
        <v>27</v>
      </c>
      <c r="B3437" t="s">
        <v>40</v>
      </c>
      <c r="C3437" t="s">
        <v>24</v>
      </c>
      <c r="D3437">
        <v>2.380237101944185E-2</v>
      </c>
      <c r="E3437">
        <v>498</v>
      </c>
      <c r="F3437">
        <v>12</v>
      </c>
    </row>
    <row r="3438" spans="1:6">
      <c r="A3438" t="s">
        <v>39</v>
      </c>
      <c r="B3438" t="s">
        <v>41</v>
      </c>
      <c r="C3438" t="s">
        <v>24</v>
      </c>
      <c r="D3438">
        <v>0.15236535444660615</v>
      </c>
      <c r="E3438">
        <v>1184</v>
      </c>
      <c r="F3438">
        <v>180</v>
      </c>
    </row>
    <row r="3439" spans="1:6">
      <c r="A3439" t="s">
        <v>39</v>
      </c>
      <c r="B3439" t="s">
        <v>42</v>
      </c>
      <c r="C3439" t="s">
        <v>24</v>
      </c>
      <c r="D3439">
        <v>0.10545048833539712</v>
      </c>
      <c r="E3439">
        <v>708</v>
      </c>
      <c r="F3439">
        <v>75</v>
      </c>
    </row>
    <row r="3440" spans="1:6">
      <c r="A3440" t="s">
        <v>39</v>
      </c>
      <c r="B3440" t="s">
        <v>43</v>
      </c>
      <c r="C3440" t="s">
        <v>24</v>
      </c>
      <c r="D3440">
        <v>9.4061336988435884E-2</v>
      </c>
      <c r="E3440">
        <v>1802</v>
      </c>
      <c r="F3440">
        <v>169</v>
      </c>
    </row>
    <row r="3441" spans="1:6">
      <c r="A3441" t="s">
        <v>39</v>
      </c>
      <c r="B3441" t="s">
        <v>44</v>
      </c>
      <c r="C3441" t="s">
        <v>24</v>
      </c>
      <c r="D3441">
        <v>0.12172465751942359</v>
      </c>
      <c r="E3441">
        <v>2317</v>
      </c>
      <c r="F3441">
        <v>282</v>
      </c>
    </row>
    <row r="3442" spans="1:6">
      <c r="A3442" t="s">
        <v>39</v>
      </c>
      <c r="B3442" t="s">
        <v>45</v>
      </c>
      <c r="C3442" t="s">
        <v>24</v>
      </c>
      <c r="D3442">
        <v>0.11461528699605546</v>
      </c>
      <c r="E3442">
        <v>24908</v>
      </c>
      <c r="F3442">
        <v>2855</v>
      </c>
    </row>
    <row r="3443" spans="1:6">
      <c r="A3443" t="s">
        <v>39</v>
      </c>
      <c r="B3443" t="s">
        <v>46</v>
      </c>
      <c r="C3443" t="s">
        <v>24</v>
      </c>
      <c r="D3443">
        <v>5.6514758240341828E-2</v>
      </c>
      <c r="E3443">
        <v>1482</v>
      </c>
      <c r="F3443">
        <v>84</v>
      </c>
    </row>
    <row r="3444" spans="1:6">
      <c r="A3444" t="s">
        <v>39</v>
      </c>
      <c r="B3444" t="s">
        <v>47</v>
      </c>
      <c r="C3444" t="s">
        <v>24</v>
      </c>
      <c r="D3444">
        <v>0.12710646512822774</v>
      </c>
      <c r="E3444">
        <v>1931</v>
      </c>
      <c r="F3444">
        <v>245</v>
      </c>
    </row>
    <row r="3445" spans="1:6">
      <c r="A3445" t="s">
        <v>39</v>
      </c>
      <c r="B3445" t="s">
        <v>48</v>
      </c>
      <c r="C3445" t="s">
        <v>24</v>
      </c>
      <c r="D3445">
        <v>0.15545632443223592</v>
      </c>
      <c r="E3445">
        <v>916</v>
      </c>
      <c r="F3445">
        <v>142</v>
      </c>
    </row>
    <row r="3446" spans="1:6">
      <c r="A3446" t="s">
        <v>39</v>
      </c>
      <c r="B3446" t="s">
        <v>49</v>
      </c>
      <c r="C3446" t="s">
        <v>24</v>
      </c>
      <c r="D3446">
        <v>0.1078185918799105</v>
      </c>
      <c r="E3446">
        <v>1097</v>
      </c>
      <c r="F3446">
        <v>118</v>
      </c>
    </row>
    <row r="3447" spans="1:6">
      <c r="A3447" t="s">
        <v>39</v>
      </c>
      <c r="B3447" t="s">
        <v>50</v>
      </c>
      <c r="C3447" t="s">
        <v>24</v>
      </c>
      <c r="D3447">
        <v>3.9873304765740872E-2</v>
      </c>
      <c r="E3447">
        <v>1742</v>
      </c>
      <c r="F3447">
        <v>69</v>
      </c>
    </row>
    <row r="3448" spans="1:6">
      <c r="A3448" t="s">
        <v>39</v>
      </c>
      <c r="B3448" t="s">
        <v>51</v>
      </c>
      <c r="C3448" t="s">
        <v>24</v>
      </c>
      <c r="D3448">
        <v>0.1797534970213619</v>
      </c>
      <c r="E3448">
        <v>4040</v>
      </c>
      <c r="F3448">
        <v>726</v>
      </c>
    </row>
    <row r="3449" spans="1:6">
      <c r="A3449" t="s">
        <v>39</v>
      </c>
      <c r="B3449" t="s">
        <v>52</v>
      </c>
      <c r="C3449" t="s">
        <v>24</v>
      </c>
      <c r="D3449">
        <v>0.10958777406552066</v>
      </c>
      <c r="E3449">
        <v>665</v>
      </c>
      <c r="F3449">
        <v>73</v>
      </c>
    </row>
    <row r="3450" spans="1:6">
      <c r="A3450" t="s">
        <v>39</v>
      </c>
      <c r="B3450" t="s">
        <v>53</v>
      </c>
      <c r="C3450" t="s">
        <v>24</v>
      </c>
      <c r="D3450">
        <v>1.1659042062107307E-2</v>
      </c>
      <c r="E3450">
        <v>503</v>
      </c>
      <c r="F3450">
        <v>6</v>
      </c>
    </row>
    <row r="3451" spans="1:6">
      <c r="A3451" t="s">
        <v>39</v>
      </c>
      <c r="B3451" t="s">
        <v>54</v>
      </c>
      <c r="C3451" t="s">
        <v>24</v>
      </c>
      <c r="D3451">
        <v>2.8904995056114437E-3</v>
      </c>
      <c r="E3451">
        <v>543</v>
      </c>
      <c r="F3451">
        <v>2</v>
      </c>
    </row>
    <row r="3452" spans="1:6">
      <c r="A3452" t="s">
        <v>39</v>
      </c>
      <c r="B3452" t="s">
        <v>55</v>
      </c>
      <c r="C3452" t="s">
        <v>24</v>
      </c>
      <c r="D3452">
        <v>0.19499926518665411</v>
      </c>
      <c r="E3452">
        <v>794</v>
      </c>
      <c r="F3452">
        <v>155</v>
      </c>
    </row>
    <row r="3453" spans="1:6">
      <c r="A3453" t="s">
        <v>39</v>
      </c>
      <c r="B3453" t="s">
        <v>57</v>
      </c>
      <c r="C3453" t="s">
        <v>24</v>
      </c>
      <c r="D3453">
        <v>0.11609834326330169</v>
      </c>
      <c r="E3453">
        <v>500</v>
      </c>
      <c r="F3453">
        <v>58</v>
      </c>
    </row>
    <row r="3454" spans="1:6">
      <c r="A3454" t="s">
        <v>56</v>
      </c>
      <c r="B3454" t="s">
        <v>58</v>
      </c>
      <c r="C3454" t="s">
        <v>24</v>
      </c>
      <c r="D3454">
        <v>0.13842497253243077</v>
      </c>
      <c r="E3454">
        <v>7212</v>
      </c>
      <c r="F3454">
        <v>998</v>
      </c>
    </row>
    <row r="3455" spans="1:6">
      <c r="A3455" t="s">
        <v>56</v>
      </c>
      <c r="B3455" t="s">
        <v>59</v>
      </c>
      <c r="C3455" t="s">
        <v>24</v>
      </c>
      <c r="D3455">
        <v>0.11278353772326255</v>
      </c>
      <c r="E3455">
        <v>12504</v>
      </c>
      <c r="F3455">
        <v>1410</v>
      </c>
    </row>
    <row r="3456" spans="1:6">
      <c r="A3456" t="s">
        <v>56</v>
      </c>
      <c r="B3456" t="s">
        <v>60</v>
      </c>
      <c r="C3456" t="s">
        <v>24</v>
      </c>
      <c r="D3456">
        <v>0.15146021359450199</v>
      </c>
      <c r="E3456">
        <v>3050</v>
      </c>
      <c r="F3456">
        <v>462</v>
      </c>
    </row>
    <row r="3457" spans="1:6">
      <c r="A3457" t="s">
        <v>56</v>
      </c>
      <c r="B3457" t="s">
        <v>61</v>
      </c>
      <c r="C3457" t="s">
        <v>24</v>
      </c>
      <c r="D3457">
        <v>0.1236799596380681</v>
      </c>
      <c r="E3457">
        <v>2893</v>
      </c>
      <c r="F3457">
        <v>358</v>
      </c>
    </row>
    <row r="3458" spans="1:6">
      <c r="A3458" t="s">
        <v>56</v>
      </c>
      <c r="B3458" t="s">
        <v>62</v>
      </c>
      <c r="C3458" t="s">
        <v>24</v>
      </c>
      <c r="D3458">
        <v>8.8491214242044092E-2</v>
      </c>
      <c r="E3458">
        <v>1778</v>
      </c>
      <c r="F3458">
        <v>157</v>
      </c>
    </row>
    <row r="3459" spans="1:6">
      <c r="A3459" t="s">
        <v>56</v>
      </c>
      <c r="B3459" t="s">
        <v>63</v>
      </c>
      <c r="C3459" t="s">
        <v>24</v>
      </c>
      <c r="D3459">
        <v>0.16064479125775749</v>
      </c>
      <c r="E3459">
        <v>6330</v>
      </c>
      <c r="F3459">
        <v>1017</v>
      </c>
    </row>
    <row r="3460" spans="1:6">
      <c r="A3460" t="s">
        <v>56</v>
      </c>
      <c r="B3460" t="s">
        <v>64</v>
      </c>
      <c r="C3460" t="s">
        <v>24</v>
      </c>
      <c r="D3460">
        <v>4.3443464087467798E-2</v>
      </c>
      <c r="E3460">
        <v>859</v>
      </c>
      <c r="F3460">
        <v>37</v>
      </c>
    </row>
    <row r="3461" spans="1:6">
      <c r="A3461" t="s">
        <v>56</v>
      </c>
      <c r="B3461" t="s">
        <v>65</v>
      </c>
      <c r="C3461" t="s">
        <v>24</v>
      </c>
      <c r="D3461">
        <v>0.18322795697853961</v>
      </c>
      <c r="E3461">
        <v>2914</v>
      </c>
      <c r="F3461">
        <v>534</v>
      </c>
    </row>
    <row r="3462" spans="1:6">
      <c r="A3462" t="s">
        <v>56</v>
      </c>
      <c r="B3462" t="s">
        <v>66</v>
      </c>
      <c r="C3462" t="s">
        <v>24</v>
      </c>
      <c r="D3462">
        <v>0.10039767149568844</v>
      </c>
      <c r="E3462">
        <v>1670</v>
      </c>
      <c r="F3462">
        <v>168</v>
      </c>
    </row>
    <row r="3463" spans="1:6">
      <c r="A3463" t="s">
        <v>56</v>
      </c>
      <c r="B3463" t="s">
        <v>67</v>
      </c>
      <c r="C3463" t="s">
        <v>24</v>
      </c>
      <c r="D3463">
        <v>0.14830815904319072</v>
      </c>
      <c r="E3463">
        <v>1860</v>
      </c>
      <c r="F3463">
        <v>276</v>
      </c>
    </row>
    <row r="3464" spans="1:6">
      <c r="A3464" t="s">
        <v>56</v>
      </c>
      <c r="B3464" t="s">
        <v>68</v>
      </c>
      <c r="C3464" t="s">
        <v>24</v>
      </c>
      <c r="D3464">
        <v>0.17809186969472582</v>
      </c>
      <c r="E3464">
        <v>1578</v>
      </c>
      <c r="F3464">
        <v>281</v>
      </c>
    </row>
    <row r="3465" spans="1:6">
      <c r="A3465" t="s">
        <v>56</v>
      </c>
      <c r="B3465" t="s">
        <v>69</v>
      </c>
      <c r="C3465" t="s">
        <v>24</v>
      </c>
      <c r="D3465">
        <v>9.736998247939524E-2</v>
      </c>
      <c r="E3465">
        <v>934</v>
      </c>
      <c r="F3465">
        <v>91</v>
      </c>
    </row>
    <row r="3466" spans="1:6">
      <c r="A3466" t="s">
        <v>56</v>
      </c>
      <c r="B3466" t="s">
        <v>70</v>
      </c>
      <c r="C3466" t="s">
        <v>24</v>
      </c>
      <c r="D3466">
        <v>0.19549395037646561</v>
      </c>
      <c r="E3466">
        <v>1500</v>
      </c>
      <c r="F3466">
        <v>293</v>
      </c>
    </row>
    <row r="3467" spans="1:6">
      <c r="A3467" t="s">
        <v>56</v>
      </c>
      <c r="B3467" t="s">
        <v>71</v>
      </c>
      <c r="C3467" t="s">
        <v>24</v>
      </c>
      <c r="D3467">
        <v>0.16783846648502937</v>
      </c>
      <c r="E3467">
        <v>2606</v>
      </c>
      <c r="F3467">
        <v>437</v>
      </c>
    </row>
    <row r="3468" spans="1:6">
      <c r="A3468" t="s">
        <v>56</v>
      </c>
      <c r="B3468" t="s">
        <v>72</v>
      </c>
      <c r="C3468" t="s">
        <v>24</v>
      </c>
      <c r="D3468">
        <v>0.12842188492585571</v>
      </c>
      <c r="E3468">
        <v>924</v>
      </c>
      <c r="F3468">
        <v>119</v>
      </c>
    </row>
    <row r="3469" spans="1:6">
      <c r="A3469" t="s">
        <v>56</v>
      </c>
      <c r="B3469" t="s">
        <v>73</v>
      </c>
      <c r="C3469" t="s">
        <v>24</v>
      </c>
      <c r="D3469">
        <v>9.5116631928545581E-2</v>
      </c>
      <c r="E3469">
        <v>530</v>
      </c>
      <c r="F3469">
        <v>50</v>
      </c>
    </row>
    <row r="3470" spans="1:6">
      <c r="A3470" t="s">
        <v>56</v>
      </c>
      <c r="B3470" t="s">
        <v>74</v>
      </c>
      <c r="C3470" t="s">
        <v>24</v>
      </c>
      <c r="D3470">
        <v>8.9032507500024435E-2</v>
      </c>
      <c r="E3470">
        <v>2410</v>
      </c>
      <c r="F3470">
        <v>215</v>
      </c>
    </row>
    <row r="3471" spans="1:6">
      <c r="A3471" t="s">
        <v>56</v>
      </c>
      <c r="B3471" t="s">
        <v>75</v>
      </c>
      <c r="C3471" t="s">
        <v>24</v>
      </c>
      <c r="D3471">
        <v>0.18117503816956129</v>
      </c>
      <c r="E3471">
        <v>403</v>
      </c>
      <c r="F3471">
        <v>73</v>
      </c>
    </row>
    <row r="3472" spans="1:6">
      <c r="A3472" t="s">
        <v>56</v>
      </c>
      <c r="B3472" t="s">
        <v>76</v>
      </c>
      <c r="C3472" t="s">
        <v>24</v>
      </c>
      <c r="D3472">
        <v>9.9300316622032592E-2</v>
      </c>
      <c r="E3472">
        <v>850</v>
      </c>
      <c r="F3472">
        <v>84</v>
      </c>
    </row>
    <row r="3473" spans="1:6">
      <c r="A3473" t="s">
        <v>56</v>
      </c>
      <c r="B3473" t="s">
        <v>77</v>
      </c>
      <c r="C3473" t="s">
        <v>24</v>
      </c>
      <c r="D3473">
        <v>9.5157152904911668E-2</v>
      </c>
      <c r="E3473">
        <v>428</v>
      </c>
      <c r="F3473">
        <v>41</v>
      </c>
    </row>
    <row r="3474" spans="1:6">
      <c r="A3474" t="s">
        <v>56</v>
      </c>
      <c r="B3474" t="s">
        <v>78</v>
      </c>
      <c r="C3474" t="s">
        <v>24</v>
      </c>
      <c r="D3474">
        <v>0.11630997891850264</v>
      </c>
      <c r="E3474">
        <v>454</v>
      </c>
      <c r="F3474">
        <v>53</v>
      </c>
    </row>
    <row r="3475" spans="1:6">
      <c r="A3475" t="s">
        <v>56</v>
      </c>
      <c r="B3475" t="s">
        <v>80</v>
      </c>
      <c r="C3475" t="s">
        <v>24</v>
      </c>
      <c r="D3475">
        <v>5.970329908952339E-2</v>
      </c>
      <c r="E3475">
        <v>304</v>
      </c>
      <c r="F3475">
        <v>18</v>
      </c>
    </row>
    <row r="3476" spans="1:6">
      <c r="A3476" t="s">
        <v>1008</v>
      </c>
      <c r="B3476" t="s">
        <v>81</v>
      </c>
      <c r="C3476" t="s">
        <v>24</v>
      </c>
      <c r="D3476">
        <v>0.11774652185123986</v>
      </c>
      <c r="E3476">
        <v>2012</v>
      </c>
      <c r="F3476">
        <v>237</v>
      </c>
    </row>
    <row r="3477" spans="1:6">
      <c r="A3477" t="s">
        <v>1008</v>
      </c>
      <c r="B3477" t="s">
        <v>82</v>
      </c>
      <c r="C3477" t="s">
        <v>24</v>
      </c>
      <c r="D3477">
        <v>0.13075282314766878</v>
      </c>
      <c r="E3477">
        <v>43164</v>
      </c>
      <c r="F3477">
        <v>5644</v>
      </c>
    </row>
    <row r="3478" spans="1:6">
      <c r="A3478" t="s">
        <v>1008</v>
      </c>
      <c r="B3478" t="s">
        <v>83</v>
      </c>
      <c r="C3478" t="s">
        <v>24</v>
      </c>
      <c r="D3478">
        <v>0.12530131084608395</v>
      </c>
      <c r="E3478">
        <v>2106</v>
      </c>
      <c r="F3478">
        <v>264</v>
      </c>
    </row>
    <row r="3479" spans="1:6">
      <c r="A3479" t="s">
        <v>1008</v>
      </c>
      <c r="B3479" t="s">
        <v>84</v>
      </c>
      <c r="C3479" t="s">
        <v>24</v>
      </c>
      <c r="D3479">
        <v>9.2479409789124667E-2</v>
      </c>
      <c r="E3479">
        <v>3544</v>
      </c>
      <c r="F3479">
        <v>328</v>
      </c>
    </row>
    <row r="3480" spans="1:6">
      <c r="A3480" t="s">
        <v>1008</v>
      </c>
      <c r="B3480" t="s">
        <v>85</v>
      </c>
      <c r="C3480" t="s">
        <v>24</v>
      </c>
      <c r="D3480">
        <v>0.1628613660852368</v>
      </c>
      <c r="E3480">
        <v>2153</v>
      </c>
      <c r="F3480">
        <v>351</v>
      </c>
    </row>
    <row r="3481" spans="1:6">
      <c r="A3481" t="s">
        <v>1008</v>
      </c>
      <c r="B3481" t="s">
        <v>86</v>
      </c>
      <c r="C3481" t="s">
        <v>24</v>
      </c>
      <c r="D3481">
        <v>1.6179090995670099E-2</v>
      </c>
      <c r="E3481">
        <v>2584</v>
      </c>
      <c r="F3481">
        <v>42</v>
      </c>
    </row>
    <row r="3482" spans="1:6">
      <c r="A3482" t="s">
        <v>1008</v>
      </c>
      <c r="B3482" t="s">
        <v>87</v>
      </c>
      <c r="C3482" t="s">
        <v>24</v>
      </c>
      <c r="D3482">
        <v>8.8903880286697892E-2</v>
      </c>
      <c r="E3482">
        <v>1485</v>
      </c>
      <c r="F3482">
        <v>132</v>
      </c>
    </row>
    <row r="3483" spans="1:6">
      <c r="A3483" t="s">
        <v>1008</v>
      </c>
      <c r="B3483" t="s">
        <v>88</v>
      </c>
      <c r="C3483" t="s">
        <v>24</v>
      </c>
      <c r="D3483">
        <v>0.11341500635353795</v>
      </c>
      <c r="E3483">
        <v>2019</v>
      </c>
      <c r="F3483">
        <v>229</v>
      </c>
    </row>
    <row r="3484" spans="1:6">
      <c r="A3484" t="s">
        <v>1008</v>
      </c>
      <c r="B3484" t="s">
        <v>89</v>
      </c>
      <c r="C3484" t="s">
        <v>24</v>
      </c>
      <c r="D3484">
        <v>0.19035135844209317</v>
      </c>
      <c r="E3484">
        <v>1547</v>
      </c>
      <c r="F3484">
        <v>294</v>
      </c>
    </row>
    <row r="3485" spans="1:6">
      <c r="A3485" t="s">
        <v>1008</v>
      </c>
      <c r="B3485" t="s">
        <v>90</v>
      </c>
      <c r="C3485" t="s">
        <v>24</v>
      </c>
      <c r="D3485">
        <v>9.5136228108562981E-2</v>
      </c>
      <c r="E3485">
        <v>1428</v>
      </c>
      <c r="F3485">
        <v>136</v>
      </c>
    </row>
    <row r="3486" spans="1:6">
      <c r="A3486" t="s">
        <v>1008</v>
      </c>
      <c r="B3486" t="s">
        <v>91</v>
      </c>
      <c r="C3486" t="s">
        <v>24</v>
      </c>
      <c r="D3486">
        <v>7.8364219968205973E-2</v>
      </c>
      <c r="E3486">
        <v>764</v>
      </c>
      <c r="F3486">
        <v>60</v>
      </c>
    </row>
    <row r="3487" spans="1:6">
      <c r="A3487" t="s">
        <v>1008</v>
      </c>
      <c r="B3487" t="s">
        <v>92</v>
      </c>
      <c r="C3487" t="s">
        <v>24</v>
      </c>
      <c r="D3487">
        <v>0.12321433409883231</v>
      </c>
      <c r="E3487">
        <v>1034</v>
      </c>
      <c r="F3487">
        <v>127</v>
      </c>
    </row>
    <row r="3488" spans="1:6">
      <c r="A3488" t="s">
        <v>1008</v>
      </c>
      <c r="B3488" t="s">
        <v>93</v>
      </c>
      <c r="C3488" t="s">
        <v>24</v>
      </c>
      <c r="D3488">
        <v>0.11890414051123724</v>
      </c>
      <c r="E3488">
        <v>601</v>
      </c>
      <c r="F3488">
        <v>71</v>
      </c>
    </row>
    <row r="3489" spans="1:6">
      <c r="A3489" t="s">
        <v>1008</v>
      </c>
      <c r="B3489" t="s">
        <v>94</v>
      </c>
      <c r="C3489" t="s">
        <v>24</v>
      </c>
      <c r="D3489">
        <v>1.1514695277072163E-3</v>
      </c>
      <c r="E3489">
        <v>1176</v>
      </c>
      <c r="F3489">
        <v>1</v>
      </c>
    </row>
    <row r="3490" spans="1:6">
      <c r="A3490" t="s">
        <v>1008</v>
      </c>
      <c r="B3490" t="s">
        <v>95</v>
      </c>
      <c r="C3490" t="s">
        <v>24</v>
      </c>
      <c r="D3490">
        <v>0.18351781143110302</v>
      </c>
      <c r="E3490">
        <v>846</v>
      </c>
      <c r="F3490">
        <v>155</v>
      </c>
    </row>
    <row r="3491" spans="1:6">
      <c r="A3491" t="s">
        <v>1008</v>
      </c>
      <c r="B3491" t="s">
        <v>96</v>
      </c>
      <c r="C3491" t="s">
        <v>24</v>
      </c>
      <c r="D3491">
        <v>3.2750879877426156E-2</v>
      </c>
      <c r="E3491">
        <v>826</v>
      </c>
      <c r="F3491">
        <v>27</v>
      </c>
    </row>
    <row r="3492" spans="1:6">
      <c r="A3492" t="s">
        <v>1008</v>
      </c>
      <c r="B3492" t="s">
        <v>97</v>
      </c>
      <c r="C3492" t="s">
        <v>24</v>
      </c>
      <c r="D3492">
        <v>2.6875612186592648E-2</v>
      </c>
      <c r="E3492">
        <v>666</v>
      </c>
      <c r="F3492">
        <v>18</v>
      </c>
    </row>
    <row r="3493" spans="1:6">
      <c r="A3493" t="s">
        <v>1008</v>
      </c>
      <c r="B3493" t="s">
        <v>98</v>
      </c>
      <c r="C3493" t="s">
        <v>24</v>
      </c>
      <c r="D3493">
        <v>0.19877389188181108</v>
      </c>
      <c r="E3493">
        <v>625</v>
      </c>
      <c r="F3493">
        <v>124</v>
      </c>
    </row>
    <row r="3494" spans="1:6">
      <c r="A3494" t="s">
        <v>1008</v>
      </c>
      <c r="B3494" t="s">
        <v>99</v>
      </c>
      <c r="C3494" t="s">
        <v>24</v>
      </c>
      <c r="D3494">
        <v>5.4217423576458826E-2</v>
      </c>
      <c r="E3494">
        <v>746</v>
      </c>
      <c r="F3494">
        <v>40</v>
      </c>
    </row>
    <row r="3495" spans="1:6">
      <c r="A3495" t="s">
        <v>1008</v>
      </c>
      <c r="B3495" t="s">
        <v>101</v>
      </c>
      <c r="C3495" t="s">
        <v>24</v>
      </c>
      <c r="D3495">
        <v>3.1600009670291994E-2</v>
      </c>
      <c r="E3495">
        <v>389</v>
      </c>
      <c r="F3495">
        <v>12</v>
      </c>
    </row>
    <row r="3496" spans="1:6">
      <c r="A3496" t="s">
        <v>1009</v>
      </c>
      <c r="B3496" t="s">
        <v>102</v>
      </c>
      <c r="C3496" t="s">
        <v>24</v>
      </c>
      <c r="D3496">
        <v>8.5922555791314581E-3</v>
      </c>
      <c r="E3496">
        <v>20538</v>
      </c>
      <c r="F3496">
        <v>176</v>
      </c>
    </row>
    <row r="3497" spans="1:6">
      <c r="A3497" t="s">
        <v>1009</v>
      </c>
      <c r="B3497" t="s">
        <v>103</v>
      </c>
      <c r="C3497" t="s">
        <v>24</v>
      </c>
      <c r="D3497">
        <v>1.1291897160931819E-2</v>
      </c>
      <c r="E3497">
        <v>1190</v>
      </c>
      <c r="F3497">
        <v>13</v>
      </c>
    </row>
    <row r="3498" spans="1:6">
      <c r="A3498" t="s">
        <v>1009</v>
      </c>
      <c r="B3498" t="s">
        <v>104</v>
      </c>
      <c r="C3498" t="s">
        <v>24</v>
      </c>
      <c r="D3498">
        <v>0.16125020149423544</v>
      </c>
      <c r="E3498">
        <v>1736</v>
      </c>
      <c r="F3498">
        <v>280</v>
      </c>
    </row>
    <row r="3499" spans="1:6">
      <c r="A3499" t="s">
        <v>1009</v>
      </c>
      <c r="B3499" t="s">
        <v>105</v>
      </c>
      <c r="C3499" t="s">
        <v>24</v>
      </c>
      <c r="D3499">
        <v>1.674548178744668E-2</v>
      </c>
      <c r="E3499">
        <v>1466</v>
      </c>
      <c r="F3499">
        <v>25</v>
      </c>
    </row>
    <row r="3500" spans="1:6">
      <c r="A3500" t="s">
        <v>1009</v>
      </c>
      <c r="B3500" t="s">
        <v>106</v>
      </c>
      <c r="C3500" t="s">
        <v>24</v>
      </c>
      <c r="D3500">
        <v>6.1118711274146677E-2</v>
      </c>
      <c r="E3500">
        <v>2060</v>
      </c>
      <c r="F3500">
        <v>126</v>
      </c>
    </row>
    <row r="3501" spans="1:6">
      <c r="A3501" t="s">
        <v>1009</v>
      </c>
      <c r="B3501" t="s">
        <v>107</v>
      </c>
      <c r="C3501" t="s">
        <v>24</v>
      </c>
      <c r="D3501">
        <v>0.11333359280430982</v>
      </c>
      <c r="E3501">
        <v>1284</v>
      </c>
      <c r="F3501">
        <v>146</v>
      </c>
    </row>
    <row r="3502" spans="1:6">
      <c r="A3502" t="s">
        <v>1009</v>
      </c>
      <c r="B3502" t="s">
        <v>108</v>
      </c>
      <c r="C3502" t="s">
        <v>24</v>
      </c>
      <c r="D3502">
        <v>0.19190170555519617</v>
      </c>
      <c r="E3502">
        <v>2716</v>
      </c>
      <c r="F3502">
        <v>521</v>
      </c>
    </row>
    <row r="3503" spans="1:6">
      <c r="A3503" t="s">
        <v>1009</v>
      </c>
      <c r="B3503" t="s">
        <v>109</v>
      </c>
      <c r="C3503" t="s">
        <v>24</v>
      </c>
      <c r="D3503">
        <v>8.3366520438153652E-2</v>
      </c>
      <c r="E3503">
        <v>3464</v>
      </c>
      <c r="F3503">
        <v>289</v>
      </c>
    </row>
    <row r="3504" spans="1:6">
      <c r="A3504" t="s">
        <v>1009</v>
      </c>
      <c r="B3504" t="s">
        <v>110</v>
      </c>
      <c r="C3504" t="s">
        <v>24</v>
      </c>
      <c r="D3504">
        <v>0.11051788693237415</v>
      </c>
      <c r="E3504">
        <v>1548</v>
      </c>
      <c r="F3504">
        <v>171</v>
      </c>
    </row>
    <row r="3505" spans="1:6">
      <c r="A3505" t="s">
        <v>1009</v>
      </c>
      <c r="B3505" t="s">
        <v>111</v>
      </c>
      <c r="C3505" t="s">
        <v>24</v>
      </c>
      <c r="D3505">
        <v>1.4916733371474478E-2</v>
      </c>
      <c r="E3505">
        <v>2518</v>
      </c>
      <c r="F3505">
        <v>38</v>
      </c>
    </row>
    <row r="3506" spans="1:6">
      <c r="A3506" t="s">
        <v>1009</v>
      </c>
      <c r="B3506" t="s">
        <v>112</v>
      </c>
      <c r="C3506" t="s">
        <v>24</v>
      </c>
      <c r="D3506">
        <v>0.12586413035888777</v>
      </c>
      <c r="E3506">
        <v>827</v>
      </c>
      <c r="F3506">
        <v>104</v>
      </c>
    </row>
    <row r="3507" spans="1:6">
      <c r="A3507" t="s">
        <v>1009</v>
      </c>
      <c r="B3507" t="s">
        <v>113</v>
      </c>
      <c r="C3507" t="s">
        <v>24</v>
      </c>
      <c r="D3507">
        <v>2.6254803895676627E-2</v>
      </c>
      <c r="E3507">
        <v>2291</v>
      </c>
      <c r="F3507">
        <v>60</v>
      </c>
    </row>
    <row r="3508" spans="1:6">
      <c r="A3508" t="s">
        <v>1009</v>
      </c>
      <c r="B3508" t="s">
        <v>114</v>
      </c>
      <c r="C3508" t="s">
        <v>24</v>
      </c>
      <c r="D3508">
        <v>0.19079497846353632</v>
      </c>
      <c r="E3508">
        <v>726</v>
      </c>
      <c r="F3508">
        <v>139</v>
      </c>
    </row>
    <row r="3509" spans="1:6">
      <c r="A3509" t="s">
        <v>1009</v>
      </c>
      <c r="B3509" t="s">
        <v>115</v>
      </c>
      <c r="C3509" t="s">
        <v>24</v>
      </c>
      <c r="D3509">
        <v>4.9798588135014456E-2</v>
      </c>
      <c r="E3509">
        <v>601</v>
      </c>
      <c r="F3509">
        <v>30</v>
      </c>
    </row>
    <row r="3510" spans="1:6">
      <c r="A3510" t="s">
        <v>1009</v>
      </c>
      <c r="B3510" t="s">
        <v>116</v>
      </c>
      <c r="C3510" t="s">
        <v>24</v>
      </c>
      <c r="D3510">
        <v>8.285739503075773E-2</v>
      </c>
      <c r="E3510">
        <v>496</v>
      </c>
      <c r="F3510">
        <v>41</v>
      </c>
    </row>
    <row r="3511" spans="1:6">
      <c r="A3511" t="s">
        <v>1009</v>
      </c>
      <c r="B3511" t="s">
        <v>117</v>
      </c>
      <c r="C3511" t="s">
        <v>24</v>
      </c>
      <c r="D3511">
        <v>0.19930158942785492</v>
      </c>
      <c r="E3511">
        <v>600</v>
      </c>
      <c r="F3511">
        <v>120</v>
      </c>
    </row>
    <row r="3512" spans="1:6">
      <c r="A3512" t="s">
        <v>1009</v>
      </c>
      <c r="B3512" t="s">
        <v>119</v>
      </c>
      <c r="C3512" t="s">
        <v>24</v>
      </c>
      <c r="D3512">
        <v>0.18757183174169589</v>
      </c>
      <c r="E3512">
        <v>535</v>
      </c>
      <c r="F3512">
        <v>100</v>
      </c>
    </row>
    <row r="3513" spans="1:6">
      <c r="A3513" t="s">
        <v>118</v>
      </c>
      <c r="B3513" t="s">
        <v>120</v>
      </c>
      <c r="C3513" t="s">
        <v>24</v>
      </c>
      <c r="D3513">
        <v>0.17445824385195616</v>
      </c>
      <c r="E3513">
        <v>770</v>
      </c>
      <c r="F3513">
        <v>134</v>
      </c>
    </row>
    <row r="3514" spans="1:6">
      <c r="A3514" t="s">
        <v>118</v>
      </c>
      <c r="B3514" t="s">
        <v>118</v>
      </c>
      <c r="C3514" t="s">
        <v>24</v>
      </c>
      <c r="D3514">
        <v>0.16334458454468415</v>
      </c>
      <c r="E3514">
        <v>20296</v>
      </c>
      <c r="F3514">
        <v>3315</v>
      </c>
    </row>
    <row r="3515" spans="1:6">
      <c r="A3515" t="s">
        <v>118</v>
      </c>
      <c r="B3515" t="s">
        <v>121</v>
      </c>
      <c r="C3515" t="s">
        <v>24</v>
      </c>
      <c r="D3515">
        <v>2.3212165365518067E-2</v>
      </c>
      <c r="E3515">
        <v>867</v>
      </c>
      <c r="F3515">
        <v>20</v>
      </c>
    </row>
    <row r="3516" spans="1:6">
      <c r="A3516" t="s">
        <v>118</v>
      </c>
      <c r="B3516" t="s">
        <v>122</v>
      </c>
      <c r="C3516" t="s">
        <v>24</v>
      </c>
      <c r="D3516">
        <v>0.11354062001129527</v>
      </c>
      <c r="E3516">
        <v>525</v>
      </c>
      <c r="F3516">
        <v>60</v>
      </c>
    </row>
    <row r="3517" spans="1:6">
      <c r="A3517" t="s">
        <v>118</v>
      </c>
      <c r="B3517" t="s">
        <v>123</v>
      </c>
      <c r="C3517" t="s">
        <v>24</v>
      </c>
      <c r="D3517">
        <v>5.8232542168631586E-2</v>
      </c>
      <c r="E3517">
        <v>1572</v>
      </c>
      <c r="F3517">
        <v>92</v>
      </c>
    </row>
    <row r="3518" spans="1:6">
      <c r="A3518" t="s">
        <v>118</v>
      </c>
      <c r="B3518" t="s">
        <v>124</v>
      </c>
      <c r="C3518" t="s">
        <v>24</v>
      </c>
      <c r="D3518">
        <v>0.12073902230474974</v>
      </c>
      <c r="E3518">
        <v>253</v>
      </c>
      <c r="F3518">
        <v>31</v>
      </c>
    </row>
    <row r="3519" spans="1:6">
      <c r="A3519" t="s">
        <v>118</v>
      </c>
      <c r="B3519" t="s">
        <v>125</v>
      </c>
      <c r="C3519" t="s">
        <v>24</v>
      </c>
      <c r="D3519">
        <v>2.5319852857165759E-2</v>
      </c>
      <c r="E3519">
        <v>1058</v>
      </c>
      <c r="F3519">
        <v>27</v>
      </c>
    </row>
    <row r="3520" spans="1:6">
      <c r="A3520" t="s">
        <v>118</v>
      </c>
      <c r="B3520" t="s">
        <v>126</v>
      </c>
      <c r="C3520" t="s">
        <v>24</v>
      </c>
      <c r="D3520">
        <v>6.9399894315973668E-2</v>
      </c>
      <c r="E3520">
        <v>667</v>
      </c>
      <c r="F3520">
        <v>46</v>
      </c>
    </row>
    <row r="3521" spans="1:6">
      <c r="A3521" t="s">
        <v>118</v>
      </c>
      <c r="B3521" t="s">
        <v>127</v>
      </c>
      <c r="C3521" t="s">
        <v>24</v>
      </c>
      <c r="D3521">
        <v>9.0089606075981848E-2</v>
      </c>
      <c r="E3521">
        <v>1147</v>
      </c>
      <c r="F3521">
        <v>103</v>
      </c>
    </row>
    <row r="3522" spans="1:6">
      <c r="A3522" t="s">
        <v>118</v>
      </c>
      <c r="B3522" t="s">
        <v>128</v>
      </c>
      <c r="C3522" t="s">
        <v>24</v>
      </c>
      <c r="D3522">
        <v>0.14344403983196075</v>
      </c>
      <c r="E3522">
        <v>1048</v>
      </c>
      <c r="F3522">
        <v>150</v>
      </c>
    </row>
    <row r="3523" spans="1:6">
      <c r="A3523" t="s">
        <v>118</v>
      </c>
      <c r="B3523" t="s">
        <v>129</v>
      </c>
      <c r="C3523" t="s">
        <v>24</v>
      </c>
      <c r="D3523">
        <v>0.11719057035790609</v>
      </c>
      <c r="E3523">
        <v>1054</v>
      </c>
      <c r="F3523">
        <v>124</v>
      </c>
    </row>
    <row r="3524" spans="1:6">
      <c r="A3524" t="s">
        <v>118</v>
      </c>
      <c r="B3524" t="s">
        <v>130</v>
      </c>
      <c r="C3524" t="s">
        <v>24</v>
      </c>
      <c r="D3524">
        <v>7.6687308526577014E-2</v>
      </c>
      <c r="E3524">
        <v>392</v>
      </c>
      <c r="F3524">
        <v>30</v>
      </c>
    </row>
    <row r="3525" spans="1:6">
      <c r="A3525" t="s">
        <v>118</v>
      </c>
      <c r="B3525" t="s">
        <v>131</v>
      </c>
      <c r="C3525" t="s">
        <v>24</v>
      </c>
      <c r="D3525">
        <v>0.11662761296414759</v>
      </c>
      <c r="E3525">
        <v>351</v>
      </c>
      <c r="F3525">
        <v>41</v>
      </c>
    </row>
    <row r="3526" spans="1:6">
      <c r="A3526" t="s">
        <v>118</v>
      </c>
      <c r="B3526" t="s">
        <v>133</v>
      </c>
      <c r="C3526" t="s">
        <v>24</v>
      </c>
      <c r="D3526">
        <v>0.11662197552176422</v>
      </c>
      <c r="E3526">
        <v>444</v>
      </c>
      <c r="F3526">
        <v>52</v>
      </c>
    </row>
    <row r="3527" spans="1:6">
      <c r="A3527" t="s">
        <v>132</v>
      </c>
      <c r="B3527" t="s">
        <v>134</v>
      </c>
      <c r="C3527" t="s">
        <v>24</v>
      </c>
      <c r="D3527">
        <v>2.5483497961830137E-2</v>
      </c>
      <c r="E3527">
        <v>4560</v>
      </c>
      <c r="F3527">
        <v>116</v>
      </c>
    </row>
    <row r="3528" spans="1:6">
      <c r="A3528" t="s">
        <v>132</v>
      </c>
      <c r="B3528" t="s">
        <v>135</v>
      </c>
      <c r="C3528" t="s">
        <v>24</v>
      </c>
      <c r="D3528">
        <v>0.10831833152224242</v>
      </c>
      <c r="E3528">
        <v>1472</v>
      </c>
      <c r="F3528">
        <v>159</v>
      </c>
    </row>
    <row r="3529" spans="1:6">
      <c r="A3529" t="s">
        <v>132</v>
      </c>
      <c r="B3529" t="s">
        <v>136</v>
      </c>
      <c r="C3529" t="s">
        <v>24</v>
      </c>
      <c r="D3529">
        <v>0.17319243545915741</v>
      </c>
      <c r="E3529">
        <v>33255</v>
      </c>
      <c r="F3529">
        <v>5760</v>
      </c>
    </row>
    <row r="3530" spans="1:6">
      <c r="A3530" t="s">
        <v>132</v>
      </c>
      <c r="B3530" t="s">
        <v>137</v>
      </c>
      <c r="C3530" t="s">
        <v>24</v>
      </c>
      <c r="D3530">
        <v>4.8264357668731252E-2</v>
      </c>
      <c r="E3530">
        <v>1653</v>
      </c>
      <c r="F3530">
        <v>80</v>
      </c>
    </row>
    <row r="3531" spans="1:6">
      <c r="A3531" t="s">
        <v>132</v>
      </c>
      <c r="B3531" t="s">
        <v>138</v>
      </c>
      <c r="C3531" t="s">
        <v>24</v>
      </c>
      <c r="D3531">
        <v>5.2295491914220338E-2</v>
      </c>
      <c r="E3531">
        <v>3192</v>
      </c>
      <c r="F3531">
        <v>167</v>
      </c>
    </row>
    <row r="3532" spans="1:6">
      <c r="A3532" t="s">
        <v>132</v>
      </c>
      <c r="B3532" t="s">
        <v>139</v>
      </c>
      <c r="C3532" t="s">
        <v>24</v>
      </c>
      <c r="D3532">
        <v>7.0558326246980427E-2</v>
      </c>
      <c r="E3532">
        <v>3243</v>
      </c>
      <c r="F3532">
        <v>229</v>
      </c>
    </row>
    <row r="3533" spans="1:6">
      <c r="A3533" t="s">
        <v>132</v>
      </c>
      <c r="B3533" t="s">
        <v>140</v>
      </c>
      <c r="C3533" t="s">
        <v>24</v>
      </c>
      <c r="D3533">
        <v>8.8222339752974666E-4</v>
      </c>
      <c r="E3533">
        <v>1600</v>
      </c>
      <c r="F3533">
        <v>1</v>
      </c>
    </row>
    <row r="3534" spans="1:6">
      <c r="A3534" t="s">
        <v>132</v>
      </c>
      <c r="B3534" t="s">
        <v>141</v>
      </c>
      <c r="C3534" t="s">
        <v>24</v>
      </c>
      <c r="D3534">
        <v>5.1234145616080952E-2</v>
      </c>
      <c r="E3534">
        <v>5870</v>
      </c>
      <c r="F3534">
        <v>301</v>
      </c>
    </row>
    <row r="3535" spans="1:6">
      <c r="A3535" t="s">
        <v>132</v>
      </c>
      <c r="B3535" t="s">
        <v>142</v>
      </c>
      <c r="C3535" t="s">
        <v>24</v>
      </c>
      <c r="D3535">
        <v>0.13572557221149836</v>
      </c>
      <c r="E3535">
        <v>356</v>
      </c>
      <c r="F3535">
        <v>48</v>
      </c>
    </row>
    <row r="3536" spans="1:6">
      <c r="A3536" t="s">
        <v>132</v>
      </c>
      <c r="B3536" t="s">
        <v>143</v>
      </c>
      <c r="C3536" t="s">
        <v>24</v>
      </c>
      <c r="D3536">
        <v>8.2174888465959217E-2</v>
      </c>
      <c r="E3536">
        <v>1313</v>
      </c>
      <c r="F3536">
        <v>108</v>
      </c>
    </row>
    <row r="3537" spans="1:6">
      <c r="A3537" t="s">
        <v>132</v>
      </c>
      <c r="B3537" t="s">
        <v>144</v>
      </c>
      <c r="C3537" t="s">
        <v>24</v>
      </c>
      <c r="D3537">
        <v>1.580108500219286E-2</v>
      </c>
      <c r="E3537">
        <v>1432</v>
      </c>
      <c r="F3537">
        <v>23</v>
      </c>
    </row>
    <row r="3538" spans="1:6">
      <c r="A3538" t="s">
        <v>132</v>
      </c>
      <c r="B3538" t="s">
        <v>145</v>
      </c>
      <c r="C3538" t="s">
        <v>24</v>
      </c>
      <c r="D3538">
        <v>7.4156019739502407E-2</v>
      </c>
      <c r="E3538">
        <v>2260</v>
      </c>
      <c r="F3538">
        <v>168</v>
      </c>
    </row>
    <row r="3539" spans="1:6">
      <c r="A3539" t="s">
        <v>132</v>
      </c>
      <c r="B3539" t="s">
        <v>146</v>
      </c>
      <c r="C3539" t="s">
        <v>24</v>
      </c>
      <c r="D3539">
        <v>0.12557847923148757</v>
      </c>
      <c r="E3539">
        <v>1909</v>
      </c>
      <c r="F3539">
        <v>240</v>
      </c>
    </row>
    <row r="3540" spans="1:6">
      <c r="A3540" t="s">
        <v>132</v>
      </c>
      <c r="B3540" t="s">
        <v>147</v>
      </c>
      <c r="C3540" t="s">
        <v>24</v>
      </c>
      <c r="D3540">
        <v>4.1403420821733851E-2</v>
      </c>
      <c r="E3540">
        <v>1760</v>
      </c>
      <c r="F3540">
        <v>73</v>
      </c>
    </row>
    <row r="3541" spans="1:6">
      <c r="A3541" t="s">
        <v>132</v>
      </c>
      <c r="B3541" t="s">
        <v>148</v>
      </c>
      <c r="C3541" t="s">
        <v>24</v>
      </c>
      <c r="D3541">
        <v>0.16549473129588652</v>
      </c>
      <c r="E3541">
        <v>599</v>
      </c>
      <c r="F3541">
        <v>99</v>
      </c>
    </row>
    <row r="3542" spans="1:6">
      <c r="A3542" t="s">
        <v>132</v>
      </c>
      <c r="B3542" t="s">
        <v>149</v>
      </c>
      <c r="C3542" t="s">
        <v>24</v>
      </c>
      <c r="D3542">
        <v>5.8608104822525278E-2</v>
      </c>
      <c r="E3542">
        <v>1046</v>
      </c>
      <c r="F3542">
        <v>61</v>
      </c>
    </row>
    <row r="3543" spans="1:6">
      <c r="A3543" t="s">
        <v>132</v>
      </c>
      <c r="B3543" t="s">
        <v>150</v>
      </c>
      <c r="C3543" t="s">
        <v>24</v>
      </c>
      <c r="D3543">
        <v>0.13944525935121144</v>
      </c>
      <c r="E3543">
        <v>406</v>
      </c>
      <c r="F3543">
        <v>57</v>
      </c>
    </row>
    <row r="3544" spans="1:6">
      <c r="A3544" t="s">
        <v>132</v>
      </c>
      <c r="B3544" t="s">
        <v>151</v>
      </c>
      <c r="C3544" t="s">
        <v>24</v>
      </c>
      <c r="D3544">
        <v>9.630977316661915E-2</v>
      </c>
      <c r="E3544">
        <v>404</v>
      </c>
      <c r="F3544">
        <v>39</v>
      </c>
    </row>
    <row r="3545" spans="1:6">
      <c r="A3545" t="s">
        <v>132</v>
      </c>
      <c r="B3545" t="s">
        <v>152</v>
      </c>
      <c r="C3545" t="s">
        <v>24</v>
      </c>
      <c r="D3545">
        <v>3.7759564408223256E-2</v>
      </c>
      <c r="E3545">
        <v>422</v>
      </c>
      <c r="F3545">
        <v>16</v>
      </c>
    </row>
    <row r="3546" spans="1:6">
      <c r="A3546" t="s">
        <v>132</v>
      </c>
      <c r="B3546" t="s">
        <v>153</v>
      </c>
      <c r="C3546" t="s">
        <v>24</v>
      </c>
      <c r="D3546">
        <v>1.3849623844729431E-2</v>
      </c>
      <c r="E3546">
        <v>677</v>
      </c>
      <c r="F3546">
        <v>9</v>
      </c>
    </row>
    <row r="3547" spans="1:6">
      <c r="A3547" t="s">
        <v>132</v>
      </c>
      <c r="B3547" t="s">
        <v>154</v>
      </c>
      <c r="C3547" t="s">
        <v>24</v>
      </c>
      <c r="D3547">
        <v>0.10594675138441918</v>
      </c>
      <c r="E3547">
        <v>484</v>
      </c>
      <c r="F3547">
        <v>51</v>
      </c>
    </row>
    <row r="3548" spans="1:6">
      <c r="A3548" t="s">
        <v>132</v>
      </c>
      <c r="B3548" t="s">
        <v>155</v>
      </c>
      <c r="C3548" t="s">
        <v>24</v>
      </c>
      <c r="D3548">
        <v>0.1706648589218297</v>
      </c>
      <c r="E3548">
        <v>115</v>
      </c>
      <c r="F3548">
        <v>20</v>
      </c>
    </row>
    <row r="3549" spans="1:6">
      <c r="A3549" t="s">
        <v>132</v>
      </c>
      <c r="B3549" t="s">
        <v>156</v>
      </c>
      <c r="C3549" t="s">
        <v>24</v>
      </c>
      <c r="D3549">
        <v>0.12001173209879031</v>
      </c>
      <c r="E3549">
        <v>164</v>
      </c>
      <c r="F3549">
        <v>20</v>
      </c>
    </row>
    <row r="3550" spans="1:6">
      <c r="A3550" t="s">
        <v>132</v>
      </c>
      <c r="B3550" t="s">
        <v>157</v>
      </c>
      <c r="C3550" t="s">
        <v>24</v>
      </c>
      <c r="D3550">
        <v>4.2762184392726943E-2</v>
      </c>
      <c r="E3550">
        <v>842</v>
      </c>
      <c r="F3550">
        <v>36</v>
      </c>
    </row>
    <row r="3551" spans="1:6">
      <c r="A3551" t="s">
        <v>132</v>
      </c>
      <c r="B3551" t="s">
        <v>158</v>
      </c>
      <c r="C3551" t="s">
        <v>24</v>
      </c>
      <c r="D3551">
        <v>2.7548432950084425E-2</v>
      </c>
      <c r="E3551">
        <v>466</v>
      </c>
      <c r="F3551">
        <v>13</v>
      </c>
    </row>
    <row r="3552" spans="1:6">
      <c r="A3552" t="s">
        <v>132</v>
      </c>
      <c r="B3552" t="s">
        <v>159</v>
      </c>
      <c r="C3552" t="s">
        <v>24</v>
      </c>
      <c r="D3552">
        <v>0.13213175259841556</v>
      </c>
      <c r="E3552">
        <v>518</v>
      </c>
      <c r="F3552">
        <v>68</v>
      </c>
    </row>
    <row r="3553" spans="1:6">
      <c r="A3553" t="s">
        <v>132</v>
      </c>
      <c r="B3553" t="s">
        <v>161</v>
      </c>
      <c r="C3553" t="s">
        <v>24</v>
      </c>
      <c r="D3553">
        <v>2.846890418231527E-2</v>
      </c>
      <c r="E3553">
        <v>2539</v>
      </c>
      <c r="F3553">
        <v>72</v>
      </c>
    </row>
    <row r="3554" spans="1:6">
      <c r="A3554" t="s">
        <v>160</v>
      </c>
      <c r="B3554" t="s">
        <v>162</v>
      </c>
      <c r="C3554" t="s">
        <v>24</v>
      </c>
      <c r="D3554">
        <v>0.13786051889669165</v>
      </c>
      <c r="E3554">
        <v>1578</v>
      </c>
      <c r="F3554">
        <v>218</v>
      </c>
    </row>
    <row r="3555" spans="1:6">
      <c r="A3555" t="s">
        <v>160</v>
      </c>
      <c r="B3555" t="s">
        <v>163</v>
      </c>
      <c r="C3555" t="s">
        <v>24</v>
      </c>
      <c r="D3555">
        <v>6.293540061420265E-2</v>
      </c>
      <c r="E3555">
        <v>972</v>
      </c>
      <c r="F3555">
        <v>61</v>
      </c>
    </row>
    <row r="3556" spans="1:6">
      <c r="A3556" t="s">
        <v>160</v>
      </c>
      <c r="B3556" t="s">
        <v>164</v>
      </c>
      <c r="C3556" t="s">
        <v>24</v>
      </c>
      <c r="D3556">
        <v>0.10432876731822123</v>
      </c>
      <c r="E3556">
        <v>1146</v>
      </c>
      <c r="F3556">
        <v>120</v>
      </c>
    </row>
    <row r="3557" spans="1:6">
      <c r="A3557" t="s">
        <v>160</v>
      </c>
      <c r="B3557" t="s">
        <v>165</v>
      </c>
      <c r="C3557" t="s">
        <v>24</v>
      </c>
      <c r="D3557">
        <v>8.0620427945705952E-2</v>
      </c>
      <c r="E3557">
        <v>4174</v>
      </c>
      <c r="F3557">
        <v>337</v>
      </c>
    </row>
    <row r="3558" spans="1:6">
      <c r="A3558" t="s">
        <v>160</v>
      </c>
      <c r="B3558" t="s">
        <v>166</v>
      </c>
      <c r="C3558" t="s">
        <v>24</v>
      </c>
      <c r="D3558">
        <v>8.5240495857661247E-2</v>
      </c>
      <c r="E3558">
        <v>1943</v>
      </c>
      <c r="F3558">
        <v>166</v>
      </c>
    </row>
    <row r="3559" spans="1:6">
      <c r="A3559" t="s">
        <v>160</v>
      </c>
      <c r="B3559" t="s">
        <v>167</v>
      </c>
      <c r="C3559" t="s">
        <v>24</v>
      </c>
      <c r="D3559">
        <v>0.15456510494372777</v>
      </c>
      <c r="E3559">
        <v>1126</v>
      </c>
      <c r="F3559">
        <v>174</v>
      </c>
    </row>
    <row r="3560" spans="1:6">
      <c r="A3560" t="s">
        <v>160</v>
      </c>
      <c r="B3560" t="s">
        <v>168</v>
      </c>
      <c r="C3560" t="s">
        <v>24</v>
      </c>
      <c r="D3560">
        <v>0.19032677749978499</v>
      </c>
      <c r="E3560">
        <v>53026</v>
      </c>
      <c r="F3560">
        <v>10092</v>
      </c>
    </row>
    <row r="3561" spans="1:6">
      <c r="A3561" t="s">
        <v>160</v>
      </c>
      <c r="B3561" t="s">
        <v>169</v>
      </c>
      <c r="C3561" t="s">
        <v>24</v>
      </c>
      <c r="D3561">
        <v>0.12430678662186304</v>
      </c>
      <c r="E3561">
        <v>4282</v>
      </c>
      <c r="F3561">
        <v>532</v>
      </c>
    </row>
    <row r="3562" spans="1:6">
      <c r="A3562" t="s">
        <v>160</v>
      </c>
      <c r="B3562" t="s">
        <v>170</v>
      </c>
      <c r="C3562" t="s">
        <v>24</v>
      </c>
      <c r="D3562">
        <v>2.7757377568717791E-2</v>
      </c>
      <c r="E3562">
        <v>1400</v>
      </c>
      <c r="F3562">
        <v>39</v>
      </c>
    </row>
    <row r="3563" spans="1:6">
      <c r="A3563" t="s">
        <v>160</v>
      </c>
      <c r="B3563" t="s">
        <v>171</v>
      </c>
      <c r="C3563" t="s">
        <v>24</v>
      </c>
      <c r="D3563">
        <v>0.11040536335514035</v>
      </c>
      <c r="E3563">
        <v>2652</v>
      </c>
      <c r="F3563">
        <v>293</v>
      </c>
    </row>
    <row r="3564" spans="1:6">
      <c r="A3564" t="s">
        <v>160</v>
      </c>
      <c r="B3564" t="s">
        <v>172</v>
      </c>
      <c r="C3564" t="s">
        <v>24</v>
      </c>
      <c r="D3564">
        <v>0.16832727352541429</v>
      </c>
      <c r="E3564">
        <v>1206</v>
      </c>
      <c r="F3564">
        <v>203</v>
      </c>
    </row>
    <row r="3565" spans="1:6">
      <c r="A3565" t="s">
        <v>160</v>
      </c>
      <c r="B3565" t="s">
        <v>173</v>
      </c>
      <c r="C3565" t="s">
        <v>24</v>
      </c>
      <c r="D3565">
        <v>0.13088165292596071</v>
      </c>
      <c r="E3565">
        <v>3020</v>
      </c>
      <c r="F3565">
        <v>395</v>
      </c>
    </row>
    <row r="3566" spans="1:6">
      <c r="A3566" t="s">
        <v>160</v>
      </c>
      <c r="B3566" t="s">
        <v>174</v>
      </c>
      <c r="C3566" t="s">
        <v>24</v>
      </c>
      <c r="D3566">
        <v>0.16870040236920456</v>
      </c>
      <c r="E3566">
        <v>1679</v>
      </c>
      <c r="F3566">
        <v>283</v>
      </c>
    </row>
    <row r="3567" spans="1:6">
      <c r="A3567" t="s">
        <v>160</v>
      </c>
      <c r="B3567" t="s">
        <v>175</v>
      </c>
      <c r="C3567" t="s">
        <v>24</v>
      </c>
      <c r="D3567">
        <v>0.15201539091469682</v>
      </c>
      <c r="E3567">
        <v>600</v>
      </c>
      <c r="F3567">
        <v>91</v>
      </c>
    </row>
    <row r="3568" spans="1:6">
      <c r="A3568" t="s">
        <v>160</v>
      </c>
      <c r="B3568" t="s">
        <v>176</v>
      </c>
      <c r="C3568" t="s">
        <v>24</v>
      </c>
      <c r="D3568">
        <v>5.5823378780485378E-2</v>
      </c>
      <c r="E3568">
        <v>1899</v>
      </c>
      <c r="F3568">
        <v>106</v>
      </c>
    </row>
    <row r="3569" spans="1:6">
      <c r="A3569" t="s">
        <v>160</v>
      </c>
      <c r="B3569" t="s">
        <v>177</v>
      </c>
      <c r="C3569" t="s">
        <v>24</v>
      </c>
      <c r="D3569">
        <v>0.16997920232927208</v>
      </c>
      <c r="E3569">
        <v>851</v>
      </c>
      <c r="F3569">
        <v>145</v>
      </c>
    </row>
    <row r="3570" spans="1:6">
      <c r="A3570" t="s">
        <v>160</v>
      </c>
      <c r="B3570" t="s">
        <v>178</v>
      </c>
      <c r="C3570" t="s">
        <v>24</v>
      </c>
      <c r="D3570">
        <v>5.0588897267555159E-2</v>
      </c>
      <c r="E3570">
        <v>698</v>
      </c>
      <c r="F3570">
        <v>35</v>
      </c>
    </row>
    <row r="3571" spans="1:6">
      <c r="A3571" t="s">
        <v>160</v>
      </c>
      <c r="B3571" t="s">
        <v>179</v>
      </c>
      <c r="C3571" t="s">
        <v>24</v>
      </c>
      <c r="D3571">
        <v>2.4997254062522446E-2</v>
      </c>
      <c r="E3571">
        <v>759</v>
      </c>
      <c r="F3571">
        <v>19</v>
      </c>
    </row>
    <row r="3572" spans="1:6">
      <c r="A3572" t="s">
        <v>160</v>
      </c>
      <c r="B3572" t="s">
        <v>180</v>
      </c>
      <c r="C3572" t="s">
        <v>24</v>
      </c>
      <c r="D3572">
        <v>0.1513554243852713</v>
      </c>
      <c r="E3572">
        <v>515</v>
      </c>
      <c r="F3572">
        <v>78</v>
      </c>
    </row>
    <row r="3573" spans="1:6">
      <c r="A3573" t="s">
        <v>160</v>
      </c>
      <c r="B3573" t="s">
        <v>181</v>
      </c>
      <c r="C3573" t="s">
        <v>24</v>
      </c>
      <c r="D3573">
        <v>0.17461300542558214</v>
      </c>
      <c r="E3573">
        <v>386</v>
      </c>
      <c r="F3573">
        <v>67</v>
      </c>
    </row>
    <row r="3574" spans="1:6">
      <c r="A3574" t="s">
        <v>160</v>
      </c>
      <c r="B3574" t="s">
        <v>182</v>
      </c>
      <c r="C3574" t="s">
        <v>24</v>
      </c>
      <c r="D3574">
        <v>0.10319369891023039</v>
      </c>
      <c r="E3574">
        <v>1007</v>
      </c>
      <c r="F3574">
        <v>104</v>
      </c>
    </row>
    <row r="3575" spans="1:6">
      <c r="A3575" t="s">
        <v>160</v>
      </c>
      <c r="B3575" t="s">
        <v>183</v>
      </c>
      <c r="C3575" t="s">
        <v>24</v>
      </c>
      <c r="D3575">
        <v>0.19246188440996592</v>
      </c>
      <c r="E3575">
        <v>313</v>
      </c>
      <c r="F3575">
        <v>60</v>
      </c>
    </row>
    <row r="3576" spans="1:6">
      <c r="A3576" t="s">
        <v>160</v>
      </c>
      <c r="B3576" t="s">
        <v>184</v>
      </c>
      <c r="C3576" t="s">
        <v>24</v>
      </c>
      <c r="D3576">
        <v>0.16443595159726354</v>
      </c>
      <c r="E3576">
        <v>730</v>
      </c>
      <c r="F3576">
        <v>120</v>
      </c>
    </row>
    <row r="3577" spans="1:6">
      <c r="A3577" t="s">
        <v>160</v>
      </c>
      <c r="B3577" t="s">
        <v>185</v>
      </c>
      <c r="C3577" t="s">
        <v>24</v>
      </c>
      <c r="D3577">
        <v>5.7168947963453842E-2</v>
      </c>
      <c r="E3577">
        <v>508</v>
      </c>
      <c r="F3577">
        <v>29</v>
      </c>
    </row>
    <row r="3578" spans="1:6">
      <c r="A3578" t="s">
        <v>160</v>
      </c>
      <c r="B3578" t="s">
        <v>186</v>
      </c>
      <c r="C3578" t="s">
        <v>24</v>
      </c>
      <c r="D3578">
        <v>0.12114818772332388</v>
      </c>
      <c r="E3578">
        <v>639</v>
      </c>
      <c r="F3578">
        <v>77</v>
      </c>
    </row>
    <row r="3579" spans="1:6">
      <c r="A3579" t="s">
        <v>160</v>
      </c>
      <c r="B3579" t="s">
        <v>187</v>
      </c>
      <c r="C3579" t="s">
        <v>24</v>
      </c>
      <c r="D3579">
        <v>4.8287355605147741E-3</v>
      </c>
      <c r="E3579">
        <v>343</v>
      </c>
      <c r="F3579">
        <v>2</v>
      </c>
    </row>
    <row r="3580" spans="1:6">
      <c r="A3580" t="s">
        <v>160</v>
      </c>
      <c r="B3580" t="s">
        <v>188</v>
      </c>
      <c r="C3580" t="s">
        <v>24</v>
      </c>
      <c r="D3580">
        <v>0.14221813167962202</v>
      </c>
      <c r="E3580">
        <v>2322</v>
      </c>
      <c r="F3580">
        <v>330</v>
      </c>
    </row>
    <row r="3581" spans="1:6">
      <c r="A3581" t="s">
        <v>160</v>
      </c>
      <c r="B3581" t="s">
        <v>189</v>
      </c>
      <c r="C3581" t="s">
        <v>24</v>
      </c>
      <c r="D3581">
        <v>6.6803650741690576E-2</v>
      </c>
      <c r="E3581">
        <v>1068</v>
      </c>
      <c r="F3581">
        <v>71</v>
      </c>
    </row>
    <row r="3582" spans="1:6">
      <c r="A3582" t="s">
        <v>160</v>
      </c>
      <c r="B3582" t="s">
        <v>191</v>
      </c>
      <c r="C3582" t="s">
        <v>24</v>
      </c>
      <c r="D3582">
        <v>2.5831396077596682E-2</v>
      </c>
      <c r="E3582">
        <v>910</v>
      </c>
      <c r="F3582">
        <v>24</v>
      </c>
    </row>
    <row r="3583" spans="1:6">
      <c r="A3583" t="s">
        <v>190</v>
      </c>
      <c r="B3583" t="s">
        <v>192</v>
      </c>
      <c r="C3583" t="s">
        <v>24</v>
      </c>
      <c r="D3583">
        <v>0.18225006139369423</v>
      </c>
      <c r="E3583">
        <v>1261</v>
      </c>
      <c r="F3583">
        <v>230</v>
      </c>
    </row>
    <row r="3584" spans="1:6">
      <c r="A3584" t="s">
        <v>190</v>
      </c>
      <c r="B3584" t="s">
        <v>193</v>
      </c>
      <c r="C3584" t="s">
        <v>24</v>
      </c>
      <c r="D3584">
        <v>3.8341665723556045E-2</v>
      </c>
      <c r="E3584">
        <v>2654</v>
      </c>
      <c r="F3584">
        <v>102</v>
      </c>
    </row>
    <row r="3585" spans="1:6">
      <c r="A3585" t="s">
        <v>190</v>
      </c>
      <c r="B3585" t="s">
        <v>194</v>
      </c>
      <c r="C3585" t="s">
        <v>24</v>
      </c>
      <c r="D3585">
        <v>2.7366074284667464E-2</v>
      </c>
      <c r="E3585">
        <v>4073</v>
      </c>
      <c r="F3585">
        <v>111</v>
      </c>
    </row>
    <row r="3586" spans="1:6">
      <c r="A3586" t="s">
        <v>190</v>
      </c>
      <c r="B3586" t="s">
        <v>195</v>
      </c>
      <c r="C3586" t="s">
        <v>24</v>
      </c>
      <c r="D3586">
        <v>0.17410887144220843</v>
      </c>
      <c r="E3586">
        <v>4851</v>
      </c>
      <c r="F3586">
        <v>845</v>
      </c>
    </row>
    <row r="3587" spans="1:6">
      <c r="A3587" t="s">
        <v>190</v>
      </c>
      <c r="B3587" t="s">
        <v>196</v>
      </c>
      <c r="C3587" t="s">
        <v>24</v>
      </c>
      <c r="D3587">
        <v>0.15528354338230144</v>
      </c>
      <c r="E3587">
        <v>1949</v>
      </c>
      <c r="F3587">
        <v>303</v>
      </c>
    </row>
    <row r="3588" spans="1:6">
      <c r="A3588" t="s">
        <v>190</v>
      </c>
      <c r="B3588" t="s">
        <v>197</v>
      </c>
      <c r="C3588" t="s">
        <v>24</v>
      </c>
      <c r="D3588">
        <v>0.11393698881136033</v>
      </c>
      <c r="E3588">
        <v>3728</v>
      </c>
      <c r="F3588">
        <v>425</v>
      </c>
    </row>
    <row r="3589" spans="1:6">
      <c r="A3589" t="s">
        <v>190</v>
      </c>
      <c r="B3589" t="s">
        <v>198</v>
      </c>
      <c r="C3589" t="s">
        <v>24</v>
      </c>
      <c r="D3589">
        <v>5.3765293414430017E-2</v>
      </c>
      <c r="E3589">
        <v>1102</v>
      </c>
      <c r="F3589">
        <v>59</v>
      </c>
    </row>
    <row r="3590" spans="1:6">
      <c r="A3590" t="s">
        <v>190</v>
      </c>
      <c r="B3590" t="s">
        <v>190</v>
      </c>
      <c r="C3590" t="s">
        <v>24</v>
      </c>
      <c r="D3590">
        <v>0.11437270889670643</v>
      </c>
      <c r="E3590">
        <v>20991</v>
      </c>
      <c r="F3590">
        <v>2401</v>
      </c>
    </row>
    <row r="3591" spans="1:6">
      <c r="A3591" t="s">
        <v>190</v>
      </c>
      <c r="B3591" t="s">
        <v>199</v>
      </c>
      <c r="C3591" t="s">
        <v>24</v>
      </c>
      <c r="D3591">
        <v>0.12892190745483742</v>
      </c>
      <c r="E3591">
        <v>1034</v>
      </c>
      <c r="F3591">
        <v>133</v>
      </c>
    </row>
    <row r="3592" spans="1:6">
      <c r="A3592" t="s">
        <v>190</v>
      </c>
      <c r="B3592" t="s">
        <v>200</v>
      </c>
      <c r="C3592" t="s">
        <v>24</v>
      </c>
      <c r="D3592">
        <v>0.13095810089737611</v>
      </c>
      <c r="E3592">
        <v>1348</v>
      </c>
      <c r="F3592">
        <v>177</v>
      </c>
    </row>
    <row r="3593" spans="1:6">
      <c r="A3593" t="s">
        <v>190</v>
      </c>
      <c r="B3593" t="s">
        <v>201</v>
      </c>
      <c r="C3593" t="s">
        <v>24</v>
      </c>
      <c r="D3593">
        <v>5.0682012540709254E-2</v>
      </c>
      <c r="E3593">
        <v>715</v>
      </c>
      <c r="F3593">
        <v>36</v>
      </c>
    </row>
    <row r="3594" spans="1:6">
      <c r="A3594" t="s">
        <v>190</v>
      </c>
      <c r="B3594" t="s">
        <v>202</v>
      </c>
      <c r="C3594" t="s">
        <v>24</v>
      </c>
      <c r="D3594">
        <v>5.0041377707451519E-2</v>
      </c>
      <c r="E3594">
        <v>481</v>
      </c>
      <c r="F3594">
        <v>24</v>
      </c>
    </row>
    <row r="3595" spans="1:6">
      <c r="A3595" t="s">
        <v>190</v>
      </c>
      <c r="B3595" t="s">
        <v>203</v>
      </c>
      <c r="C3595" t="s">
        <v>24</v>
      </c>
      <c r="D3595">
        <v>0.1742601790209769</v>
      </c>
      <c r="E3595">
        <v>566</v>
      </c>
      <c r="F3595">
        <v>99</v>
      </c>
    </row>
    <row r="3596" spans="1:6">
      <c r="A3596" t="s">
        <v>190</v>
      </c>
      <c r="B3596" t="s">
        <v>204</v>
      </c>
      <c r="C3596" t="s">
        <v>24</v>
      </c>
      <c r="D3596">
        <v>3.1090483120261195E-3</v>
      </c>
      <c r="E3596">
        <v>279</v>
      </c>
      <c r="F3596">
        <v>1</v>
      </c>
    </row>
    <row r="3597" spans="1:6">
      <c r="A3597" t="s">
        <v>190</v>
      </c>
      <c r="B3597" t="s">
        <v>205</v>
      </c>
      <c r="C3597" t="s">
        <v>24</v>
      </c>
      <c r="D3597">
        <v>4.3518094724581012E-3</v>
      </c>
      <c r="E3597">
        <v>368</v>
      </c>
      <c r="F3597">
        <v>2</v>
      </c>
    </row>
    <row r="3598" spans="1:6">
      <c r="A3598" t="s">
        <v>190</v>
      </c>
      <c r="B3598" t="s">
        <v>206</v>
      </c>
      <c r="C3598" t="s">
        <v>24</v>
      </c>
      <c r="D3598">
        <v>9.8888595170902663E-3</v>
      </c>
      <c r="E3598">
        <v>543</v>
      </c>
      <c r="F3598">
        <v>5</v>
      </c>
    </row>
    <row r="3599" spans="1:6">
      <c r="A3599" t="s">
        <v>190</v>
      </c>
      <c r="B3599" t="s">
        <v>207</v>
      </c>
      <c r="C3599" t="s">
        <v>24</v>
      </c>
      <c r="D3599">
        <v>2.2381220182985606E-2</v>
      </c>
      <c r="E3599">
        <v>378</v>
      </c>
      <c r="F3599">
        <v>8</v>
      </c>
    </row>
    <row r="3600" spans="1:6">
      <c r="A3600" t="s">
        <v>190</v>
      </c>
      <c r="B3600" t="s">
        <v>208</v>
      </c>
      <c r="C3600" t="s">
        <v>24</v>
      </c>
      <c r="D3600">
        <v>2.9272481050894351E-2</v>
      </c>
      <c r="E3600">
        <v>320</v>
      </c>
      <c r="F3600">
        <v>9</v>
      </c>
    </row>
    <row r="3601" spans="1:6">
      <c r="A3601" t="s">
        <v>190</v>
      </c>
      <c r="B3601" t="s">
        <v>209</v>
      </c>
      <c r="C3601" t="s">
        <v>24</v>
      </c>
      <c r="D3601">
        <v>4.949374438398213E-2</v>
      </c>
      <c r="E3601">
        <v>265</v>
      </c>
      <c r="F3601">
        <v>13</v>
      </c>
    </row>
    <row r="3602" spans="1:6">
      <c r="A3602" t="s">
        <v>190</v>
      </c>
      <c r="B3602" t="s">
        <v>210</v>
      </c>
      <c r="C3602" t="s">
        <v>24</v>
      </c>
      <c r="D3602">
        <v>1.2404837872012587E-2</v>
      </c>
      <c r="E3602">
        <v>487</v>
      </c>
      <c r="F3602">
        <v>6</v>
      </c>
    </row>
    <row r="3603" spans="1:6">
      <c r="A3603" t="s">
        <v>190</v>
      </c>
      <c r="B3603" t="s">
        <v>211</v>
      </c>
      <c r="C3603" t="s">
        <v>24</v>
      </c>
      <c r="D3603">
        <v>0.10767833367584104</v>
      </c>
      <c r="E3603">
        <v>426</v>
      </c>
      <c r="F3603">
        <v>46</v>
      </c>
    </row>
    <row r="3604" spans="1:6">
      <c r="A3604" t="s">
        <v>190</v>
      </c>
      <c r="B3604" t="s">
        <v>212</v>
      </c>
      <c r="C3604" t="s">
        <v>24</v>
      </c>
      <c r="D3604">
        <v>7.597691766054733E-2</v>
      </c>
      <c r="E3604">
        <v>151</v>
      </c>
      <c r="F3604">
        <v>11</v>
      </c>
    </row>
    <row r="3605" spans="1:6">
      <c r="A3605" t="s">
        <v>190</v>
      </c>
      <c r="B3605" t="s">
        <v>214</v>
      </c>
      <c r="C3605" t="s">
        <v>24</v>
      </c>
      <c r="D3605">
        <v>0.12097306180325905</v>
      </c>
      <c r="E3605">
        <v>481</v>
      </c>
      <c r="F3605">
        <v>58</v>
      </c>
    </row>
    <row r="3606" spans="1:6">
      <c r="A3606" t="s">
        <v>1012</v>
      </c>
      <c r="B3606" t="s">
        <v>215</v>
      </c>
      <c r="C3606" t="s">
        <v>24</v>
      </c>
      <c r="D3606">
        <v>0.1352980720899499</v>
      </c>
      <c r="E3606">
        <v>2213</v>
      </c>
      <c r="F3606">
        <v>299</v>
      </c>
    </row>
    <row r="3607" spans="1:6">
      <c r="A3607" t="s">
        <v>1012</v>
      </c>
      <c r="B3607" t="s">
        <v>216</v>
      </c>
      <c r="C3607" t="s">
        <v>24</v>
      </c>
      <c r="D3607">
        <v>5.9444580143348129E-2</v>
      </c>
      <c r="E3607">
        <v>944</v>
      </c>
      <c r="F3607">
        <v>56</v>
      </c>
    </row>
    <row r="3608" spans="1:6">
      <c r="A3608" t="s">
        <v>1012</v>
      </c>
      <c r="B3608" t="s">
        <v>217</v>
      </c>
      <c r="C3608" t="s">
        <v>24</v>
      </c>
      <c r="D3608">
        <v>0.14289540750566715</v>
      </c>
      <c r="E3608">
        <v>1504</v>
      </c>
      <c r="F3608">
        <v>215</v>
      </c>
    </row>
    <row r="3609" spans="1:6">
      <c r="A3609" t="s">
        <v>1012</v>
      </c>
      <c r="B3609" t="s">
        <v>218</v>
      </c>
      <c r="C3609" t="s">
        <v>24</v>
      </c>
      <c r="D3609">
        <v>3.162346593743726E-3</v>
      </c>
      <c r="E3609">
        <v>1058</v>
      </c>
      <c r="F3609">
        <v>3</v>
      </c>
    </row>
    <row r="3610" spans="1:6">
      <c r="A3610" t="s">
        <v>1012</v>
      </c>
      <c r="B3610" t="s">
        <v>219</v>
      </c>
      <c r="C3610" t="s">
        <v>24</v>
      </c>
      <c r="D3610">
        <v>0.12521509761374547</v>
      </c>
      <c r="E3610">
        <v>5447</v>
      </c>
      <c r="F3610">
        <v>682</v>
      </c>
    </row>
    <row r="3611" spans="1:6">
      <c r="A3611" t="s">
        <v>1012</v>
      </c>
      <c r="B3611" t="s">
        <v>220</v>
      </c>
      <c r="C3611" t="s">
        <v>24</v>
      </c>
      <c r="D3611">
        <v>4.2625391728982831E-2</v>
      </c>
      <c r="E3611">
        <v>2342</v>
      </c>
      <c r="F3611">
        <v>100</v>
      </c>
    </row>
    <row r="3612" spans="1:6">
      <c r="A3612" t="s">
        <v>1012</v>
      </c>
      <c r="B3612" t="s">
        <v>221</v>
      </c>
      <c r="C3612" t="s">
        <v>24</v>
      </c>
      <c r="D3612">
        <v>0.10577340573925126</v>
      </c>
      <c r="E3612">
        <v>2329</v>
      </c>
      <c r="F3612">
        <v>246</v>
      </c>
    </row>
    <row r="3613" spans="1:6">
      <c r="A3613" t="s">
        <v>1012</v>
      </c>
      <c r="B3613" t="s">
        <v>222</v>
      </c>
      <c r="C3613" t="s">
        <v>24</v>
      </c>
      <c r="D3613">
        <v>7.445685553246402E-2</v>
      </c>
      <c r="E3613">
        <v>1919</v>
      </c>
      <c r="F3613">
        <v>143</v>
      </c>
    </row>
    <row r="3614" spans="1:6">
      <c r="A3614" t="s">
        <v>1012</v>
      </c>
      <c r="B3614" t="s">
        <v>223</v>
      </c>
      <c r="C3614" t="s">
        <v>24</v>
      </c>
      <c r="D3614">
        <v>0.15063863687849399</v>
      </c>
      <c r="E3614">
        <v>64758</v>
      </c>
      <c r="F3614">
        <v>9755</v>
      </c>
    </row>
    <row r="3615" spans="1:6">
      <c r="A3615" t="s">
        <v>1012</v>
      </c>
      <c r="B3615" t="s">
        <v>224</v>
      </c>
      <c r="C3615" t="s">
        <v>24</v>
      </c>
      <c r="D3615">
        <v>3.9200875845354234E-2</v>
      </c>
      <c r="E3615">
        <v>5469</v>
      </c>
      <c r="F3615">
        <v>214</v>
      </c>
    </row>
    <row r="3616" spans="1:6">
      <c r="A3616" t="s">
        <v>1012</v>
      </c>
      <c r="B3616" t="s">
        <v>225</v>
      </c>
      <c r="C3616" t="s">
        <v>24</v>
      </c>
      <c r="D3616">
        <v>0.16222482720797962</v>
      </c>
      <c r="E3616">
        <v>1784</v>
      </c>
      <c r="F3616">
        <v>289</v>
      </c>
    </row>
    <row r="3617" spans="1:6">
      <c r="A3617" t="s">
        <v>1012</v>
      </c>
      <c r="B3617" t="s">
        <v>226</v>
      </c>
      <c r="C3617" t="s">
        <v>24</v>
      </c>
      <c r="D3617">
        <v>0.10253968146128803</v>
      </c>
      <c r="E3617">
        <v>2941</v>
      </c>
      <c r="F3617">
        <v>302</v>
      </c>
    </row>
    <row r="3618" spans="1:6">
      <c r="A3618" t="s">
        <v>1012</v>
      </c>
      <c r="B3618" t="s">
        <v>227</v>
      </c>
      <c r="C3618" t="s">
        <v>24</v>
      </c>
      <c r="D3618">
        <v>4.4918907029278593E-3</v>
      </c>
      <c r="E3618">
        <v>1326</v>
      </c>
      <c r="F3618">
        <v>6</v>
      </c>
    </row>
    <row r="3619" spans="1:6">
      <c r="A3619" t="s">
        <v>1012</v>
      </c>
      <c r="B3619" t="s">
        <v>228</v>
      </c>
      <c r="C3619" t="s">
        <v>24</v>
      </c>
      <c r="D3619">
        <v>0.15748017382721718</v>
      </c>
      <c r="E3619">
        <v>1459</v>
      </c>
      <c r="F3619">
        <v>230</v>
      </c>
    </row>
    <row r="3620" spans="1:6">
      <c r="A3620" t="s">
        <v>1012</v>
      </c>
      <c r="B3620" t="s">
        <v>229</v>
      </c>
      <c r="C3620" t="s">
        <v>24</v>
      </c>
      <c r="D3620">
        <v>3.1763158817923402E-2</v>
      </c>
      <c r="E3620">
        <v>1130</v>
      </c>
      <c r="F3620">
        <v>36</v>
      </c>
    </row>
    <row r="3621" spans="1:6">
      <c r="A3621" t="s">
        <v>1012</v>
      </c>
      <c r="B3621" t="s">
        <v>230</v>
      </c>
      <c r="C3621" t="s">
        <v>24</v>
      </c>
      <c r="D3621">
        <v>9.0767868313680805E-2</v>
      </c>
      <c r="E3621">
        <v>498</v>
      </c>
      <c r="F3621">
        <v>45</v>
      </c>
    </row>
    <row r="3622" spans="1:6">
      <c r="A3622" t="s">
        <v>1012</v>
      </c>
      <c r="B3622" t="s">
        <v>231</v>
      </c>
      <c r="C3622" t="s">
        <v>24</v>
      </c>
      <c r="D3622">
        <v>0.15656084503609685</v>
      </c>
      <c r="E3622">
        <v>518</v>
      </c>
      <c r="F3622">
        <v>81</v>
      </c>
    </row>
    <row r="3623" spans="1:6">
      <c r="A3623" t="s">
        <v>1012</v>
      </c>
      <c r="B3623" t="s">
        <v>232</v>
      </c>
      <c r="C3623" t="s">
        <v>24</v>
      </c>
      <c r="D3623">
        <v>2.9142683879914144E-2</v>
      </c>
      <c r="E3623">
        <v>369</v>
      </c>
      <c r="F3623">
        <v>11</v>
      </c>
    </row>
    <row r="3624" spans="1:6">
      <c r="A3624" t="s">
        <v>1012</v>
      </c>
      <c r="B3624" t="s">
        <v>233</v>
      </c>
      <c r="C3624" t="s">
        <v>24</v>
      </c>
      <c r="D3624">
        <v>0.17368929176268041</v>
      </c>
      <c r="E3624">
        <v>423</v>
      </c>
      <c r="F3624">
        <v>73</v>
      </c>
    </row>
    <row r="3625" spans="1:6">
      <c r="A3625" t="s">
        <v>1012</v>
      </c>
      <c r="B3625" t="s">
        <v>234</v>
      </c>
      <c r="C3625" t="s">
        <v>24</v>
      </c>
      <c r="D3625">
        <v>8.4405722169833802E-2</v>
      </c>
      <c r="E3625">
        <v>413</v>
      </c>
      <c r="F3625">
        <v>35</v>
      </c>
    </row>
    <row r="3626" spans="1:6">
      <c r="A3626" t="s">
        <v>1012</v>
      </c>
      <c r="B3626" t="s">
        <v>235</v>
      </c>
      <c r="C3626" t="s">
        <v>24</v>
      </c>
      <c r="D3626">
        <v>0.13610492063709817</v>
      </c>
      <c r="E3626">
        <v>623</v>
      </c>
      <c r="F3626">
        <v>85</v>
      </c>
    </row>
    <row r="3627" spans="1:6">
      <c r="A3627" t="s">
        <v>1012</v>
      </c>
      <c r="B3627" t="s">
        <v>236</v>
      </c>
      <c r="C3627" t="s">
        <v>24</v>
      </c>
      <c r="D3627">
        <v>6.0246476474405043E-2</v>
      </c>
      <c r="E3627">
        <v>521</v>
      </c>
      <c r="F3627">
        <v>31</v>
      </c>
    </row>
    <row r="3628" spans="1:6">
      <c r="A3628" t="s">
        <v>1012</v>
      </c>
      <c r="B3628" t="s">
        <v>237</v>
      </c>
      <c r="C3628" t="s">
        <v>24</v>
      </c>
      <c r="D3628">
        <v>4.5504275148932231E-2</v>
      </c>
      <c r="E3628">
        <v>738</v>
      </c>
      <c r="F3628">
        <v>34</v>
      </c>
    </row>
    <row r="3629" spans="1:6">
      <c r="A3629" t="s">
        <v>1012</v>
      </c>
      <c r="B3629" t="s">
        <v>238</v>
      </c>
      <c r="C3629" t="s">
        <v>24</v>
      </c>
      <c r="D3629">
        <v>0.17707424385251402</v>
      </c>
      <c r="E3629">
        <v>466</v>
      </c>
      <c r="F3629">
        <v>83</v>
      </c>
    </row>
    <row r="3630" spans="1:6">
      <c r="A3630" t="s">
        <v>1012</v>
      </c>
      <c r="B3630" t="s">
        <v>239</v>
      </c>
      <c r="C3630" t="s">
        <v>24</v>
      </c>
      <c r="D3630">
        <v>6.2024262297357032E-3</v>
      </c>
      <c r="E3630">
        <v>839</v>
      </c>
      <c r="F3630">
        <v>5</v>
      </c>
    </row>
    <row r="3631" spans="1:6">
      <c r="A3631" t="s">
        <v>1012</v>
      </c>
      <c r="B3631" t="s">
        <v>240</v>
      </c>
      <c r="C3631" t="s">
        <v>24</v>
      </c>
      <c r="D3631">
        <v>5.341021668741968E-2</v>
      </c>
      <c r="E3631">
        <v>2437</v>
      </c>
      <c r="F3631">
        <v>130</v>
      </c>
    </row>
    <row r="3632" spans="1:6">
      <c r="A3632" t="s">
        <v>1012</v>
      </c>
      <c r="B3632" t="s">
        <v>241</v>
      </c>
      <c r="C3632" t="s">
        <v>24</v>
      </c>
      <c r="D3632">
        <v>7.1960975575336539E-2</v>
      </c>
      <c r="E3632">
        <v>392</v>
      </c>
      <c r="F3632">
        <v>28</v>
      </c>
    </row>
    <row r="3633" spans="1:6">
      <c r="A3633" t="s">
        <v>1012</v>
      </c>
      <c r="B3633" t="s">
        <v>243</v>
      </c>
      <c r="C3633" t="s">
        <v>24</v>
      </c>
      <c r="D3633">
        <v>0.12292795296752153</v>
      </c>
      <c r="E3633">
        <v>226</v>
      </c>
      <c r="F3633">
        <v>28</v>
      </c>
    </row>
    <row r="3634" spans="1:6">
      <c r="A3634" t="s">
        <v>242</v>
      </c>
      <c r="B3634" t="s">
        <v>244</v>
      </c>
      <c r="C3634" t="s">
        <v>24</v>
      </c>
      <c r="D3634">
        <v>0.16603745219584232</v>
      </c>
      <c r="E3634">
        <v>767</v>
      </c>
      <c r="F3634">
        <v>127</v>
      </c>
    </row>
    <row r="3635" spans="1:6">
      <c r="A3635" t="s">
        <v>242</v>
      </c>
      <c r="B3635" t="s">
        <v>242</v>
      </c>
      <c r="C3635" t="s">
        <v>24</v>
      </c>
      <c r="D3635">
        <v>8.0806647894068842E-2</v>
      </c>
      <c r="E3635">
        <v>55583</v>
      </c>
      <c r="F3635">
        <v>4491</v>
      </c>
    </row>
    <row r="3636" spans="1:6">
      <c r="A3636" t="s">
        <v>242</v>
      </c>
      <c r="B3636" t="s">
        <v>245</v>
      </c>
      <c r="C3636" t="s">
        <v>24</v>
      </c>
      <c r="D3636">
        <v>0.1998587773841338</v>
      </c>
      <c r="E3636">
        <v>1510</v>
      </c>
      <c r="F3636">
        <v>302</v>
      </c>
    </row>
    <row r="3637" spans="1:6">
      <c r="A3637" t="s">
        <v>242</v>
      </c>
      <c r="B3637" t="s">
        <v>246</v>
      </c>
      <c r="C3637" t="s">
        <v>24</v>
      </c>
      <c r="D3637">
        <v>5.1739438028476359E-3</v>
      </c>
      <c r="E3637">
        <v>886</v>
      </c>
      <c r="F3637">
        <v>5</v>
      </c>
    </row>
    <row r="3638" spans="1:6">
      <c r="A3638" t="s">
        <v>242</v>
      </c>
      <c r="B3638" t="s">
        <v>247</v>
      </c>
      <c r="C3638" t="s">
        <v>24</v>
      </c>
      <c r="D3638">
        <v>7.2263733127633484E-2</v>
      </c>
      <c r="E3638">
        <v>1037</v>
      </c>
      <c r="F3638">
        <v>75</v>
      </c>
    </row>
    <row r="3639" spans="1:6">
      <c r="A3639" t="s">
        <v>242</v>
      </c>
      <c r="B3639" t="s">
        <v>248</v>
      </c>
      <c r="C3639" t="s">
        <v>24</v>
      </c>
      <c r="D3639">
        <v>0.10170514392815999</v>
      </c>
      <c r="E3639">
        <v>938</v>
      </c>
      <c r="F3639">
        <v>95</v>
      </c>
    </row>
    <row r="3640" spans="1:6">
      <c r="A3640" t="s">
        <v>242</v>
      </c>
      <c r="B3640" t="s">
        <v>249</v>
      </c>
      <c r="C3640" t="s">
        <v>24</v>
      </c>
      <c r="D3640">
        <v>0.18069009862867169</v>
      </c>
      <c r="E3640">
        <v>709</v>
      </c>
      <c r="F3640">
        <v>128</v>
      </c>
    </row>
    <row r="3641" spans="1:6">
      <c r="A3641" t="s">
        <v>242</v>
      </c>
      <c r="B3641" t="s">
        <v>250</v>
      </c>
      <c r="C3641" t="s">
        <v>24</v>
      </c>
      <c r="D3641">
        <v>1.9528548433582007E-2</v>
      </c>
      <c r="E3641">
        <v>2473</v>
      </c>
      <c r="F3641">
        <v>48</v>
      </c>
    </row>
    <row r="3642" spans="1:6">
      <c r="A3642" t="s">
        <v>242</v>
      </c>
      <c r="B3642" t="s">
        <v>251</v>
      </c>
      <c r="C3642" t="s">
        <v>24</v>
      </c>
      <c r="D3642">
        <v>0.16873725886739027</v>
      </c>
      <c r="E3642">
        <v>1922</v>
      </c>
      <c r="F3642">
        <v>324</v>
      </c>
    </row>
    <row r="3643" spans="1:6">
      <c r="A3643" t="s">
        <v>242</v>
      </c>
      <c r="B3643" t="s">
        <v>252</v>
      </c>
      <c r="C3643" t="s">
        <v>24</v>
      </c>
      <c r="D3643">
        <v>0.14612320458542427</v>
      </c>
      <c r="E3643">
        <v>8732</v>
      </c>
      <c r="F3643">
        <v>1276</v>
      </c>
    </row>
    <row r="3644" spans="1:6">
      <c r="A3644" t="s">
        <v>242</v>
      </c>
      <c r="B3644" t="s">
        <v>253</v>
      </c>
      <c r="C3644" t="s">
        <v>24</v>
      </c>
      <c r="D3644">
        <v>0.12865265402378165</v>
      </c>
      <c r="E3644">
        <v>1158</v>
      </c>
      <c r="F3644">
        <v>149</v>
      </c>
    </row>
    <row r="3645" spans="1:6">
      <c r="A3645" t="s">
        <v>242</v>
      </c>
      <c r="B3645" t="s">
        <v>254</v>
      </c>
      <c r="C3645" t="s">
        <v>24</v>
      </c>
      <c r="D3645">
        <v>0.10135046356416354</v>
      </c>
      <c r="E3645">
        <v>2936</v>
      </c>
      <c r="F3645">
        <v>298</v>
      </c>
    </row>
    <row r="3646" spans="1:6">
      <c r="A3646" t="s">
        <v>242</v>
      </c>
      <c r="B3646" t="s">
        <v>255</v>
      </c>
      <c r="C3646" t="s">
        <v>24</v>
      </c>
      <c r="D3646">
        <v>1.6574945251955021E-3</v>
      </c>
      <c r="E3646">
        <v>341</v>
      </c>
      <c r="F3646">
        <v>1</v>
      </c>
    </row>
    <row r="3647" spans="1:6">
      <c r="A3647" t="s">
        <v>242</v>
      </c>
      <c r="B3647" t="s">
        <v>256</v>
      </c>
      <c r="C3647" t="s">
        <v>24</v>
      </c>
      <c r="D3647">
        <v>5.6396616879962828E-2</v>
      </c>
      <c r="E3647">
        <v>1953</v>
      </c>
      <c r="F3647">
        <v>110</v>
      </c>
    </row>
    <row r="3648" spans="1:6">
      <c r="A3648" t="s">
        <v>242</v>
      </c>
      <c r="B3648" t="s">
        <v>257</v>
      </c>
      <c r="C3648" t="s">
        <v>24</v>
      </c>
      <c r="D3648">
        <v>0.13021509432550657</v>
      </c>
      <c r="E3648">
        <v>847</v>
      </c>
      <c r="F3648">
        <v>110</v>
      </c>
    </row>
    <row r="3649" spans="1:6">
      <c r="A3649" t="s">
        <v>242</v>
      </c>
      <c r="B3649" t="s">
        <v>258</v>
      </c>
      <c r="C3649" t="s">
        <v>24</v>
      </c>
      <c r="D3649">
        <v>0.18925816373748464</v>
      </c>
      <c r="E3649">
        <v>1322</v>
      </c>
      <c r="F3649">
        <v>250</v>
      </c>
    </row>
    <row r="3650" spans="1:6">
      <c r="A3650" t="s">
        <v>242</v>
      </c>
      <c r="B3650" t="s">
        <v>259</v>
      </c>
      <c r="C3650" t="s">
        <v>24</v>
      </c>
      <c r="D3650">
        <v>8.3664515321601199E-2</v>
      </c>
      <c r="E3650">
        <v>1380</v>
      </c>
      <c r="F3650">
        <v>115</v>
      </c>
    </row>
    <row r="3651" spans="1:6">
      <c r="A3651" t="s">
        <v>242</v>
      </c>
      <c r="B3651" t="s">
        <v>260</v>
      </c>
      <c r="C3651" t="s">
        <v>24</v>
      </c>
      <c r="D3651">
        <v>0.10424108669632892</v>
      </c>
      <c r="E3651">
        <v>268</v>
      </c>
      <c r="F3651">
        <v>28</v>
      </c>
    </row>
    <row r="3652" spans="1:6">
      <c r="A3652" t="s">
        <v>242</v>
      </c>
      <c r="B3652" t="s">
        <v>261</v>
      </c>
      <c r="C3652" t="s">
        <v>24</v>
      </c>
      <c r="D3652">
        <v>6.0210067250052159E-2</v>
      </c>
      <c r="E3652">
        <v>560</v>
      </c>
      <c r="F3652">
        <v>34</v>
      </c>
    </row>
    <row r="3653" spans="1:6">
      <c r="A3653" t="s">
        <v>242</v>
      </c>
      <c r="B3653" t="s">
        <v>262</v>
      </c>
      <c r="C3653" t="s">
        <v>24</v>
      </c>
      <c r="D3653">
        <v>4.0060894325102958E-2</v>
      </c>
      <c r="E3653">
        <v>524</v>
      </c>
      <c r="F3653">
        <v>21</v>
      </c>
    </row>
    <row r="3654" spans="1:6">
      <c r="A3654" t="s">
        <v>242</v>
      </c>
      <c r="B3654" t="s">
        <v>263</v>
      </c>
      <c r="C3654" t="s">
        <v>24</v>
      </c>
      <c r="D3654">
        <v>0.11760363981118716</v>
      </c>
      <c r="E3654">
        <v>523</v>
      </c>
      <c r="F3654">
        <v>62</v>
      </c>
    </row>
    <row r="3655" spans="1:6">
      <c r="A3655" t="s">
        <v>242</v>
      </c>
      <c r="B3655" t="s">
        <v>264</v>
      </c>
      <c r="C3655" t="s">
        <v>24</v>
      </c>
      <c r="D3655">
        <v>6.3789936816723389E-2</v>
      </c>
      <c r="E3655">
        <v>524</v>
      </c>
      <c r="F3655">
        <v>33</v>
      </c>
    </row>
    <row r="3656" spans="1:6">
      <c r="A3656" t="s">
        <v>242</v>
      </c>
      <c r="B3656" t="s">
        <v>265</v>
      </c>
      <c r="C3656" t="s">
        <v>24</v>
      </c>
      <c r="D3656">
        <v>5.2425464958793036E-2</v>
      </c>
      <c r="E3656">
        <v>227</v>
      </c>
      <c r="F3656">
        <v>12</v>
      </c>
    </row>
    <row r="3657" spans="1:6">
      <c r="A3657" t="s">
        <v>242</v>
      </c>
      <c r="B3657" t="s">
        <v>267</v>
      </c>
      <c r="C3657" t="s">
        <v>24</v>
      </c>
      <c r="D3657">
        <v>5.3472647564363054E-2</v>
      </c>
      <c r="E3657">
        <v>494</v>
      </c>
      <c r="F3657">
        <v>26</v>
      </c>
    </row>
    <row r="3658" spans="1:6">
      <c r="A3658" t="s">
        <v>1014</v>
      </c>
      <c r="B3658" t="s">
        <v>268</v>
      </c>
      <c r="C3658" t="s">
        <v>24</v>
      </c>
      <c r="D3658">
        <v>0.12348645833813798</v>
      </c>
      <c r="E3658">
        <v>3126</v>
      </c>
      <c r="F3658">
        <v>386</v>
      </c>
    </row>
    <row r="3659" spans="1:6">
      <c r="A3659" t="s">
        <v>1014</v>
      </c>
      <c r="B3659" t="s">
        <v>269</v>
      </c>
      <c r="C3659" t="s">
        <v>24</v>
      </c>
      <c r="D3659">
        <v>6.8589854271366352E-2</v>
      </c>
      <c r="E3659">
        <v>863</v>
      </c>
      <c r="F3659">
        <v>59</v>
      </c>
    </row>
    <row r="3660" spans="1:6">
      <c r="A3660" t="s">
        <v>1014</v>
      </c>
      <c r="B3660" t="s">
        <v>270</v>
      </c>
      <c r="C3660" t="s">
        <v>24</v>
      </c>
      <c r="D3660">
        <v>0.1878685445094829</v>
      </c>
      <c r="E3660">
        <v>2249</v>
      </c>
      <c r="F3660">
        <v>423</v>
      </c>
    </row>
    <row r="3661" spans="1:6">
      <c r="A3661" t="s">
        <v>1014</v>
      </c>
      <c r="B3661" t="s">
        <v>271</v>
      </c>
      <c r="C3661" t="s">
        <v>24</v>
      </c>
      <c r="D3661">
        <v>6.4504476838113958E-2</v>
      </c>
      <c r="E3661">
        <v>3283</v>
      </c>
      <c r="F3661">
        <v>212</v>
      </c>
    </row>
    <row r="3662" spans="1:6">
      <c r="A3662" t="s">
        <v>1014</v>
      </c>
      <c r="B3662" t="s">
        <v>272</v>
      </c>
      <c r="C3662" t="s">
        <v>24</v>
      </c>
      <c r="D3662">
        <v>0.17515880457671226</v>
      </c>
      <c r="E3662">
        <v>9899</v>
      </c>
      <c r="F3662">
        <v>1734</v>
      </c>
    </row>
    <row r="3663" spans="1:6">
      <c r="A3663" t="s">
        <v>1014</v>
      </c>
      <c r="B3663" t="s">
        <v>273</v>
      </c>
      <c r="C3663" t="s">
        <v>24</v>
      </c>
      <c r="D3663">
        <v>0.1139260599776265</v>
      </c>
      <c r="E3663">
        <v>1681</v>
      </c>
      <c r="F3663">
        <v>192</v>
      </c>
    </row>
    <row r="3664" spans="1:6">
      <c r="A3664" t="s">
        <v>1014</v>
      </c>
      <c r="B3664" t="s">
        <v>274</v>
      </c>
      <c r="C3664" t="s">
        <v>24</v>
      </c>
      <c r="D3664">
        <v>0.15159623270587985</v>
      </c>
      <c r="E3664">
        <v>724</v>
      </c>
      <c r="F3664">
        <v>110</v>
      </c>
    </row>
    <row r="3665" spans="1:6">
      <c r="A3665" t="s">
        <v>1014</v>
      </c>
      <c r="B3665" t="s">
        <v>275</v>
      </c>
      <c r="C3665" t="s">
        <v>24</v>
      </c>
      <c r="D3665">
        <v>0.18464508606264052</v>
      </c>
      <c r="E3665">
        <v>1547</v>
      </c>
      <c r="F3665">
        <v>286</v>
      </c>
    </row>
    <row r="3666" spans="1:6">
      <c r="A3666" t="s">
        <v>1014</v>
      </c>
      <c r="B3666" t="s">
        <v>276</v>
      </c>
      <c r="C3666" t="s">
        <v>24</v>
      </c>
      <c r="D3666">
        <v>0.11508601249524529</v>
      </c>
      <c r="E3666">
        <v>281</v>
      </c>
      <c r="F3666">
        <v>32</v>
      </c>
    </row>
    <row r="3667" spans="1:6">
      <c r="A3667" t="s">
        <v>1014</v>
      </c>
      <c r="B3667" t="s">
        <v>277</v>
      </c>
      <c r="C3667" t="s">
        <v>24</v>
      </c>
      <c r="D3667">
        <v>0.13505342006098722</v>
      </c>
      <c r="E3667">
        <v>1054</v>
      </c>
      <c r="F3667">
        <v>142</v>
      </c>
    </row>
    <row r="3668" spans="1:6">
      <c r="A3668" t="s">
        <v>1014</v>
      </c>
      <c r="B3668" t="s">
        <v>278</v>
      </c>
      <c r="C3668" t="s">
        <v>24</v>
      </c>
      <c r="D3668">
        <v>2.6303080733896003E-2</v>
      </c>
      <c r="E3668">
        <v>689</v>
      </c>
      <c r="F3668">
        <v>18</v>
      </c>
    </row>
    <row r="3669" spans="1:6">
      <c r="A3669" t="s">
        <v>1014</v>
      </c>
      <c r="B3669" t="s">
        <v>279</v>
      </c>
      <c r="C3669" t="s">
        <v>24</v>
      </c>
      <c r="D3669">
        <v>8.1173790159152059E-3</v>
      </c>
      <c r="E3669">
        <v>427</v>
      </c>
      <c r="F3669">
        <v>3</v>
      </c>
    </row>
    <row r="3670" spans="1:6">
      <c r="A3670" t="s">
        <v>1014</v>
      </c>
      <c r="B3670" t="s">
        <v>280</v>
      </c>
      <c r="C3670" t="s">
        <v>24</v>
      </c>
      <c r="D3670">
        <v>2.9557261659639369E-2</v>
      </c>
      <c r="E3670">
        <v>300</v>
      </c>
      <c r="F3670">
        <v>9</v>
      </c>
    </row>
    <row r="3671" spans="1:6">
      <c r="A3671" t="s">
        <v>1014</v>
      </c>
      <c r="B3671" t="s">
        <v>281</v>
      </c>
      <c r="C3671" t="s">
        <v>24</v>
      </c>
      <c r="D3671">
        <v>1.0204434988489908E-2</v>
      </c>
      <c r="E3671">
        <v>351</v>
      </c>
      <c r="F3671">
        <v>4</v>
      </c>
    </row>
    <row r="3672" spans="1:6">
      <c r="A3672" t="s">
        <v>1014</v>
      </c>
      <c r="B3672" t="s">
        <v>282</v>
      </c>
      <c r="C3672" t="s">
        <v>24</v>
      </c>
      <c r="D3672">
        <v>0.13777856496165516</v>
      </c>
      <c r="E3672">
        <v>343</v>
      </c>
      <c r="F3672">
        <v>47</v>
      </c>
    </row>
    <row r="3673" spans="1:6">
      <c r="A3673" t="s">
        <v>1014</v>
      </c>
      <c r="B3673" t="s">
        <v>283</v>
      </c>
      <c r="C3673" t="s">
        <v>24</v>
      </c>
      <c r="D3673">
        <v>0.10086011123420165</v>
      </c>
      <c r="E3673">
        <v>448</v>
      </c>
      <c r="F3673">
        <v>45</v>
      </c>
    </row>
    <row r="3674" spans="1:6">
      <c r="A3674" t="s">
        <v>1014</v>
      </c>
      <c r="B3674" t="s">
        <v>284</v>
      </c>
      <c r="C3674" t="s">
        <v>24</v>
      </c>
      <c r="D3674">
        <v>0.11710654114188659</v>
      </c>
      <c r="E3674">
        <v>346</v>
      </c>
      <c r="F3674">
        <v>41</v>
      </c>
    </row>
    <row r="3675" spans="1:6">
      <c r="A3675" t="s">
        <v>1014</v>
      </c>
      <c r="B3675" t="s">
        <v>285</v>
      </c>
      <c r="C3675" t="s">
        <v>24</v>
      </c>
      <c r="D3675">
        <v>9.3471737253788573E-2</v>
      </c>
      <c r="E3675">
        <v>254</v>
      </c>
      <c r="F3675">
        <v>24</v>
      </c>
    </row>
    <row r="3676" spans="1:6">
      <c r="A3676" t="s">
        <v>1014</v>
      </c>
      <c r="B3676" t="s">
        <v>287</v>
      </c>
      <c r="C3676" t="s">
        <v>24</v>
      </c>
      <c r="D3676">
        <v>2.5359264138245342E-2</v>
      </c>
      <c r="E3676">
        <v>254</v>
      </c>
      <c r="F3676">
        <v>6</v>
      </c>
    </row>
    <row r="3677" spans="1:6">
      <c r="A3677" t="s">
        <v>286</v>
      </c>
      <c r="B3677" t="s">
        <v>288</v>
      </c>
      <c r="C3677" t="s">
        <v>24</v>
      </c>
      <c r="D3677">
        <v>1.3357209507977764E-2</v>
      </c>
      <c r="E3677">
        <v>1768</v>
      </c>
      <c r="F3677">
        <v>24</v>
      </c>
    </row>
    <row r="3678" spans="1:6">
      <c r="A3678" t="s">
        <v>286</v>
      </c>
      <c r="B3678" t="s">
        <v>289</v>
      </c>
      <c r="C3678" t="s">
        <v>24</v>
      </c>
      <c r="D3678">
        <v>7.3450661582967675E-2</v>
      </c>
      <c r="E3678">
        <v>1462</v>
      </c>
      <c r="F3678">
        <v>107</v>
      </c>
    </row>
    <row r="3679" spans="1:6">
      <c r="A3679" t="s">
        <v>286</v>
      </c>
      <c r="B3679" t="s">
        <v>290</v>
      </c>
      <c r="C3679" t="s">
        <v>24</v>
      </c>
      <c r="D3679">
        <v>9.1075808308882511E-3</v>
      </c>
      <c r="E3679">
        <v>2784</v>
      </c>
      <c r="F3679">
        <v>25</v>
      </c>
    </row>
    <row r="3680" spans="1:6">
      <c r="A3680" t="s">
        <v>286</v>
      </c>
      <c r="B3680" t="s">
        <v>291</v>
      </c>
      <c r="C3680" t="s">
        <v>24</v>
      </c>
      <c r="D3680">
        <v>4.5712421956490126E-2</v>
      </c>
      <c r="E3680">
        <v>11748</v>
      </c>
      <c r="F3680">
        <v>537</v>
      </c>
    </row>
    <row r="3681" spans="1:6">
      <c r="A3681" t="s">
        <v>286</v>
      </c>
      <c r="B3681" t="s">
        <v>292</v>
      </c>
      <c r="C3681" t="s">
        <v>24</v>
      </c>
      <c r="D3681">
        <v>2.059806540674072E-2</v>
      </c>
      <c r="E3681">
        <v>1689</v>
      </c>
      <c r="F3681">
        <v>35</v>
      </c>
    </row>
    <row r="3682" spans="1:6">
      <c r="A3682" t="s">
        <v>286</v>
      </c>
      <c r="B3682" t="s">
        <v>293</v>
      </c>
      <c r="C3682" t="s">
        <v>24</v>
      </c>
      <c r="D3682">
        <v>0.12171128943428194</v>
      </c>
      <c r="E3682">
        <v>2157</v>
      </c>
      <c r="F3682">
        <v>263</v>
      </c>
    </row>
    <row r="3683" spans="1:6">
      <c r="A3683" t="s">
        <v>286</v>
      </c>
      <c r="B3683" t="s">
        <v>294</v>
      </c>
      <c r="C3683" t="s">
        <v>24</v>
      </c>
      <c r="D3683">
        <v>5.9577186434615785E-2</v>
      </c>
      <c r="E3683">
        <v>1373</v>
      </c>
      <c r="F3683">
        <v>82</v>
      </c>
    </row>
    <row r="3684" spans="1:6">
      <c r="A3684" t="s">
        <v>286</v>
      </c>
      <c r="B3684" t="s">
        <v>295</v>
      </c>
      <c r="C3684" t="s">
        <v>24</v>
      </c>
      <c r="D3684">
        <v>7.7380751060938724E-2</v>
      </c>
      <c r="E3684">
        <v>1300</v>
      </c>
      <c r="F3684">
        <v>101</v>
      </c>
    </row>
    <row r="3685" spans="1:6">
      <c r="A3685" t="s">
        <v>286</v>
      </c>
      <c r="B3685" t="s">
        <v>296</v>
      </c>
      <c r="C3685" t="s">
        <v>24</v>
      </c>
      <c r="D3685">
        <v>1.3798008445921162E-2</v>
      </c>
      <c r="E3685">
        <v>637</v>
      </c>
      <c r="F3685">
        <v>9</v>
      </c>
    </row>
    <row r="3686" spans="1:6">
      <c r="A3686" t="s">
        <v>286</v>
      </c>
      <c r="B3686" t="s">
        <v>298</v>
      </c>
      <c r="C3686" t="s">
        <v>24</v>
      </c>
      <c r="D3686">
        <v>0.11934228090926767</v>
      </c>
      <c r="E3686">
        <v>643</v>
      </c>
      <c r="F3686">
        <v>77</v>
      </c>
    </row>
    <row r="3687" spans="1:6">
      <c r="A3687" t="s">
        <v>297</v>
      </c>
      <c r="B3687" t="s">
        <v>299</v>
      </c>
      <c r="C3687" t="s">
        <v>24</v>
      </c>
      <c r="D3687">
        <v>5.0781379271337523E-2</v>
      </c>
      <c r="E3687">
        <v>1418</v>
      </c>
      <c r="F3687">
        <v>72</v>
      </c>
    </row>
    <row r="3688" spans="1:6">
      <c r="A3688" t="s">
        <v>297</v>
      </c>
      <c r="B3688" t="s">
        <v>300</v>
      </c>
      <c r="C3688" t="s">
        <v>24</v>
      </c>
      <c r="D3688">
        <v>6.7172095409162288E-2</v>
      </c>
      <c r="E3688">
        <v>4164</v>
      </c>
      <c r="F3688">
        <v>280</v>
      </c>
    </row>
    <row r="3689" spans="1:6">
      <c r="A3689" t="s">
        <v>297</v>
      </c>
      <c r="B3689" t="s">
        <v>301</v>
      </c>
      <c r="C3689" t="s">
        <v>24</v>
      </c>
      <c r="D3689">
        <v>0.10741218629353984</v>
      </c>
      <c r="E3689">
        <v>2354</v>
      </c>
      <c r="F3689">
        <v>253</v>
      </c>
    </row>
    <row r="3690" spans="1:6">
      <c r="A3690" t="s">
        <v>297</v>
      </c>
      <c r="B3690" t="s">
        <v>297</v>
      </c>
      <c r="C3690" t="s">
        <v>24</v>
      </c>
      <c r="D3690">
        <v>7.0639111514656502E-2</v>
      </c>
      <c r="E3690">
        <v>14759</v>
      </c>
      <c r="F3690">
        <v>1043</v>
      </c>
    </row>
    <row r="3691" spans="1:6">
      <c r="A3691" t="s">
        <v>297</v>
      </c>
      <c r="B3691" t="s">
        <v>302</v>
      </c>
      <c r="C3691" t="s">
        <v>24</v>
      </c>
      <c r="D3691">
        <v>0.1771327023852258</v>
      </c>
      <c r="E3691">
        <v>1412</v>
      </c>
      <c r="F3691">
        <v>250</v>
      </c>
    </row>
    <row r="3692" spans="1:6">
      <c r="A3692" t="s">
        <v>297</v>
      </c>
      <c r="B3692" t="s">
        <v>303</v>
      </c>
      <c r="C3692" t="s">
        <v>24</v>
      </c>
      <c r="D3692">
        <v>0.15401670547951923</v>
      </c>
      <c r="E3692">
        <v>1192</v>
      </c>
      <c r="F3692">
        <v>184</v>
      </c>
    </row>
    <row r="3693" spans="1:6">
      <c r="A3693" t="s">
        <v>297</v>
      </c>
      <c r="B3693" t="s">
        <v>304</v>
      </c>
      <c r="C3693" t="s">
        <v>24</v>
      </c>
      <c r="D3693">
        <v>7.3396313297319667E-3</v>
      </c>
      <c r="E3693">
        <v>1151</v>
      </c>
      <c r="F3693">
        <v>8</v>
      </c>
    </row>
    <row r="3694" spans="1:6">
      <c r="A3694" t="s">
        <v>297</v>
      </c>
      <c r="B3694" t="s">
        <v>305</v>
      </c>
      <c r="C3694" t="s">
        <v>24</v>
      </c>
      <c r="D3694">
        <v>0.16841372174803818</v>
      </c>
      <c r="E3694">
        <v>1378</v>
      </c>
      <c r="F3694">
        <v>232</v>
      </c>
    </row>
    <row r="3695" spans="1:6">
      <c r="A3695" t="s">
        <v>297</v>
      </c>
      <c r="B3695" t="s">
        <v>307</v>
      </c>
      <c r="C3695" t="s">
        <v>24</v>
      </c>
      <c r="D3695">
        <v>0.17675712487331571</v>
      </c>
      <c r="E3695">
        <v>536</v>
      </c>
      <c r="F3695">
        <v>95</v>
      </c>
    </row>
    <row r="3696" spans="1:6">
      <c r="A3696" t="s">
        <v>1010</v>
      </c>
      <c r="B3696" t="s">
        <v>308</v>
      </c>
      <c r="C3696" t="s">
        <v>24</v>
      </c>
      <c r="D3696">
        <v>0.17942293440737556</v>
      </c>
      <c r="E3696">
        <v>2034</v>
      </c>
      <c r="F3696">
        <v>365</v>
      </c>
    </row>
    <row r="3697" spans="1:6">
      <c r="A3697" t="s">
        <v>1010</v>
      </c>
      <c r="B3697" t="s">
        <v>309</v>
      </c>
      <c r="C3697" t="s">
        <v>24</v>
      </c>
      <c r="D3697">
        <v>0.109622693905189</v>
      </c>
      <c r="E3697">
        <v>7685</v>
      </c>
      <c r="F3697">
        <v>842</v>
      </c>
    </row>
    <row r="3698" spans="1:6">
      <c r="A3698" t="s">
        <v>1010</v>
      </c>
      <c r="B3698" t="s">
        <v>310</v>
      </c>
      <c r="C3698" t="s">
        <v>24</v>
      </c>
      <c r="D3698">
        <v>5.2024191616852435E-2</v>
      </c>
      <c r="E3698">
        <v>2095</v>
      </c>
      <c r="F3698">
        <v>109</v>
      </c>
    </row>
    <row r="3699" spans="1:6">
      <c r="A3699" t="s">
        <v>1010</v>
      </c>
      <c r="B3699" t="s">
        <v>311</v>
      </c>
      <c r="C3699" t="s">
        <v>24</v>
      </c>
      <c r="D3699">
        <v>9.207725708707637E-2</v>
      </c>
      <c r="E3699">
        <v>2508</v>
      </c>
      <c r="F3699">
        <v>231</v>
      </c>
    </row>
    <row r="3700" spans="1:6">
      <c r="A3700" t="s">
        <v>1010</v>
      </c>
      <c r="B3700" t="s">
        <v>312</v>
      </c>
      <c r="C3700" t="s">
        <v>24</v>
      </c>
      <c r="D3700">
        <v>5.5325244040792337E-2</v>
      </c>
      <c r="E3700">
        <v>784</v>
      </c>
      <c r="F3700">
        <v>43</v>
      </c>
    </row>
    <row r="3701" spans="1:6">
      <c r="A3701" t="s">
        <v>1010</v>
      </c>
      <c r="B3701" t="s">
        <v>313</v>
      </c>
      <c r="C3701" t="s">
        <v>24</v>
      </c>
      <c r="D3701">
        <v>0.12782888096229958</v>
      </c>
      <c r="E3701">
        <v>539</v>
      </c>
      <c r="F3701">
        <v>69</v>
      </c>
    </row>
    <row r="3702" spans="1:6">
      <c r="A3702" t="s">
        <v>1010</v>
      </c>
      <c r="B3702" t="s">
        <v>314</v>
      </c>
      <c r="C3702" t="s">
        <v>24</v>
      </c>
      <c r="D3702">
        <v>0.1680566726849515</v>
      </c>
      <c r="E3702">
        <v>771</v>
      </c>
      <c r="F3702">
        <v>130</v>
      </c>
    </row>
    <row r="3703" spans="1:6">
      <c r="A3703" t="s">
        <v>1010</v>
      </c>
      <c r="B3703" t="s">
        <v>315</v>
      </c>
      <c r="C3703" t="s">
        <v>24</v>
      </c>
      <c r="D3703">
        <v>3.5289167332427443E-2</v>
      </c>
      <c r="E3703">
        <v>612</v>
      </c>
      <c r="F3703">
        <v>22</v>
      </c>
    </row>
    <row r="3704" spans="1:6">
      <c r="A3704" t="s">
        <v>1010</v>
      </c>
      <c r="B3704" t="s">
        <v>317</v>
      </c>
      <c r="C3704" t="s">
        <v>24</v>
      </c>
      <c r="D3704">
        <v>1.4215341921522363E-2</v>
      </c>
      <c r="E3704">
        <v>472</v>
      </c>
      <c r="F3704">
        <v>7</v>
      </c>
    </row>
    <row r="3705" spans="1:6">
      <c r="A3705" t="s">
        <v>316</v>
      </c>
      <c r="B3705" t="s">
        <v>318</v>
      </c>
      <c r="C3705" t="s">
        <v>24</v>
      </c>
      <c r="D3705">
        <v>5.168160310415313E-2</v>
      </c>
      <c r="E3705">
        <v>1976</v>
      </c>
      <c r="F3705">
        <v>102</v>
      </c>
    </row>
    <row r="3706" spans="1:6">
      <c r="A3706" t="s">
        <v>316</v>
      </c>
      <c r="B3706" t="s">
        <v>319</v>
      </c>
      <c r="C3706" t="s">
        <v>24</v>
      </c>
      <c r="D3706">
        <v>0.12790328014336053</v>
      </c>
      <c r="E3706">
        <v>4034</v>
      </c>
      <c r="F3706">
        <v>516</v>
      </c>
    </row>
    <row r="3707" spans="1:6">
      <c r="A3707" t="s">
        <v>316</v>
      </c>
      <c r="B3707" t="s">
        <v>320</v>
      </c>
      <c r="C3707" t="s">
        <v>24</v>
      </c>
      <c r="D3707">
        <v>6.4838331949771955E-2</v>
      </c>
      <c r="E3707">
        <v>2293</v>
      </c>
      <c r="F3707">
        <v>149</v>
      </c>
    </row>
    <row r="3708" spans="1:6">
      <c r="A3708" t="s">
        <v>316</v>
      </c>
      <c r="B3708" t="s">
        <v>321</v>
      </c>
      <c r="C3708" t="s">
        <v>24</v>
      </c>
      <c r="D3708">
        <v>2.8138122906923482E-2</v>
      </c>
      <c r="E3708">
        <v>1581</v>
      </c>
      <c r="F3708">
        <v>44</v>
      </c>
    </row>
    <row r="3709" spans="1:6">
      <c r="A3709" t="s">
        <v>316</v>
      </c>
      <c r="B3709" t="s">
        <v>322</v>
      </c>
      <c r="C3709" t="s">
        <v>24</v>
      </c>
      <c r="D3709">
        <v>0.1049436606129438</v>
      </c>
      <c r="E3709">
        <v>1856</v>
      </c>
      <c r="F3709">
        <v>195</v>
      </c>
    </row>
    <row r="3710" spans="1:6">
      <c r="A3710" t="s">
        <v>316</v>
      </c>
      <c r="B3710" t="s">
        <v>323</v>
      </c>
      <c r="C3710" t="s">
        <v>24</v>
      </c>
      <c r="D3710">
        <v>0.13813654974632297</v>
      </c>
      <c r="E3710">
        <v>1598</v>
      </c>
      <c r="F3710">
        <v>221</v>
      </c>
    </row>
    <row r="3711" spans="1:6">
      <c r="A3711" t="s">
        <v>316</v>
      </c>
      <c r="B3711" t="s">
        <v>324</v>
      </c>
      <c r="C3711" t="s">
        <v>24</v>
      </c>
      <c r="D3711">
        <v>0.19641005947575113</v>
      </c>
      <c r="E3711">
        <v>1018</v>
      </c>
      <c r="F3711">
        <v>200</v>
      </c>
    </row>
    <row r="3712" spans="1:6">
      <c r="A3712" t="s">
        <v>316</v>
      </c>
      <c r="B3712" t="s">
        <v>325</v>
      </c>
      <c r="C3712" t="s">
        <v>24</v>
      </c>
      <c r="D3712">
        <v>0.1714667684357446</v>
      </c>
      <c r="E3712">
        <v>1062</v>
      </c>
      <c r="F3712">
        <v>182</v>
      </c>
    </row>
    <row r="3713" spans="1:6">
      <c r="A3713" t="s">
        <v>316</v>
      </c>
      <c r="B3713" t="s">
        <v>326</v>
      </c>
      <c r="C3713" t="s">
        <v>24</v>
      </c>
      <c r="D3713">
        <v>0.16484087158439287</v>
      </c>
      <c r="E3713">
        <v>1021</v>
      </c>
      <c r="F3713">
        <v>168</v>
      </c>
    </row>
    <row r="3714" spans="1:6">
      <c r="A3714" t="s">
        <v>316</v>
      </c>
      <c r="B3714" t="s">
        <v>327</v>
      </c>
      <c r="C3714" t="s">
        <v>24</v>
      </c>
      <c r="D3714">
        <v>0.19341146458330752</v>
      </c>
      <c r="E3714">
        <v>565</v>
      </c>
      <c r="F3714">
        <v>109</v>
      </c>
    </row>
    <row r="3715" spans="1:6">
      <c r="A3715" t="s">
        <v>316</v>
      </c>
      <c r="B3715" t="s">
        <v>329</v>
      </c>
      <c r="C3715" t="s">
        <v>24</v>
      </c>
      <c r="D3715">
        <v>3.938726356337741E-4</v>
      </c>
      <c r="E3715">
        <v>486</v>
      </c>
      <c r="F3715">
        <v>0</v>
      </c>
    </row>
    <row r="3716" spans="1:6">
      <c r="A3716" t="s">
        <v>328</v>
      </c>
      <c r="B3716" t="s">
        <v>328</v>
      </c>
      <c r="C3716" t="s">
        <v>24</v>
      </c>
      <c r="D3716">
        <v>9.1893257019922375E-2</v>
      </c>
      <c r="E3716">
        <v>4799</v>
      </c>
      <c r="F3716">
        <v>441</v>
      </c>
    </row>
    <row r="3717" spans="1:6">
      <c r="A3717" t="s">
        <v>328</v>
      </c>
      <c r="B3717" t="s">
        <v>330</v>
      </c>
      <c r="C3717" t="s">
        <v>24</v>
      </c>
      <c r="D3717">
        <v>7.8842244024911384E-2</v>
      </c>
      <c r="E3717">
        <v>292</v>
      </c>
      <c r="F3717">
        <v>23</v>
      </c>
    </row>
    <row r="3718" spans="1:6">
      <c r="A3718" t="s">
        <v>328</v>
      </c>
      <c r="B3718" t="s">
        <v>331</v>
      </c>
      <c r="C3718" t="s">
        <v>24</v>
      </c>
      <c r="D3718">
        <v>0.14454099684742916</v>
      </c>
      <c r="E3718">
        <v>842</v>
      </c>
      <c r="F3718">
        <v>122</v>
      </c>
    </row>
    <row r="3719" spans="1:6">
      <c r="A3719" t="s">
        <v>328</v>
      </c>
      <c r="B3719" t="s">
        <v>332</v>
      </c>
      <c r="C3719" t="s">
        <v>24</v>
      </c>
      <c r="D3719">
        <v>4.8745008944008933E-2</v>
      </c>
      <c r="E3719">
        <v>869</v>
      </c>
      <c r="F3719">
        <v>42</v>
      </c>
    </row>
    <row r="3720" spans="1:6">
      <c r="A3720" t="s">
        <v>328</v>
      </c>
      <c r="B3720" t="s">
        <v>333</v>
      </c>
      <c r="C3720" t="s">
        <v>24</v>
      </c>
      <c r="D3720">
        <v>0.13978158820604564</v>
      </c>
      <c r="E3720">
        <v>522</v>
      </c>
      <c r="F3720">
        <v>73</v>
      </c>
    </row>
    <row r="3721" spans="1:6">
      <c r="A3721" t="s">
        <v>328</v>
      </c>
      <c r="B3721" t="s">
        <v>334</v>
      </c>
      <c r="C3721" t="s">
        <v>24</v>
      </c>
      <c r="D3721">
        <v>0.13060068722030496</v>
      </c>
      <c r="E3721">
        <v>665</v>
      </c>
      <c r="F3721">
        <v>87</v>
      </c>
    </row>
    <row r="3722" spans="1:6">
      <c r="A3722" t="s">
        <v>328</v>
      </c>
      <c r="B3722" t="s">
        <v>335</v>
      </c>
      <c r="C3722" t="s">
        <v>24</v>
      </c>
      <c r="D3722">
        <v>4.5180984556523668E-2</v>
      </c>
      <c r="E3722">
        <v>657</v>
      </c>
      <c r="F3722">
        <v>30</v>
      </c>
    </row>
    <row r="3723" spans="1:6">
      <c r="A3723" t="s">
        <v>328</v>
      </c>
      <c r="B3723" t="s">
        <v>336</v>
      </c>
      <c r="C3723" t="s">
        <v>24</v>
      </c>
      <c r="D3723">
        <v>0.14823903101163388</v>
      </c>
      <c r="E3723">
        <v>185</v>
      </c>
      <c r="F3723">
        <v>27</v>
      </c>
    </row>
    <row r="3724" spans="1:6">
      <c r="A3724" t="s">
        <v>328</v>
      </c>
      <c r="B3724" t="s">
        <v>337</v>
      </c>
      <c r="C3724" t="s">
        <v>24</v>
      </c>
      <c r="D3724">
        <v>0.10126592799305566</v>
      </c>
      <c r="E3724">
        <v>190</v>
      </c>
      <c r="F3724">
        <v>19</v>
      </c>
    </row>
    <row r="3725" spans="1:6">
      <c r="A3725" t="s">
        <v>328</v>
      </c>
      <c r="B3725" t="s">
        <v>339</v>
      </c>
      <c r="C3725" t="s">
        <v>24</v>
      </c>
      <c r="D3725">
        <v>0.1440907722949534</v>
      </c>
      <c r="E3725">
        <v>147</v>
      </c>
      <c r="F3725">
        <v>21</v>
      </c>
    </row>
    <row r="3726" spans="1:6">
      <c r="A3726" t="s">
        <v>1015</v>
      </c>
      <c r="B3726" t="s">
        <v>340</v>
      </c>
      <c r="C3726" t="s">
        <v>24</v>
      </c>
      <c r="D3726">
        <v>0.18129169096865119</v>
      </c>
      <c r="E3726">
        <v>2586</v>
      </c>
      <c r="F3726">
        <v>469</v>
      </c>
    </row>
    <row r="3727" spans="1:6">
      <c r="A3727" t="s">
        <v>1015</v>
      </c>
      <c r="B3727" t="s">
        <v>341</v>
      </c>
      <c r="C3727" t="s">
        <v>24</v>
      </c>
      <c r="D3727">
        <v>2.7195131038865863E-2</v>
      </c>
      <c r="E3727">
        <v>2429</v>
      </c>
      <c r="F3727">
        <v>66</v>
      </c>
    </row>
    <row r="3728" spans="1:6">
      <c r="A3728" t="s">
        <v>1015</v>
      </c>
      <c r="B3728" t="s">
        <v>342</v>
      </c>
      <c r="C3728" t="s">
        <v>24</v>
      </c>
      <c r="D3728">
        <v>3.303153187200223E-2</v>
      </c>
      <c r="E3728">
        <v>2342</v>
      </c>
      <c r="F3728">
        <v>77</v>
      </c>
    </row>
    <row r="3729" spans="1:6">
      <c r="A3729" t="s">
        <v>1015</v>
      </c>
      <c r="B3729" t="s">
        <v>343</v>
      </c>
      <c r="C3729" t="s">
        <v>24</v>
      </c>
      <c r="D3729">
        <v>0.15735968023406366</v>
      </c>
      <c r="E3729">
        <v>480</v>
      </c>
      <c r="F3729">
        <v>76</v>
      </c>
    </row>
    <row r="3730" spans="1:6">
      <c r="A3730" t="s">
        <v>1015</v>
      </c>
      <c r="B3730" t="s">
        <v>344</v>
      </c>
      <c r="C3730" t="s">
        <v>24</v>
      </c>
      <c r="D3730">
        <v>0.1557460961491095</v>
      </c>
      <c r="E3730">
        <v>466</v>
      </c>
      <c r="F3730">
        <v>73</v>
      </c>
    </row>
    <row r="3731" spans="1:6">
      <c r="A3731" t="s">
        <v>1015</v>
      </c>
      <c r="B3731" t="s">
        <v>345</v>
      </c>
      <c r="C3731" t="s">
        <v>24</v>
      </c>
      <c r="D3731">
        <v>0.11388235925065052</v>
      </c>
      <c r="E3731">
        <v>293</v>
      </c>
      <c r="F3731">
        <v>33</v>
      </c>
    </row>
    <row r="3732" spans="1:6">
      <c r="A3732" t="s">
        <v>1015</v>
      </c>
      <c r="B3732" t="s">
        <v>346</v>
      </c>
      <c r="C3732" t="s">
        <v>24</v>
      </c>
      <c r="D3732">
        <v>0.10783928408841906</v>
      </c>
      <c r="E3732">
        <v>266</v>
      </c>
      <c r="F3732">
        <v>29</v>
      </c>
    </row>
    <row r="3733" spans="1:6">
      <c r="A3733" t="s">
        <v>1015</v>
      </c>
      <c r="B3733" t="s">
        <v>348</v>
      </c>
      <c r="C3733" t="s">
        <v>24</v>
      </c>
      <c r="D3733">
        <v>0.1409427770314445</v>
      </c>
      <c r="E3733">
        <v>303</v>
      </c>
      <c r="F3733">
        <v>43</v>
      </c>
    </row>
    <row r="3734" spans="1:6">
      <c r="A3734" t="s">
        <v>347</v>
      </c>
      <c r="B3734" t="s">
        <v>347</v>
      </c>
      <c r="C3734" t="s">
        <v>24</v>
      </c>
      <c r="D3734">
        <v>0.15196266602434189</v>
      </c>
      <c r="E3734">
        <v>6150</v>
      </c>
      <c r="F3734">
        <v>935</v>
      </c>
    </row>
    <row r="3735" spans="1:6">
      <c r="A3735" t="s">
        <v>347</v>
      </c>
      <c r="B3735" t="s">
        <v>349</v>
      </c>
      <c r="C3735" t="s">
        <v>24</v>
      </c>
      <c r="D3735">
        <v>1.1421221389948923E-2</v>
      </c>
      <c r="E3735">
        <v>935</v>
      </c>
      <c r="F3735">
        <v>11</v>
      </c>
    </row>
    <row r="3736" spans="1:6">
      <c r="A3736" t="s">
        <v>347</v>
      </c>
      <c r="B3736" t="s">
        <v>350</v>
      </c>
      <c r="C3736" t="s">
        <v>24</v>
      </c>
      <c r="D3736">
        <v>8.4059713682408971E-2</v>
      </c>
      <c r="E3736">
        <v>2962</v>
      </c>
      <c r="F3736">
        <v>249</v>
      </c>
    </row>
    <row r="3737" spans="1:6">
      <c r="A3737" t="s">
        <v>347</v>
      </c>
      <c r="B3737" t="s">
        <v>351</v>
      </c>
      <c r="C3737" t="s">
        <v>24</v>
      </c>
      <c r="D3737">
        <v>7.2458071580511471E-2</v>
      </c>
      <c r="E3737">
        <v>1191</v>
      </c>
      <c r="F3737">
        <v>86</v>
      </c>
    </row>
    <row r="3738" spans="1:6">
      <c r="A3738" t="s">
        <v>347</v>
      </c>
      <c r="B3738" t="s">
        <v>352</v>
      </c>
      <c r="C3738" t="s">
        <v>24</v>
      </c>
      <c r="D3738">
        <v>3.7646714137778758E-2</v>
      </c>
      <c r="E3738">
        <v>359</v>
      </c>
      <c r="F3738">
        <v>14</v>
      </c>
    </row>
    <row r="3739" spans="1:6">
      <c r="A3739" t="s">
        <v>347</v>
      </c>
      <c r="B3739" t="s">
        <v>353</v>
      </c>
      <c r="C3739" t="s">
        <v>24</v>
      </c>
      <c r="D3739">
        <v>0.10464716545526685</v>
      </c>
      <c r="E3739">
        <v>1292</v>
      </c>
      <c r="F3739">
        <v>135</v>
      </c>
    </row>
    <row r="3740" spans="1:6">
      <c r="A3740" t="s">
        <v>347</v>
      </c>
      <c r="B3740" t="s">
        <v>354</v>
      </c>
      <c r="C3740" t="s">
        <v>24</v>
      </c>
      <c r="D3740">
        <v>6.8101728454926777E-2</v>
      </c>
      <c r="E3740">
        <v>1393</v>
      </c>
      <c r="F3740">
        <v>95</v>
      </c>
    </row>
    <row r="3741" spans="1:6">
      <c r="A3741" t="s">
        <v>347</v>
      </c>
      <c r="B3741" t="s">
        <v>355</v>
      </c>
      <c r="C3741" t="s">
        <v>24</v>
      </c>
      <c r="D3741">
        <v>8.8960591669821468E-2</v>
      </c>
      <c r="E3741">
        <v>487</v>
      </c>
      <c r="F3741">
        <v>43</v>
      </c>
    </row>
    <row r="3742" spans="1:6">
      <c r="A3742" t="s">
        <v>347</v>
      </c>
      <c r="B3742" t="s">
        <v>356</v>
      </c>
      <c r="C3742" t="s">
        <v>24</v>
      </c>
      <c r="D3742">
        <v>0.19899287501356275</v>
      </c>
      <c r="E3742">
        <v>679</v>
      </c>
      <c r="F3742">
        <v>135</v>
      </c>
    </row>
    <row r="3743" spans="1:6">
      <c r="A3743" t="s">
        <v>347</v>
      </c>
      <c r="B3743" t="s">
        <v>358</v>
      </c>
      <c r="C3743" t="s">
        <v>24</v>
      </c>
      <c r="D3743">
        <v>0.15805131435154804</v>
      </c>
      <c r="E3743">
        <v>594</v>
      </c>
      <c r="F3743">
        <v>94</v>
      </c>
    </row>
    <row r="3744" spans="1:6">
      <c r="A3744" t="s">
        <v>357</v>
      </c>
      <c r="B3744" t="s">
        <v>359</v>
      </c>
      <c r="C3744" t="s">
        <v>24</v>
      </c>
      <c r="D3744">
        <v>3.0472601096253563E-2</v>
      </c>
      <c r="E3744">
        <v>3124</v>
      </c>
      <c r="F3744">
        <v>95</v>
      </c>
    </row>
    <row r="3745" spans="1:6">
      <c r="A3745" t="s">
        <v>357</v>
      </c>
      <c r="B3745" t="s">
        <v>360</v>
      </c>
      <c r="C3745" t="s">
        <v>24</v>
      </c>
      <c r="D3745">
        <v>8.4456676261261531E-3</v>
      </c>
      <c r="E3745">
        <v>1960</v>
      </c>
      <c r="F3745">
        <v>17</v>
      </c>
    </row>
    <row r="3746" spans="1:6">
      <c r="A3746" t="s">
        <v>357</v>
      </c>
      <c r="B3746" t="s">
        <v>357</v>
      </c>
      <c r="C3746" t="s">
        <v>24</v>
      </c>
      <c r="D3746">
        <v>0.13426384985706127</v>
      </c>
      <c r="E3746">
        <v>10264</v>
      </c>
      <c r="F3746">
        <v>1378</v>
      </c>
    </row>
    <row r="3747" spans="1:6">
      <c r="A3747" t="s">
        <v>357</v>
      </c>
      <c r="B3747" t="s">
        <v>361</v>
      </c>
      <c r="C3747" t="s">
        <v>24</v>
      </c>
      <c r="D3747">
        <v>4.3610621045467673E-2</v>
      </c>
      <c r="E3747">
        <v>416</v>
      </c>
      <c r="F3747">
        <v>18</v>
      </c>
    </row>
    <row r="3748" spans="1:6">
      <c r="A3748" t="s">
        <v>357</v>
      </c>
      <c r="B3748" t="s">
        <v>362</v>
      </c>
      <c r="C3748" t="s">
        <v>24</v>
      </c>
      <c r="D3748">
        <v>0.14801537486337185</v>
      </c>
      <c r="E3748">
        <v>962</v>
      </c>
      <c r="F3748">
        <v>142</v>
      </c>
    </row>
    <row r="3749" spans="1:6">
      <c r="A3749" t="s">
        <v>357</v>
      </c>
      <c r="B3749" t="s">
        <v>363</v>
      </c>
      <c r="C3749" t="s">
        <v>24</v>
      </c>
      <c r="D3749">
        <v>7.7169352269985253E-2</v>
      </c>
      <c r="E3749">
        <v>597</v>
      </c>
      <c r="F3749">
        <v>46</v>
      </c>
    </row>
    <row r="3750" spans="1:6">
      <c r="A3750" t="s">
        <v>357</v>
      </c>
      <c r="B3750" t="s">
        <v>364</v>
      </c>
      <c r="C3750" t="s">
        <v>24</v>
      </c>
      <c r="D3750">
        <v>0.17750973208207299</v>
      </c>
      <c r="E3750">
        <v>539</v>
      </c>
      <c r="F3750">
        <v>96</v>
      </c>
    </row>
    <row r="3751" spans="1:6">
      <c r="A3751" t="s">
        <v>357</v>
      </c>
      <c r="B3751" t="s">
        <v>366</v>
      </c>
      <c r="C3751" t="s">
        <v>24</v>
      </c>
      <c r="D3751">
        <v>6.1433768971852445E-2</v>
      </c>
      <c r="E3751">
        <v>278</v>
      </c>
      <c r="F3751">
        <v>17</v>
      </c>
    </row>
    <row r="3752" spans="1:6">
      <c r="A3752" t="s">
        <v>365</v>
      </c>
      <c r="B3752" t="s">
        <v>367</v>
      </c>
      <c r="C3752" t="s">
        <v>24</v>
      </c>
      <c r="D3752">
        <v>0.1188999592105231</v>
      </c>
      <c r="E3752">
        <v>1600</v>
      </c>
      <c r="F3752">
        <v>190</v>
      </c>
    </row>
    <row r="3753" spans="1:6">
      <c r="A3753" t="s">
        <v>365</v>
      </c>
      <c r="B3753" t="s">
        <v>365</v>
      </c>
      <c r="C3753" t="s">
        <v>24</v>
      </c>
      <c r="D3753">
        <v>6.2597253097472313E-2</v>
      </c>
      <c r="E3753">
        <v>4529</v>
      </c>
      <c r="F3753">
        <v>284</v>
      </c>
    </row>
    <row r="3754" spans="1:6">
      <c r="A3754" t="s">
        <v>365</v>
      </c>
      <c r="B3754" t="s">
        <v>368</v>
      </c>
      <c r="C3754" t="s">
        <v>24</v>
      </c>
      <c r="D3754">
        <v>5.9706995338686175E-2</v>
      </c>
      <c r="E3754">
        <v>5812</v>
      </c>
      <c r="F3754">
        <v>347</v>
      </c>
    </row>
    <row r="3755" spans="1:6">
      <c r="A3755" t="s">
        <v>365</v>
      </c>
      <c r="B3755" t="s">
        <v>369</v>
      </c>
      <c r="C3755" t="s">
        <v>24</v>
      </c>
      <c r="D3755">
        <v>0.19607749778929484</v>
      </c>
      <c r="E3755">
        <v>1290</v>
      </c>
      <c r="F3755">
        <v>253</v>
      </c>
    </row>
    <row r="3756" spans="1:6">
      <c r="A3756" t="s">
        <v>365</v>
      </c>
      <c r="B3756" t="s">
        <v>370</v>
      </c>
      <c r="C3756" t="s">
        <v>24</v>
      </c>
      <c r="D3756">
        <v>0.15500775255660082</v>
      </c>
      <c r="E3756">
        <v>361</v>
      </c>
      <c r="F3756">
        <v>56</v>
      </c>
    </row>
    <row r="3757" spans="1:6">
      <c r="A3757" t="s">
        <v>365</v>
      </c>
      <c r="B3757" t="s">
        <v>371</v>
      </c>
      <c r="C3757" t="s">
        <v>24</v>
      </c>
      <c r="D3757">
        <v>0.17668036060825468</v>
      </c>
      <c r="E3757">
        <v>292</v>
      </c>
      <c r="F3757">
        <v>52</v>
      </c>
    </row>
    <row r="3758" spans="1:6">
      <c r="A3758" t="s">
        <v>365</v>
      </c>
      <c r="B3758" t="s">
        <v>372</v>
      </c>
      <c r="C3758" t="s">
        <v>24</v>
      </c>
      <c r="D3758">
        <v>1.9682985235632236E-2</v>
      </c>
      <c r="E3758">
        <v>671</v>
      </c>
      <c r="F3758">
        <v>13</v>
      </c>
    </row>
    <row r="3759" spans="1:6">
      <c r="A3759" t="s">
        <v>365</v>
      </c>
      <c r="B3759" t="s">
        <v>374</v>
      </c>
      <c r="C3759" t="s">
        <v>24</v>
      </c>
      <c r="D3759">
        <v>9.7918838593773708E-3</v>
      </c>
      <c r="E3759">
        <v>145</v>
      </c>
      <c r="F3759">
        <v>1</v>
      </c>
    </row>
    <row r="3760" spans="1:6">
      <c r="A3760" t="s">
        <v>373</v>
      </c>
      <c r="B3760" t="s">
        <v>375</v>
      </c>
      <c r="C3760" t="s">
        <v>24</v>
      </c>
      <c r="D3760">
        <v>0.16360803035511398</v>
      </c>
      <c r="E3760">
        <v>1598</v>
      </c>
      <c r="F3760">
        <v>261</v>
      </c>
    </row>
    <row r="3761" spans="1:6">
      <c r="A3761" t="s">
        <v>373</v>
      </c>
      <c r="B3761" t="s">
        <v>376</v>
      </c>
      <c r="C3761" t="s">
        <v>24</v>
      </c>
      <c r="D3761">
        <v>4.882032905729701E-2</v>
      </c>
      <c r="E3761">
        <v>822</v>
      </c>
      <c r="F3761">
        <v>40</v>
      </c>
    </row>
    <row r="3762" spans="1:6">
      <c r="A3762" t="s">
        <v>373</v>
      </c>
      <c r="B3762" t="s">
        <v>377</v>
      </c>
      <c r="C3762" t="s">
        <v>24</v>
      </c>
      <c r="D3762">
        <v>0.12409236100589721</v>
      </c>
      <c r="E3762">
        <v>2023</v>
      </c>
      <c r="F3762">
        <v>251</v>
      </c>
    </row>
    <row r="3763" spans="1:6">
      <c r="A3763" t="s">
        <v>373</v>
      </c>
      <c r="B3763" t="s">
        <v>378</v>
      </c>
      <c r="C3763" t="s">
        <v>24</v>
      </c>
      <c r="D3763">
        <v>7.831086176059477E-3</v>
      </c>
      <c r="E3763">
        <v>1475</v>
      </c>
      <c r="F3763">
        <v>12</v>
      </c>
    </row>
    <row r="3764" spans="1:6">
      <c r="A3764" t="s">
        <v>373</v>
      </c>
      <c r="B3764" t="s">
        <v>373</v>
      </c>
      <c r="C3764" t="s">
        <v>24</v>
      </c>
      <c r="D3764">
        <v>0.13752292243211406</v>
      </c>
      <c r="E3764">
        <v>18070</v>
      </c>
      <c r="F3764">
        <v>2485</v>
      </c>
    </row>
    <row r="3765" spans="1:6">
      <c r="A3765" t="s">
        <v>373</v>
      </c>
      <c r="B3765" t="s">
        <v>379</v>
      </c>
      <c r="C3765" t="s">
        <v>24</v>
      </c>
      <c r="D3765">
        <v>3.6223562445623306E-3</v>
      </c>
      <c r="E3765">
        <v>1734</v>
      </c>
      <c r="F3765">
        <v>6</v>
      </c>
    </row>
    <row r="3766" spans="1:6">
      <c r="A3766" t="s">
        <v>373</v>
      </c>
      <c r="B3766" t="s">
        <v>380</v>
      </c>
      <c r="C3766" t="s">
        <v>24</v>
      </c>
      <c r="D3766">
        <v>0.1084953990713426</v>
      </c>
      <c r="E3766">
        <v>948</v>
      </c>
      <c r="F3766">
        <v>103</v>
      </c>
    </row>
    <row r="3767" spans="1:6">
      <c r="A3767" t="s">
        <v>373</v>
      </c>
      <c r="B3767" t="s">
        <v>381</v>
      </c>
      <c r="C3767" t="s">
        <v>24</v>
      </c>
      <c r="D3767">
        <v>0.11497959761363885</v>
      </c>
      <c r="E3767">
        <v>380</v>
      </c>
      <c r="F3767">
        <v>44</v>
      </c>
    </row>
    <row r="3768" spans="1:6">
      <c r="A3768" t="s">
        <v>373</v>
      </c>
      <c r="B3768" t="s">
        <v>382</v>
      </c>
      <c r="C3768" t="s">
        <v>24</v>
      </c>
      <c r="D3768">
        <v>0.19704353894192891</v>
      </c>
      <c r="E3768">
        <v>860</v>
      </c>
      <c r="F3768">
        <v>169</v>
      </c>
    </row>
    <row r="3769" spans="1:6">
      <c r="A3769" t="s">
        <v>383</v>
      </c>
      <c r="B3769" t="s">
        <v>385</v>
      </c>
      <c r="C3769" t="s">
        <v>24</v>
      </c>
      <c r="D3769">
        <v>1.7945941361383343E-2</v>
      </c>
      <c r="E3769">
        <v>112</v>
      </c>
      <c r="F3769">
        <v>2</v>
      </c>
    </row>
    <row r="3770" spans="1:6">
      <c r="A3770" t="s">
        <v>383</v>
      </c>
      <c r="B3770" t="s">
        <v>386</v>
      </c>
      <c r="C3770" t="s">
        <v>24</v>
      </c>
      <c r="D3770">
        <v>0.18661239614475406</v>
      </c>
      <c r="E3770">
        <v>11488</v>
      </c>
      <c r="F3770">
        <v>2144</v>
      </c>
    </row>
    <row r="3771" spans="1:6">
      <c r="A3771" t="s">
        <v>383</v>
      </c>
      <c r="B3771" t="s">
        <v>387</v>
      </c>
      <c r="C3771" t="s">
        <v>24</v>
      </c>
      <c r="D3771">
        <v>2.2558546925184022E-2</v>
      </c>
      <c r="E3771">
        <v>2193</v>
      </c>
      <c r="F3771">
        <v>49</v>
      </c>
    </row>
    <row r="3772" spans="1:6">
      <c r="A3772" t="s">
        <v>383</v>
      </c>
      <c r="B3772" t="s">
        <v>388</v>
      </c>
      <c r="C3772" t="s">
        <v>24</v>
      </c>
      <c r="D3772">
        <v>3.0923567801315867E-2</v>
      </c>
      <c r="E3772">
        <v>1216</v>
      </c>
      <c r="F3772">
        <v>38</v>
      </c>
    </row>
    <row r="3773" spans="1:6">
      <c r="A3773" t="s">
        <v>383</v>
      </c>
      <c r="B3773" t="s">
        <v>389</v>
      </c>
      <c r="C3773" t="s">
        <v>24</v>
      </c>
      <c r="D3773">
        <v>0.1176059564213793</v>
      </c>
      <c r="E3773">
        <v>2644</v>
      </c>
      <c r="F3773">
        <v>311</v>
      </c>
    </row>
    <row r="3774" spans="1:6">
      <c r="A3774" t="s">
        <v>383</v>
      </c>
      <c r="B3774" t="s">
        <v>390</v>
      </c>
      <c r="C3774" t="s">
        <v>24</v>
      </c>
      <c r="D3774">
        <v>2.9071221785477476E-2</v>
      </c>
      <c r="E3774">
        <v>477</v>
      </c>
      <c r="F3774">
        <v>14</v>
      </c>
    </row>
    <row r="3775" spans="1:6">
      <c r="A3775" t="s">
        <v>383</v>
      </c>
      <c r="B3775" t="s">
        <v>391</v>
      </c>
      <c r="C3775" t="s">
        <v>24</v>
      </c>
      <c r="D3775">
        <v>0.12684944300301795</v>
      </c>
      <c r="E3775">
        <v>1670</v>
      </c>
      <c r="F3775">
        <v>212</v>
      </c>
    </row>
    <row r="3776" spans="1:6">
      <c r="A3776" t="s">
        <v>383</v>
      </c>
      <c r="B3776" t="s">
        <v>392</v>
      </c>
      <c r="C3776" t="s">
        <v>24</v>
      </c>
      <c r="D3776">
        <v>6.6084439823842447E-2</v>
      </c>
      <c r="E3776">
        <v>682</v>
      </c>
      <c r="F3776">
        <v>45</v>
      </c>
    </row>
    <row r="3777" spans="1:6">
      <c r="A3777" t="s">
        <v>383</v>
      </c>
      <c r="B3777" t="s">
        <v>393</v>
      </c>
      <c r="C3777" t="s">
        <v>24</v>
      </c>
      <c r="D3777">
        <v>8.7419285659899856E-2</v>
      </c>
      <c r="E3777">
        <v>2127</v>
      </c>
      <c r="F3777">
        <v>186</v>
      </c>
    </row>
    <row r="3778" spans="1:6">
      <c r="A3778" t="s">
        <v>383</v>
      </c>
      <c r="B3778" t="s">
        <v>394</v>
      </c>
      <c r="C3778" t="s">
        <v>24</v>
      </c>
      <c r="D3778">
        <v>0.12009426918262052</v>
      </c>
      <c r="E3778">
        <v>756</v>
      </c>
      <c r="F3778">
        <v>91</v>
      </c>
    </row>
    <row r="3779" spans="1:6">
      <c r="A3779" t="s">
        <v>383</v>
      </c>
      <c r="B3779" t="s">
        <v>395</v>
      </c>
      <c r="C3779" t="s">
        <v>24</v>
      </c>
      <c r="D3779">
        <v>8.0283568005827435E-2</v>
      </c>
      <c r="E3779">
        <v>1674</v>
      </c>
      <c r="F3779">
        <v>134</v>
      </c>
    </row>
    <row r="3780" spans="1:6">
      <c r="A3780" t="s">
        <v>383</v>
      </c>
      <c r="B3780" t="s">
        <v>396</v>
      </c>
      <c r="C3780" t="s">
        <v>24</v>
      </c>
      <c r="D3780">
        <v>0.13507898147515671</v>
      </c>
      <c r="E3780">
        <v>499</v>
      </c>
      <c r="F3780">
        <v>67</v>
      </c>
    </row>
    <row r="3781" spans="1:6">
      <c r="A3781" t="s">
        <v>383</v>
      </c>
      <c r="B3781" t="s">
        <v>398</v>
      </c>
      <c r="C3781" t="s">
        <v>24</v>
      </c>
      <c r="D3781">
        <v>0.15793994957701812</v>
      </c>
      <c r="E3781">
        <v>440</v>
      </c>
      <c r="F3781">
        <v>69</v>
      </c>
    </row>
    <row r="3782" spans="1:6">
      <c r="A3782" t="s">
        <v>397</v>
      </c>
      <c r="B3782" t="s">
        <v>397</v>
      </c>
      <c r="C3782" t="s">
        <v>24</v>
      </c>
      <c r="D3782">
        <v>9.4850320711055772E-2</v>
      </c>
      <c r="E3782">
        <v>144933</v>
      </c>
      <c r="F3782">
        <v>13747</v>
      </c>
    </row>
    <row r="3783" spans="1:6">
      <c r="A3783" t="s">
        <v>397</v>
      </c>
      <c r="B3783" t="s">
        <v>399</v>
      </c>
      <c r="C3783" t="s">
        <v>24</v>
      </c>
      <c r="D3783">
        <v>7.9916727526088319E-2</v>
      </c>
      <c r="E3783">
        <v>1366</v>
      </c>
      <c r="F3783">
        <v>109</v>
      </c>
    </row>
    <row r="3784" spans="1:6">
      <c r="A3784" t="s">
        <v>397</v>
      </c>
      <c r="B3784" t="s">
        <v>400</v>
      </c>
      <c r="C3784" t="s">
        <v>24</v>
      </c>
      <c r="D3784">
        <v>0.19426162520502221</v>
      </c>
      <c r="E3784">
        <v>5999</v>
      </c>
      <c r="F3784">
        <v>1165</v>
      </c>
    </row>
    <row r="3785" spans="1:6">
      <c r="A3785" t="s">
        <v>397</v>
      </c>
      <c r="B3785" t="s">
        <v>401</v>
      </c>
      <c r="C3785" t="s">
        <v>24</v>
      </c>
      <c r="D3785">
        <v>0.16419405595116551</v>
      </c>
      <c r="E3785">
        <v>1040</v>
      </c>
      <c r="F3785">
        <v>171</v>
      </c>
    </row>
    <row r="3786" spans="1:6">
      <c r="A3786" t="s">
        <v>397</v>
      </c>
      <c r="B3786" t="s">
        <v>402</v>
      </c>
      <c r="C3786" t="s">
        <v>24</v>
      </c>
      <c r="D3786">
        <v>7.9233316762579841E-3</v>
      </c>
      <c r="E3786">
        <v>3472</v>
      </c>
      <c r="F3786">
        <v>28</v>
      </c>
    </row>
    <row r="3787" spans="1:6">
      <c r="A3787" t="s">
        <v>397</v>
      </c>
      <c r="B3787" t="s">
        <v>403</v>
      </c>
      <c r="C3787" t="s">
        <v>24</v>
      </c>
      <c r="D3787">
        <v>7.5987708048703861E-2</v>
      </c>
      <c r="E3787">
        <v>5281</v>
      </c>
      <c r="F3787">
        <v>401</v>
      </c>
    </row>
    <row r="3788" spans="1:6">
      <c r="A3788" t="s">
        <v>397</v>
      </c>
      <c r="B3788" t="s">
        <v>404</v>
      </c>
      <c r="C3788" t="s">
        <v>24</v>
      </c>
      <c r="D3788">
        <v>3.0966886221145386E-2</v>
      </c>
      <c r="E3788">
        <v>3188</v>
      </c>
      <c r="F3788">
        <v>99</v>
      </c>
    </row>
    <row r="3789" spans="1:6">
      <c r="A3789" t="s">
        <v>397</v>
      </c>
      <c r="B3789" t="s">
        <v>405</v>
      </c>
      <c r="C3789" t="s">
        <v>24</v>
      </c>
      <c r="D3789">
        <v>0.18657400106504141</v>
      </c>
      <c r="E3789">
        <v>968</v>
      </c>
      <c r="F3789">
        <v>181</v>
      </c>
    </row>
    <row r="3790" spans="1:6">
      <c r="A3790" t="s">
        <v>397</v>
      </c>
      <c r="B3790" t="s">
        <v>406</v>
      </c>
      <c r="C3790" t="s">
        <v>24</v>
      </c>
      <c r="D3790">
        <v>0.10167396413363367</v>
      </c>
      <c r="E3790">
        <v>2206</v>
      </c>
      <c r="F3790">
        <v>224</v>
      </c>
    </row>
    <row r="3791" spans="1:6">
      <c r="A3791" t="s">
        <v>397</v>
      </c>
      <c r="B3791" t="s">
        <v>407</v>
      </c>
      <c r="C3791" t="s">
        <v>24</v>
      </c>
      <c r="D3791">
        <v>4.5902909563097088E-2</v>
      </c>
      <c r="E3791">
        <v>496</v>
      </c>
      <c r="F3791">
        <v>23</v>
      </c>
    </row>
    <row r="3792" spans="1:6">
      <c r="A3792" t="s">
        <v>397</v>
      </c>
      <c r="B3792" t="s">
        <v>408</v>
      </c>
      <c r="C3792" t="s">
        <v>24</v>
      </c>
      <c r="D3792">
        <v>9.3058733318449785E-2</v>
      </c>
      <c r="E3792">
        <v>955</v>
      </c>
      <c r="F3792">
        <v>89</v>
      </c>
    </row>
    <row r="3793" spans="1:6">
      <c r="A3793" t="s">
        <v>397</v>
      </c>
      <c r="B3793" t="s">
        <v>409</v>
      </c>
      <c r="C3793" t="s">
        <v>24</v>
      </c>
      <c r="D3793">
        <v>0.1861286396117362</v>
      </c>
      <c r="E3793">
        <v>1311</v>
      </c>
      <c r="F3793">
        <v>244</v>
      </c>
    </row>
    <row r="3794" spans="1:6">
      <c r="A3794" t="s">
        <v>397</v>
      </c>
      <c r="B3794" t="s">
        <v>410</v>
      </c>
      <c r="C3794" t="s">
        <v>24</v>
      </c>
      <c r="D3794">
        <v>0.11735888341237583</v>
      </c>
      <c r="E3794">
        <v>540</v>
      </c>
      <c r="F3794">
        <v>63</v>
      </c>
    </row>
    <row r="3795" spans="1:6">
      <c r="A3795" t="s">
        <v>397</v>
      </c>
      <c r="B3795" t="s">
        <v>411</v>
      </c>
      <c r="C3795" t="s">
        <v>24</v>
      </c>
      <c r="D3795">
        <v>0.14449729925196286</v>
      </c>
      <c r="E3795">
        <v>1870</v>
      </c>
      <c r="F3795">
        <v>270</v>
      </c>
    </row>
    <row r="3796" spans="1:6">
      <c r="A3796" t="s">
        <v>397</v>
      </c>
      <c r="B3796" t="s">
        <v>412</v>
      </c>
      <c r="C3796" t="s">
        <v>24</v>
      </c>
      <c r="D3796">
        <v>0.16690251805882711</v>
      </c>
      <c r="E3796">
        <v>2046</v>
      </c>
      <c r="F3796">
        <v>341</v>
      </c>
    </row>
    <row r="3797" spans="1:6">
      <c r="A3797" t="s">
        <v>397</v>
      </c>
      <c r="B3797" t="s">
        <v>414</v>
      </c>
      <c r="C3797" t="s">
        <v>24</v>
      </c>
      <c r="D3797">
        <v>0.10638595033633158</v>
      </c>
      <c r="E3797">
        <v>2237</v>
      </c>
      <c r="F3797">
        <v>238</v>
      </c>
    </row>
    <row r="3798" spans="1:6">
      <c r="A3798" t="s">
        <v>413</v>
      </c>
      <c r="B3798" t="s">
        <v>413</v>
      </c>
      <c r="C3798" t="s">
        <v>24</v>
      </c>
      <c r="D3798">
        <v>0.19151080256379827</v>
      </c>
      <c r="E3798">
        <v>12494</v>
      </c>
      <c r="F3798">
        <v>2393</v>
      </c>
    </row>
    <row r="3799" spans="1:6">
      <c r="A3799" t="s">
        <v>413</v>
      </c>
      <c r="B3799" t="s">
        <v>415</v>
      </c>
      <c r="C3799" t="s">
        <v>24</v>
      </c>
      <c r="D3799">
        <v>5.8731367711434702E-2</v>
      </c>
      <c r="E3799">
        <v>356</v>
      </c>
      <c r="F3799">
        <v>21</v>
      </c>
    </row>
    <row r="3800" spans="1:6">
      <c r="A3800" t="s">
        <v>413</v>
      </c>
      <c r="B3800" t="s">
        <v>416</v>
      </c>
      <c r="C3800" t="s">
        <v>24</v>
      </c>
      <c r="D3800">
        <v>4.1351351410449572E-2</v>
      </c>
      <c r="E3800">
        <v>1370</v>
      </c>
      <c r="F3800">
        <v>57</v>
      </c>
    </row>
    <row r="3801" spans="1:6">
      <c r="A3801" t="s">
        <v>413</v>
      </c>
      <c r="B3801" t="s">
        <v>417</v>
      </c>
      <c r="C3801" t="s">
        <v>24</v>
      </c>
      <c r="D3801">
        <v>2.8310424533967794E-2</v>
      </c>
      <c r="E3801">
        <v>1172</v>
      </c>
      <c r="F3801">
        <v>33</v>
      </c>
    </row>
    <row r="3802" spans="1:6">
      <c r="A3802" t="s">
        <v>413</v>
      </c>
      <c r="B3802" t="s">
        <v>418</v>
      </c>
      <c r="C3802" t="s">
        <v>24</v>
      </c>
      <c r="D3802">
        <v>2.4086161335321155E-2</v>
      </c>
      <c r="E3802">
        <v>1166</v>
      </c>
      <c r="F3802">
        <v>28</v>
      </c>
    </row>
    <row r="3803" spans="1:6">
      <c r="A3803" t="s">
        <v>413</v>
      </c>
      <c r="B3803" t="s">
        <v>419</v>
      </c>
      <c r="C3803" t="s">
        <v>24</v>
      </c>
      <c r="D3803">
        <v>0.1832487496159908</v>
      </c>
      <c r="E3803">
        <v>864</v>
      </c>
      <c r="F3803">
        <v>158</v>
      </c>
    </row>
    <row r="3804" spans="1:6">
      <c r="A3804" t="s">
        <v>413</v>
      </c>
      <c r="B3804" t="s">
        <v>420</v>
      </c>
      <c r="C3804" t="s">
        <v>24</v>
      </c>
      <c r="D3804">
        <v>5.8073686406045759E-2</v>
      </c>
      <c r="E3804">
        <v>358</v>
      </c>
      <c r="F3804">
        <v>21</v>
      </c>
    </row>
    <row r="3805" spans="1:6">
      <c r="A3805" t="s">
        <v>413</v>
      </c>
      <c r="B3805" t="s">
        <v>421</v>
      </c>
      <c r="C3805" t="s">
        <v>24</v>
      </c>
      <c r="D3805">
        <v>0.12669593215457506</v>
      </c>
      <c r="E3805">
        <v>798</v>
      </c>
      <c r="F3805">
        <v>101</v>
      </c>
    </row>
    <row r="3806" spans="1:6">
      <c r="A3806" t="s">
        <v>413</v>
      </c>
      <c r="B3806" t="s">
        <v>422</v>
      </c>
      <c r="C3806" t="s">
        <v>24</v>
      </c>
      <c r="D3806">
        <v>8.336566957994021E-2</v>
      </c>
      <c r="E3806">
        <v>265</v>
      </c>
      <c r="F3806">
        <v>22</v>
      </c>
    </row>
    <row r="3807" spans="1:6">
      <c r="A3807" t="s">
        <v>413</v>
      </c>
      <c r="B3807" t="s">
        <v>424</v>
      </c>
      <c r="C3807" t="s">
        <v>24</v>
      </c>
      <c r="D3807">
        <v>0.10791176137229402</v>
      </c>
      <c r="E3807">
        <v>204</v>
      </c>
      <c r="F3807">
        <v>22</v>
      </c>
    </row>
    <row r="3808" spans="1:6">
      <c r="A3808" t="s">
        <v>423</v>
      </c>
      <c r="B3808" t="s">
        <v>423</v>
      </c>
      <c r="C3808" t="s">
        <v>24</v>
      </c>
      <c r="D3808">
        <v>8.4707014893337748E-2</v>
      </c>
      <c r="E3808">
        <v>19334</v>
      </c>
      <c r="F3808">
        <v>1638</v>
      </c>
    </row>
    <row r="3809" spans="1:6">
      <c r="A3809" t="s">
        <v>425</v>
      </c>
      <c r="B3809" t="s">
        <v>426</v>
      </c>
      <c r="C3809" t="s">
        <v>24</v>
      </c>
      <c r="D3809">
        <v>7.715012199959935E-2</v>
      </c>
      <c r="E3809">
        <v>1156</v>
      </c>
      <c r="F3809">
        <v>89</v>
      </c>
    </row>
    <row r="3810" spans="1:6">
      <c r="A3810" t="s">
        <v>425</v>
      </c>
      <c r="B3810" t="s">
        <v>427</v>
      </c>
      <c r="C3810" t="s">
        <v>24</v>
      </c>
      <c r="D3810">
        <v>9.043891652726431E-2</v>
      </c>
      <c r="E3810">
        <v>2446</v>
      </c>
      <c r="F3810">
        <v>221</v>
      </c>
    </row>
    <row r="3811" spans="1:6">
      <c r="A3811" t="s">
        <v>425</v>
      </c>
      <c r="B3811" t="s">
        <v>425</v>
      </c>
      <c r="C3811" t="s">
        <v>24</v>
      </c>
      <c r="D3811">
        <v>8.5497483372247284E-3</v>
      </c>
      <c r="E3811">
        <v>14272</v>
      </c>
      <c r="F3811">
        <v>122</v>
      </c>
    </row>
    <row r="3812" spans="1:6">
      <c r="A3812" t="s">
        <v>425</v>
      </c>
      <c r="B3812" t="s">
        <v>428</v>
      </c>
      <c r="C3812" t="s">
        <v>24</v>
      </c>
      <c r="D3812">
        <v>1.1067741198929949E-3</v>
      </c>
      <c r="E3812">
        <v>730</v>
      </c>
      <c r="F3812">
        <v>1</v>
      </c>
    </row>
    <row r="3813" spans="1:6">
      <c r="A3813" t="s">
        <v>425</v>
      </c>
      <c r="B3813" t="s">
        <v>429</v>
      </c>
      <c r="C3813" t="s">
        <v>24</v>
      </c>
      <c r="D3813">
        <v>0.19124641737739234</v>
      </c>
      <c r="E3813">
        <v>820</v>
      </c>
      <c r="F3813">
        <v>157</v>
      </c>
    </row>
    <row r="3814" spans="1:6">
      <c r="A3814" t="s">
        <v>425</v>
      </c>
      <c r="B3814" t="s">
        <v>431</v>
      </c>
      <c r="C3814" t="s">
        <v>24</v>
      </c>
      <c r="D3814">
        <v>0.13769462254521719</v>
      </c>
      <c r="E3814">
        <v>486</v>
      </c>
      <c r="F3814">
        <v>67</v>
      </c>
    </row>
    <row r="3815" spans="1:6">
      <c r="A3815" t="s">
        <v>430</v>
      </c>
      <c r="B3815" t="s">
        <v>432</v>
      </c>
      <c r="C3815" t="s">
        <v>24</v>
      </c>
      <c r="D3815">
        <v>6.2963131738670103E-2</v>
      </c>
      <c r="E3815">
        <v>948</v>
      </c>
      <c r="F3815">
        <v>60</v>
      </c>
    </row>
    <row r="3816" spans="1:6">
      <c r="A3816" t="s">
        <v>430</v>
      </c>
      <c r="B3816" t="s">
        <v>433</v>
      </c>
      <c r="C3816" t="s">
        <v>24</v>
      </c>
      <c r="D3816">
        <v>0.13516240655773457</v>
      </c>
      <c r="E3816">
        <v>362</v>
      </c>
      <c r="F3816">
        <v>49</v>
      </c>
    </row>
    <row r="3817" spans="1:6">
      <c r="A3817" t="s">
        <v>430</v>
      </c>
      <c r="B3817" t="s">
        <v>434</v>
      </c>
      <c r="C3817" t="s">
        <v>24</v>
      </c>
      <c r="D3817">
        <v>4.4378707657657036E-2</v>
      </c>
      <c r="E3817">
        <v>944</v>
      </c>
      <c r="F3817">
        <v>42</v>
      </c>
    </row>
    <row r="3818" spans="1:6">
      <c r="A3818" t="s">
        <v>430</v>
      </c>
      <c r="B3818" t="s">
        <v>435</v>
      </c>
      <c r="C3818" t="s">
        <v>24</v>
      </c>
      <c r="D3818">
        <v>8.459858391025972E-2</v>
      </c>
      <c r="E3818">
        <v>460</v>
      </c>
      <c r="F3818">
        <v>39</v>
      </c>
    </row>
    <row r="3819" spans="1:6">
      <c r="A3819" t="s">
        <v>430</v>
      </c>
      <c r="B3819" t="s">
        <v>436</v>
      </c>
      <c r="C3819" t="s">
        <v>24</v>
      </c>
      <c r="D3819">
        <v>7.2520713551783841E-2</v>
      </c>
      <c r="E3819">
        <v>11530</v>
      </c>
      <c r="F3819">
        <v>836</v>
      </c>
    </row>
    <row r="3820" spans="1:6">
      <c r="A3820" t="s">
        <v>430</v>
      </c>
      <c r="B3820" t="s">
        <v>437</v>
      </c>
      <c r="C3820" t="s">
        <v>24</v>
      </c>
      <c r="D3820">
        <v>7.5845045882816847E-2</v>
      </c>
      <c r="E3820">
        <v>2181</v>
      </c>
      <c r="F3820">
        <v>165</v>
      </c>
    </row>
    <row r="3821" spans="1:6">
      <c r="A3821" t="s">
        <v>430</v>
      </c>
      <c r="B3821" t="s">
        <v>438</v>
      </c>
      <c r="C3821" t="s">
        <v>24</v>
      </c>
      <c r="D3821">
        <v>0.19923570470493143</v>
      </c>
      <c r="E3821">
        <v>1464</v>
      </c>
      <c r="F3821">
        <v>292</v>
      </c>
    </row>
    <row r="3822" spans="1:6">
      <c r="A3822" t="s">
        <v>430</v>
      </c>
      <c r="B3822" t="s">
        <v>439</v>
      </c>
      <c r="C3822" t="s">
        <v>24</v>
      </c>
      <c r="D3822">
        <v>4.6278451118541876E-2</v>
      </c>
      <c r="E3822">
        <v>2182</v>
      </c>
      <c r="F3822">
        <v>101</v>
      </c>
    </row>
    <row r="3823" spans="1:6">
      <c r="A3823" t="s">
        <v>430</v>
      </c>
      <c r="B3823" t="s">
        <v>440</v>
      </c>
      <c r="C3823" t="s">
        <v>24</v>
      </c>
      <c r="D3823">
        <v>0.11473445305241801</v>
      </c>
      <c r="E3823">
        <v>2989</v>
      </c>
      <c r="F3823">
        <v>343</v>
      </c>
    </row>
    <row r="3824" spans="1:6">
      <c r="A3824" t="s">
        <v>430</v>
      </c>
      <c r="B3824" t="s">
        <v>441</v>
      </c>
      <c r="C3824" t="s">
        <v>24</v>
      </c>
      <c r="D3824">
        <v>4.5061604039044578E-2</v>
      </c>
      <c r="E3824">
        <v>978</v>
      </c>
      <c r="F3824">
        <v>44</v>
      </c>
    </row>
    <row r="3825" spans="1:6">
      <c r="A3825" t="s">
        <v>430</v>
      </c>
      <c r="B3825" t="s">
        <v>442</v>
      </c>
      <c r="C3825" t="s">
        <v>24</v>
      </c>
      <c r="D3825">
        <v>0.11246488180920522</v>
      </c>
      <c r="E3825">
        <v>897</v>
      </c>
      <c r="F3825">
        <v>101</v>
      </c>
    </row>
    <row r="3826" spans="1:6">
      <c r="A3826" t="s">
        <v>430</v>
      </c>
      <c r="B3826" t="s">
        <v>443</v>
      </c>
      <c r="C3826" t="s">
        <v>24</v>
      </c>
      <c r="D3826">
        <v>8.0991589319428167E-2</v>
      </c>
      <c r="E3826">
        <v>1608</v>
      </c>
      <c r="F3826">
        <v>130</v>
      </c>
    </row>
    <row r="3827" spans="1:6">
      <c r="A3827" t="s">
        <v>430</v>
      </c>
      <c r="B3827" t="s">
        <v>444</v>
      </c>
      <c r="C3827" t="s">
        <v>24</v>
      </c>
      <c r="D3827">
        <v>1.1115772654186907E-2</v>
      </c>
      <c r="E3827">
        <v>402</v>
      </c>
      <c r="F3827">
        <v>4</v>
      </c>
    </row>
    <row r="3828" spans="1:6">
      <c r="A3828" t="s">
        <v>430</v>
      </c>
      <c r="B3828" t="s">
        <v>446</v>
      </c>
      <c r="C3828" t="s">
        <v>24</v>
      </c>
      <c r="D3828">
        <v>2.2789604944503772E-2</v>
      </c>
      <c r="E3828">
        <v>564</v>
      </c>
      <c r="F3828">
        <v>13</v>
      </c>
    </row>
    <row r="3829" spans="1:6">
      <c r="A3829" t="s">
        <v>1013</v>
      </c>
      <c r="B3829" t="s">
        <v>447</v>
      </c>
      <c r="C3829" t="s">
        <v>24</v>
      </c>
      <c r="D3829">
        <v>0.10314522966060582</v>
      </c>
      <c r="E3829">
        <v>1538</v>
      </c>
      <c r="F3829">
        <v>159</v>
      </c>
    </row>
    <row r="3830" spans="1:6">
      <c r="A3830" t="s">
        <v>1013</v>
      </c>
      <c r="B3830" t="s">
        <v>448</v>
      </c>
      <c r="C3830" t="s">
        <v>24</v>
      </c>
      <c r="D3830">
        <v>1.9476623495346471E-2</v>
      </c>
      <c r="E3830">
        <v>6329</v>
      </c>
      <c r="F3830">
        <v>123</v>
      </c>
    </row>
    <row r="3831" spans="1:6">
      <c r="A3831" t="s">
        <v>1013</v>
      </c>
      <c r="B3831" t="s">
        <v>449</v>
      </c>
      <c r="C3831" t="s">
        <v>24</v>
      </c>
      <c r="D3831">
        <v>8.0057029381703337E-2</v>
      </c>
      <c r="E3831">
        <v>509</v>
      </c>
      <c r="F3831">
        <v>41</v>
      </c>
    </row>
    <row r="3832" spans="1:6">
      <c r="A3832" t="s">
        <v>1013</v>
      </c>
      <c r="B3832" t="s">
        <v>450</v>
      </c>
      <c r="C3832" t="s">
        <v>24</v>
      </c>
      <c r="D3832">
        <v>0.17666996957732783</v>
      </c>
      <c r="E3832">
        <v>2203</v>
      </c>
      <c r="F3832">
        <v>389</v>
      </c>
    </row>
    <row r="3833" spans="1:6">
      <c r="A3833" t="s">
        <v>1013</v>
      </c>
      <c r="B3833" t="s">
        <v>451</v>
      </c>
      <c r="C3833" t="s">
        <v>24</v>
      </c>
      <c r="D3833">
        <v>0.12653852277542038</v>
      </c>
      <c r="E3833">
        <v>539</v>
      </c>
      <c r="F3833">
        <v>68</v>
      </c>
    </row>
    <row r="3834" spans="1:6">
      <c r="A3834" t="s">
        <v>1013</v>
      </c>
      <c r="B3834" t="s">
        <v>452</v>
      </c>
      <c r="C3834" t="s">
        <v>24</v>
      </c>
      <c r="D3834">
        <v>3.049199271877634E-3</v>
      </c>
      <c r="E3834">
        <v>692</v>
      </c>
      <c r="F3834">
        <v>2</v>
      </c>
    </row>
    <row r="3835" spans="1:6">
      <c r="A3835" t="s">
        <v>1013</v>
      </c>
      <c r="B3835" t="s">
        <v>453</v>
      </c>
      <c r="C3835" t="s">
        <v>24</v>
      </c>
      <c r="D3835">
        <v>8.751810450149905E-2</v>
      </c>
      <c r="E3835">
        <v>156</v>
      </c>
      <c r="F3835">
        <v>14</v>
      </c>
    </row>
    <row r="3836" spans="1:6">
      <c r="A3836" t="s">
        <v>1013</v>
      </c>
      <c r="B3836" t="s">
        <v>455</v>
      </c>
      <c r="C3836" t="s">
        <v>24</v>
      </c>
      <c r="D3836">
        <v>0.19459384345601727</v>
      </c>
      <c r="E3836">
        <v>553</v>
      </c>
      <c r="F3836">
        <v>108</v>
      </c>
    </row>
    <row r="3837" spans="1:6">
      <c r="A3837" t="s">
        <v>1011</v>
      </c>
      <c r="B3837" t="s">
        <v>456</v>
      </c>
      <c r="C3837" t="s">
        <v>24</v>
      </c>
      <c r="D3837">
        <v>3.3846514775323348E-2</v>
      </c>
      <c r="E3837">
        <v>6420</v>
      </c>
      <c r="F3837">
        <v>217</v>
      </c>
    </row>
    <row r="3838" spans="1:6">
      <c r="A3838" t="s">
        <v>1011</v>
      </c>
      <c r="B3838" t="s">
        <v>457</v>
      </c>
      <c r="C3838" t="s">
        <v>24</v>
      </c>
      <c r="D3838">
        <v>6.426729485307979E-2</v>
      </c>
      <c r="E3838">
        <v>632</v>
      </c>
      <c r="F3838">
        <v>41</v>
      </c>
    </row>
    <row r="3839" spans="1:6">
      <c r="A3839" t="s">
        <v>1011</v>
      </c>
      <c r="B3839" t="s">
        <v>458</v>
      </c>
      <c r="C3839" t="s">
        <v>24</v>
      </c>
      <c r="D3839">
        <v>9.5292907927501766E-2</v>
      </c>
      <c r="E3839">
        <v>469</v>
      </c>
      <c r="F3839">
        <v>45</v>
      </c>
    </row>
    <row r="3840" spans="1:6">
      <c r="A3840" t="s">
        <v>1011</v>
      </c>
      <c r="B3840" t="s">
        <v>459</v>
      </c>
      <c r="C3840" t="s">
        <v>24</v>
      </c>
      <c r="D3840">
        <v>8.6513418110987964E-2</v>
      </c>
      <c r="E3840">
        <v>1615</v>
      </c>
      <c r="F3840">
        <v>140</v>
      </c>
    </row>
    <row r="3841" spans="1:6">
      <c r="A3841" t="s">
        <v>1011</v>
      </c>
      <c r="B3841" t="s">
        <v>460</v>
      </c>
      <c r="C3841" t="s">
        <v>24</v>
      </c>
      <c r="D3841">
        <v>9.9862827619889682E-2</v>
      </c>
      <c r="E3841">
        <v>659</v>
      </c>
      <c r="F3841">
        <v>66</v>
      </c>
    </row>
    <row r="3842" spans="1:6">
      <c r="A3842" t="s">
        <v>1011</v>
      </c>
      <c r="B3842" t="s">
        <v>461</v>
      </c>
      <c r="C3842" t="s">
        <v>24</v>
      </c>
      <c r="D3842">
        <v>7.2416688197980569E-2</v>
      </c>
      <c r="E3842">
        <v>398</v>
      </c>
      <c r="F3842">
        <v>29</v>
      </c>
    </row>
    <row r="3843" spans="1:6">
      <c r="A3843" t="s">
        <v>1011</v>
      </c>
      <c r="B3843" t="s">
        <v>462</v>
      </c>
      <c r="C3843" t="s">
        <v>24</v>
      </c>
      <c r="D3843">
        <v>1.8090146182565305E-2</v>
      </c>
      <c r="E3843">
        <v>1251</v>
      </c>
      <c r="F3843">
        <v>23</v>
      </c>
    </row>
    <row r="3844" spans="1:6">
      <c r="A3844" t="s">
        <v>1011</v>
      </c>
      <c r="B3844" t="s">
        <v>463</v>
      </c>
      <c r="C3844" t="s">
        <v>24</v>
      </c>
      <c r="D3844">
        <v>9.6676888033135858E-2</v>
      </c>
      <c r="E3844">
        <v>362</v>
      </c>
      <c r="F3844">
        <v>35</v>
      </c>
    </row>
    <row r="3845" spans="1:6">
      <c r="A3845" t="s">
        <v>1011</v>
      </c>
      <c r="B3845" t="s">
        <v>464</v>
      </c>
      <c r="C3845" t="s">
        <v>24</v>
      </c>
      <c r="D3845" s="5">
        <v>5.9309119761472108E-2</v>
      </c>
      <c r="E3845" s="5">
        <v>575</v>
      </c>
      <c r="F3845">
        <v>34</v>
      </c>
    </row>
    <row r="3846" spans="1:6">
      <c r="A3846" t="s">
        <v>1011</v>
      </c>
      <c r="B3846" t="s">
        <v>465</v>
      </c>
      <c r="C3846" t="s">
        <v>24</v>
      </c>
      <c r="D3846" s="5">
        <v>0.14344228066734085</v>
      </c>
      <c r="E3846" s="5">
        <v>208</v>
      </c>
      <c r="F3846">
        <v>30</v>
      </c>
    </row>
    <row r="3847" spans="1:6">
      <c r="A3847" t="s">
        <v>1011</v>
      </c>
      <c r="B3847" t="s">
        <v>466</v>
      </c>
      <c r="C3847" t="s">
        <v>24</v>
      </c>
      <c r="D3847" s="5">
        <v>0.19874642927244748</v>
      </c>
      <c r="E3847" s="5">
        <v>1374</v>
      </c>
      <c r="F3847">
        <v>273</v>
      </c>
    </row>
    <row r="3848" spans="1:6">
      <c r="A3848" t="s">
        <v>429</v>
      </c>
      <c r="B3848" t="s">
        <v>467</v>
      </c>
      <c r="C3848" t="s">
        <v>24</v>
      </c>
      <c r="D3848" s="5">
        <v>0.11015867286449282</v>
      </c>
      <c r="E3848" s="5">
        <v>29180</v>
      </c>
      <c r="F3848">
        <v>3214</v>
      </c>
    </row>
    <row r="3849" spans="1:6">
      <c r="A3849" t="s">
        <v>429</v>
      </c>
      <c r="B3849" t="s">
        <v>468</v>
      </c>
      <c r="C3849" t="s">
        <v>24</v>
      </c>
      <c r="D3849" s="5">
        <v>1.8959465270117451E-2</v>
      </c>
      <c r="E3849" s="5">
        <v>1623</v>
      </c>
      <c r="F3849">
        <v>31</v>
      </c>
    </row>
    <row r="3850" spans="1:6">
      <c r="A3850" t="s">
        <v>429</v>
      </c>
      <c r="B3850" t="s">
        <v>469</v>
      </c>
      <c r="C3850" t="s">
        <v>24</v>
      </c>
      <c r="D3850" s="5">
        <v>9.4289036653209656E-3</v>
      </c>
      <c r="E3850" s="5">
        <v>916</v>
      </c>
      <c r="F3850">
        <v>9</v>
      </c>
    </row>
    <row r="3851" spans="1:6">
      <c r="A3851" t="s">
        <v>429</v>
      </c>
      <c r="B3851" t="s">
        <v>470</v>
      </c>
      <c r="C3851" t="s">
        <v>24</v>
      </c>
      <c r="D3851" s="5">
        <v>0.13484351827509411</v>
      </c>
      <c r="E3851" s="5">
        <v>143</v>
      </c>
      <c r="F3851">
        <v>19</v>
      </c>
    </row>
    <row r="3852" spans="1:6">
      <c r="A3852" t="s">
        <v>429</v>
      </c>
      <c r="B3852" t="s">
        <v>471</v>
      </c>
      <c r="C3852" t="s">
        <v>24</v>
      </c>
      <c r="D3852" s="5">
        <v>1.816622871564615E-2</v>
      </c>
      <c r="E3852" s="5">
        <v>444</v>
      </c>
      <c r="F3852">
        <v>8</v>
      </c>
    </row>
    <row r="3853" spans="1:6">
      <c r="A3853" t="s">
        <v>429</v>
      </c>
      <c r="B3853" t="s">
        <v>472</v>
      </c>
      <c r="C3853" t="s">
        <v>24</v>
      </c>
      <c r="D3853" s="5">
        <v>0.16209921147423886</v>
      </c>
      <c r="E3853" s="5">
        <v>1987</v>
      </c>
      <c r="F3853">
        <v>322</v>
      </c>
    </row>
  </sheetData>
  <phoneticPr fontId="9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8"/>
  <sheetViews>
    <sheetView workbookViewId="0">
      <selection activeCell="B2" sqref="B2:B12"/>
    </sheetView>
  </sheetViews>
  <sheetFormatPr defaultRowHeight="15"/>
  <cols>
    <col min="5" max="5" width="12.7109375" customWidth="1"/>
    <col min="6" max="6" width="12.140625" customWidth="1"/>
  </cols>
  <sheetData>
    <row r="1" spans="1:6">
      <c r="A1" t="s">
        <v>1076</v>
      </c>
      <c r="B1" t="s">
        <v>1017</v>
      </c>
      <c r="C1" t="s">
        <v>1018</v>
      </c>
      <c r="D1" t="s">
        <v>1019</v>
      </c>
      <c r="E1" t="s">
        <v>1020</v>
      </c>
      <c r="F1" t="s">
        <v>1021</v>
      </c>
    </row>
    <row r="2" spans="1:6">
      <c r="A2" t="s">
        <v>1022</v>
      </c>
      <c r="B2">
        <v>646464</v>
      </c>
      <c r="C2">
        <v>64</v>
      </c>
      <c r="D2" t="s">
        <v>1023</v>
      </c>
      <c r="E2" t="s">
        <v>1024</v>
      </c>
      <c r="F2" t="s">
        <v>1025</v>
      </c>
    </row>
    <row r="3" spans="1:6">
      <c r="A3" t="s">
        <v>1022</v>
      </c>
    </row>
    <row r="4" spans="1:6">
      <c r="A4" t="s">
        <v>1022</v>
      </c>
      <c r="D4" t="s">
        <v>1026</v>
      </c>
    </row>
    <row r="5" spans="1:6">
      <c r="A5" t="s">
        <v>1022</v>
      </c>
    </row>
    <row r="6" spans="1:6">
      <c r="A6" t="s">
        <v>1022</v>
      </c>
      <c r="B6">
        <v>68641</v>
      </c>
      <c r="C6" t="s">
        <v>1027</v>
      </c>
      <c r="D6" t="s">
        <v>1026</v>
      </c>
    </row>
    <row r="7" spans="1:6">
      <c r="A7" t="s">
        <v>1022</v>
      </c>
      <c r="B7">
        <v>4343</v>
      </c>
    </row>
    <row r="8" spans="1:6">
      <c r="A8" t="s">
        <v>1022</v>
      </c>
      <c r="B8">
        <v>1234567890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821"/>
  <sheetViews>
    <sheetView topLeftCell="A2" zoomScale="85" zoomScaleNormal="85" workbookViewId="0">
      <selection activeCell="B16" sqref="B16"/>
    </sheetView>
  </sheetViews>
  <sheetFormatPr defaultRowHeight="15"/>
  <cols>
    <col min="1" max="1" width="19.5703125" customWidth="1"/>
    <col min="2" max="2" width="16.28515625" bestFit="1" customWidth="1"/>
    <col min="3" max="3" width="7.140625" bestFit="1" customWidth="1"/>
    <col min="4" max="4" width="8.140625" bestFit="1" customWidth="1"/>
    <col min="5" max="5" width="6.140625" bestFit="1" customWidth="1"/>
    <col min="6" max="7" width="7.140625" bestFit="1" customWidth="1"/>
    <col min="8" max="8" width="8.140625" bestFit="1" customWidth="1"/>
    <col min="9" max="10" width="9.28515625" bestFit="1" customWidth="1"/>
    <col min="11" max="11" width="11.28515625" bestFit="1" customWidth="1"/>
    <col min="12" max="12" width="9.5703125" bestFit="1" customWidth="1"/>
    <col min="13" max="13" width="5.5703125" bestFit="1" customWidth="1"/>
    <col min="14" max="14" width="6.140625" bestFit="1" customWidth="1"/>
    <col min="15" max="15" width="5.28515625" bestFit="1" customWidth="1"/>
    <col min="16" max="16" width="4.140625" bestFit="1" customWidth="1"/>
    <col min="17" max="17" width="6" bestFit="1" customWidth="1"/>
    <col min="18" max="18" width="7.140625" bestFit="1" customWidth="1"/>
    <col min="19" max="19" width="5.5703125" bestFit="1" customWidth="1"/>
    <col min="20" max="20" width="7" bestFit="1" customWidth="1"/>
    <col min="21" max="21" width="3" bestFit="1" customWidth="1"/>
    <col min="22" max="22" width="5.28515625" bestFit="1" customWidth="1"/>
    <col min="23" max="23" width="11.28515625" bestFit="1" customWidth="1"/>
    <col min="24" max="24" width="6.7109375" bestFit="1" customWidth="1"/>
    <col min="25" max="25" width="6.42578125" bestFit="1" customWidth="1"/>
    <col min="26" max="26" width="6.85546875" bestFit="1" customWidth="1"/>
    <col min="27" max="27" width="4.85546875" bestFit="1" customWidth="1"/>
    <col min="28" max="28" width="11.7109375" bestFit="1" customWidth="1"/>
    <col min="29" max="29" width="8.42578125" bestFit="1" customWidth="1"/>
    <col min="30" max="30" width="6.42578125" bestFit="1" customWidth="1"/>
    <col min="31" max="31" width="6" bestFit="1" customWidth="1"/>
    <col min="32" max="32" width="5.85546875" bestFit="1" customWidth="1"/>
    <col min="33" max="33" width="6" bestFit="1" customWidth="1"/>
    <col min="34" max="34" width="6.5703125" bestFit="1" customWidth="1"/>
    <col min="35" max="35" width="7" bestFit="1" customWidth="1"/>
    <col min="36" max="36" width="5.7109375" bestFit="1" customWidth="1"/>
    <col min="37" max="37" width="4.7109375" bestFit="1" customWidth="1"/>
    <col min="38" max="38" width="4.140625" bestFit="1" customWidth="1"/>
    <col min="39" max="39" width="7.140625" bestFit="1" customWidth="1"/>
    <col min="40" max="40" width="3.85546875" bestFit="1" customWidth="1"/>
    <col min="41" max="41" width="5" bestFit="1" customWidth="1"/>
    <col min="42" max="42" width="5.7109375" bestFit="1" customWidth="1"/>
    <col min="43" max="43" width="3.28515625" bestFit="1" customWidth="1"/>
    <col min="44" max="44" width="5" bestFit="1" customWidth="1"/>
    <col min="45" max="45" width="8.28515625" bestFit="1" customWidth="1"/>
    <col min="46" max="46" width="3.5703125" bestFit="1" customWidth="1"/>
    <col min="47" max="47" width="4.7109375" bestFit="1" customWidth="1"/>
    <col min="48" max="48" width="3.85546875" bestFit="1" customWidth="1"/>
    <col min="49" max="49" width="6.140625" bestFit="1" customWidth="1"/>
    <col min="50" max="50" width="3.85546875" bestFit="1" customWidth="1"/>
    <col min="51" max="51" width="7.140625" bestFit="1" customWidth="1"/>
    <col min="52" max="52" width="4.28515625" bestFit="1" customWidth="1"/>
    <col min="53" max="53" width="4.42578125" bestFit="1" customWidth="1"/>
    <col min="54" max="54" width="3.85546875" bestFit="1" customWidth="1"/>
    <col min="55" max="55" width="5.5703125" bestFit="1" customWidth="1"/>
    <col min="56" max="56" width="5.140625" bestFit="1" customWidth="1"/>
    <col min="57" max="57" width="5.28515625" bestFit="1" customWidth="1"/>
    <col min="58" max="58" width="7" bestFit="1" customWidth="1"/>
    <col min="59" max="59" width="4.7109375" bestFit="1" customWidth="1"/>
    <col min="60" max="60" width="4.28515625" bestFit="1" customWidth="1"/>
    <col min="61" max="61" width="3.5703125" bestFit="1" customWidth="1"/>
    <col min="62" max="62" width="4.28515625" bestFit="1" customWidth="1"/>
    <col min="63" max="63" width="6.85546875" bestFit="1" customWidth="1"/>
    <col min="64" max="64" width="6.140625" bestFit="1" customWidth="1"/>
    <col min="65" max="65" width="4.42578125" bestFit="1" customWidth="1"/>
    <col min="66" max="66" width="5.85546875" bestFit="1" customWidth="1"/>
    <col min="67" max="67" width="7" bestFit="1" customWidth="1"/>
    <col min="68" max="68" width="6.140625" bestFit="1" customWidth="1"/>
    <col min="69" max="69" width="6.42578125" bestFit="1" customWidth="1"/>
    <col min="70" max="70" width="6" bestFit="1" customWidth="1"/>
    <col min="71" max="71" width="8.5703125" bestFit="1" customWidth="1"/>
    <col min="72" max="72" width="5.5703125" bestFit="1" customWidth="1"/>
    <col min="73" max="73" width="6.140625" bestFit="1" customWidth="1"/>
    <col min="74" max="74" width="6.28515625" bestFit="1" customWidth="1"/>
    <col min="75" max="75" width="2.7109375" bestFit="1" customWidth="1"/>
    <col min="76" max="76" width="2.85546875" bestFit="1" customWidth="1"/>
    <col min="77" max="77" width="4.42578125" bestFit="1" customWidth="1"/>
    <col min="78" max="78" width="7.42578125" bestFit="1" customWidth="1"/>
    <col min="79" max="79" width="8.140625" bestFit="1" customWidth="1"/>
    <col min="80" max="80" width="5.7109375" bestFit="1" customWidth="1"/>
    <col min="81" max="81" width="7.28515625" bestFit="1" customWidth="1"/>
    <col min="82" max="82" width="9.85546875" bestFit="1" customWidth="1"/>
    <col min="83" max="83" width="4.85546875" bestFit="1" customWidth="1"/>
    <col min="84" max="84" width="3.7109375" bestFit="1" customWidth="1"/>
    <col min="85" max="85" width="7.140625" bestFit="1" customWidth="1"/>
    <col min="86" max="86" width="5.5703125" bestFit="1" customWidth="1"/>
    <col min="87" max="87" width="5.85546875" bestFit="1" customWidth="1"/>
    <col min="88" max="88" width="5" bestFit="1" customWidth="1"/>
    <col min="89" max="89" width="5.5703125" bestFit="1" customWidth="1"/>
    <col min="90" max="90" width="5.7109375" bestFit="1" customWidth="1"/>
    <col min="91" max="91" width="4.5703125" bestFit="1" customWidth="1"/>
    <col min="92" max="92" width="7.7109375" bestFit="1" customWidth="1"/>
    <col min="93" max="93" width="8" bestFit="1" customWidth="1"/>
    <col min="94" max="94" width="13.5703125" bestFit="1" customWidth="1"/>
    <col min="95" max="95" width="5" bestFit="1" customWidth="1"/>
    <col min="96" max="96" width="6" bestFit="1" customWidth="1"/>
    <col min="97" max="97" width="7.85546875" bestFit="1" customWidth="1"/>
    <col min="98" max="98" width="5.7109375" bestFit="1" customWidth="1"/>
    <col min="99" max="99" width="7.7109375" bestFit="1" customWidth="1"/>
    <col min="100" max="100" width="6.42578125" bestFit="1" customWidth="1"/>
    <col min="101" max="101" width="7.28515625" bestFit="1" customWidth="1"/>
    <col min="102" max="102" width="3.5703125" bestFit="1" customWidth="1"/>
    <col min="103" max="103" width="6" bestFit="1" customWidth="1"/>
    <col min="104" max="104" width="6.140625" bestFit="1" customWidth="1"/>
    <col min="105" max="105" width="6.5703125" bestFit="1" customWidth="1"/>
    <col min="106" max="106" width="7.140625" bestFit="1" customWidth="1"/>
    <col min="107" max="107" width="5" bestFit="1" customWidth="1"/>
    <col min="108" max="108" width="6.7109375" bestFit="1" customWidth="1"/>
    <col min="109" max="110" width="4.7109375" bestFit="1" customWidth="1"/>
    <col min="111" max="111" width="4.28515625" bestFit="1" customWidth="1"/>
    <col min="112" max="112" width="8.140625" bestFit="1" customWidth="1"/>
    <col min="113" max="113" width="10.7109375" bestFit="1" customWidth="1"/>
    <col min="114" max="114" width="5.140625" bestFit="1" customWidth="1"/>
    <col min="115" max="115" width="4.42578125" bestFit="1" customWidth="1"/>
    <col min="116" max="116" width="5.28515625" bestFit="1" customWidth="1"/>
    <col min="117" max="117" width="4.5703125" bestFit="1" customWidth="1"/>
    <col min="118" max="118" width="5.42578125" bestFit="1" customWidth="1"/>
    <col min="119" max="119" width="7.140625" bestFit="1" customWidth="1"/>
    <col min="120" max="120" width="4.7109375" bestFit="1" customWidth="1"/>
    <col min="121" max="121" width="7.28515625" bestFit="1" customWidth="1"/>
    <col min="122" max="122" width="9.7109375" bestFit="1" customWidth="1"/>
    <col min="123" max="123" width="10.28515625" bestFit="1" customWidth="1"/>
    <col min="124" max="126" width="6" bestFit="1" customWidth="1"/>
    <col min="127" max="127" width="4.42578125" bestFit="1" customWidth="1"/>
    <col min="128" max="128" width="3.5703125" bestFit="1" customWidth="1"/>
    <col min="129" max="129" width="5" bestFit="1" customWidth="1"/>
    <col min="130" max="130" width="7" bestFit="1" customWidth="1"/>
    <col min="131" max="131" width="5.85546875" bestFit="1" customWidth="1"/>
    <col min="132" max="132" width="5.140625" bestFit="1" customWidth="1"/>
    <col min="133" max="133" width="6.28515625" bestFit="1" customWidth="1"/>
    <col min="134" max="134" width="5.5703125" bestFit="1" customWidth="1"/>
    <col min="135" max="135" width="6.140625" bestFit="1" customWidth="1"/>
    <col min="136" max="136" width="8.140625" bestFit="1" customWidth="1"/>
    <col min="137" max="137" width="6.7109375" bestFit="1" customWidth="1"/>
    <col min="138" max="138" width="6.28515625" bestFit="1" customWidth="1"/>
    <col min="139" max="139" width="5.85546875" bestFit="1" customWidth="1"/>
    <col min="140" max="140" width="4.5703125" bestFit="1" customWidth="1"/>
    <col min="141" max="141" width="6.5703125" bestFit="1" customWidth="1"/>
    <col min="142" max="142" width="5.7109375" bestFit="1" customWidth="1"/>
    <col min="143" max="143" width="7.85546875" bestFit="1" customWidth="1"/>
    <col min="144" max="144" width="6.85546875" bestFit="1" customWidth="1"/>
    <col min="145" max="145" width="4.5703125" bestFit="1" customWidth="1"/>
    <col min="146" max="146" width="4.85546875" bestFit="1" customWidth="1"/>
    <col min="147" max="147" width="8" bestFit="1" customWidth="1"/>
    <col min="148" max="148" width="7.140625" bestFit="1" customWidth="1"/>
    <col min="149" max="149" width="5.42578125" bestFit="1" customWidth="1"/>
    <col min="150" max="150" width="7.28515625" bestFit="1" customWidth="1"/>
    <col min="151" max="151" width="7" bestFit="1" customWidth="1"/>
    <col min="152" max="152" width="6.42578125" bestFit="1" customWidth="1"/>
    <col min="153" max="153" width="7.42578125" bestFit="1" customWidth="1"/>
    <col min="154" max="154" width="6" bestFit="1" customWidth="1"/>
    <col min="155" max="155" width="8.140625" bestFit="1" customWidth="1"/>
    <col min="156" max="156" width="4.85546875" bestFit="1" customWidth="1"/>
    <col min="157" max="157" width="5.140625" bestFit="1" customWidth="1"/>
    <col min="158" max="158" width="9.42578125" bestFit="1" customWidth="1"/>
    <col min="159" max="159" width="4.42578125" bestFit="1" customWidth="1"/>
    <col min="160" max="160" width="6.42578125" bestFit="1" customWidth="1"/>
    <col min="161" max="161" width="5.5703125" bestFit="1" customWidth="1"/>
    <col min="162" max="162" width="7.140625" bestFit="1" customWidth="1"/>
    <col min="163" max="163" width="11" bestFit="1" customWidth="1"/>
    <col min="164" max="164" width="6.7109375" bestFit="1" customWidth="1"/>
    <col min="165" max="165" width="6.85546875" bestFit="1" customWidth="1"/>
    <col min="166" max="166" width="4.7109375" bestFit="1" customWidth="1"/>
    <col min="167" max="167" width="5.140625" bestFit="1" customWidth="1"/>
    <col min="168" max="169" width="5.85546875" bestFit="1" customWidth="1"/>
    <col min="170" max="170" width="6.140625" bestFit="1" customWidth="1"/>
    <col min="171" max="171" width="4.28515625" bestFit="1" customWidth="1"/>
    <col min="172" max="172" width="5.7109375" bestFit="1" customWidth="1"/>
    <col min="173" max="173" width="7" bestFit="1" customWidth="1"/>
    <col min="174" max="174" width="5.42578125" bestFit="1" customWidth="1"/>
    <col min="175" max="175" width="10.7109375" bestFit="1" customWidth="1"/>
    <col min="176" max="176" width="7.85546875" bestFit="1" customWidth="1"/>
    <col min="177" max="177" width="5" bestFit="1" customWidth="1"/>
    <col min="178" max="178" width="5.140625" bestFit="1" customWidth="1"/>
    <col min="179" max="179" width="5" bestFit="1" customWidth="1"/>
    <col min="180" max="180" width="6.28515625" bestFit="1" customWidth="1"/>
    <col min="181" max="181" width="5.85546875" bestFit="1" customWidth="1"/>
    <col min="182" max="182" width="3" bestFit="1" customWidth="1"/>
    <col min="183" max="183" width="6" bestFit="1" customWidth="1"/>
    <col min="184" max="184" width="6.42578125" bestFit="1" customWidth="1"/>
    <col min="185" max="185" width="6" bestFit="1" customWidth="1"/>
    <col min="186" max="186" width="4.140625" bestFit="1" customWidth="1"/>
    <col min="187" max="187" width="5.42578125" bestFit="1" customWidth="1"/>
    <col min="188" max="188" width="3.5703125" bestFit="1" customWidth="1"/>
    <col min="189" max="189" width="4.28515625" bestFit="1" customWidth="1"/>
    <col min="190" max="190" width="6.85546875" bestFit="1" customWidth="1"/>
    <col min="191" max="191" width="3.5703125" bestFit="1" customWidth="1"/>
    <col min="192" max="192" width="9.5703125" bestFit="1" customWidth="1"/>
    <col min="193" max="193" width="5.28515625" bestFit="1" customWidth="1"/>
    <col min="194" max="194" width="5.85546875" bestFit="1" customWidth="1"/>
    <col min="195" max="195" width="6.28515625" bestFit="1" customWidth="1"/>
    <col min="196" max="196" width="5.140625" bestFit="1" customWidth="1"/>
    <col min="197" max="197" width="3.7109375" bestFit="1" customWidth="1"/>
    <col min="198" max="198" width="7.42578125" bestFit="1" customWidth="1"/>
    <col min="199" max="199" width="3.42578125" bestFit="1" customWidth="1"/>
    <col min="200" max="201" width="4.85546875" bestFit="1" customWidth="1"/>
    <col min="202" max="202" width="7.28515625" bestFit="1" customWidth="1"/>
    <col min="203" max="203" width="8.5703125" bestFit="1" customWidth="1"/>
    <col min="204" max="204" width="7.7109375" bestFit="1" customWidth="1"/>
    <col min="205" max="205" width="6" bestFit="1" customWidth="1"/>
    <col min="206" max="206" width="5.140625" bestFit="1" customWidth="1"/>
    <col min="207" max="207" width="5.42578125" bestFit="1" customWidth="1"/>
    <col min="208" max="208" width="9.85546875" bestFit="1" customWidth="1"/>
    <col min="209" max="209" width="5.85546875" bestFit="1" customWidth="1"/>
    <col min="210" max="210" width="7.42578125" bestFit="1" customWidth="1"/>
    <col min="211" max="211" width="4.5703125" bestFit="1" customWidth="1"/>
    <col min="212" max="212" width="3" bestFit="1" customWidth="1"/>
    <col min="213" max="213" width="3.85546875" bestFit="1" customWidth="1"/>
    <col min="214" max="214" width="5.85546875" bestFit="1" customWidth="1"/>
    <col min="215" max="215" width="3.5703125" bestFit="1" customWidth="1"/>
    <col min="216" max="216" width="4" bestFit="1" customWidth="1"/>
    <col min="217" max="217" width="5.5703125" bestFit="1" customWidth="1"/>
    <col min="218" max="218" width="8.85546875" bestFit="1" customWidth="1"/>
    <col min="219" max="219" width="5.140625" bestFit="1" customWidth="1"/>
    <col min="220" max="220" width="4.42578125" bestFit="1" customWidth="1"/>
    <col min="221" max="221" width="5.140625" bestFit="1" customWidth="1"/>
    <col min="222" max="222" width="4.85546875" bestFit="1" customWidth="1"/>
    <col min="223" max="223" width="5.28515625" bestFit="1" customWidth="1"/>
    <col min="224" max="224" width="8.28515625" bestFit="1" customWidth="1"/>
    <col min="225" max="225" width="4.42578125" bestFit="1" customWidth="1"/>
    <col min="226" max="226" width="5.85546875" bestFit="1" customWidth="1"/>
    <col min="227" max="227" width="6.42578125" bestFit="1" customWidth="1"/>
    <col min="228" max="228" width="5.140625" bestFit="1" customWidth="1"/>
    <col min="229" max="229" width="5.85546875" bestFit="1" customWidth="1"/>
    <col min="230" max="230" width="5.5703125" bestFit="1" customWidth="1"/>
    <col min="231" max="231" width="4.85546875" bestFit="1" customWidth="1"/>
    <col min="232" max="232" width="6.7109375" bestFit="1" customWidth="1"/>
    <col min="233" max="233" width="9.5703125" bestFit="1" customWidth="1"/>
    <col min="234" max="234" width="6.42578125" bestFit="1" customWidth="1"/>
    <col min="235" max="235" width="5.28515625" bestFit="1" customWidth="1"/>
    <col min="236" max="236" width="7.28515625" bestFit="1" customWidth="1"/>
    <col min="237" max="237" width="5.7109375" bestFit="1" customWidth="1"/>
    <col min="238" max="238" width="6.5703125" bestFit="1" customWidth="1"/>
    <col min="239" max="239" width="7.7109375" bestFit="1" customWidth="1"/>
    <col min="240" max="240" width="4.42578125" bestFit="1" customWidth="1"/>
    <col min="241" max="241" width="6.140625" bestFit="1" customWidth="1"/>
    <col min="242" max="242" width="7.140625" bestFit="1" customWidth="1"/>
    <col min="243" max="243" width="6.42578125" bestFit="1" customWidth="1"/>
    <col min="244" max="244" width="5.7109375" bestFit="1" customWidth="1"/>
    <col min="245" max="245" width="5.5703125" bestFit="1" customWidth="1"/>
    <col min="246" max="246" width="5.140625" bestFit="1" customWidth="1"/>
    <col min="247" max="247" width="6" bestFit="1" customWidth="1"/>
    <col min="248" max="248" width="7.140625" bestFit="1" customWidth="1"/>
    <col min="249" max="249" width="11.85546875" bestFit="1" customWidth="1"/>
    <col min="250" max="250" width="6.85546875" bestFit="1" customWidth="1"/>
    <col min="251" max="251" width="11" bestFit="1" customWidth="1"/>
    <col min="252" max="252" width="6.5703125" bestFit="1" customWidth="1"/>
    <col min="253" max="253" width="6.140625" bestFit="1" customWidth="1"/>
    <col min="254" max="254" width="5.85546875" bestFit="1" customWidth="1"/>
    <col min="255" max="255" width="6" bestFit="1" customWidth="1"/>
    <col min="256" max="256" width="6.140625" bestFit="1" customWidth="1"/>
    <col min="257" max="257" width="5.140625" bestFit="1" customWidth="1"/>
    <col min="258" max="258" width="6.7109375" bestFit="1" customWidth="1"/>
    <col min="259" max="259" width="8" bestFit="1" customWidth="1"/>
    <col min="260" max="260" width="14.7109375" bestFit="1" customWidth="1"/>
    <col min="261" max="261" width="6" bestFit="1" customWidth="1"/>
    <col min="262" max="262" width="5.28515625" bestFit="1" customWidth="1"/>
    <col min="263" max="263" width="7.7109375" bestFit="1" customWidth="1"/>
    <col min="264" max="264" width="7.42578125" bestFit="1" customWidth="1"/>
    <col min="265" max="265" width="6.140625" bestFit="1" customWidth="1"/>
    <col min="266" max="266" width="6.42578125" bestFit="1" customWidth="1"/>
    <col min="267" max="267" width="6" bestFit="1" customWidth="1"/>
    <col min="268" max="268" width="5.28515625" bestFit="1" customWidth="1"/>
    <col min="269" max="269" width="6.140625" bestFit="1" customWidth="1"/>
    <col min="270" max="270" width="5" bestFit="1" customWidth="1"/>
    <col min="271" max="271" width="4.85546875" bestFit="1" customWidth="1"/>
    <col min="272" max="272" width="6.140625" bestFit="1" customWidth="1"/>
    <col min="273" max="273" width="5.85546875" bestFit="1" customWidth="1"/>
    <col min="274" max="274" width="9.28515625" bestFit="1" customWidth="1"/>
    <col min="275" max="275" width="4.28515625" bestFit="1" customWidth="1"/>
    <col min="276" max="276" width="5.85546875" bestFit="1" customWidth="1"/>
    <col min="277" max="277" width="5.42578125" bestFit="1" customWidth="1"/>
    <col min="278" max="278" width="8.28515625" bestFit="1" customWidth="1"/>
    <col min="279" max="279" width="8.5703125" bestFit="1" customWidth="1"/>
    <col min="280" max="280" width="7" bestFit="1" customWidth="1"/>
    <col min="281" max="281" width="6.85546875" bestFit="1" customWidth="1"/>
    <col min="282" max="282" width="6.42578125" bestFit="1" customWidth="1"/>
    <col min="283" max="283" width="5.85546875" bestFit="1" customWidth="1"/>
    <col min="284" max="284" width="5.140625" bestFit="1" customWidth="1"/>
    <col min="285" max="286" width="5.5703125" bestFit="1" customWidth="1"/>
    <col min="287" max="287" width="6.85546875" bestFit="1" customWidth="1"/>
    <col min="288" max="288" width="5.7109375" bestFit="1" customWidth="1"/>
    <col min="289" max="289" width="6.42578125" bestFit="1" customWidth="1"/>
    <col min="290" max="290" width="6.28515625" bestFit="1" customWidth="1"/>
    <col min="291" max="291" width="5.5703125" bestFit="1" customWidth="1"/>
    <col min="292" max="292" width="9.28515625" bestFit="1" customWidth="1"/>
    <col min="293" max="293" width="8.85546875" bestFit="1" customWidth="1"/>
    <col min="294" max="294" width="5.85546875" bestFit="1" customWidth="1"/>
    <col min="295" max="295" width="3.85546875" bestFit="1" customWidth="1"/>
    <col min="296" max="296" width="7.5703125" bestFit="1" customWidth="1"/>
    <col min="297" max="298" width="4.7109375" bestFit="1" customWidth="1"/>
    <col min="299" max="299" width="4.85546875" bestFit="1" customWidth="1"/>
    <col min="300" max="300" width="7.140625" bestFit="1" customWidth="1"/>
    <col min="301" max="301" width="6.85546875" bestFit="1" customWidth="1"/>
    <col min="302" max="302" width="15.5703125" bestFit="1" customWidth="1"/>
    <col min="303" max="303" width="7.7109375" bestFit="1" customWidth="1"/>
    <col min="304" max="304" width="5.7109375" bestFit="1" customWidth="1"/>
    <col min="305" max="305" width="5" bestFit="1" customWidth="1"/>
    <col min="306" max="306" width="6" bestFit="1" customWidth="1"/>
    <col min="307" max="307" width="4.28515625" bestFit="1" customWidth="1"/>
    <col min="308" max="308" width="5.42578125" bestFit="1" customWidth="1"/>
    <col min="309" max="309" width="4.5703125" bestFit="1" customWidth="1"/>
    <col min="310" max="310" width="8.5703125" bestFit="1" customWidth="1"/>
    <col min="311" max="311" width="6.85546875" bestFit="1" customWidth="1"/>
    <col min="312" max="312" width="7.7109375" bestFit="1" customWidth="1"/>
    <col min="313" max="313" width="3" bestFit="1" customWidth="1"/>
    <col min="314" max="314" width="5.7109375" bestFit="1" customWidth="1"/>
    <col min="315" max="315" width="8.140625" bestFit="1" customWidth="1"/>
    <col min="316" max="317" width="5.7109375" bestFit="1" customWidth="1"/>
    <col min="318" max="318" width="6.42578125" bestFit="1" customWidth="1"/>
    <col min="319" max="319" width="9.5703125" bestFit="1" customWidth="1"/>
    <col min="320" max="320" width="6.85546875" bestFit="1" customWidth="1"/>
    <col min="321" max="321" width="5.140625" bestFit="1" customWidth="1"/>
    <col min="322" max="322" width="7.28515625" bestFit="1" customWidth="1"/>
    <col min="323" max="323" width="4.85546875" bestFit="1" customWidth="1"/>
    <col min="324" max="324" width="4.7109375" bestFit="1" customWidth="1"/>
    <col min="325" max="325" width="4.5703125" bestFit="1" customWidth="1"/>
    <col min="326" max="326" width="6.5703125" bestFit="1" customWidth="1"/>
    <col min="327" max="327" width="5.28515625" bestFit="1" customWidth="1"/>
    <col min="328" max="328" width="5.140625" bestFit="1" customWidth="1"/>
    <col min="329" max="329" width="5.7109375" bestFit="1" customWidth="1"/>
    <col min="330" max="330" width="7.5703125" bestFit="1" customWidth="1"/>
    <col min="331" max="331" width="5.7109375" bestFit="1" customWidth="1"/>
    <col min="332" max="332" width="4.140625" bestFit="1" customWidth="1"/>
    <col min="333" max="333" width="4.42578125" bestFit="1" customWidth="1"/>
    <col min="334" max="334" width="7" bestFit="1" customWidth="1"/>
    <col min="335" max="335" width="7.28515625" bestFit="1" customWidth="1"/>
    <col min="336" max="336" width="4" bestFit="1" customWidth="1"/>
    <col min="337" max="337" width="5" bestFit="1" customWidth="1"/>
    <col min="338" max="338" width="5.28515625" bestFit="1" customWidth="1"/>
    <col min="339" max="339" width="4" bestFit="1" customWidth="1"/>
    <col min="340" max="340" width="8" bestFit="1" customWidth="1"/>
    <col min="341" max="341" width="8.42578125" bestFit="1" customWidth="1"/>
    <col min="342" max="342" width="6.7109375" bestFit="1" customWidth="1"/>
    <col min="343" max="343" width="7" bestFit="1" customWidth="1"/>
    <col min="344" max="344" width="5.28515625" bestFit="1" customWidth="1"/>
    <col min="345" max="345" width="7.5703125" bestFit="1" customWidth="1"/>
    <col min="346" max="346" width="5.140625" bestFit="1" customWidth="1"/>
    <col min="347" max="347" width="4.85546875" bestFit="1" customWidth="1"/>
    <col min="348" max="348" width="6.42578125" bestFit="1" customWidth="1"/>
    <col min="349" max="349" width="4.5703125" bestFit="1" customWidth="1"/>
    <col min="350" max="350" width="4.42578125" bestFit="1" customWidth="1"/>
    <col min="351" max="351" width="6.5703125" bestFit="1" customWidth="1"/>
    <col min="352" max="352" width="5" bestFit="1" customWidth="1"/>
    <col min="353" max="353" width="6.5703125" bestFit="1" customWidth="1"/>
    <col min="354" max="354" width="5.140625" bestFit="1" customWidth="1"/>
    <col min="355" max="355" width="4.7109375" bestFit="1" customWidth="1"/>
    <col min="356" max="356" width="9.42578125" bestFit="1" customWidth="1"/>
    <col min="357" max="357" width="8" bestFit="1" customWidth="1"/>
    <col min="358" max="358" width="6.5703125" bestFit="1" customWidth="1"/>
    <col min="359" max="359" width="3.7109375" bestFit="1" customWidth="1"/>
    <col min="360" max="360" width="4.85546875" bestFit="1" customWidth="1"/>
    <col min="361" max="361" width="7.140625" bestFit="1" customWidth="1"/>
    <col min="362" max="362" width="5.5703125" bestFit="1" customWidth="1"/>
    <col min="363" max="363" width="5.28515625" bestFit="1" customWidth="1"/>
    <col min="364" max="364" width="4.5703125" bestFit="1" customWidth="1"/>
    <col min="365" max="365" width="6" bestFit="1" customWidth="1"/>
    <col min="366" max="366" width="5.28515625" bestFit="1" customWidth="1"/>
    <col min="367" max="367" width="4.140625" bestFit="1" customWidth="1"/>
    <col min="368" max="368" width="11.140625" bestFit="1" customWidth="1"/>
    <col min="369" max="369" width="7.140625" bestFit="1" customWidth="1"/>
    <col min="370" max="370" width="5.28515625" bestFit="1" customWidth="1"/>
    <col min="371" max="371" width="6.28515625" bestFit="1" customWidth="1"/>
    <col min="372" max="372" width="8.7109375" bestFit="1" customWidth="1"/>
    <col min="373" max="373" width="5" bestFit="1" customWidth="1"/>
    <col min="374" max="374" width="7.28515625" bestFit="1" customWidth="1"/>
    <col min="375" max="375" width="4.28515625" bestFit="1" customWidth="1"/>
    <col min="376" max="376" width="7.85546875" bestFit="1" customWidth="1"/>
    <col min="377" max="377" width="5.7109375" bestFit="1" customWidth="1"/>
    <col min="378" max="378" width="11.28515625" bestFit="1" customWidth="1"/>
    <col min="379" max="379" width="9.85546875" bestFit="1" customWidth="1"/>
    <col min="380" max="380" width="5.42578125" bestFit="1" customWidth="1"/>
    <col min="381" max="382" width="4.7109375" bestFit="1" customWidth="1"/>
    <col min="383" max="383" width="4.85546875" bestFit="1" customWidth="1"/>
    <col min="384" max="384" width="7.5703125" bestFit="1" customWidth="1"/>
    <col min="385" max="385" width="6" bestFit="1" customWidth="1"/>
    <col min="386" max="386" width="6.42578125" bestFit="1" customWidth="1"/>
    <col min="387" max="387" width="7.140625" bestFit="1" customWidth="1"/>
    <col min="388" max="388" width="5.140625" bestFit="1" customWidth="1"/>
    <col min="389" max="389" width="9" bestFit="1" customWidth="1"/>
    <col min="390" max="390" width="3.7109375" bestFit="1" customWidth="1"/>
    <col min="391" max="391" width="5" bestFit="1" customWidth="1"/>
    <col min="392" max="392" width="12.28515625" bestFit="1" customWidth="1"/>
    <col min="393" max="393" width="5.140625" bestFit="1" customWidth="1"/>
    <col min="394" max="394" width="4.7109375" bestFit="1" customWidth="1"/>
    <col min="395" max="395" width="7.85546875" bestFit="1" customWidth="1"/>
    <col min="396" max="396" width="7.140625" bestFit="1" customWidth="1"/>
    <col min="397" max="397" width="4.5703125" bestFit="1" customWidth="1"/>
    <col min="398" max="398" width="4.42578125" bestFit="1" customWidth="1"/>
    <col min="399" max="399" width="6.42578125" bestFit="1" customWidth="1"/>
    <col min="400" max="400" width="5.42578125" bestFit="1" customWidth="1"/>
    <col min="401" max="401" width="8.42578125" bestFit="1" customWidth="1"/>
    <col min="402" max="402" width="4.28515625" bestFit="1" customWidth="1"/>
    <col min="403" max="403" width="8.140625" bestFit="1" customWidth="1"/>
    <col min="404" max="404" width="6.42578125" bestFit="1" customWidth="1"/>
    <col min="405" max="405" width="4.42578125" bestFit="1" customWidth="1"/>
    <col min="406" max="406" width="6.28515625" bestFit="1" customWidth="1"/>
    <col min="407" max="407" width="4.42578125" bestFit="1" customWidth="1"/>
    <col min="408" max="408" width="2.85546875" bestFit="1" customWidth="1"/>
    <col min="409" max="409" width="4.28515625" bestFit="1" customWidth="1"/>
    <col min="410" max="410" width="5.42578125" bestFit="1" customWidth="1"/>
    <col min="411" max="411" width="6.5703125" bestFit="1" customWidth="1"/>
    <col min="412" max="412" width="3.28515625" bestFit="1" customWidth="1"/>
    <col min="413" max="413" width="5.7109375" bestFit="1" customWidth="1"/>
    <col min="414" max="414" width="5" bestFit="1" customWidth="1"/>
    <col min="415" max="415" width="3" bestFit="1" customWidth="1"/>
    <col min="416" max="416" width="6.42578125" bestFit="1" customWidth="1"/>
    <col min="417" max="417" width="7.7109375" bestFit="1" customWidth="1"/>
    <col min="418" max="418" width="5.85546875" bestFit="1" customWidth="1"/>
    <col min="419" max="419" width="5.42578125" bestFit="1" customWidth="1"/>
    <col min="420" max="420" width="6" bestFit="1" customWidth="1"/>
    <col min="421" max="421" width="5.7109375" bestFit="1" customWidth="1"/>
    <col min="422" max="422" width="6.85546875" bestFit="1" customWidth="1"/>
    <col min="423" max="423" width="6" bestFit="1" customWidth="1"/>
    <col min="424" max="424" width="5.85546875" bestFit="1" customWidth="1"/>
    <col min="425" max="425" width="7.5703125" bestFit="1" customWidth="1"/>
    <col min="426" max="426" width="5" bestFit="1" customWidth="1"/>
    <col min="427" max="427" width="6" bestFit="1" customWidth="1"/>
    <col min="428" max="428" width="5.42578125" bestFit="1" customWidth="1"/>
    <col min="429" max="429" width="5.5703125" bestFit="1" customWidth="1"/>
    <col min="430" max="430" width="3.28515625" bestFit="1" customWidth="1"/>
    <col min="431" max="431" width="11.28515625" bestFit="1" customWidth="1"/>
    <col min="432" max="432" width="7.42578125" bestFit="1" customWidth="1"/>
    <col min="433" max="433" width="10.42578125" bestFit="1" customWidth="1"/>
    <col min="434" max="434" width="10.7109375" bestFit="1" customWidth="1"/>
    <col min="435" max="435" width="13.85546875" bestFit="1" customWidth="1"/>
    <col min="436" max="436" width="7.28515625" bestFit="1" customWidth="1"/>
    <col min="437" max="437" width="10" bestFit="1" customWidth="1"/>
    <col min="438" max="438" width="7.28515625" bestFit="1" customWidth="1"/>
    <col min="439" max="439" width="9.28515625" bestFit="1" customWidth="1"/>
    <col min="440" max="440" width="7.28515625" bestFit="1" customWidth="1"/>
    <col min="441" max="441" width="10" bestFit="1" customWidth="1"/>
    <col min="442" max="442" width="7.28515625" bestFit="1" customWidth="1"/>
    <col min="443" max="443" width="9.7109375" bestFit="1" customWidth="1"/>
    <col min="444" max="444" width="7.28515625" bestFit="1" customWidth="1"/>
    <col min="445" max="446" width="10.140625" bestFit="1" customWidth="1"/>
    <col min="447" max="447" width="13.28515625" bestFit="1" customWidth="1"/>
    <col min="448" max="448" width="6.28515625" bestFit="1" customWidth="1"/>
    <col min="449" max="449" width="9.28515625" bestFit="1" customWidth="1"/>
    <col min="450" max="450" width="7.7109375" bestFit="1" customWidth="1"/>
    <col min="451" max="451" width="10.7109375" bestFit="1" customWidth="1"/>
    <col min="452" max="452" width="8.28515625" bestFit="1" customWidth="1"/>
    <col min="453" max="453" width="11.28515625" bestFit="1" customWidth="1"/>
    <col min="454" max="454" width="7.28515625" bestFit="1" customWidth="1"/>
    <col min="455" max="455" width="10" bestFit="1" customWidth="1"/>
    <col min="456" max="456" width="7.7109375" bestFit="1" customWidth="1"/>
    <col min="457" max="457" width="10.7109375" bestFit="1" customWidth="1"/>
    <col min="458" max="458" width="7.42578125" bestFit="1" customWidth="1"/>
    <col min="459" max="459" width="10.42578125" bestFit="1" customWidth="1"/>
    <col min="460" max="460" width="7.28515625" bestFit="1" customWidth="1"/>
    <col min="461" max="461" width="9.7109375" bestFit="1" customWidth="1"/>
    <col min="462" max="462" width="8.5703125" bestFit="1" customWidth="1"/>
    <col min="463" max="463" width="11.5703125" bestFit="1" customWidth="1"/>
    <col min="464" max="464" width="11.42578125" bestFit="1" customWidth="1"/>
    <col min="465" max="465" width="14.5703125" bestFit="1" customWidth="1"/>
    <col min="466" max="466" width="8.28515625" bestFit="1" customWidth="1"/>
    <col min="467" max="467" width="11.28515625" bestFit="1" customWidth="1"/>
    <col min="468" max="468" width="7.28515625" bestFit="1" customWidth="1"/>
    <col min="469" max="469" width="10.140625" bestFit="1" customWidth="1"/>
    <col min="471" max="471" width="12.140625" bestFit="1" customWidth="1"/>
    <col min="472" max="472" width="7.5703125" bestFit="1" customWidth="1"/>
    <col min="473" max="473" width="10.5703125" bestFit="1" customWidth="1"/>
    <col min="474" max="474" width="8.42578125" bestFit="1" customWidth="1"/>
    <col min="475" max="475" width="11.42578125" bestFit="1" customWidth="1"/>
    <col min="476" max="476" width="9.5703125" bestFit="1" customWidth="1"/>
    <col min="477" max="477" width="12.5703125" bestFit="1" customWidth="1"/>
    <col min="478" max="478" width="7.28515625" bestFit="1" customWidth="1"/>
    <col min="479" max="479" width="9.28515625" bestFit="1" customWidth="1"/>
    <col min="480" max="480" width="8" bestFit="1" customWidth="1"/>
    <col min="481" max="481" width="11" bestFit="1" customWidth="1"/>
    <col min="482" max="482" width="9" bestFit="1" customWidth="1"/>
    <col min="483" max="483" width="12" bestFit="1" customWidth="1"/>
    <col min="484" max="484" width="8.28515625" bestFit="1" customWidth="1"/>
    <col min="485" max="485" width="11.28515625" bestFit="1" customWidth="1"/>
    <col min="486" max="486" width="7.5703125" bestFit="1" customWidth="1"/>
    <col min="487" max="487" width="10.5703125" bestFit="1" customWidth="1"/>
    <col min="488" max="488" width="7.42578125" bestFit="1" customWidth="1"/>
    <col min="489" max="489" width="10.42578125" bestFit="1" customWidth="1"/>
    <col min="490" max="490" width="7.28515625" bestFit="1" customWidth="1"/>
    <col min="491" max="491" width="10" bestFit="1" customWidth="1"/>
    <col min="492" max="492" width="7.85546875" bestFit="1" customWidth="1"/>
    <col min="493" max="493" width="10.85546875" bestFit="1" customWidth="1"/>
    <col min="494" max="494" width="9" bestFit="1" customWidth="1"/>
    <col min="495" max="495" width="12" bestFit="1" customWidth="1"/>
    <col min="496" max="496" width="13.7109375" bestFit="1" customWidth="1"/>
    <col min="497" max="497" width="16.85546875" bestFit="1" customWidth="1"/>
    <col min="498" max="498" width="8.7109375" bestFit="1" customWidth="1"/>
    <col min="499" max="499" width="11.7109375" bestFit="1" customWidth="1"/>
    <col min="500" max="500" width="12.85546875" bestFit="1" customWidth="1"/>
    <col min="501" max="501" width="16" bestFit="1" customWidth="1"/>
    <col min="502" max="502" width="8.42578125" bestFit="1" customWidth="1"/>
    <col min="503" max="503" width="11.42578125" bestFit="1" customWidth="1"/>
    <col min="504" max="504" width="8" bestFit="1" customWidth="1"/>
    <col min="505" max="505" width="11" bestFit="1" customWidth="1"/>
    <col min="506" max="506" width="7.7109375" bestFit="1" customWidth="1"/>
    <col min="507" max="507" width="10.7109375" bestFit="1" customWidth="1"/>
    <col min="508" max="508" width="7.85546875" bestFit="1" customWidth="1"/>
    <col min="509" max="509" width="10.85546875" bestFit="1" customWidth="1"/>
    <col min="510" max="510" width="8" bestFit="1" customWidth="1"/>
    <col min="511" max="511" width="11" bestFit="1" customWidth="1"/>
    <col min="512" max="512" width="7" bestFit="1" customWidth="1"/>
    <col min="513" max="513" width="10" bestFit="1" customWidth="1"/>
    <col min="514" max="514" width="8.5703125" bestFit="1" customWidth="1"/>
    <col min="515" max="515" width="11.5703125" bestFit="1" customWidth="1"/>
    <col min="516" max="516" width="9.85546875" bestFit="1" customWidth="1"/>
    <col min="517" max="517" width="12.85546875" bestFit="1" customWidth="1"/>
    <col min="518" max="518" width="16.5703125" bestFit="1" customWidth="1"/>
    <col min="519" max="519" width="19.7109375" bestFit="1" customWidth="1"/>
    <col min="520" max="520" width="7.85546875" bestFit="1" customWidth="1"/>
    <col min="521" max="521" width="10.85546875" bestFit="1" customWidth="1"/>
    <col min="522" max="522" width="7.28515625" bestFit="1" customWidth="1"/>
    <col min="523" max="523" width="10.140625" bestFit="1" customWidth="1"/>
    <col min="524" max="524" width="9.5703125" bestFit="1" customWidth="1"/>
    <col min="525" max="525" width="12.5703125" bestFit="1" customWidth="1"/>
    <col min="526" max="526" width="9.28515625" bestFit="1" customWidth="1"/>
    <col min="527" max="527" width="12.28515625" bestFit="1" customWidth="1"/>
    <col min="528" max="528" width="8" bestFit="1" customWidth="1"/>
    <col min="529" max="529" width="11" bestFit="1" customWidth="1"/>
    <col min="530" max="530" width="8.28515625" bestFit="1" customWidth="1"/>
    <col min="531" max="531" width="11.28515625" bestFit="1" customWidth="1"/>
    <col min="532" max="532" width="7.85546875" bestFit="1" customWidth="1"/>
    <col min="533" max="533" width="10.85546875" bestFit="1" customWidth="1"/>
    <col min="534" max="534" width="7.28515625" bestFit="1" customWidth="1"/>
    <col min="535" max="535" width="10.140625" bestFit="1" customWidth="1"/>
    <col min="536" max="536" width="8" bestFit="1" customWidth="1"/>
    <col min="537" max="537" width="11" bestFit="1" customWidth="1"/>
    <col min="538" max="538" width="7.28515625" bestFit="1" customWidth="1"/>
    <col min="539" max="539" width="9.85546875" bestFit="1" customWidth="1"/>
    <col min="540" max="540" width="7.28515625" bestFit="1" customWidth="1"/>
    <col min="541" max="541" width="9.7109375" bestFit="1" customWidth="1"/>
    <col min="542" max="542" width="8" bestFit="1" customWidth="1"/>
    <col min="543" max="543" width="11" bestFit="1" customWidth="1"/>
    <col min="544" max="544" width="7.7109375" bestFit="1" customWidth="1"/>
    <col min="545" max="545" width="10.7109375" bestFit="1" customWidth="1"/>
    <col min="546" max="546" width="11.140625" bestFit="1" customWidth="1"/>
    <col min="547" max="547" width="14.28515625" bestFit="1" customWidth="1"/>
    <col min="548" max="548" width="7.28515625" bestFit="1" customWidth="1"/>
    <col min="550" max="550" width="7.7109375" bestFit="1" customWidth="1"/>
    <col min="551" max="551" width="10.7109375" bestFit="1" customWidth="1"/>
    <col min="552" max="552" width="7.28515625" bestFit="1" customWidth="1"/>
    <col min="553" max="553" width="10.28515625" bestFit="1" customWidth="1"/>
    <col min="554" max="554" width="10.140625" bestFit="1" customWidth="1"/>
    <col min="555" max="555" width="13.28515625" bestFit="1" customWidth="1"/>
    <col min="556" max="556" width="10.42578125" bestFit="1" customWidth="1"/>
    <col min="557" max="557" width="13.5703125" bestFit="1" customWidth="1"/>
    <col min="558" max="558" width="8.85546875" bestFit="1" customWidth="1"/>
    <col min="559" max="559" width="11.85546875" bestFit="1" customWidth="1"/>
    <col min="560" max="560" width="8.7109375" bestFit="1" customWidth="1"/>
    <col min="561" max="561" width="11.7109375" bestFit="1" customWidth="1"/>
    <col min="562" max="562" width="8.28515625" bestFit="1" customWidth="1"/>
    <col min="563" max="563" width="11.28515625" bestFit="1" customWidth="1"/>
    <col min="564" max="564" width="7.7109375" bestFit="1" customWidth="1"/>
    <col min="565" max="565" width="10.7109375" bestFit="1" customWidth="1"/>
    <col min="566" max="566" width="7.28515625" bestFit="1" customWidth="1"/>
    <col min="567" max="567" width="10" bestFit="1" customWidth="1"/>
    <col min="568" max="568" width="7.42578125" bestFit="1" customWidth="1"/>
    <col min="569" max="569" width="10.42578125" bestFit="1" customWidth="1"/>
    <col min="570" max="570" width="7.42578125" bestFit="1" customWidth="1"/>
    <col min="571" max="571" width="10.42578125" bestFit="1" customWidth="1"/>
    <col min="572" max="572" width="8.7109375" bestFit="1" customWidth="1"/>
    <col min="573" max="573" width="11.7109375" bestFit="1" customWidth="1"/>
    <col min="574" max="574" width="7.5703125" bestFit="1" customWidth="1"/>
    <col min="575" max="575" width="10.5703125" bestFit="1" customWidth="1"/>
    <col min="576" max="576" width="8.28515625" bestFit="1" customWidth="1"/>
    <col min="577" max="577" width="11.28515625" bestFit="1" customWidth="1"/>
    <col min="578" max="578" width="8.140625" bestFit="1" customWidth="1"/>
    <col min="579" max="579" width="11.140625" bestFit="1" customWidth="1"/>
    <col min="580" max="580" width="7.42578125" bestFit="1" customWidth="1"/>
    <col min="581" max="581" width="10.42578125" bestFit="1" customWidth="1"/>
    <col min="582" max="582" width="11.140625" bestFit="1" customWidth="1"/>
    <col min="583" max="583" width="14.28515625" bestFit="1" customWidth="1"/>
    <col min="584" max="584" width="10.7109375" bestFit="1" customWidth="1"/>
    <col min="585" max="585" width="13.85546875" bestFit="1" customWidth="1"/>
    <col min="586" max="586" width="7.7109375" bestFit="1" customWidth="1"/>
    <col min="587" max="587" width="10.7109375" bestFit="1" customWidth="1"/>
    <col min="588" max="588" width="7.28515625" bestFit="1" customWidth="1"/>
    <col min="589" max="589" width="8.7109375" bestFit="1" customWidth="1"/>
    <col min="590" max="590" width="9.42578125" bestFit="1" customWidth="1"/>
    <col min="591" max="591" width="12.42578125" bestFit="1" customWidth="1"/>
    <col min="592" max="592" width="7.28515625" bestFit="1" customWidth="1"/>
    <col min="593" max="593" width="9.5703125" bestFit="1" customWidth="1"/>
    <col min="594" max="594" width="7.28515625" bestFit="1" customWidth="1"/>
    <col min="595" max="595" width="9.5703125" bestFit="1" customWidth="1"/>
    <col min="596" max="596" width="7.28515625" bestFit="1" customWidth="1"/>
    <col min="597" max="597" width="9.7109375" bestFit="1" customWidth="1"/>
    <col min="598" max="598" width="9" bestFit="1" customWidth="1"/>
    <col min="599" max="599" width="12" bestFit="1" customWidth="1"/>
    <col min="600" max="600" width="8.7109375" bestFit="1" customWidth="1"/>
    <col min="601" max="601" width="11.7109375" bestFit="1" customWidth="1"/>
    <col min="602" max="602" width="17.42578125" bestFit="1" customWidth="1"/>
    <col min="603" max="603" width="20.5703125" bestFit="1" customWidth="1"/>
    <col min="604" max="604" width="9.5703125" bestFit="1" customWidth="1"/>
    <col min="605" max="605" width="12.5703125" bestFit="1" customWidth="1"/>
    <col min="606" max="606" width="7.5703125" bestFit="1" customWidth="1"/>
    <col min="607" max="607" width="10.5703125" bestFit="1" customWidth="1"/>
    <col min="608" max="608" width="7.28515625" bestFit="1" customWidth="1"/>
    <col min="609" max="609" width="9.85546875" bestFit="1" customWidth="1"/>
    <col min="610" max="610" width="7.85546875" bestFit="1" customWidth="1"/>
    <col min="611" max="611" width="10.85546875" bestFit="1" customWidth="1"/>
    <col min="612" max="612" width="7.28515625" bestFit="1" customWidth="1"/>
    <col min="614" max="614" width="7.28515625" bestFit="1" customWidth="1"/>
    <col min="615" max="615" width="10.28515625" bestFit="1" customWidth="1"/>
    <col min="616" max="616" width="7.28515625" bestFit="1" customWidth="1"/>
    <col min="617" max="617" width="9.42578125" bestFit="1" customWidth="1"/>
    <col min="618" max="618" width="10.42578125" bestFit="1" customWidth="1"/>
    <col min="619" max="619" width="13.5703125" bestFit="1" customWidth="1"/>
    <col min="620" max="620" width="8.7109375" bestFit="1" customWidth="1"/>
    <col min="621" max="621" width="11.7109375" bestFit="1" customWidth="1"/>
    <col min="622" max="622" width="9.5703125" bestFit="1" customWidth="1"/>
    <col min="623" max="623" width="12.5703125" bestFit="1" customWidth="1"/>
    <col min="624" max="624" width="7.28515625" bestFit="1" customWidth="1"/>
    <col min="625" max="625" width="7.85546875" bestFit="1" customWidth="1"/>
    <col min="626" max="626" width="7.5703125" bestFit="1" customWidth="1"/>
    <col min="627" max="627" width="10.5703125" bestFit="1" customWidth="1"/>
    <col min="628" max="628" width="10" bestFit="1" customWidth="1"/>
    <col min="629" max="629" width="13.140625" bestFit="1" customWidth="1"/>
    <col min="630" max="630" width="7.5703125" bestFit="1" customWidth="1"/>
    <col min="631" max="631" width="10.5703125" bestFit="1" customWidth="1"/>
    <col min="632" max="632" width="7.5703125" bestFit="1" customWidth="1"/>
    <col min="633" max="633" width="10.5703125" bestFit="1" customWidth="1"/>
    <col min="634" max="634" width="8.28515625" bestFit="1" customWidth="1"/>
    <col min="635" max="635" width="11.28515625" bestFit="1" customWidth="1"/>
    <col min="636" max="636" width="11.42578125" bestFit="1" customWidth="1"/>
    <col min="637" max="637" width="14.5703125" bestFit="1" customWidth="1"/>
    <col min="638" max="638" width="8.7109375" bestFit="1" customWidth="1"/>
    <col min="639" max="639" width="11.7109375" bestFit="1" customWidth="1"/>
    <col min="640" max="640" width="7.28515625" bestFit="1" customWidth="1"/>
    <col min="641" max="641" width="10" bestFit="1" customWidth="1"/>
    <col min="643" max="643" width="12.140625" bestFit="1" customWidth="1"/>
    <col min="644" max="644" width="7.28515625" bestFit="1" customWidth="1"/>
    <col min="645" max="645" width="9.7109375" bestFit="1" customWidth="1"/>
    <col min="646" max="646" width="7.28515625" bestFit="1" customWidth="1"/>
    <col min="647" max="647" width="9.5703125" bestFit="1" customWidth="1"/>
    <col min="648" max="648" width="7.28515625" bestFit="1" customWidth="1"/>
    <col min="649" max="649" width="9.42578125" bestFit="1" customWidth="1"/>
    <col min="650" max="650" width="8.42578125" bestFit="1" customWidth="1"/>
    <col min="651" max="651" width="11.42578125" bestFit="1" customWidth="1"/>
    <col min="652" max="652" width="7.28515625" bestFit="1" customWidth="1"/>
    <col min="653" max="653" width="10.140625" bestFit="1" customWidth="1"/>
    <col min="654" max="654" width="7.28515625" bestFit="1" customWidth="1"/>
    <col min="655" max="655" width="10" bestFit="1" customWidth="1"/>
    <col min="656" max="656" width="7.5703125" bestFit="1" customWidth="1"/>
    <col min="657" max="657" width="10.5703125" bestFit="1" customWidth="1"/>
    <col min="658" max="658" width="9.42578125" bestFit="1" customWidth="1"/>
    <col min="659" max="659" width="12.42578125" bestFit="1" customWidth="1"/>
    <col min="660" max="660" width="7.5703125" bestFit="1" customWidth="1"/>
    <col min="661" max="661" width="10.5703125" bestFit="1" customWidth="1"/>
    <col min="662" max="662" width="7.28515625" bestFit="1" customWidth="1"/>
    <col min="663" max="663" width="9" bestFit="1" customWidth="1"/>
    <col min="664" max="664" width="7.28515625" bestFit="1" customWidth="1"/>
    <col min="665" max="665" width="9.28515625" bestFit="1" customWidth="1"/>
    <col min="666" max="666" width="8.85546875" bestFit="1" customWidth="1"/>
    <col min="667" max="667" width="11.85546875" bestFit="1" customWidth="1"/>
    <col min="669" max="669" width="12.140625" bestFit="1" customWidth="1"/>
    <col min="670" max="670" width="7.28515625" bestFit="1" customWidth="1"/>
    <col min="671" max="671" width="8.85546875" bestFit="1" customWidth="1"/>
    <col min="672" max="672" width="7.28515625" bestFit="1" customWidth="1"/>
    <col min="673" max="673" width="9.85546875" bestFit="1" customWidth="1"/>
    <col min="674" max="674" width="7.28515625" bestFit="1" customWidth="1"/>
    <col min="675" max="675" width="10.140625" bestFit="1" customWidth="1"/>
    <col min="676" max="676" width="7.28515625" bestFit="1" customWidth="1"/>
    <col min="677" max="677" width="8.85546875" bestFit="1" customWidth="1"/>
    <col min="678" max="678" width="9.85546875" bestFit="1" customWidth="1"/>
    <col min="679" max="679" width="12.85546875" bestFit="1" customWidth="1"/>
    <col min="680" max="680" width="10.28515625" bestFit="1" customWidth="1"/>
    <col min="681" max="681" width="13.42578125" bestFit="1" customWidth="1"/>
    <col min="682" max="682" width="8.5703125" bestFit="1" customWidth="1"/>
    <col min="683" max="683" width="11.5703125" bestFit="1" customWidth="1"/>
    <col min="684" max="684" width="8.85546875" bestFit="1" customWidth="1"/>
    <col min="685" max="685" width="11.85546875" bestFit="1" customWidth="1"/>
    <col min="686" max="686" width="7.28515625" bestFit="1" customWidth="1"/>
    <col min="687" max="687" width="10.140625" bestFit="1" customWidth="1"/>
    <col min="688" max="688" width="9.42578125" bestFit="1" customWidth="1"/>
    <col min="689" max="689" width="12.42578125" bestFit="1" customWidth="1"/>
    <col min="690" max="690" width="7.28515625" bestFit="1" customWidth="1"/>
    <col min="691" max="691" width="10" bestFit="1" customWidth="1"/>
    <col min="692" max="692" width="7.28515625" bestFit="1" customWidth="1"/>
    <col min="693" max="693" width="9.7109375" bestFit="1" customWidth="1"/>
    <col min="694" max="694" width="8.28515625" bestFit="1" customWidth="1"/>
    <col min="695" max="695" width="11.28515625" bestFit="1" customWidth="1"/>
    <col min="696" max="696" width="7.28515625" bestFit="1" customWidth="1"/>
    <col min="697" max="697" width="9.42578125" bestFit="1" customWidth="1"/>
    <col min="698" max="698" width="7.28515625" bestFit="1" customWidth="1"/>
    <col min="699" max="699" width="9.28515625" bestFit="1" customWidth="1"/>
    <col min="700" max="700" width="8.42578125" bestFit="1" customWidth="1"/>
    <col min="701" max="701" width="11.42578125" bestFit="1" customWidth="1"/>
    <col min="702" max="702" width="7.28515625" bestFit="1" customWidth="1"/>
    <col min="703" max="703" width="9.85546875" bestFit="1" customWidth="1"/>
    <col min="704" max="704" width="8.42578125" bestFit="1" customWidth="1"/>
    <col min="705" max="705" width="11.42578125" bestFit="1" customWidth="1"/>
    <col min="706" max="706" width="7.28515625" bestFit="1" customWidth="1"/>
    <col min="707" max="707" width="10" bestFit="1" customWidth="1"/>
    <col min="708" max="708" width="7.28515625" bestFit="1" customWidth="1"/>
    <col min="709" max="709" width="9.5703125" bestFit="1" customWidth="1"/>
    <col min="710" max="710" width="11.28515625" bestFit="1" customWidth="1"/>
    <col min="711" max="711" width="14.42578125" bestFit="1" customWidth="1"/>
    <col min="712" max="712" width="9.85546875" bestFit="1" customWidth="1"/>
    <col min="713" max="713" width="12.85546875" bestFit="1" customWidth="1"/>
    <col min="714" max="714" width="8.42578125" bestFit="1" customWidth="1"/>
    <col min="715" max="715" width="11.42578125" bestFit="1" customWidth="1"/>
    <col min="716" max="716" width="7.28515625" bestFit="1" customWidth="1"/>
    <col min="717" max="717" width="8.5703125" bestFit="1" customWidth="1"/>
    <col min="718" max="718" width="7.28515625" bestFit="1" customWidth="1"/>
    <col min="719" max="719" width="9.7109375" bestFit="1" customWidth="1"/>
    <col min="720" max="720" width="9" bestFit="1" customWidth="1"/>
    <col min="721" max="721" width="12" bestFit="1" customWidth="1"/>
    <col min="722" max="722" width="7.42578125" bestFit="1" customWidth="1"/>
    <col min="723" max="723" width="10.42578125" bestFit="1" customWidth="1"/>
    <col min="724" max="724" width="7.28515625" bestFit="1" customWidth="1"/>
    <col min="725" max="725" width="10.140625" bestFit="1" customWidth="1"/>
    <col min="726" max="726" width="7.28515625" bestFit="1" customWidth="1"/>
    <col min="727" max="727" width="9.42578125" bestFit="1" customWidth="1"/>
    <col min="728" max="728" width="7.85546875" bestFit="1" customWidth="1"/>
    <col min="729" max="729" width="10.85546875" bestFit="1" customWidth="1"/>
    <col min="730" max="730" width="7.28515625" bestFit="1" customWidth="1"/>
    <col min="731" max="731" width="10.140625" bestFit="1" customWidth="1"/>
    <col min="732" max="732" width="7.28515625" bestFit="1" customWidth="1"/>
    <col min="733" max="733" width="9" bestFit="1" customWidth="1"/>
    <col min="734" max="734" width="13" bestFit="1" customWidth="1"/>
    <col min="735" max="735" width="16.140625" bestFit="1" customWidth="1"/>
    <col min="736" max="736" width="9" bestFit="1" customWidth="1"/>
    <col min="737" max="737" width="12" bestFit="1" customWidth="1"/>
    <col min="738" max="738" width="7.28515625" bestFit="1" customWidth="1"/>
    <col min="739" max="739" width="10.140625" bestFit="1" customWidth="1"/>
    <col min="740" max="740" width="8.140625" bestFit="1" customWidth="1"/>
    <col min="741" max="741" width="11.140625" bestFit="1" customWidth="1"/>
    <col min="742" max="742" width="10.5703125" bestFit="1" customWidth="1"/>
    <col min="743" max="743" width="13.7109375" bestFit="1" customWidth="1"/>
    <col min="744" max="744" width="7.28515625" bestFit="1" customWidth="1"/>
    <col min="745" max="745" width="9.85546875" bestFit="1" customWidth="1"/>
    <col min="747" max="747" width="12.140625" bestFit="1" customWidth="1"/>
    <col min="748" max="748" width="7.28515625" bestFit="1" customWidth="1"/>
    <col min="750" max="750" width="9.7109375" bestFit="1" customWidth="1"/>
    <col min="751" max="751" width="12.7109375" bestFit="1" customWidth="1"/>
    <col min="752" max="752" width="7.5703125" bestFit="1" customWidth="1"/>
    <col min="753" max="753" width="10.5703125" bestFit="1" customWidth="1"/>
    <col min="754" max="754" width="13.140625" bestFit="1" customWidth="1"/>
    <col min="755" max="755" width="16.28515625" bestFit="1" customWidth="1"/>
    <col min="756" max="756" width="11.7109375" bestFit="1" customWidth="1"/>
    <col min="757" max="757" width="14.85546875" bestFit="1" customWidth="1"/>
    <col min="758" max="758" width="7.28515625" bestFit="1" customWidth="1"/>
    <col min="759" max="759" width="10.28515625" bestFit="1" customWidth="1"/>
    <col min="760" max="760" width="7.28515625" bestFit="1" customWidth="1"/>
    <col min="761" max="761" width="9.5703125" bestFit="1" customWidth="1"/>
    <col min="762" max="762" width="7.28515625" bestFit="1" customWidth="1"/>
    <col min="763" max="763" width="9.5703125" bestFit="1" customWidth="1"/>
    <col min="764" max="764" width="7.28515625" bestFit="1" customWidth="1"/>
    <col min="765" max="765" width="9.7109375" bestFit="1" customWidth="1"/>
    <col min="766" max="766" width="9.42578125" bestFit="1" customWidth="1"/>
    <col min="767" max="767" width="12.42578125" bestFit="1" customWidth="1"/>
    <col min="768" max="768" width="7.85546875" bestFit="1" customWidth="1"/>
    <col min="769" max="769" width="10.85546875" bestFit="1" customWidth="1"/>
    <col min="770" max="770" width="8.28515625" bestFit="1" customWidth="1"/>
    <col min="771" max="771" width="11.28515625" bestFit="1" customWidth="1"/>
    <col min="772" max="772" width="9" bestFit="1" customWidth="1"/>
    <col min="773" max="773" width="12" bestFit="1" customWidth="1"/>
    <col min="774" max="774" width="7.28515625" bestFit="1" customWidth="1"/>
    <col min="775" max="775" width="10" bestFit="1" customWidth="1"/>
    <col min="776" max="776" width="10.85546875" bestFit="1" customWidth="1"/>
    <col min="777" max="777" width="14" bestFit="1" customWidth="1"/>
    <col min="778" max="778" width="7.28515625" bestFit="1" customWidth="1"/>
    <col min="779" max="779" width="8.5703125" bestFit="1" customWidth="1"/>
    <col min="780" max="780" width="7.28515625" bestFit="1" customWidth="1"/>
    <col min="781" max="781" width="9.85546875" bestFit="1" customWidth="1"/>
    <col min="782" max="782" width="14.140625" bestFit="1" customWidth="1"/>
    <col min="783" max="783" width="17.42578125" bestFit="1" customWidth="1"/>
    <col min="784" max="784" width="7.28515625" bestFit="1" customWidth="1"/>
    <col min="785" max="785" width="10" bestFit="1" customWidth="1"/>
    <col min="786" max="786" width="7.28515625" bestFit="1" customWidth="1"/>
    <col min="787" max="787" width="9.5703125" bestFit="1" customWidth="1"/>
    <col min="788" max="788" width="9.7109375" bestFit="1" customWidth="1"/>
    <col min="789" max="789" width="12.7109375" bestFit="1" customWidth="1"/>
    <col min="790" max="790" width="9" bestFit="1" customWidth="1"/>
    <col min="791" max="791" width="12" bestFit="1" customWidth="1"/>
    <col min="792" max="792" width="7.28515625" bestFit="1" customWidth="1"/>
    <col min="793" max="793" width="9.42578125" bestFit="1" customWidth="1"/>
    <col min="794" max="794" width="7.28515625" bestFit="1" customWidth="1"/>
    <col min="795" max="795" width="9.28515625" bestFit="1" customWidth="1"/>
    <col min="796" max="796" width="8.28515625" bestFit="1" customWidth="1"/>
    <col min="797" max="797" width="11.28515625" bestFit="1" customWidth="1"/>
    <col min="798" max="798" width="7.28515625" bestFit="1" customWidth="1"/>
    <col min="799" max="800" width="10.28515625" bestFit="1" customWidth="1"/>
    <col min="801" max="801" width="13.42578125" bestFit="1" customWidth="1"/>
    <col min="802" max="802" width="7.28515625" bestFit="1" customWidth="1"/>
    <col min="804" max="804" width="10" bestFit="1" customWidth="1"/>
    <col min="805" max="805" width="13.140625" bestFit="1" customWidth="1"/>
    <col min="806" max="806" width="8.28515625" bestFit="1" customWidth="1"/>
    <col min="807" max="807" width="11.28515625" bestFit="1" customWidth="1"/>
    <col min="808" max="808" width="7.28515625" bestFit="1" customWidth="1"/>
    <col min="809" max="809" width="9.28515625" bestFit="1" customWidth="1"/>
    <col min="810" max="810" width="8.140625" bestFit="1" customWidth="1"/>
    <col min="811" max="811" width="11.140625" bestFit="1" customWidth="1"/>
    <col min="812" max="812" width="7.28515625" bestFit="1" customWidth="1"/>
    <col min="813" max="813" width="9.28515625" bestFit="1" customWidth="1"/>
    <col min="814" max="814" width="7.28515625" bestFit="1" customWidth="1"/>
    <col min="815" max="815" width="7.7109375" bestFit="1" customWidth="1"/>
    <col min="816" max="816" width="7.28515625" bestFit="1" customWidth="1"/>
    <col min="818" max="818" width="7.28515625" bestFit="1" customWidth="1"/>
    <col min="819" max="819" width="10.28515625" bestFit="1" customWidth="1"/>
    <col min="820" max="820" width="8.42578125" bestFit="1" customWidth="1"/>
    <col min="821" max="821" width="11.42578125" bestFit="1" customWidth="1"/>
    <col min="822" max="822" width="7.28515625" bestFit="1" customWidth="1"/>
    <col min="823" max="823" width="8.140625" bestFit="1" customWidth="1"/>
    <col min="824" max="824" width="7.5703125" bestFit="1" customWidth="1"/>
    <col min="825" max="825" width="10.5703125" bestFit="1" customWidth="1"/>
    <col min="826" max="826" width="7.28515625" bestFit="1" customWidth="1"/>
    <col min="827" max="827" width="9.85546875" bestFit="1" customWidth="1"/>
    <col min="828" max="828" width="7.28515625" bestFit="1" customWidth="1"/>
    <col min="829" max="829" width="7.85546875" bestFit="1" customWidth="1"/>
    <col min="830" max="830" width="8.28515625" bestFit="1" customWidth="1"/>
    <col min="831" max="831" width="11.28515625" bestFit="1" customWidth="1"/>
    <col min="832" max="832" width="9.5703125" bestFit="1" customWidth="1"/>
    <col min="833" max="833" width="12.5703125" bestFit="1" customWidth="1"/>
    <col min="834" max="834" width="7.7109375" bestFit="1" customWidth="1"/>
    <col min="835" max="835" width="10.7109375" bestFit="1" customWidth="1"/>
    <col min="836" max="836" width="7.28515625" bestFit="1" customWidth="1"/>
    <col min="837" max="837" width="10.28515625" bestFit="1" customWidth="1"/>
    <col min="838" max="838" width="7.85546875" bestFit="1" customWidth="1"/>
    <col min="839" max="839" width="10.85546875" bestFit="1" customWidth="1"/>
    <col min="840" max="840" width="7.5703125" bestFit="1" customWidth="1"/>
    <col min="841" max="841" width="10.5703125" bestFit="1" customWidth="1"/>
    <col min="842" max="842" width="8.7109375" bestFit="1" customWidth="1"/>
    <col min="843" max="843" width="11.7109375" bestFit="1" customWidth="1"/>
    <col min="844" max="844" width="7.85546875" bestFit="1" customWidth="1"/>
    <col min="845" max="845" width="10.85546875" bestFit="1" customWidth="1"/>
    <col min="846" max="846" width="7.7109375" bestFit="1" customWidth="1"/>
    <col min="847" max="847" width="10.7109375" bestFit="1" customWidth="1"/>
    <col min="848" max="848" width="9.42578125" bestFit="1" customWidth="1"/>
    <col min="849" max="849" width="12.42578125" bestFit="1" customWidth="1"/>
    <col min="850" max="850" width="7.28515625" bestFit="1" customWidth="1"/>
    <col min="851" max="851" width="9.85546875" bestFit="1" customWidth="1"/>
    <col min="852" max="852" width="7.85546875" bestFit="1" customWidth="1"/>
    <col min="853" max="853" width="10.85546875" bestFit="1" customWidth="1"/>
    <col min="854" max="854" width="7.28515625" bestFit="1" customWidth="1"/>
    <col min="855" max="855" width="10.28515625" bestFit="1" customWidth="1"/>
    <col min="856" max="856" width="7.42578125" bestFit="1" customWidth="1"/>
    <col min="857" max="857" width="10.42578125" bestFit="1" customWidth="1"/>
    <col min="858" max="858" width="7.28515625" bestFit="1" customWidth="1"/>
    <col min="859" max="859" width="8.140625" bestFit="1" customWidth="1"/>
    <col min="860" max="860" width="11.28515625" bestFit="1" customWidth="1"/>
  </cols>
  <sheetData>
    <row r="1" spans="1:11">
      <c r="A1">
        <f>GETPIVOTDATA("VaccineNeed",pivot!$A$3,"Province","گيلان","District","آستانه اشرفيه","Class","EI")</f>
        <v>34283</v>
      </c>
    </row>
    <row r="3" spans="1:11">
      <c r="A3" s="2" t="s">
        <v>476</v>
      </c>
      <c r="B3" s="2" t="s">
        <v>475</v>
      </c>
    </row>
    <row r="4" spans="1:11">
      <c r="A4" s="2" t="s">
        <v>473</v>
      </c>
      <c r="B4" t="s">
        <v>20</v>
      </c>
      <c r="C4" t="s">
        <v>19</v>
      </c>
      <c r="D4" t="s">
        <v>22</v>
      </c>
      <c r="E4" t="s">
        <v>23</v>
      </c>
      <c r="F4" t="s">
        <v>24</v>
      </c>
      <c r="G4" t="s">
        <v>477</v>
      </c>
      <c r="H4" t="s">
        <v>478</v>
      </c>
      <c r="I4" t="s">
        <v>479</v>
      </c>
      <c r="J4" t="s">
        <v>480</v>
      </c>
      <c r="K4" t="s">
        <v>474</v>
      </c>
    </row>
    <row r="5" spans="1:11">
      <c r="A5" s="3" t="s">
        <v>413</v>
      </c>
      <c r="B5" s="5">
        <v>45360</v>
      </c>
      <c r="C5" s="5">
        <v>11428</v>
      </c>
      <c r="D5" s="5">
        <v>130759</v>
      </c>
      <c r="E5" s="5">
        <v>105</v>
      </c>
      <c r="F5" s="5">
        <v>2856</v>
      </c>
      <c r="G5" s="5">
        <v>7619</v>
      </c>
      <c r="H5" s="5">
        <v>48310</v>
      </c>
      <c r="I5" s="5">
        <v>516316</v>
      </c>
      <c r="J5" s="5">
        <v>536164</v>
      </c>
      <c r="K5" s="5">
        <v>1298917</v>
      </c>
    </row>
    <row r="6" spans="1:11">
      <c r="A6" s="4" t="s">
        <v>413</v>
      </c>
      <c r="B6" s="5">
        <v>19049</v>
      </c>
      <c r="C6" s="5">
        <v>7496</v>
      </c>
      <c r="D6" s="5">
        <v>62016</v>
      </c>
      <c r="E6" s="5">
        <v>60</v>
      </c>
      <c r="F6" s="5">
        <v>2393</v>
      </c>
      <c r="G6" s="5">
        <v>4998</v>
      </c>
      <c r="H6" s="5">
        <v>21631</v>
      </c>
      <c r="I6" s="5">
        <v>252529</v>
      </c>
      <c r="J6" s="5">
        <v>258180</v>
      </c>
      <c r="K6" s="5">
        <v>628352</v>
      </c>
    </row>
    <row r="7" spans="1:11">
      <c r="A7" s="4" t="s">
        <v>415</v>
      </c>
      <c r="B7" s="5">
        <v>1804</v>
      </c>
      <c r="C7" s="5">
        <v>214</v>
      </c>
      <c r="D7" s="5">
        <v>5427</v>
      </c>
      <c r="E7" s="5">
        <v>5</v>
      </c>
      <c r="F7" s="5">
        <v>21</v>
      </c>
      <c r="G7" s="5">
        <v>142</v>
      </c>
      <c r="H7" s="5">
        <v>1949</v>
      </c>
      <c r="I7" s="5">
        <v>21204</v>
      </c>
      <c r="J7" s="5">
        <v>20910</v>
      </c>
      <c r="K7" s="5">
        <v>51676</v>
      </c>
    </row>
    <row r="8" spans="1:11">
      <c r="A8" s="4" t="s">
        <v>419</v>
      </c>
      <c r="B8" s="5">
        <v>4690</v>
      </c>
      <c r="C8" s="5">
        <v>518</v>
      </c>
      <c r="D8" s="5">
        <v>15732</v>
      </c>
      <c r="E8" s="5">
        <v>5</v>
      </c>
      <c r="F8" s="5">
        <v>158</v>
      </c>
      <c r="G8" s="5">
        <v>346</v>
      </c>
      <c r="H8" s="5">
        <v>5237</v>
      </c>
      <c r="I8" s="5">
        <v>73345</v>
      </c>
      <c r="J8" s="5">
        <v>80219</v>
      </c>
      <c r="K8" s="5">
        <v>180250</v>
      </c>
    </row>
    <row r="9" spans="1:11">
      <c r="A9" s="4" t="s">
        <v>416</v>
      </c>
      <c r="B9" s="5">
        <v>4837</v>
      </c>
      <c r="C9" s="5">
        <v>822</v>
      </c>
      <c r="D9" s="5">
        <v>9965</v>
      </c>
      <c r="E9" s="5">
        <v>11</v>
      </c>
      <c r="F9" s="5">
        <v>57</v>
      </c>
      <c r="G9" s="5">
        <v>548</v>
      </c>
      <c r="H9" s="5">
        <v>4369</v>
      </c>
      <c r="I9" s="5">
        <v>33107</v>
      </c>
      <c r="J9" s="5">
        <v>34054</v>
      </c>
      <c r="K9" s="5">
        <v>87770</v>
      </c>
    </row>
    <row r="10" spans="1:11">
      <c r="A10" s="4" t="s">
        <v>424</v>
      </c>
      <c r="B10" s="5">
        <v>708</v>
      </c>
      <c r="C10" s="5">
        <v>122</v>
      </c>
      <c r="D10" s="5">
        <v>1831</v>
      </c>
      <c r="E10" s="5">
        <v>3</v>
      </c>
      <c r="F10" s="5">
        <v>22</v>
      </c>
      <c r="G10" s="5">
        <v>82</v>
      </c>
      <c r="H10" s="5">
        <v>755</v>
      </c>
      <c r="I10" s="5">
        <v>6910</v>
      </c>
      <c r="J10" s="5">
        <v>8204</v>
      </c>
      <c r="K10" s="5">
        <v>18637</v>
      </c>
    </row>
    <row r="11" spans="1:11">
      <c r="A11" s="4" t="s">
        <v>420</v>
      </c>
      <c r="B11" s="5">
        <v>1268</v>
      </c>
      <c r="C11" s="5">
        <v>215</v>
      </c>
      <c r="D11" s="5">
        <v>2646</v>
      </c>
      <c r="E11" s="5">
        <v>7</v>
      </c>
      <c r="F11" s="5">
        <v>21</v>
      </c>
      <c r="G11" s="5">
        <v>143</v>
      </c>
      <c r="H11" s="5">
        <v>1137</v>
      </c>
      <c r="I11" s="5">
        <v>8256</v>
      </c>
      <c r="J11" s="5">
        <v>8375</v>
      </c>
      <c r="K11" s="5">
        <v>22068</v>
      </c>
    </row>
    <row r="12" spans="1:11">
      <c r="A12" s="4" t="s">
        <v>418</v>
      </c>
      <c r="B12" s="5">
        <v>3252</v>
      </c>
      <c r="C12" s="5">
        <v>700</v>
      </c>
      <c r="D12" s="5">
        <v>8016</v>
      </c>
      <c r="E12" s="5">
        <v>3</v>
      </c>
      <c r="F12" s="5">
        <v>28</v>
      </c>
      <c r="G12" s="5">
        <v>466</v>
      </c>
      <c r="H12" s="5">
        <v>3251</v>
      </c>
      <c r="I12" s="5">
        <v>29983</v>
      </c>
      <c r="J12" s="5">
        <v>31251</v>
      </c>
      <c r="K12" s="5">
        <v>76950</v>
      </c>
    </row>
    <row r="13" spans="1:11">
      <c r="A13" s="4" t="s">
        <v>417</v>
      </c>
      <c r="B13" s="5">
        <v>6040</v>
      </c>
      <c r="C13" s="5">
        <v>703</v>
      </c>
      <c r="D13" s="5">
        <v>16415</v>
      </c>
      <c r="E13" s="5">
        <v>3</v>
      </c>
      <c r="F13" s="5">
        <v>33</v>
      </c>
      <c r="G13" s="5">
        <v>469</v>
      </c>
      <c r="H13" s="5">
        <v>6283</v>
      </c>
      <c r="I13" s="5">
        <v>59570</v>
      </c>
      <c r="J13" s="5">
        <v>60800</v>
      </c>
      <c r="K13" s="5">
        <v>150316</v>
      </c>
    </row>
    <row r="14" spans="1:11">
      <c r="A14" s="4" t="s">
        <v>421</v>
      </c>
      <c r="B14" s="5">
        <v>2543</v>
      </c>
      <c r="C14" s="5">
        <v>479</v>
      </c>
      <c r="D14" s="5">
        <v>6150</v>
      </c>
      <c r="E14" s="5">
        <v>6</v>
      </c>
      <c r="F14" s="5">
        <v>101</v>
      </c>
      <c r="G14" s="5">
        <v>319</v>
      </c>
      <c r="H14" s="5">
        <v>2606</v>
      </c>
      <c r="I14" s="5">
        <v>23520</v>
      </c>
      <c r="J14" s="5">
        <v>26162</v>
      </c>
      <c r="K14" s="5">
        <v>61886</v>
      </c>
    </row>
    <row r="15" spans="1:11">
      <c r="A15" s="4" t="s">
        <v>422</v>
      </c>
      <c r="B15" s="5">
        <v>1169</v>
      </c>
      <c r="C15" s="5">
        <v>159</v>
      </c>
      <c r="D15" s="5">
        <v>2561</v>
      </c>
      <c r="E15" s="5">
        <v>2</v>
      </c>
      <c r="F15" s="5">
        <v>22</v>
      </c>
      <c r="G15" s="5">
        <v>106</v>
      </c>
      <c r="H15" s="5">
        <v>1092</v>
      </c>
      <c r="I15" s="5">
        <v>7892</v>
      </c>
      <c r="J15" s="5">
        <v>8009</v>
      </c>
      <c r="K15" s="5">
        <v>21012</v>
      </c>
    </row>
    <row r="16" spans="1:11">
      <c r="A16" s="3" t="s">
        <v>242</v>
      </c>
      <c r="B16" s="5">
        <v>210138</v>
      </c>
      <c r="C16" s="5">
        <v>60543</v>
      </c>
      <c r="D16" s="5">
        <v>598623</v>
      </c>
      <c r="E16" s="5">
        <v>1433</v>
      </c>
      <c r="F16" s="5">
        <v>8120</v>
      </c>
      <c r="G16" s="5">
        <v>40361</v>
      </c>
      <c r="H16" s="5">
        <v>224128</v>
      </c>
      <c r="I16" s="5">
        <v>2151295</v>
      </c>
      <c r="J16" s="5">
        <v>2004042</v>
      </c>
      <c r="K16" s="5">
        <v>5298683</v>
      </c>
    </row>
    <row r="17" spans="1:11">
      <c r="A17" s="4" t="s">
        <v>260</v>
      </c>
      <c r="B17" s="5">
        <v>4283</v>
      </c>
      <c r="C17" s="5">
        <v>161</v>
      </c>
      <c r="D17" s="5">
        <v>11067</v>
      </c>
      <c r="E17" s="5">
        <v>3</v>
      </c>
      <c r="F17" s="5">
        <v>28</v>
      </c>
      <c r="G17" s="5">
        <v>107</v>
      </c>
      <c r="H17" s="5">
        <v>4121</v>
      </c>
      <c r="I17" s="5">
        <v>41717</v>
      </c>
      <c r="J17" s="5">
        <v>43804</v>
      </c>
      <c r="K17" s="5">
        <v>105291</v>
      </c>
    </row>
    <row r="18" spans="1:11">
      <c r="A18" s="4" t="s">
        <v>244</v>
      </c>
      <c r="B18" s="5">
        <v>3124</v>
      </c>
      <c r="C18" s="5">
        <v>460</v>
      </c>
      <c r="D18" s="5">
        <v>5386</v>
      </c>
      <c r="E18" s="5">
        <v>3</v>
      </c>
      <c r="F18" s="5">
        <v>127</v>
      </c>
      <c r="G18" s="5">
        <v>307</v>
      </c>
      <c r="H18" s="5">
        <v>2487</v>
      </c>
      <c r="I18" s="5">
        <v>15904</v>
      </c>
      <c r="J18" s="5">
        <v>14903</v>
      </c>
      <c r="K18" s="5">
        <v>42701</v>
      </c>
    </row>
    <row r="19" spans="1:11">
      <c r="A19" s="4" t="s">
        <v>242</v>
      </c>
      <c r="B19" s="5">
        <v>92151</v>
      </c>
      <c r="C19" s="5">
        <v>33350</v>
      </c>
      <c r="D19" s="5">
        <v>277742</v>
      </c>
      <c r="E19" s="5">
        <v>1011</v>
      </c>
      <c r="F19" s="5">
        <v>4491</v>
      </c>
      <c r="G19" s="5">
        <v>22233</v>
      </c>
      <c r="H19" s="5">
        <v>102467</v>
      </c>
      <c r="I19" s="5">
        <v>962106</v>
      </c>
      <c r="J19" s="5">
        <v>843211</v>
      </c>
      <c r="K19" s="5">
        <v>2338762</v>
      </c>
    </row>
    <row r="20" spans="1:11">
      <c r="A20" s="4" t="s">
        <v>264</v>
      </c>
      <c r="B20" s="5">
        <v>4018</v>
      </c>
      <c r="C20" s="5">
        <v>314</v>
      </c>
      <c r="D20" s="5">
        <v>12184</v>
      </c>
      <c r="E20" s="5">
        <v>2</v>
      </c>
      <c r="F20" s="5">
        <v>33</v>
      </c>
      <c r="G20" s="5">
        <v>210</v>
      </c>
      <c r="H20" s="5">
        <v>4360</v>
      </c>
      <c r="I20" s="5">
        <v>51151</v>
      </c>
      <c r="J20" s="5">
        <v>52930</v>
      </c>
      <c r="K20" s="5">
        <v>125202</v>
      </c>
    </row>
    <row r="21" spans="1:11">
      <c r="A21" s="4" t="s">
        <v>267</v>
      </c>
      <c r="B21" s="5">
        <v>1657</v>
      </c>
      <c r="C21" s="5">
        <v>296</v>
      </c>
      <c r="D21" s="5">
        <v>3194</v>
      </c>
      <c r="E21" s="5">
        <v>6</v>
      </c>
      <c r="F21" s="5">
        <v>26</v>
      </c>
      <c r="G21" s="5">
        <v>198</v>
      </c>
      <c r="H21" s="5">
        <v>1472</v>
      </c>
      <c r="I21" s="5">
        <v>9422</v>
      </c>
      <c r="J21" s="5">
        <v>8347</v>
      </c>
      <c r="K21" s="5">
        <v>24618</v>
      </c>
    </row>
    <row r="22" spans="1:11">
      <c r="A22" s="4" t="s">
        <v>261</v>
      </c>
      <c r="B22" s="5">
        <v>3063</v>
      </c>
      <c r="C22" s="5">
        <v>336</v>
      </c>
      <c r="D22" s="5">
        <v>7900</v>
      </c>
      <c r="E22" s="5">
        <v>9</v>
      </c>
      <c r="F22" s="5">
        <v>34</v>
      </c>
      <c r="G22" s="5">
        <v>224</v>
      </c>
      <c r="H22" s="5">
        <v>3114</v>
      </c>
      <c r="I22" s="5">
        <v>29273</v>
      </c>
      <c r="J22" s="5">
        <v>29184</v>
      </c>
      <c r="K22" s="5">
        <v>73137</v>
      </c>
    </row>
    <row r="23" spans="1:11">
      <c r="A23" s="4" t="s">
        <v>262</v>
      </c>
      <c r="B23" s="5">
        <v>1552</v>
      </c>
      <c r="C23" s="5">
        <v>314</v>
      </c>
      <c r="D23" s="5">
        <v>3573</v>
      </c>
      <c r="E23" s="5">
        <v>8</v>
      </c>
      <c r="F23" s="5">
        <v>21</v>
      </c>
      <c r="G23" s="5">
        <v>210</v>
      </c>
      <c r="H23" s="5">
        <v>1452</v>
      </c>
      <c r="I23" s="5">
        <v>12483</v>
      </c>
      <c r="J23" s="5">
        <v>13382</v>
      </c>
      <c r="K23" s="5">
        <v>32995</v>
      </c>
    </row>
    <row r="24" spans="1:11">
      <c r="A24" s="4" t="s">
        <v>245</v>
      </c>
      <c r="B24" s="5">
        <v>10550</v>
      </c>
      <c r="C24" s="5">
        <v>906</v>
      </c>
      <c r="D24" s="5">
        <v>33652</v>
      </c>
      <c r="E24" s="5">
        <v>18</v>
      </c>
      <c r="F24" s="5">
        <v>302</v>
      </c>
      <c r="G24" s="5">
        <v>604</v>
      </c>
      <c r="H24" s="5">
        <v>11940</v>
      </c>
      <c r="I24" s="5">
        <v>135140</v>
      </c>
      <c r="J24" s="5">
        <v>133148</v>
      </c>
      <c r="K24" s="5">
        <v>326260</v>
      </c>
    </row>
    <row r="25" spans="1:11">
      <c r="A25" s="4" t="s">
        <v>246</v>
      </c>
      <c r="B25" s="5">
        <v>2405</v>
      </c>
      <c r="C25" s="5">
        <v>532</v>
      </c>
      <c r="D25" s="5">
        <v>4330</v>
      </c>
      <c r="E25" s="5">
        <v>0</v>
      </c>
      <c r="F25" s="5">
        <v>5</v>
      </c>
      <c r="G25" s="5">
        <v>354</v>
      </c>
      <c r="H25" s="5">
        <v>2036</v>
      </c>
      <c r="I25" s="5">
        <v>12695</v>
      </c>
      <c r="J25" s="5">
        <v>11709</v>
      </c>
      <c r="K25" s="5">
        <v>34066</v>
      </c>
    </row>
    <row r="26" spans="1:11">
      <c r="A26" s="4" t="s">
        <v>265</v>
      </c>
      <c r="B26" s="5">
        <v>1095</v>
      </c>
      <c r="C26" s="5">
        <v>136</v>
      </c>
      <c r="D26" s="5">
        <v>2193</v>
      </c>
      <c r="E26" s="5">
        <v>0</v>
      </c>
      <c r="F26" s="5">
        <v>12</v>
      </c>
      <c r="G26" s="5">
        <v>91</v>
      </c>
      <c r="H26" s="5">
        <v>1009</v>
      </c>
      <c r="I26" s="5">
        <v>7480</v>
      </c>
      <c r="J26" s="5">
        <v>8155</v>
      </c>
      <c r="K26" s="5">
        <v>20171</v>
      </c>
    </row>
    <row r="27" spans="1:11">
      <c r="A27" s="4" t="s">
        <v>263</v>
      </c>
      <c r="B27" s="5">
        <v>1902</v>
      </c>
      <c r="C27" s="5">
        <v>314</v>
      </c>
      <c r="D27" s="5">
        <v>4040</v>
      </c>
      <c r="E27" s="5">
        <v>9</v>
      </c>
      <c r="F27" s="5">
        <v>62</v>
      </c>
      <c r="G27" s="5">
        <v>209</v>
      </c>
      <c r="H27" s="5">
        <v>1719</v>
      </c>
      <c r="I27" s="5">
        <v>13928</v>
      </c>
      <c r="J27" s="5">
        <v>12944</v>
      </c>
      <c r="K27" s="5">
        <v>35127</v>
      </c>
    </row>
    <row r="28" spans="1:11">
      <c r="A28" s="4" t="s">
        <v>247</v>
      </c>
      <c r="B28" s="5">
        <v>3000</v>
      </c>
      <c r="C28" s="5">
        <v>622</v>
      </c>
      <c r="D28" s="5">
        <v>8200</v>
      </c>
      <c r="E28" s="5">
        <v>17</v>
      </c>
      <c r="F28" s="5">
        <v>75</v>
      </c>
      <c r="G28" s="5">
        <v>415</v>
      </c>
      <c r="H28" s="5">
        <v>3120</v>
      </c>
      <c r="I28" s="5">
        <v>30627</v>
      </c>
      <c r="J28" s="5">
        <v>28665</v>
      </c>
      <c r="K28" s="5">
        <v>74741</v>
      </c>
    </row>
    <row r="29" spans="1:11">
      <c r="A29" s="4" t="s">
        <v>258</v>
      </c>
      <c r="B29" s="5">
        <v>9268</v>
      </c>
      <c r="C29" s="5">
        <v>793</v>
      </c>
      <c r="D29" s="5">
        <v>28718</v>
      </c>
      <c r="E29" s="5">
        <v>16</v>
      </c>
      <c r="F29" s="5">
        <v>250</v>
      </c>
      <c r="G29" s="5">
        <v>529</v>
      </c>
      <c r="H29" s="5">
        <v>10473</v>
      </c>
      <c r="I29" s="5">
        <v>99778</v>
      </c>
      <c r="J29" s="5">
        <v>90982</v>
      </c>
      <c r="K29" s="5">
        <v>240807</v>
      </c>
    </row>
    <row r="30" spans="1:11">
      <c r="A30" s="4" t="s">
        <v>251</v>
      </c>
      <c r="B30" s="5">
        <v>6997</v>
      </c>
      <c r="C30" s="5">
        <v>1153</v>
      </c>
      <c r="D30" s="5">
        <v>18672</v>
      </c>
      <c r="E30" s="5">
        <v>25</v>
      </c>
      <c r="F30" s="5">
        <v>324</v>
      </c>
      <c r="G30" s="5">
        <v>769</v>
      </c>
      <c r="H30" s="5">
        <v>7145</v>
      </c>
      <c r="I30" s="5">
        <v>66331</v>
      </c>
      <c r="J30" s="5">
        <v>62175</v>
      </c>
      <c r="K30" s="5">
        <v>163591</v>
      </c>
    </row>
    <row r="31" spans="1:11">
      <c r="A31" s="4" t="s">
        <v>248</v>
      </c>
      <c r="B31" s="5">
        <v>2352</v>
      </c>
      <c r="C31" s="5">
        <v>563</v>
      </c>
      <c r="D31" s="5">
        <v>5733</v>
      </c>
      <c r="E31" s="5">
        <v>18</v>
      </c>
      <c r="F31" s="5">
        <v>95</v>
      </c>
      <c r="G31" s="5">
        <v>375</v>
      </c>
      <c r="H31" s="5">
        <v>2385</v>
      </c>
      <c r="I31" s="5">
        <v>19674</v>
      </c>
      <c r="J31" s="5">
        <v>19227</v>
      </c>
      <c r="K31" s="5">
        <v>50422</v>
      </c>
    </row>
    <row r="32" spans="1:11">
      <c r="A32" s="4" t="s">
        <v>249</v>
      </c>
      <c r="B32" s="5">
        <v>1756</v>
      </c>
      <c r="C32" s="5">
        <v>425</v>
      </c>
      <c r="D32" s="5">
        <v>3994</v>
      </c>
      <c r="E32" s="5">
        <v>10</v>
      </c>
      <c r="F32" s="5">
        <v>128</v>
      </c>
      <c r="G32" s="5">
        <v>284</v>
      </c>
      <c r="H32" s="5">
        <v>1569</v>
      </c>
      <c r="I32" s="5">
        <v>13727</v>
      </c>
      <c r="J32" s="5">
        <v>14464</v>
      </c>
      <c r="K32" s="5">
        <v>36357</v>
      </c>
    </row>
    <row r="33" spans="1:11">
      <c r="A33" s="4" t="s">
        <v>250</v>
      </c>
      <c r="B33" s="5">
        <v>8424</v>
      </c>
      <c r="C33" s="5">
        <v>1484</v>
      </c>
      <c r="D33" s="5">
        <v>26540</v>
      </c>
      <c r="E33" s="5">
        <v>14</v>
      </c>
      <c r="F33" s="5">
        <v>48</v>
      </c>
      <c r="G33" s="5">
        <v>989</v>
      </c>
      <c r="H33" s="5">
        <v>9438</v>
      </c>
      <c r="I33" s="5">
        <v>104741</v>
      </c>
      <c r="J33" s="5">
        <v>103407</v>
      </c>
      <c r="K33" s="5">
        <v>255085</v>
      </c>
    </row>
    <row r="34" spans="1:11">
      <c r="A34" s="4" t="s">
        <v>252</v>
      </c>
      <c r="B34" s="5">
        <v>16216</v>
      </c>
      <c r="C34" s="5"/>
      <c r="D34" s="5">
        <v>40521</v>
      </c>
      <c r="E34" s="5"/>
      <c r="F34" s="5">
        <v>1276</v>
      </c>
      <c r="G34" s="5"/>
      <c r="H34" s="5">
        <v>15723</v>
      </c>
      <c r="I34" s="5">
        <v>147289</v>
      </c>
      <c r="J34" s="5">
        <v>149997</v>
      </c>
      <c r="K34" s="5">
        <v>371022</v>
      </c>
    </row>
    <row r="35" spans="1:11">
      <c r="A35" s="4" t="s">
        <v>253</v>
      </c>
      <c r="B35" s="5">
        <v>5359</v>
      </c>
      <c r="C35" s="5">
        <v>695</v>
      </c>
      <c r="D35" s="5">
        <v>11470</v>
      </c>
      <c r="E35" s="5">
        <v>4</v>
      </c>
      <c r="F35" s="5">
        <v>149</v>
      </c>
      <c r="G35" s="5">
        <v>463</v>
      </c>
      <c r="H35" s="5">
        <v>4865</v>
      </c>
      <c r="I35" s="5">
        <v>36270</v>
      </c>
      <c r="J35" s="5">
        <v>32953</v>
      </c>
      <c r="K35" s="5">
        <v>92228</v>
      </c>
    </row>
    <row r="36" spans="1:11">
      <c r="A36" s="4" t="s">
        <v>254</v>
      </c>
      <c r="B36" s="5">
        <v>9152</v>
      </c>
      <c r="C36" s="5">
        <v>1762</v>
      </c>
      <c r="D36" s="5">
        <v>28794</v>
      </c>
      <c r="E36" s="5">
        <v>8</v>
      </c>
      <c r="F36" s="5">
        <v>298</v>
      </c>
      <c r="G36" s="5">
        <v>1174</v>
      </c>
      <c r="H36" s="5">
        <v>10346</v>
      </c>
      <c r="I36" s="5">
        <v>112590</v>
      </c>
      <c r="J36" s="5">
        <v>106042</v>
      </c>
      <c r="K36" s="5">
        <v>270166</v>
      </c>
    </row>
    <row r="37" spans="1:11">
      <c r="A37" s="4" t="s">
        <v>259</v>
      </c>
      <c r="B37" s="5">
        <v>5418</v>
      </c>
      <c r="C37" s="5"/>
      <c r="D37" s="5">
        <v>16518</v>
      </c>
      <c r="E37" s="5"/>
      <c r="F37" s="5">
        <v>115</v>
      </c>
      <c r="G37" s="5"/>
      <c r="H37" s="5">
        <v>5885</v>
      </c>
      <c r="I37" s="5">
        <v>63976</v>
      </c>
      <c r="J37" s="5">
        <v>60565</v>
      </c>
      <c r="K37" s="5">
        <v>152477</v>
      </c>
    </row>
    <row r="38" spans="1:11">
      <c r="A38" s="4" t="s">
        <v>255</v>
      </c>
      <c r="B38" s="5">
        <v>2402</v>
      </c>
      <c r="C38" s="5">
        <v>205</v>
      </c>
      <c r="D38" s="5">
        <v>4955</v>
      </c>
      <c r="E38" s="5">
        <v>1</v>
      </c>
      <c r="F38" s="5">
        <v>1</v>
      </c>
      <c r="G38" s="5">
        <v>136</v>
      </c>
      <c r="H38" s="5">
        <v>2266</v>
      </c>
      <c r="I38" s="5">
        <v>15618</v>
      </c>
      <c r="J38" s="5">
        <v>14207</v>
      </c>
      <c r="K38" s="5">
        <v>39791</v>
      </c>
    </row>
    <row r="39" spans="1:11">
      <c r="A39" s="4" t="s">
        <v>256</v>
      </c>
      <c r="B39" s="5">
        <v>11548</v>
      </c>
      <c r="C39" s="5">
        <v>1172</v>
      </c>
      <c r="D39" s="5">
        <v>34152</v>
      </c>
      <c r="E39" s="5">
        <v>18</v>
      </c>
      <c r="F39" s="5">
        <v>110</v>
      </c>
      <c r="G39" s="5">
        <v>781</v>
      </c>
      <c r="H39" s="5">
        <v>12483</v>
      </c>
      <c r="I39" s="5">
        <v>132040</v>
      </c>
      <c r="J39" s="5">
        <v>132909</v>
      </c>
      <c r="K39" s="5">
        <v>325213</v>
      </c>
    </row>
    <row r="40" spans="1:11">
      <c r="A40" s="4" t="s">
        <v>257</v>
      </c>
      <c r="B40" s="5">
        <v>2446</v>
      </c>
      <c r="C40" s="5">
        <v>508</v>
      </c>
      <c r="D40" s="5">
        <v>5095</v>
      </c>
      <c r="E40" s="5">
        <v>12</v>
      </c>
      <c r="F40" s="5">
        <v>110</v>
      </c>
      <c r="G40" s="5">
        <v>339</v>
      </c>
      <c r="H40" s="5">
        <v>2253</v>
      </c>
      <c r="I40" s="5">
        <v>17335</v>
      </c>
      <c r="J40" s="5">
        <v>16732</v>
      </c>
      <c r="K40" s="5">
        <v>44830</v>
      </c>
    </row>
    <row r="41" spans="1:11">
      <c r="A41" s="4" t="s">
        <v>580</v>
      </c>
      <c r="B41" s="5"/>
      <c r="C41" s="5">
        <v>7021</v>
      </c>
      <c r="D41" s="5"/>
      <c r="E41" s="5">
        <v>15</v>
      </c>
      <c r="F41" s="5"/>
      <c r="G41" s="5">
        <v>4680</v>
      </c>
      <c r="H41" s="5"/>
      <c r="I41" s="5"/>
      <c r="J41" s="5"/>
      <c r="K41" s="5">
        <v>11716</v>
      </c>
    </row>
    <row r="42" spans="1:11">
      <c r="A42" s="4" t="s">
        <v>578</v>
      </c>
      <c r="B42" s="5"/>
      <c r="C42" s="5">
        <v>7021</v>
      </c>
      <c r="D42" s="5"/>
      <c r="E42" s="5">
        <v>206</v>
      </c>
      <c r="F42" s="5"/>
      <c r="G42" s="5">
        <v>4680</v>
      </c>
      <c r="H42" s="5"/>
      <c r="I42" s="5"/>
      <c r="J42" s="5"/>
      <c r="K42" s="5">
        <v>11907</v>
      </c>
    </row>
    <row r="43" spans="1:11">
      <c r="A43" s="3" t="s">
        <v>429</v>
      </c>
      <c r="B43" s="5">
        <v>87169</v>
      </c>
      <c r="C43" s="5">
        <v>26405</v>
      </c>
      <c r="D43" s="5">
        <v>305399</v>
      </c>
      <c r="E43" s="5">
        <v>507</v>
      </c>
      <c r="F43" s="5">
        <v>3603</v>
      </c>
      <c r="G43" s="5">
        <v>17602</v>
      </c>
      <c r="H43" s="5">
        <v>104784</v>
      </c>
      <c r="I43" s="5">
        <v>1201628</v>
      </c>
      <c r="J43" s="5">
        <v>1082056</v>
      </c>
      <c r="K43" s="5">
        <v>2829153</v>
      </c>
    </row>
    <row r="44" spans="1:11">
      <c r="A44" s="4" t="s">
        <v>471</v>
      </c>
      <c r="B44" s="5">
        <v>778</v>
      </c>
      <c r="C44" s="5">
        <v>266</v>
      </c>
      <c r="D44" s="5">
        <v>2900</v>
      </c>
      <c r="E44" s="5">
        <v>2</v>
      </c>
      <c r="F44" s="5">
        <v>8</v>
      </c>
      <c r="G44" s="5">
        <v>178</v>
      </c>
      <c r="H44" s="5">
        <v>910</v>
      </c>
      <c r="I44" s="5">
        <v>15786</v>
      </c>
      <c r="J44" s="5">
        <v>18119</v>
      </c>
      <c r="K44" s="5">
        <v>38947</v>
      </c>
    </row>
    <row r="45" spans="1:11">
      <c r="A45" s="4" t="s">
        <v>468</v>
      </c>
      <c r="B45" s="5">
        <v>7279</v>
      </c>
      <c r="C45" s="5">
        <v>974</v>
      </c>
      <c r="D45" s="5">
        <v>26417</v>
      </c>
      <c r="E45" s="5">
        <v>25</v>
      </c>
      <c r="F45" s="5">
        <v>31</v>
      </c>
      <c r="G45" s="5">
        <v>649</v>
      </c>
      <c r="H45" s="5">
        <v>8799</v>
      </c>
      <c r="I45" s="5">
        <v>110453</v>
      </c>
      <c r="J45" s="5">
        <v>113946</v>
      </c>
      <c r="K45" s="5">
        <v>268573</v>
      </c>
    </row>
    <row r="46" spans="1:11">
      <c r="A46" s="4" t="s">
        <v>470</v>
      </c>
      <c r="B46" s="5">
        <v>1653</v>
      </c>
      <c r="C46" s="5">
        <v>86</v>
      </c>
      <c r="D46" s="5">
        <v>2830</v>
      </c>
      <c r="E46" s="5">
        <v>1</v>
      </c>
      <c r="F46" s="5">
        <v>19</v>
      </c>
      <c r="G46" s="5">
        <v>57</v>
      </c>
      <c r="H46" s="5">
        <v>1449</v>
      </c>
      <c r="I46" s="5">
        <v>6329</v>
      </c>
      <c r="J46" s="5">
        <v>4452</v>
      </c>
      <c r="K46" s="5">
        <v>16876</v>
      </c>
    </row>
    <row r="47" spans="1:11">
      <c r="A47" s="4" t="s">
        <v>472</v>
      </c>
      <c r="B47" s="5">
        <v>7817</v>
      </c>
      <c r="C47" s="5"/>
      <c r="D47" s="5">
        <v>30404</v>
      </c>
      <c r="E47" s="5"/>
      <c r="F47" s="5">
        <v>322</v>
      </c>
      <c r="G47" s="5"/>
      <c r="H47" s="5">
        <v>10095</v>
      </c>
      <c r="I47" s="5">
        <v>121253</v>
      </c>
      <c r="J47" s="5">
        <v>108978</v>
      </c>
      <c r="K47" s="5">
        <v>278869</v>
      </c>
    </row>
    <row r="48" spans="1:11">
      <c r="A48" s="4" t="s">
        <v>467</v>
      </c>
      <c r="B48" s="5">
        <v>65331</v>
      </c>
      <c r="C48" s="5">
        <v>17508</v>
      </c>
      <c r="D48" s="5">
        <v>228124</v>
      </c>
      <c r="E48" s="5">
        <v>302</v>
      </c>
      <c r="F48" s="5">
        <v>3214</v>
      </c>
      <c r="G48" s="5">
        <v>11672</v>
      </c>
      <c r="H48" s="5">
        <v>78425</v>
      </c>
      <c r="I48" s="5">
        <v>882787</v>
      </c>
      <c r="J48" s="5">
        <v>770538</v>
      </c>
      <c r="K48" s="5">
        <v>2057901</v>
      </c>
    </row>
    <row r="49" spans="1:11">
      <c r="A49" s="4" t="s">
        <v>469</v>
      </c>
      <c r="B49" s="5">
        <v>4311</v>
      </c>
      <c r="C49" s="5">
        <v>550</v>
      </c>
      <c r="D49" s="5">
        <v>14724</v>
      </c>
      <c r="E49" s="5">
        <v>3</v>
      </c>
      <c r="F49" s="5">
        <v>9</v>
      </c>
      <c r="G49" s="5">
        <v>366</v>
      </c>
      <c r="H49" s="5">
        <v>5106</v>
      </c>
      <c r="I49" s="5">
        <v>65020</v>
      </c>
      <c r="J49" s="5">
        <v>66023</v>
      </c>
      <c r="K49" s="5">
        <v>156112</v>
      </c>
    </row>
    <row r="50" spans="1:11">
      <c r="A50" s="4" t="s">
        <v>604</v>
      </c>
      <c r="B50" s="5"/>
      <c r="C50" s="5">
        <v>7021</v>
      </c>
      <c r="D50" s="5"/>
      <c r="E50" s="5">
        <v>174</v>
      </c>
      <c r="F50" s="5"/>
      <c r="G50" s="5">
        <v>4680</v>
      </c>
      <c r="H50" s="5"/>
      <c r="I50" s="5"/>
      <c r="J50" s="5"/>
      <c r="K50" s="5">
        <v>11875</v>
      </c>
    </row>
    <row r="51" spans="1:11">
      <c r="A51" s="3" t="s">
        <v>328</v>
      </c>
      <c r="B51" s="5">
        <v>18574</v>
      </c>
      <c r="C51" s="5">
        <v>5499</v>
      </c>
      <c r="D51" s="5">
        <v>55982</v>
      </c>
      <c r="E51" s="5">
        <v>92</v>
      </c>
      <c r="F51" s="5">
        <v>885</v>
      </c>
      <c r="G51" s="5">
        <v>3669</v>
      </c>
      <c r="H51" s="5">
        <v>19513</v>
      </c>
      <c r="I51" s="5">
        <v>241847</v>
      </c>
      <c r="J51" s="5">
        <v>248975</v>
      </c>
      <c r="K51" s="5">
        <v>595036</v>
      </c>
    </row>
    <row r="52" spans="1:11">
      <c r="A52" s="4" t="s">
        <v>334</v>
      </c>
      <c r="B52" s="5">
        <v>1688</v>
      </c>
      <c r="C52" s="5">
        <v>399</v>
      </c>
      <c r="D52" s="5">
        <v>4558</v>
      </c>
      <c r="E52" s="5">
        <v>4</v>
      </c>
      <c r="F52" s="5">
        <v>87</v>
      </c>
      <c r="G52" s="5">
        <v>266</v>
      </c>
      <c r="H52" s="5">
        <v>1654</v>
      </c>
      <c r="I52" s="5">
        <v>19768</v>
      </c>
      <c r="J52" s="5">
        <v>20339</v>
      </c>
      <c r="K52" s="5">
        <v>48763</v>
      </c>
    </row>
    <row r="53" spans="1:11">
      <c r="A53" s="4" t="s">
        <v>328</v>
      </c>
      <c r="B53" s="5">
        <v>6770</v>
      </c>
      <c r="C53" s="5">
        <v>2879</v>
      </c>
      <c r="D53" s="5">
        <v>22524</v>
      </c>
      <c r="E53" s="5">
        <v>53</v>
      </c>
      <c r="F53" s="5">
        <v>441</v>
      </c>
      <c r="G53" s="5">
        <v>1920</v>
      </c>
      <c r="H53" s="5">
        <v>7601</v>
      </c>
      <c r="I53" s="5">
        <v>99890</v>
      </c>
      <c r="J53" s="5">
        <v>101861</v>
      </c>
      <c r="K53" s="5">
        <v>243939</v>
      </c>
    </row>
    <row r="54" spans="1:11">
      <c r="A54" s="4" t="s">
        <v>335</v>
      </c>
      <c r="B54" s="5">
        <v>1894</v>
      </c>
      <c r="C54" s="5">
        <v>394</v>
      </c>
      <c r="D54" s="5">
        <v>5499</v>
      </c>
      <c r="E54" s="5">
        <v>2</v>
      </c>
      <c r="F54" s="5">
        <v>30</v>
      </c>
      <c r="G54" s="5">
        <v>263</v>
      </c>
      <c r="H54" s="5">
        <v>1883</v>
      </c>
      <c r="I54" s="5">
        <v>20915</v>
      </c>
      <c r="J54" s="5">
        <v>19659</v>
      </c>
      <c r="K54" s="5">
        <v>50539</v>
      </c>
    </row>
    <row r="55" spans="1:11">
      <c r="A55" s="4" t="s">
        <v>339</v>
      </c>
      <c r="B55" s="5">
        <v>668</v>
      </c>
      <c r="C55" s="5">
        <v>88</v>
      </c>
      <c r="D55" s="5">
        <v>1711</v>
      </c>
      <c r="E55" s="5">
        <v>1</v>
      </c>
      <c r="F55" s="5">
        <v>21</v>
      </c>
      <c r="G55" s="5">
        <v>59</v>
      </c>
      <c r="H55" s="5">
        <v>720</v>
      </c>
      <c r="I55" s="5">
        <v>6461</v>
      </c>
      <c r="J55" s="5">
        <v>6145</v>
      </c>
      <c r="K55" s="5">
        <v>15874</v>
      </c>
    </row>
    <row r="56" spans="1:11">
      <c r="A56" s="4" t="s">
        <v>332</v>
      </c>
      <c r="B56" s="5">
        <v>1997</v>
      </c>
      <c r="C56" s="5">
        <v>521</v>
      </c>
      <c r="D56" s="5">
        <v>5802</v>
      </c>
      <c r="E56" s="5">
        <v>5</v>
      </c>
      <c r="F56" s="5">
        <v>42</v>
      </c>
      <c r="G56" s="5">
        <v>348</v>
      </c>
      <c r="H56" s="5">
        <v>1954</v>
      </c>
      <c r="I56" s="5">
        <v>23471</v>
      </c>
      <c r="J56" s="5">
        <v>24231</v>
      </c>
      <c r="K56" s="5">
        <v>58371</v>
      </c>
    </row>
    <row r="57" spans="1:11">
      <c r="A57" s="4" t="s">
        <v>330</v>
      </c>
      <c r="B57" s="5">
        <v>1380</v>
      </c>
      <c r="C57" s="5">
        <v>175</v>
      </c>
      <c r="D57" s="5">
        <v>4147</v>
      </c>
      <c r="E57" s="5">
        <v>4</v>
      </c>
      <c r="F57" s="5">
        <v>23</v>
      </c>
      <c r="G57" s="5">
        <v>117</v>
      </c>
      <c r="H57" s="5">
        <v>1433</v>
      </c>
      <c r="I57" s="5">
        <v>18386</v>
      </c>
      <c r="J57" s="5">
        <v>18877</v>
      </c>
      <c r="K57" s="5">
        <v>44542</v>
      </c>
    </row>
    <row r="58" spans="1:11">
      <c r="A58" s="4" t="s">
        <v>331</v>
      </c>
      <c r="B58" s="5">
        <v>1933</v>
      </c>
      <c r="C58" s="5">
        <v>505</v>
      </c>
      <c r="D58" s="5">
        <v>5714</v>
      </c>
      <c r="E58" s="5">
        <v>14</v>
      </c>
      <c r="F58" s="5">
        <v>122</v>
      </c>
      <c r="G58" s="5">
        <v>337</v>
      </c>
      <c r="H58" s="5">
        <v>1989</v>
      </c>
      <c r="I58" s="5">
        <v>27111</v>
      </c>
      <c r="J58" s="5">
        <v>29706</v>
      </c>
      <c r="K58" s="5">
        <v>67431</v>
      </c>
    </row>
    <row r="59" spans="1:11">
      <c r="A59" s="4" t="s">
        <v>337</v>
      </c>
      <c r="B59" s="5">
        <v>729</v>
      </c>
      <c r="C59" s="5">
        <v>114</v>
      </c>
      <c r="D59" s="5">
        <v>1660</v>
      </c>
      <c r="E59" s="5">
        <v>2</v>
      </c>
      <c r="F59" s="5">
        <v>19</v>
      </c>
      <c r="G59" s="5">
        <v>76</v>
      </c>
      <c r="H59" s="5">
        <v>652</v>
      </c>
      <c r="I59" s="5">
        <v>5740</v>
      </c>
      <c r="J59" s="5">
        <v>5547</v>
      </c>
      <c r="K59" s="5">
        <v>14539</v>
      </c>
    </row>
    <row r="60" spans="1:11">
      <c r="A60" s="4" t="s">
        <v>336</v>
      </c>
      <c r="B60" s="5">
        <v>655</v>
      </c>
      <c r="C60" s="5">
        <v>111</v>
      </c>
      <c r="D60" s="5">
        <v>1947</v>
      </c>
      <c r="E60" s="5">
        <v>0</v>
      </c>
      <c r="F60" s="5">
        <v>27</v>
      </c>
      <c r="G60" s="5">
        <v>74</v>
      </c>
      <c r="H60" s="5">
        <v>738</v>
      </c>
      <c r="I60" s="5">
        <v>8092</v>
      </c>
      <c r="J60" s="5">
        <v>8594</v>
      </c>
      <c r="K60" s="5">
        <v>20238</v>
      </c>
    </row>
    <row r="61" spans="1:11">
      <c r="A61" s="4" t="s">
        <v>333</v>
      </c>
      <c r="B61" s="5">
        <v>860</v>
      </c>
      <c r="C61" s="5">
        <v>313</v>
      </c>
      <c r="D61" s="5">
        <v>2420</v>
      </c>
      <c r="E61" s="5">
        <v>7</v>
      </c>
      <c r="F61" s="5">
        <v>73</v>
      </c>
      <c r="G61" s="5">
        <v>209</v>
      </c>
      <c r="H61" s="5">
        <v>889</v>
      </c>
      <c r="I61" s="5">
        <v>12013</v>
      </c>
      <c r="J61" s="5">
        <v>14016</v>
      </c>
      <c r="K61" s="5">
        <v>30800</v>
      </c>
    </row>
    <row r="62" spans="1:11">
      <c r="A62" s="3" t="s">
        <v>347</v>
      </c>
      <c r="B62" s="5">
        <v>28241</v>
      </c>
      <c r="C62" s="5">
        <v>9624</v>
      </c>
      <c r="D62" s="5">
        <v>102585</v>
      </c>
      <c r="E62" s="5">
        <v>155</v>
      </c>
      <c r="F62" s="5">
        <v>1797</v>
      </c>
      <c r="G62" s="5">
        <v>6418</v>
      </c>
      <c r="H62" s="5">
        <v>33316</v>
      </c>
      <c r="I62" s="5">
        <v>492697</v>
      </c>
      <c r="J62" s="5">
        <v>541000</v>
      </c>
      <c r="K62" s="5">
        <v>1215833</v>
      </c>
    </row>
    <row r="63" spans="1:11">
      <c r="A63" s="4" t="s">
        <v>347</v>
      </c>
      <c r="B63" s="5">
        <v>6110</v>
      </c>
      <c r="C63" s="5">
        <v>3690</v>
      </c>
      <c r="D63" s="5">
        <v>26727</v>
      </c>
      <c r="E63" s="5">
        <v>47</v>
      </c>
      <c r="F63" s="5">
        <v>935</v>
      </c>
      <c r="G63" s="5">
        <v>2460</v>
      </c>
      <c r="H63" s="5">
        <v>8171</v>
      </c>
      <c r="I63" s="5">
        <v>125890</v>
      </c>
      <c r="J63" s="5">
        <v>138972</v>
      </c>
      <c r="K63" s="5">
        <v>313002</v>
      </c>
    </row>
    <row r="64" spans="1:11">
      <c r="A64" s="4" t="s">
        <v>349</v>
      </c>
      <c r="B64" s="5">
        <v>2219</v>
      </c>
      <c r="C64" s="5">
        <v>561</v>
      </c>
      <c r="D64" s="5">
        <v>7315</v>
      </c>
      <c r="E64" s="5">
        <v>4</v>
      </c>
      <c r="F64" s="5">
        <v>11</v>
      </c>
      <c r="G64" s="5">
        <v>374</v>
      </c>
      <c r="H64" s="5">
        <v>2524</v>
      </c>
      <c r="I64" s="5">
        <v>29867</v>
      </c>
      <c r="J64" s="5">
        <v>36239</v>
      </c>
      <c r="K64" s="5">
        <v>79114</v>
      </c>
    </row>
    <row r="65" spans="1:11">
      <c r="A65" s="4" t="s">
        <v>356</v>
      </c>
      <c r="B65" s="5">
        <v>1174</v>
      </c>
      <c r="C65" s="5">
        <v>407</v>
      </c>
      <c r="D65" s="5">
        <v>4773</v>
      </c>
      <c r="E65" s="5">
        <v>1</v>
      </c>
      <c r="F65" s="5">
        <v>135</v>
      </c>
      <c r="G65" s="5">
        <v>272</v>
      </c>
      <c r="H65" s="5">
        <v>1413</v>
      </c>
      <c r="I65" s="5">
        <v>29823</v>
      </c>
      <c r="J65" s="5">
        <v>36027</v>
      </c>
      <c r="K65" s="5">
        <v>74025</v>
      </c>
    </row>
    <row r="66" spans="1:11">
      <c r="A66" s="4" t="s">
        <v>350</v>
      </c>
      <c r="B66" s="5">
        <v>8167</v>
      </c>
      <c r="C66" s="5">
        <v>1777</v>
      </c>
      <c r="D66" s="5">
        <v>24521</v>
      </c>
      <c r="E66" s="5">
        <v>55</v>
      </c>
      <c r="F66" s="5">
        <v>249</v>
      </c>
      <c r="G66" s="5">
        <v>1185</v>
      </c>
      <c r="H66" s="5">
        <v>8828</v>
      </c>
      <c r="I66" s="5">
        <v>98367</v>
      </c>
      <c r="J66" s="5">
        <v>113958</v>
      </c>
      <c r="K66" s="5">
        <v>257107</v>
      </c>
    </row>
    <row r="67" spans="1:11">
      <c r="A67" s="4" t="s">
        <v>351</v>
      </c>
      <c r="B67" s="5">
        <v>2871</v>
      </c>
      <c r="C67" s="5">
        <v>715</v>
      </c>
      <c r="D67" s="5">
        <v>8110</v>
      </c>
      <c r="E67" s="5">
        <v>0</v>
      </c>
      <c r="F67" s="5">
        <v>86</v>
      </c>
      <c r="G67" s="5">
        <v>476</v>
      </c>
      <c r="H67" s="5">
        <v>2944</v>
      </c>
      <c r="I67" s="5">
        <v>32849</v>
      </c>
      <c r="J67" s="5">
        <v>40536</v>
      </c>
      <c r="K67" s="5">
        <v>88587</v>
      </c>
    </row>
    <row r="68" spans="1:11">
      <c r="A68" s="4" t="s">
        <v>352</v>
      </c>
      <c r="B68" s="5">
        <v>1381</v>
      </c>
      <c r="C68" s="5">
        <v>215</v>
      </c>
      <c r="D68" s="5">
        <v>5119</v>
      </c>
      <c r="E68" s="5">
        <v>6</v>
      </c>
      <c r="F68" s="5">
        <v>14</v>
      </c>
      <c r="G68" s="5">
        <v>144</v>
      </c>
      <c r="H68" s="5">
        <v>1600</v>
      </c>
      <c r="I68" s="5">
        <v>23903</v>
      </c>
      <c r="J68" s="5">
        <v>29731</v>
      </c>
      <c r="K68" s="5">
        <v>62113</v>
      </c>
    </row>
    <row r="69" spans="1:11">
      <c r="A69" s="4" t="s">
        <v>355</v>
      </c>
      <c r="B69" s="5">
        <v>1041</v>
      </c>
      <c r="C69" s="5">
        <v>292</v>
      </c>
      <c r="D69" s="5">
        <v>3154</v>
      </c>
      <c r="E69" s="5">
        <v>0</v>
      </c>
      <c r="F69" s="5">
        <v>43</v>
      </c>
      <c r="G69" s="5">
        <v>195</v>
      </c>
      <c r="H69" s="5">
        <v>1184</v>
      </c>
      <c r="I69" s="5">
        <v>14064</v>
      </c>
      <c r="J69" s="5">
        <v>15934</v>
      </c>
      <c r="K69" s="5">
        <v>35907</v>
      </c>
    </row>
    <row r="70" spans="1:11">
      <c r="A70" s="4" t="s">
        <v>358</v>
      </c>
      <c r="B70" s="5">
        <v>938</v>
      </c>
      <c r="C70" s="5">
        <v>356</v>
      </c>
      <c r="D70" s="5">
        <v>5627</v>
      </c>
      <c r="E70" s="5">
        <v>8</v>
      </c>
      <c r="F70" s="5">
        <v>94</v>
      </c>
      <c r="G70" s="5">
        <v>238</v>
      </c>
      <c r="H70" s="5">
        <v>1356</v>
      </c>
      <c r="I70" s="5">
        <v>39924</v>
      </c>
      <c r="J70" s="5">
        <v>32032</v>
      </c>
      <c r="K70" s="5">
        <v>80573</v>
      </c>
    </row>
    <row r="71" spans="1:11">
      <c r="A71" s="4" t="s">
        <v>353</v>
      </c>
      <c r="B71" s="5">
        <v>1418</v>
      </c>
      <c r="C71" s="5">
        <v>775</v>
      </c>
      <c r="D71" s="5">
        <v>7944</v>
      </c>
      <c r="E71" s="5">
        <v>17</v>
      </c>
      <c r="F71" s="5">
        <v>135</v>
      </c>
      <c r="G71" s="5">
        <v>517</v>
      </c>
      <c r="H71" s="5">
        <v>2017</v>
      </c>
      <c r="I71" s="5">
        <v>56822</v>
      </c>
      <c r="J71" s="5">
        <v>50026</v>
      </c>
      <c r="K71" s="5">
        <v>119671</v>
      </c>
    </row>
    <row r="72" spans="1:11">
      <c r="A72" s="4" t="s">
        <v>354</v>
      </c>
      <c r="B72" s="5">
        <v>2922</v>
      </c>
      <c r="C72" s="5">
        <v>836</v>
      </c>
      <c r="D72" s="5">
        <v>9295</v>
      </c>
      <c r="E72" s="5">
        <v>17</v>
      </c>
      <c r="F72" s="5">
        <v>95</v>
      </c>
      <c r="G72" s="5">
        <v>557</v>
      </c>
      <c r="H72" s="5">
        <v>3279</v>
      </c>
      <c r="I72" s="5">
        <v>41188</v>
      </c>
      <c r="J72" s="5">
        <v>47545</v>
      </c>
      <c r="K72" s="5">
        <v>105734</v>
      </c>
    </row>
    <row r="73" spans="1:11">
      <c r="A73" s="3" t="s">
        <v>397</v>
      </c>
      <c r="B73" s="5">
        <v>507778</v>
      </c>
      <c r="C73" s="5">
        <v>112426</v>
      </c>
      <c r="D73" s="5">
        <v>1581581</v>
      </c>
      <c r="E73" s="5">
        <v>556</v>
      </c>
      <c r="F73" s="5">
        <v>17393</v>
      </c>
      <c r="G73" s="5">
        <v>74946</v>
      </c>
      <c r="H73" s="5">
        <v>577711</v>
      </c>
      <c r="I73" s="5">
        <v>5773108</v>
      </c>
      <c r="J73" s="5">
        <v>5027970</v>
      </c>
      <c r="K73" s="5">
        <v>13673469</v>
      </c>
    </row>
    <row r="74" spans="1:11">
      <c r="A74" s="4" t="s">
        <v>404</v>
      </c>
      <c r="B74" s="5">
        <v>13842</v>
      </c>
      <c r="C74" s="5">
        <v>1913</v>
      </c>
      <c r="D74" s="5">
        <v>54564</v>
      </c>
      <c r="E74" s="5">
        <v>16</v>
      </c>
      <c r="F74" s="5">
        <v>99</v>
      </c>
      <c r="G74" s="5">
        <v>1275</v>
      </c>
      <c r="H74" s="5">
        <v>17545</v>
      </c>
      <c r="I74" s="5">
        <v>239722</v>
      </c>
      <c r="J74" s="5">
        <v>231980</v>
      </c>
      <c r="K74" s="5">
        <v>560956</v>
      </c>
    </row>
    <row r="75" spans="1:11">
      <c r="A75" s="4" t="s">
        <v>411</v>
      </c>
      <c r="B75" s="5">
        <v>9030</v>
      </c>
      <c r="C75" s="5">
        <v>1122</v>
      </c>
      <c r="D75" s="5">
        <v>43589</v>
      </c>
      <c r="E75" s="5">
        <v>35</v>
      </c>
      <c r="F75" s="5">
        <v>270</v>
      </c>
      <c r="G75" s="5">
        <v>748</v>
      </c>
      <c r="H75" s="5">
        <v>12691</v>
      </c>
      <c r="I75" s="5">
        <v>225671</v>
      </c>
      <c r="J75" s="5">
        <v>256608</v>
      </c>
      <c r="K75" s="5">
        <v>549764</v>
      </c>
    </row>
    <row r="76" spans="1:11">
      <c r="A76" s="4" t="s">
        <v>406</v>
      </c>
      <c r="B76" s="5">
        <v>5816</v>
      </c>
      <c r="C76" s="5">
        <v>1324</v>
      </c>
      <c r="D76" s="5">
        <v>28268</v>
      </c>
      <c r="E76" s="5">
        <v>44</v>
      </c>
      <c r="F76" s="5">
        <v>224</v>
      </c>
      <c r="G76" s="5">
        <v>882</v>
      </c>
      <c r="H76" s="5">
        <v>7966</v>
      </c>
      <c r="I76" s="5">
        <v>147942</v>
      </c>
      <c r="J76" s="5">
        <v>171594</v>
      </c>
      <c r="K76" s="5">
        <v>364060</v>
      </c>
    </row>
    <row r="77" spans="1:11">
      <c r="A77" s="4" t="s">
        <v>412</v>
      </c>
      <c r="B77" s="5">
        <v>3551</v>
      </c>
      <c r="C77" s="5">
        <v>1228</v>
      </c>
      <c r="D77" s="5">
        <v>16061</v>
      </c>
      <c r="E77" s="5">
        <v>22</v>
      </c>
      <c r="F77" s="5">
        <v>341</v>
      </c>
      <c r="G77" s="5">
        <v>818</v>
      </c>
      <c r="H77" s="5">
        <v>4879</v>
      </c>
      <c r="I77" s="5">
        <v>73164</v>
      </c>
      <c r="J77" s="5">
        <v>72784</v>
      </c>
      <c r="K77" s="5">
        <v>172848</v>
      </c>
    </row>
    <row r="78" spans="1:11">
      <c r="A78" s="4" t="s">
        <v>410</v>
      </c>
      <c r="B78" s="5">
        <v>2434</v>
      </c>
      <c r="C78" s="5">
        <v>324</v>
      </c>
      <c r="D78" s="5">
        <v>8340</v>
      </c>
      <c r="E78" s="5">
        <v>4</v>
      </c>
      <c r="F78" s="5">
        <v>63</v>
      </c>
      <c r="G78" s="5">
        <v>216</v>
      </c>
      <c r="H78" s="5">
        <v>2883</v>
      </c>
      <c r="I78" s="5">
        <v>34597</v>
      </c>
      <c r="J78" s="5">
        <v>39700</v>
      </c>
      <c r="K78" s="5">
        <v>88561</v>
      </c>
    </row>
    <row r="79" spans="1:11">
      <c r="A79" s="4" t="s">
        <v>397</v>
      </c>
      <c r="B79" s="5">
        <v>408586</v>
      </c>
      <c r="C79" s="5">
        <v>86960</v>
      </c>
      <c r="D79" s="5">
        <v>1160979</v>
      </c>
      <c r="E79" s="5">
        <v>66</v>
      </c>
      <c r="F79" s="5">
        <v>13747</v>
      </c>
      <c r="G79" s="5">
        <v>57973</v>
      </c>
      <c r="H79" s="5">
        <v>447993</v>
      </c>
      <c r="I79" s="5">
        <v>3823121</v>
      </c>
      <c r="J79" s="5">
        <v>2984063</v>
      </c>
      <c r="K79" s="5">
        <v>8983488</v>
      </c>
    </row>
    <row r="80" spans="1:11">
      <c r="A80" s="4" t="s">
        <v>399</v>
      </c>
      <c r="B80" s="5">
        <v>4432</v>
      </c>
      <c r="C80" s="5">
        <v>820</v>
      </c>
      <c r="D80" s="5">
        <v>13774</v>
      </c>
      <c r="E80" s="5">
        <v>4</v>
      </c>
      <c r="F80" s="5">
        <v>109</v>
      </c>
      <c r="G80" s="5">
        <v>546</v>
      </c>
      <c r="H80" s="5">
        <v>4951</v>
      </c>
      <c r="I80" s="5">
        <v>51978</v>
      </c>
      <c r="J80" s="5">
        <v>52067</v>
      </c>
      <c r="K80" s="5">
        <v>128681</v>
      </c>
    </row>
    <row r="81" spans="1:11">
      <c r="A81" s="4" t="s">
        <v>405</v>
      </c>
      <c r="B81" s="5">
        <v>5709</v>
      </c>
      <c r="C81" s="5">
        <v>581</v>
      </c>
      <c r="D81" s="5">
        <v>26077</v>
      </c>
      <c r="E81" s="5">
        <v>5</v>
      </c>
      <c r="F81" s="5">
        <v>181</v>
      </c>
      <c r="G81" s="5">
        <v>387</v>
      </c>
      <c r="H81" s="5">
        <v>7726</v>
      </c>
      <c r="I81" s="5">
        <v>129424</v>
      </c>
      <c r="J81" s="5">
        <v>135429</v>
      </c>
      <c r="K81" s="5">
        <v>305519</v>
      </c>
    </row>
    <row r="82" spans="1:11">
      <c r="A82" s="4" t="s">
        <v>400</v>
      </c>
      <c r="B82" s="5">
        <v>7740</v>
      </c>
      <c r="C82" s="5">
        <v>3599</v>
      </c>
      <c r="D82" s="5">
        <v>32045</v>
      </c>
      <c r="E82" s="5">
        <v>78</v>
      </c>
      <c r="F82" s="5">
        <v>1165</v>
      </c>
      <c r="G82" s="5">
        <v>2400</v>
      </c>
      <c r="H82" s="5">
        <v>9954</v>
      </c>
      <c r="I82" s="5">
        <v>146584</v>
      </c>
      <c r="J82" s="5">
        <v>159385</v>
      </c>
      <c r="K82" s="5">
        <v>362950</v>
      </c>
    </row>
    <row r="83" spans="1:11">
      <c r="A83" s="4" t="s">
        <v>401</v>
      </c>
      <c r="B83" s="5">
        <v>2506</v>
      </c>
      <c r="C83" s="5">
        <v>624</v>
      </c>
      <c r="D83" s="5">
        <v>6761</v>
      </c>
      <c r="E83" s="5">
        <v>17</v>
      </c>
      <c r="F83" s="5">
        <v>171</v>
      </c>
      <c r="G83" s="5">
        <v>416</v>
      </c>
      <c r="H83" s="5">
        <v>2695</v>
      </c>
      <c r="I83" s="5">
        <v>20286</v>
      </c>
      <c r="J83" s="5">
        <v>16168</v>
      </c>
      <c r="K83" s="5">
        <v>49644</v>
      </c>
    </row>
    <row r="84" spans="1:11">
      <c r="A84" s="4" t="s">
        <v>403</v>
      </c>
      <c r="B84" s="5">
        <v>16068</v>
      </c>
      <c r="C84" s="5">
        <v>3169</v>
      </c>
      <c r="D84" s="5">
        <v>72135</v>
      </c>
      <c r="E84" s="5">
        <v>105</v>
      </c>
      <c r="F84" s="5">
        <v>401</v>
      </c>
      <c r="G84" s="5">
        <v>2112</v>
      </c>
      <c r="H84" s="5">
        <v>21754</v>
      </c>
      <c r="I84" s="5">
        <v>327349</v>
      </c>
      <c r="J84" s="5">
        <v>331364</v>
      </c>
      <c r="K84" s="5">
        <v>774457</v>
      </c>
    </row>
    <row r="85" spans="1:11">
      <c r="A85" s="4" t="s">
        <v>407</v>
      </c>
      <c r="B85" s="5">
        <v>1842</v>
      </c>
      <c r="C85" s="5">
        <v>298</v>
      </c>
      <c r="D85" s="5">
        <v>4257</v>
      </c>
      <c r="E85" s="5">
        <v>3</v>
      </c>
      <c r="F85" s="5">
        <v>23</v>
      </c>
      <c r="G85" s="5">
        <v>198</v>
      </c>
      <c r="H85" s="5">
        <v>1760</v>
      </c>
      <c r="I85" s="5">
        <v>13477</v>
      </c>
      <c r="J85" s="5">
        <v>12085</v>
      </c>
      <c r="K85" s="5">
        <v>33943</v>
      </c>
    </row>
    <row r="86" spans="1:11">
      <c r="A86" s="4" t="s">
        <v>408</v>
      </c>
      <c r="B86" s="5">
        <v>5583</v>
      </c>
      <c r="C86" s="5">
        <v>573</v>
      </c>
      <c r="D86" s="5">
        <v>27016</v>
      </c>
      <c r="E86" s="5">
        <v>9</v>
      </c>
      <c r="F86" s="5">
        <v>89</v>
      </c>
      <c r="G86" s="5">
        <v>382</v>
      </c>
      <c r="H86" s="5">
        <v>7757</v>
      </c>
      <c r="I86" s="5">
        <v>140644</v>
      </c>
      <c r="J86" s="5">
        <v>145442</v>
      </c>
      <c r="K86" s="5">
        <v>327495</v>
      </c>
    </row>
    <row r="87" spans="1:11">
      <c r="A87" s="4" t="s">
        <v>414</v>
      </c>
      <c r="B87" s="5">
        <v>5746</v>
      </c>
      <c r="C87" s="5"/>
      <c r="D87" s="5">
        <v>23806</v>
      </c>
      <c r="E87" s="5"/>
      <c r="F87" s="5">
        <v>238</v>
      </c>
      <c r="G87" s="5"/>
      <c r="H87" s="5">
        <v>7435</v>
      </c>
      <c r="I87" s="5">
        <v>112906</v>
      </c>
      <c r="J87" s="5">
        <v>122985</v>
      </c>
      <c r="K87" s="5">
        <v>273116</v>
      </c>
    </row>
    <row r="88" spans="1:11">
      <c r="A88" s="4" t="s">
        <v>409</v>
      </c>
      <c r="B88" s="5">
        <v>7220</v>
      </c>
      <c r="C88" s="5">
        <v>787</v>
      </c>
      <c r="D88" s="5">
        <v>34459</v>
      </c>
      <c r="E88" s="5">
        <v>12</v>
      </c>
      <c r="F88" s="5">
        <v>244</v>
      </c>
      <c r="G88" s="5">
        <v>524</v>
      </c>
      <c r="H88" s="5">
        <v>9858</v>
      </c>
      <c r="I88" s="5">
        <v>165476</v>
      </c>
      <c r="J88" s="5">
        <v>172953</v>
      </c>
      <c r="K88" s="5">
        <v>391533</v>
      </c>
    </row>
    <row r="89" spans="1:11">
      <c r="A89" s="4" t="s">
        <v>402</v>
      </c>
      <c r="B89" s="5">
        <v>7673</v>
      </c>
      <c r="C89" s="5">
        <v>2083</v>
      </c>
      <c r="D89" s="5">
        <v>29450</v>
      </c>
      <c r="E89" s="5">
        <v>18</v>
      </c>
      <c r="F89" s="5">
        <v>28</v>
      </c>
      <c r="G89" s="5">
        <v>1389</v>
      </c>
      <c r="H89" s="5">
        <v>9864</v>
      </c>
      <c r="I89" s="5">
        <v>120767</v>
      </c>
      <c r="J89" s="5">
        <v>123363</v>
      </c>
      <c r="K89" s="5">
        <v>294635</v>
      </c>
    </row>
    <row r="90" spans="1:11">
      <c r="A90" s="4" t="s">
        <v>650</v>
      </c>
      <c r="B90" s="5"/>
      <c r="C90" s="5">
        <v>7021</v>
      </c>
      <c r="D90" s="5"/>
      <c r="E90" s="5">
        <v>118</v>
      </c>
      <c r="F90" s="5"/>
      <c r="G90" s="5">
        <v>4680</v>
      </c>
      <c r="H90" s="5"/>
      <c r="I90" s="5"/>
      <c r="J90" s="5"/>
      <c r="K90" s="5">
        <v>11819</v>
      </c>
    </row>
    <row r="91" spans="1:11">
      <c r="A91" s="3" t="s">
        <v>132</v>
      </c>
      <c r="B91" s="5">
        <v>122991</v>
      </c>
      <c r="C91" s="5">
        <v>68562</v>
      </c>
      <c r="D91" s="5">
        <v>423951</v>
      </c>
      <c r="E91" s="5">
        <v>680</v>
      </c>
      <c r="F91" s="5">
        <v>8034</v>
      </c>
      <c r="G91" s="5">
        <v>45705</v>
      </c>
      <c r="H91" s="5">
        <v>143197</v>
      </c>
      <c r="I91" s="5">
        <v>1837365</v>
      </c>
      <c r="J91" s="5">
        <v>2238437</v>
      </c>
      <c r="K91" s="5">
        <v>4888922</v>
      </c>
    </row>
    <row r="92" spans="1:11">
      <c r="A92" s="4" t="s">
        <v>134</v>
      </c>
      <c r="B92" s="5">
        <v>7603</v>
      </c>
      <c r="C92" s="5">
        <v>2736</v>
      </c>
      <c r="D92" s="5">
        <v>28396</v>
      </c>
      <c r="E92" s="5">
        <v>74</v>
      </c>
      <c r="F92" s="5">
        <v>116</v>
      </c>
      <c r="G92" s="5">
        <v>1824</v>
      </c>
      <c r="H92" s="5">
        <v>9618</v>
      </c>
      <c r="I92" s="5">
        <v>117422</v>
      </c>
      <c r="J92" s="5">
        <v>135786</v>
      </c>
      <c r="K92" s="5">
        <v>303575</v>
      </c>
    </row>
    <row r="93" spans="1:11">
      <c r="A93" s="4" t="s">
        <v>159</v>
      </c>
      <c r="B93" s="5">
        <v>536</v>
      </c>
      <c r="C93" s="5">
        <v>311</v>
      </c>
      <c r="D93" s="5">
        <v>1649</v>
      </c>
      <c r="E93" s="5">
        <v>2</v>
      </c>
      <c r="F93" s="5">
        <v>68</v>
      </c>
      <c r="G93" s="5">
        <v>207</v>
      </c>
      <c r="H93" s="5">
        <v>577</v>
      </c>
      <c r="I93" s="5">
        <v>6890</v>
      </c>
      <c r="J93" s="5">
        <v>8176</v>
      </c>
      <c r="K93" s="5">
        <v>18416</v>
      </c>
    </row>
    <row r="94" spans="1:11">
      <c r="A94" s="4" t="s">
        <v>149</v>
      </c>
      <c r="B94" s="5">
        <v>2131</v>
      </c>
      <c r="C94" s="5">
        <v>628</v>
      </c>
      <c r="D94" s="5">
        <v>8284</v>
      </c>
      <c r="E94" s="5">
        <v>14</v>
      </c>
      <c r="F94" s="5">
        <v>61</v>
      </c>
      <c r="G94" s="5">
        <v>418</v>
      </c>
      <c r="H94" s="5">
        <v>2651</v>
      </c>
      <c r="I94" s="5">
        <v>37081</v>
      </c>
      <c r="J94" s="5">
        <v>42983</v>
      </c>
      <c r="K94" s="5">
        <v>94251</v>
      </c>
    </row>
    <row r="95" spans="1:11">
      <c r="A95" s="4" t="s">
        <v>154</v>
      </c>
      <c r="B95" s="5">
        <v>1589</v>
      </c>
      <c r="C95" s="5"/>
      <c r="D95" s="5">
        <v>3840</v>
      </c>
      <c r="E95" s="5"/>
      <c r="F95" s="5">
        <v>51</v>
      </c>
      <c r="G95" s="5"/>
      <c r="H95" s="5">
        <v>1475</v>
      </c>
      <c r="I95" s="5">
        <v>15921</v>
      </c>
      <c r="J95" s="5">
        <v>24962</v>
      </c>
      <c r="K95" s="5">
        <v>47838</v>
      </c>
    </row>
    <row r="96" spans="1:11">
      <c r="A96" s="4" t="s">
        <v>135</v>
      </c>
      <c r="B96" s="5">
        <v>5151</v>
      </c>
      <c r="C96" s="5">
        <v>7021</v>
      </c>
      <c r="D96" s="5">
        <v>16744</v>
      </c>
      <c r="E96" s="5">
        <v>77</v>
      </c>
      <c r="F96" s="5">
        <v>159</v>
      </c>
      <c r="G96" s="5">
        <v>4680</v>
      </c>
      <c r="H96" s="5">
        <v>5610</v>
      </c>
      <c r="I96" s="5">
        <v>71301</v>
      </c>
      <c r="J96" s="5">
        <v>74067</v>
      </c>
      <c r="K96" s="5">
        <v>184810</v>
      </c>
    </row>
    <row r="97" spans="1:11">
      <c r="A97" s="4" t="s">
        <v>136</v>
      </c>
      <c r="B97" s="5">
        <v>32833</v>
      </c>
      <c r="C97" s="5">
        <v>19953</v>
      </c>
      <c r="D97" s="5">
        <v>126084</v>
      </c>
      <c r="E97" s="5">
        <v>134</v>
      </c>
      <c r="F97" s="5">
        <v>5760</v>
      </c>
      <c r="G97" s="5">
        <v>13302</v>
      </c>
      <c r="H97" s="5">
        <v>41668</v>
      </c>
      <c r="I97" s="5">
        <v>526709</v>
      </c>
      <c r="J97" s="5">
        <v>601189</v>
      </c>
      <c r="K97" s="5">
        <v>1367632</v>
      </c>
    </row>
    <row r="98" spans="1:11">
      <c r="A98" s="4" t="s">
        <v>137</v>
      </c>
      <c r="B98" s="5">
        <v>6339</v>
      </c>
      <c r="C98" s="5">
        <v>992</v>
      </c>
      <c r="D98" s="5">
        <v>17114</v>
      </c>
      <c r="E98" s="5">
        <v>16</v>
      </c>
      <c r="F98" s="5">
        <v>80</v>
      </c>
      <c r="G98" s="5">
        <v>661</v>
      </c>
      <c r="H98" s="5">
        <v>5950</v>
      </c>
      <c r="I98" s="5">
        <v>72343</v>
      </c>
      <c r="J98" s="5">
        <v>98933</v>
      </c>
      <c r="K98" s="5">
        <v>202428</v>
      </c>
    </row>
    <row r="99" spans="1:11">
      <c r="A99" s="4" t="s">
        <v>148</v>
      </c>
      <c r="B99" s="5">
        <v>3099</v>
      </c>
      <c r="C99" s="5"/>
      <c r="D99" s="5">
        <v>8421</v>
      </c>
      <c r="E99" s="5"/>
      <c r="F99" s="5">
        <v>99</v>
      </c>
      <c r="G99" s="5"/>
      <c r="H99" s="5">
        <v>3002</v>
      </c>
      <c r="I99" s="5">
        <v>36558</v>
      </c>
      <c r="J99" s="5">
        <v>54976</v>
      </c>
      <c r="K99" s="5">
        <v>106155</v>
      </c>
    </row>
    <row r="100" spans="1:11">
      <c r="A100" s="4" t="s">
        <v>157</v>
      </c>
      <c r="B100" s="5">
        <v>2013</v>
      </c>
      <c r="C100" s="5">
        <v>505</v>
      </c>
      <c r="D100" s="5">
        <v>7186</v>
      </c>
      <c r="E100" s="5">
        <v>4</v>
      </c>
      <c r="F100" s="5">
        <v>36</v>
      </c>
      <c r="G100" s="5">
        <v>337</v>
      </c>
      <c r="H100" s="5">
        <v>2302</v>
      </c>
      <c r="I100" s="5">
        <v>35053</v>
      </c>
      <c r="J100" s="5">
        <v>51542</v>
      </c>
      <c r="K100" s="5">
        <v>98978</v>
      </c>
    </row>
    <row r="101" spans="1:11">
      <c r="A101" s="4" t="s">
        <v>138</v>
      </c>
      <c r="B101" s="5">
        <v>5863</v>
      </c>
      <c r="C101" s="5">
        <v>1915</v>
      </c>
      <c r="D101" s="5">
        <v>24719</v>
      </c>
      <c r="E101" s="5">
        <v>2</v>
      </c>
      <c r="F101" s="5">
        <v>167</v>
      </c>
      <c r="G101" s="5">
        <v>1277</v>
      </c>
      <c r="H101" s="5">
        <v>7858</v>
      </c>
      <c r="I101" s="5">
        <v>119641</v>
      </c>
      <c r="J101" s="5">
        <v>143241</v>
      </c>
      <c r="K101" s="5">
        <v>304683</v>
      </c>
    </row>
    <row r="102" spans="1:11">
      <c r="A102" s="4" t="s">
        <v>139</v>
      </c>
      <c r="B102" s="5">
        <v>6515</v>
      </c>
      <c r="C102" s="5">
        <v>1946</v>
      </c>
      <c r="D102" s="5">
        <v>19488</v>
      </c>
      <c r="E102" s="5">
        <v>30</v>
      </c>
      <c r="F102" s="5">
        <v>229</v>
      </c>
      <c r="G102" s="5">
        <v>1297</v>
      </c>
      <c r="H102" s="5">
        <v>7252</v>
      </c>
      <c r="I102" s="5">
        <v>73711</v>
      </c>
      <c r="J102" s="5">
        <v>75428</v>
      </c>
      <c r="K102" s="5">
        <v>185896</v>
      </c>
    </row>
    <row r="103" spans="1:11">
      <c r="A103" s="4" t="s">
        <v>158</v>
      </c>
      <c r="B103" s="5">
        <v>1001</v>
      </c>
      <c r="C103" s="5">
        <v>280</v>
      </c>
      <c r="D103" s="5">
        <v>3440</v>
      </c>
      <c r="E103" s="5">
        <v>2</v>
      </c>
      <c r="F103" s="5">
        <v>13</v>
      </c>
      <c r="G103" s="5">
        <v>186</v>
      </c>
      <c r="H103" s="5">
        <v>1110</v>
      </c>
      <c r="I103" s="5">
        <v>18304</v>
      </c>
      <c r="J103" s="5">
        <v>29186</v>
      </c>
      <c r="K103" s="5">
        <v>53522</v>
      </c>
    </row>
    <row r="104" spans="1:11">
      <c r="A104" s="4" t="s">
        <v>140</v>
      </c>
      <c r="B104" s="5">
        <v>4038</v>
      </c>
      <c r="C104" s="5">
        <v>960</v>
      </c>
      <c r="D104" s="5">
        <v>14840</v>
      </c>
      <c r="E104" s="5">
        <v>14</v>
      </c>
      <c r="F104" s="5">
        <v>1</v>
      </c>
      <c r="G104" s="5">
        <v>640</v>
      </c>
      <c r="H104" s="5">
        <v>4931</v>
      </c>
      <c r="I104" s="5">
        <v>65216</v>
      </c>
      <c r="J104" s="5">
        <v>83476</v>
      </c>
      <c r="K104" s="5">
        <v>174116</v>
      </c>
    </row>
    <row r="105" spans="1:11">
      <c r="A105" s="4" t="s">
        <v>141</v>
      </c>
      <c r="B105" s="5">
        <v>12838</v>
      </c>
      <c r="C105" s="5">
        <v>3522</v>
      </c>
      <c r="D105" s="5">
        <v>42352</v>
      </c>
      <c r="E105" s="5">
        <v>98</v>
      </c>
      <c r="F105" s="5">
        <v>301</v>
      </c>
      <c r="G105" s="5">
        <v>2348</v>
      </c>
      <c r="H105" s="5">
        <v>14523</v>
      </c>
      <c r="I105" s="5">
        <v>177731</v>
      </c>
      <c r="J105" s="5">
        <v>201420</v>
      </c>
      <c r="K105" s="5">
        <v>455133</v>
      </c>
    </row>
    <row r="106" spans="1:11">
      <c r="A106" s="4" t="s">
        <v>142</v>
      </c>
      <c r="B106" s="5">
        <v>2294</v>
      </c>
      <c r="C106" s="5">
        <v>214</v>
      </c>
      <c r="D106" s="5">
        <v>7763</v>
      </c>
      <c r="E106" s="5">
        <v>4</v>
      </c>
      <c r="F106" s="5">
        <v>48</v>
      </c>
      <c r="G106" s="5">
        <v>142</v>
      </c>
      <c r="H106" s="5">
        <v>2754</v>
      </c>
      <c r="I106" s="5">
        <v>38274</v>
      </c>
      <c r="J106" s="5">
        <v>58019</v>
      </c>
      <c r="K106" s="5">
        <v>109512</v>
      </c>
    </row>
    <row r="107" spans="1:11">
      <c r="A107" s="4" t="s">
        <v>152</v>
      </c>
      <c r="B107" s="5">
        <v>1190</v>
      </c>
      <c r="C107" s="5">
        <v>253</v>
      </c>
      <c r="D107" s="5">
        <v>4166</v>
      </c>
      <c r="E107" s="5">
        <v>7</v>
      </c>
      <c r="F107" s="5">
        <v>16</v>
      </c>
      <c r="G107" s="5">
        <v>169</v>
      </c>
      <c r="H107" s="5">
        <v>1458</v>
      </c>
      <c r="I107" s="5">
        <v>19963</v>
      </c>
      <c r="J107" s="5">
        <v>27244</v>
      </c>
      <c r="K107" s="5">
        <v>54466</v>
      </c>
    </row>
    <row r="108" spans="1:11">
      <c r="A108" s="4" t="s">
        <v>143</v>
      </c>
      <c r="B108" s="5">
        <v>3183</v>
      </c>
      <c r="C108" s="5">
        <v>788</v>
      </c>
      <c r="D108" s="5">
        <v>10095</v>
      </c>
      <c r="E108" s="5">
        <v>13</v>
      </c>
      <c r="F108" s="5">
        <v>108</v>
      </c>
      <c r="G108" s="5">
        <v>525</v>
      </c>
      <c r="H108" s="5">
        <v>3533</v>
      </c>
      <c r="I108" s="5">
        <v>43913</v>
      </c>
      <c r="J108" s="5">
        <v>54640</v>
      </c>
      <c r="K108" s="5">
        <v>116798</v>
      </c>
    </row>
    <row r="109" spans="1:11">
      <c r="A109" s="4" t="s">
        <v>144</v>
      </c>
      <c r="B109" s="5">
        <v>2980</v>
      </c>
      <c r="C109" s="5">
        <v>859</v>
      </c>
      <c r="D109" s="5">
        <v>10090</v>
      </c>
      <c r="E109" s="5">
        <v>14</v>
      </c>
      <c r="F109" s="5">
        <v>23</v>
      </c>
      <c r="G109" s="5">
        <v>573</v>
      </c>
      <c r="H109" s="5">
        <v>3246</v>
      </c>
      <c r="I109" s="5">
        <v>49309</v>
      </c>
      <c r="J109" s="5">
        <v>74774</v>
      </c>
      <c r="K109" s="5">
        <v>141868</v>
      </c>
    </row>
    <row r="110" spans="1:11">
      <c r="A110" s="4" t="s">
        <v>147</v>
      </c>
      <c r="B110" s="5">
        <v>4865</v>
      </c>
      <c r="C110" s="5">
        <v>1056</v>
      </c>
      <c r="D110" s="5">
        <v>16481</v>
      </c>
      <c r="E110" s="5">
        <v>35</v>
      </c>
      <c r="F110" s="5">
        <v>73</v>
      </c>
      <c r="G110" s="5">
        <v>704</v>
      </c>
      <c r="H110" s="5">
        <v>5437</v>
      </c>
      <c r="I110" s="5">
        <v>78882</v>
      </c>
      <c r="J110" s="5">
        <v>102185</v>
      </c>
      <c r="K110" s="5">
        <v>209718</v>
      </c>
    </row>
    <row r="111" spans="1:11">
      <c r="A111" s="4" t="s">
        <v>145</v>
      </c>
      <c r="B111" s="5">
        <v>5242</v>
      </c>
      <c r="C111" s="5">
        <v>1356</v>
      </c>
      <c r="D111" s="5">
        <v>17438</v>
      </c>
      <c r="E111" s="5">
        <v>2</v>
      </c>
      <c r="F111" s="5">
        <v>168</v>
      </c>
      <c r="G111" s="5">
        <v>904</v>
      </c>
      <c r="H111" s="5">
        <v>5838</v>
      </c>
      <c r="I111" s="5">
        <v>74478</v>
      </c>
      <c r="J111" s="5">
        <v>90061</v>
      </c>
      <c r="K111" s="5">
        <v>195487</v>
      </c>
    </row>
    <row r="112" spans="1:11">
      <c r="A112" s="4" t="s">
        <v>161</v>
      </c>
      <c r="B112" s="5">
        <v>2007</v>
      </c>
      <c r="C112" s="5"/>
      <c r="D112" s="5">
        <v>7686</v>
      </c>
      <c r="E112" s="5"/>
      <c r="F112" s="5">
        <v>72</v>
      </c>
      <c r="G112" s="5"/>
      <c r="H112" s="5">
        <v>2522</v>
      </c>
      <c r="I112" s="5">
        <v>38634</v>
      </c>
      <c r="J112" s="5">
        <v>55386</v>
      </c>
      <c r="K112" s="5">
        <v>106307</v>
      </c>
    </row>
    <row r="113" spans="1:11">
      <c r="A113" s="4" t="s">
        <v>153</v>
      </c>
      <c r="B113" s="5">
        <v>1962</v>
      </c>
      <c r="C113" s="5">
        <v>406</v>
      </c>
      <c r="D113" s="5">
        <v>5622</v>
      </c>
      <c r="E113" s="5">
        <v>8</v>
      </c>
      <c r="F113" s="5">
        <v>9</v>
      </c>
      <c r="G113" s="5">
        <v>271</v>
      </c>
      <c r="H113" s="5">
        <v>1985</v>
      </c>
      <c r="I113" s="5">
        <v>25636</v>
      </c>
      <c r="J113" s="5">
        <v>31563</v>
      </c>
      <c r="K113" s="5">
        <v>67462</v>
      </c>
    </row>
    <row r="114" spans="1:11">
      <c r="A114" s="4" t="s">
        <v>150</v>
      </c>
      <c r="B114" s="5">
        <v>1185</v>
      </c>
      <c r="C114" s="5">
        <v>244</v>
      </c>
      <c r="D114" s="5">
        <v>3056</v>
      </c>
      <c r="E114" s="5">
        <v>1</v>
      </c>
      <c r="F114" s="5">
        <v>57</v>
      </c>
      <c r="G114" s="5">
        <v>162</v>
      </c>
      <c r="H114" s="5">
        <v>1132</v>
      </c>
      <c r="I114" s="5">
        <v>13294</v>
      </c>
      <c r="J114" s="5">
        <v>19636</v>
      </c>
      <c r="K114" s="5">
        <v>38767</v>
      </c>
    </row>
    <row r="115" spans="1:11">
      <c r="A115" s="4" t="s">
        <v>146</v>
      </c>
      <c r="B115" s="5">
        <v>3780</v>
      </c>
      <c r="C115" s="5">
        <v>1145</v>
      </c>
      <c r="D115" s="5">
        <v>10896</v>
      </c>
      <c r="E115" s="5">
        <v>16</v>
      </c>
      <c r="F115" s="5">
        <v>240</v>
      </c>
      <c r="G115" s="5">
        <v>764</v>
      </c>
      <c r="H115" s="5">
        <v>3919</v>
      </c>
      <c r="I115" s="5">
        <v>44022</v>
      </c>
      <c r="J115" s="5">
        <v>49715</v>
      </c>
      <c r="K115" s="5">
        <v>114497</v>
      </c>
    </row>
    <row r="116" spans="1:11">
      <c r="A116" s="4" t="s">
        <v>155</v>
      </c>
      <c r="B116" s="5">
        <v>729</v>
      </c>
      <c r="C116" s="5">
        <v>69</v>
      </c>
      <c r="D116" s="5">
        <v>2046</v>
      </c>
      <c r="E116" s="5">
        <v>1</v>
      </c>
      <c r="F116" s="5">
        <v>20</v>
      </c>
      <c r="G116" s="5">
        <v>46</v>
      </c>
      <c r="H116" s="5">
        <v>754</v>
      </c>
      <c r="I116" s="5">
        <v>8569</v>
      </c>
      <c r="J116" s="5">
        <v>9973</v>
      </c>
      <c r="K116" s="5">
        <v>22207</v>
      </c>
    </row>
    <row r="117" spans="1:11">
      <c r="A117" s="4" t="s">
        <v>151</v>
      </c>
      <c r="B117" s="5">
        <v>1213</v>
      </c>
      <c r="C117" s="5">
        <v>242</v>
      </c>
      <c r="D117" s="5">
        <v>3462</v>
      </c>
      <c r="E117" s="5">
        <v>7</v>
      </c>
      <c r="F117" s="5">
        <v>39</v>
      </c>
      <c r="G117" s="5">
        <v>162</v>
      </c>
      <c r="H117" s="5">
        <v>1274</v>
      </c>
      <c r="I117" s="5">
        <v>15149</v>
      </c>
      <c r="J117" s="5">
        <v>17973</v>
      </c>
      <c r="K117" s="5">
        <v>39521</v>
      </c>
    </row>
    <row r="118" spans="1:11">
      <c r="A118" s="4" t="s">
        <v>156</v>
      </c>
      <c r="B118" s="5">
        <v>812</v>
      </c>
      <c r="C118" s="5">
        <v>98</v>
      </c>
      <c r="D118" s="5">
        <v>2593</v>
      </c>
      <c r="E118" s="5">
        <v>2</v>
      </c>
      <c r="F118" s="5">
        <v>20</v>
      </c>
      <c r="G118" s="5">
        <v>66</v>
      </c>
      <c r="H118" s="5">
        <v>818</v>
      </c>
      <c r="I118" s="5">
        <v>13361</v>
      </c>
      <c r="J118" s="5">
        <v>21903</v>
      </c>
      <c r="K118" s="5">
        <v>39673</v>
      </c>
    </row>
    <row r="119" spans="1:11">
      <c r="A119" s="4" t="s">
        <v>725</v>
      </c>
      <c r="B119" s="5"/>
      <c r="C119" s="5">
        <v>7021</v>
      </c>
      <c r="D119" s="5"/>
      <c r="E119" s="5">
        <v>30</v>
      </c>
      <c r="F119" s="5"/>
      <c r="G119" s="5">
        <v>4680</v>
      </c>
      <c r="H119" s="5"/>
      <c r="I119" s="5"/>
      <c r="J119" s="5"/>
      <c r="K119" s="5">
        <v>11731</v>
      </c>
    </row>
    <row r="120" spans="1:11">
      <c r="A120" s="4" t="s">
        <v>719</v>
      </c>
      <c r="B120" s="5"/>
      <c r="C120" s="5">
        <v>7021</v>
      </c>
      <c r="D120" s="5"/>
      <c r="E120" s="5">
        <v>9</v>
      </c>
      <c r="F120" s="5"/>
      <c r="G120" s="5">
        <v>4680</v>
      </c>
      <c r="H120" s="5"/>
      <c r="I120" s="5"/>
      <c r="J120" s="5"/>
      <c r="K120" s="5">
        <v>11710</v>
      </c>
    </row>
    <row r="121" spans="1:11">
      <c r="A121" s="4" t="s">
        <v>721</v>
      </c>
      <c r="B121" s="5"/>
      <c r="C121" s="5">
        <v>7021</v>
      </c>
      <c r="D121" s="5"/>
      <c r="E121" s="5">
        <v>64</v>
      </c>
      <c r="F121" s="5"/>
      <c r="G121" s="5">
        <v>4680</v>
      </c>
      <c r="H121" s="5"/>
      <c r="I121" s="5"/>
      <c r="J121" s="5"/>
      <c r="K121" s="5">
        <v>11765</v>
      </c>
    </row>
    <row r="122" spans="1:11">
      <c r="A122" s="3" t="s">
        <v>357</v>
      </c>
      <c r="B122" s="5">
        <v>36947</v>
      </c>
      <c r="C122" s="5">
        <v>10883</v>
      </c>
      <c r="D122" s="5">
        <v>108029</v>
      </c>
      <c r="E122" s="5">
        <v>133</v>
      </c>
      <c r="F122" s="5">
        <v>1809</v>
      </c>
      <c r="G122" s="5">
        <v>7257</v>
      </c>
      <c r="H122" s="5">
        <v>40290</v>
      </c>
      <c r="I122" s="5">
        <v>430912</v>
      </c>
      <c r="J122" s="5">
        <v>453054</v>
      </c>
      <c r="K122" s="5">
        <v>1089314</v>
      </c>
    </row>
    <row r="123" spans="1:11">
      <c r="A123" s="4" t="s">
        <v>359</v>
      </c>
      <c r="B123" s="5">
        <v>5288</v>
      </c>
      <c r="C123" s="5">
        <v>1874</v>
      </c>
      <c r="D123" s="5">
        <v>15960</v>
      </c>
      <c r="E123" s="5">
        <v>11</v>
      </c>
      <c r="F123" s="5">
        <v>95</v>
      </c>
      <c r="G123" s="5">
        <v>1250</v>
      </c>
      <c r="H123" s="5">
        <v>5824</v>
      </c>
      <c r="I123" s="5">
        <v>63700</v>
      </c>
      <c r="J123" s="5">
        <v>63011</v>
      </c>
      <c r="K123" s="5">
        <v>157013</v>
      </c>
    </row>
    <row r="124" spans="1:11">
      <c r="A124" s="4" t="s">
        <v>361</v>
      </c>
      <c r="B124" s="5">
        <v>1691</v>
      </c>
      <c r="C124" s="5">
        <v>250</v>
      </c>
      <c r="D124" s="5">
        <v>3738</v>
      </c>
      <c r="E124" s="5">
        <v>3</v>
      </c>
      <c r="F124" s="5">
        <v>18</v>
      </c>
      <c r="G124" s="5">
        <v>166</v>
      </c>
      <c r="H124" s="5">
        <v>1621</v>
      </c>
      <c r="I124" s="5">
        <v>13812</v>
      </c>
      <c r="J124" s="5">
        <v>16077</v>
      </c>
      <c r="K124" s="5">
        <v>37376</v>
      </c>
    </row>
    <row r="125" spans="1:11">
      <c r="A125" s="4" t="s">
        <v>360</v>
      </c>
      <c r="B125" s="5">
        <v>5262</v>
      </c>
      <c r="C125" s="5">
        <v>1176</v>
      </c>
      <c r="D125" s="5">
        <v>15471</v>
      </c>
      <c r="E125" s="5">
        <v>5</v>
      </c>
      <c r="F125" s="5">
        <v>17</v>
      </c>
      <c r="G125" s="5">
        <v>784</v>
      </c>
      <c r="H125" s="5">
        <v>5474</v>
      </c>
      <c r="I125" s="5">
        <v>62611</v>
      </c>
      <c r="J125" s="5">
        <v>76691</v>
      </c>
      <c r="K125" s="5">
        <v>167491</v>
      </c>
    </row>
    <row r="126" spans="1:11">
      <c r="A126" s="4" t="s">
        <v>362</v>
      </c>
      <c r="B126" s="5">
        <v>2188</v>
      </c>
      <c r="C126" s="5">
        <v>577</v>
      </c>
      <c r="D126" s="5">
        <v>7283</v>
      </c>
      <c r="E126" s="5">
        <v>15</v>
      </c>
      <c r="F126" s="5">
        <v>142</v>
      </c>
      <c r="G126" s="5">
        <v>385</v>
      </c>
      <c r="H126" s="5">
        <v>2476</v>
      </c>
      <c r="I126" s="5">
        <v>28529</v>
      </c>
      <c r="J126" s="5">
        <v>28450</v>
      </c>
      <c r="K126" s="5">
        <v>70045</v>
      </c>
    </row>
    <row r="127" spans="1:11">
      <c r="A127" s="4" t="s">
        <v>357</v>
      </c>
      <c r="B127" s="5">
        <v>17858</v>
      </c>
      <c r="C127" s="5">
        <v>6158</v>
      </c>
      <c r="D127" s="5">
        <v>53824</v>
      </c>
      <c r="E127" s="5">
        <v>84</v>
      </c>
      <c r="F127" s="5">
        <v>1378</v>
      </c>
      <c r="G127" s="5">
        <v>4106</v>
      </c>
      <c r="H127" s="5">
        <v>20130</v>
      </c>
      <c r="I127" s="5">
        <v>218146</v>
      </c>
      <c r="J127" s="5">
        <v>218425</v>
      </c>
      <c r="K127" s="5">
        <v>540109</v>
      </c>
    </row>
    <row r="128" spans="1:11">
      <c r="A128" s="4" t="s">
        <v>366</v>
      </c>
      <c r="B128" s="5">
        <v>1268</v>
      </c>
      <c r="C128" s="5">
        <v>167</v>
      </c>
      <c r="D128" s="5">
        <v>3031</v>
      </c>
      <c r="E128" s="5">
        <v>2</v>
      </c>
      <c r="F128" s="5">
        <v>17</v>
      </c>
      <c r="G128" s="5">
        <v>111</v>
      </c>
      <c r="H128" s="5">
        <v>1326</v>
      </c>
      <c r="I128" s="5">
        <v>11285</v>
      </c>
      <c r="J128" s="5">
        <v>12358</v>
      </c>
      <c r="K128" s="5">
        <v>29565</v>
      </c>
    </row>
    <row r="129" spans="1:11">
      <c r="A129" s="4" t="s">
        <v>363</v>
      </c>
      <c r="B129" s="5">
        <v>1929</v>
      </c>
      <c r="C129" s="5">
        <v>358</v>
      </c>
      <c r="D129" s="5">
        <v>5026</v>
      </c>
      <c r="E129" s="5">
        <v>8</v>
      </c>
      <c r="F129" s="5">
        <v>46</v>
      </c>
      <c r="G129" s="5">
        <v>239</v>
      </c>
      <c r="H129" s="5">
        <v>1963</v>
      </c>
      <c r="I129" s="5">
        <v>18366</v>
      </c>
      <c r="J129" s="5">
        <v>19947</v>
      </c>
      <c r="K129" s="5">
        <v>47882</v>
      </c>
    </row>
    <row r="130" spans="1:11">
      <c r="A130" s="4" t="s">
        <v>364</v>
      </c>
      <c r="B130" s="5">
        <v>1463</v>
      </c>
      <c r="C130" s="5">
        <v>323</v>
      </c>
      <c r="D130" s="5">
        <v>3696</v>
      </c>
      <c r="E130" s="5">
        <v>5</v>
      </c>
      <c r="F130" s="5">
        <v>96</v>
      </c>
      <c r="G130" s="5">
        <v>216</v>
      </c>
      <c r="H130" s="5">
        <v>1476</v>
      </c>
      <c r="I130" s="5">
        <v>14463</v>
      </c>
      <c r="J130" s="5">
        <v>18095</v>
      </c>
      <c r="K130" s="5">
        <v>39833</v>
      </c>
    </row>
    <row r="131" spans="1:11">
      <c r="A131" s="3" t="s">
        <v>365</v>
      </c>
      <c r="B131" s="5">
        <v>26843</v>
      </c>
      <c r="C131" s="5">
        <v>8820</v>
      </c>
      <c r="D131" s="5">
        <v>75978</v>
      </c>
      <c r="E131" s="5">
        <v>145</v>
      </c>
      <c r="F131" s="5">
        <v>1196</v>
      </c>
      <c r="G131" s="5">
        <v>5880</v>
      </c>
      <c r="H131" s="5">
        <v>28522</v>
      </c>
      <c r="I131" s="5">
        <v>286367</v>
      </c>
      <c r="J131" s="5">
        <v>297327</v>
      </c>
      <c r="K131" s="5">
        <v>731078</v>
      </c>
    </row>
    <row r="132" spans="1:11">
      <c r="A132" s="4" t="s">
        <v>371</v>
      </c>
      <c r="B132" s="5">
        <v>1073</v>
      </c>
      <c r="C132" s="5">
        <v>175</v>
      </c>
      <c r="D132" s="5">
        <v>1938</v>
      </c>
      <c r="E132" s="5">
        <v>5</v>
      </c>
      <c r="F132" s="5">
        <v>52</v>
      </c>
      <c r="G132" s="5">
        <v>117</v>
      </c>
      <c r="H132" s="5">
        <v>883</v>
      </c>
      <c r="I132" s="5">
        <v>5289</v>
      </c>
      <c r="J132" s="5">
        <v>4995</v>
      </c>
      <c r="K132" s="5">
        <v>14527</v>
      </c>
    </row>
    <row r="133" spans="1:11">
      <c r="A133" s="4" t="s">
        <v>367</v>
      </c>
      <c r="B133" s="5">
        <v>4199</v>
      </c>
      <c r="C133" s="5">
        <v>960</v>
      </c>
      <c r="D133" s="5">
        <v>11103</v>
      </c>
      <c r="E133" s="5">
        <v>26</v>
      </c>
      <c r="F133" s="5">
        <v>190</v>
      </c>
      <c r="G133" s="5">
        <v>640</v>
      </c>
      <c r="H133" s="5">
        <v>4344</v>
      </c>
      <c r="I133" s="5">
        <v>37401</v>
      </c>
      <c r="J133" s="5">
        <v>37942</v>
      </c>
      <c r="K133" s="5">
        <v>96805</v>
      </c>
    </row>
    <row r="134" spans="1:11">
      <c r="A134" s="4" t="s">
        <v>374</v>
      </c>
      <c r="B134" s="5">
        <v>832</v>
      </c>
      <c r="C134" s="5">
        <v>87</v>
      </c>
      <c r="D134" s="5">
        <v>1856</v>
      </c>
      <c r="E134" s="5">
        <v>0</v>
      </c>
      <c r="F134" s="5">
        <v>1</v>
      </c>
      <c r="G134" s="5">
        <v>58</v>
      </c>
      <c r="H134" s="5">
        <v>797</v>
      </c>
      <c r="I134" s="5">
        <v>6207</v>
      </c>
      <c r="J134" s="5">
        <v>6207</v>
      </c>
      <c r="K134" s="5">
        <v>16045</v>
      </c>
    </row>
    <row r="135" spans="1:11">
      <c r="A135" s="4" t="s">
        <v>365</v>
      </c>
      <c r="B135" s="5">
        <v>5400</v>
      </c>
      <c r="C135" s="5">
        <v>2717</v>
      </c>
      <c r="D135" s="5">
        <v>18064</v>
      </c>
      <c r="E135" s="5">
        <v>46</v>
      </c>
      <c r="F135" s="5">
        <v>284</v>
      </c>
      <c r="G135" s="5">
        <v>1812</v>
      </c>
      <c r="H135" s="5">
        <v>6184</v>
      </c>
      <c r="I135" s="5">
        <v>81722</v>
      </c>
      <c r="J135" s="5">
        <v>90420</v>
      </c>
      <c r="K135" s="5">
        <v>206649</v>
      </c>
    </row>
    <row r="136" spans="1:11">
      <c r="A136" s="4" t="s">
        <v>368</v>
      </c>
      <c r="B136" s="5">
        <v>8745</v>
      </c>
      <c r="C136" s="5">
        <v>3487</v>
      </c>
      <c r="D136" s="5">
        <v>24391</v>
      </c>
      <c r="E136" s="5">
        <v>58</v>
      </c>
      <c r="F136" s="5">
        <v>347</v>
      </c>
      <c r="G136" s="5">
        <v>2325</v>
      </c>
      <c r="H136" s="5">
        <v>9344</v>
      </c>
      <c r="I136" s="5">
        <v>89749</v>
      </c>
      <c r="J136" s="5">
        <v>89297</v>
      </c>
      <c r="K136" s="5">
        <v>227743</v>
      </c>
    </row>
    <row r="137" spans="1:11">
      <c r="A137" s="4" t="s">
        <v>369</v>
      </c>
      <c r="B137" s="5">
        <v>2846</v>
      </c>
      <c r="C137" s="5">
        <v>774</v>
      </c>
      <c r="D137" s="5">
        <v>8740</v>
      </c>
      <c r="E137" s="5">
        <v>8</v>
      </c>
      <c r="F137" s="5">
        <v>253</v>
      </c>
      <c r="G137" s="5">
        <v>516</v>
      </c>
      <c r="H137" s="5">
        <v>3091</v>
      </c>
      <c r="I137" s="5">
        <v>31652</v>
      </c>
      <c r="J137" s="5">
        <v>31789</v>
      </c>
      <c r="K137" s="5">
        <v>79669</v>
      </c>
    </row>
    <row r="138" spans="1:11">
      <c r="A138" s="4" t="s">
        <v>370</v>
      </c>
      <c r="B138" s="5">
        <v>2069</v>
      </c>
      <c r="C138" s="5">
        <v>217</v>
      </c>
      <c r="D138" s="5">
        <v>5708</v>
      </c>
      <c r="E138" s="5">
        <v>0</v>
      </c>
      <c r="F138" s="5">
        <v>56</v>
      </c>
      <c r="G138" s="5">
        <v>144</v>
      </c>
      <c r="H138" s="5">
        <v>2241</v>
      </c>
      <c r="I138" s="5">
        <v>19325</v>
      </c>
      <c r="J138" s="5">
        <v>19349</v>
      </c>
      <c r="K138" s="5">
        <v>49109</v>
      </c>
    </row>
    <row r="139" spans="1:11">
      <c r="A139" s="4" t="s">
        <v>372</v>
      </c>
      <c r="B139" s="5">
        <v>1679</v>
      </c>
      <c r="C139" s="5">
        <v>403</v>
      </c>
      <c r="D139" s="5">
        <v>4178</v>
      </c>
      <c r="E139" s="5">
        <v>2</v>
      </c>
      <c r="F139" s="5">
        <v>13</v>
      </c>
      <c r="G139" s="5">
        <v>268</v>
      </c>
      <c r="H139" s="5">
        <v>1638</v>
      </c>
      <c r="I139" s="5">
        <v>15022</v>
      </c>
      <c r="J139" s="5">
        <v>17328</v>
      </c>
      <c r="K139" s="5">
        <v>40531</v>
      </c>
    </row>
    <row r="140" spans="1:11">
      <c r="A140" s="3" t="s">
        <v>160</v>
      </c>
      <c r="B140" s="5">
        <v>165244</v>
      </c>
      <c r="C140" s="5">
        <v>55052</v>
      </c>
      <c r="D140" s="5">
        <v>510108</v>
      </c>
      <c r="E140" s="5">
        <v>950</v>
      </c>
      <c r="F140" s="5">
        <v>14271</v>
      </c>
      <c r="G140" s="5">
        <v>36700</v>
      </c>
      <c r="H140" s="5">
        <v>185771</v>
      </c>
      <c r="I140" s="5">
        <v>1974642</v>
      </c>
      <c r="J140" s="5">
        <v>2078035</v>
      </c>
      <c r="K140" s="5">
        <v>5020773</v>
      </c>
    </row>
    <row r="141" spans="1:11">
      <c r="A141" s="4" t="s">
        <v>162</v>
      </c>
      <c r="B141" s="5">
        <v>4552</v>
      </c>
      <c r="C141" s="5">
        <v>947</v>
      </c>
      <c r="D141" s="5">
        <v>11770</v>
      </c>
      <c r="E141" s="5">
        <v>4</v>
      </c>
      <c r="F141" s="5">
        <v>218</v>
      </c>
      <c r="G141" s="5">
        <v>631</v>
      </c>
      <c r="H141" s="5">
        <v>4732</v>
      </c>
      <c r="I141" s="5">
        <v>40350</v>
      </c>
      <c r="J141" s="5">
        <v>40119</v>
      </c>
      <c r="K141" s="5">
        <v>103323</v>
      </c>
    </row>
    <row r="142" spans="1:11">
      <c r="A142" s="4" t="s">
        <v>178</v>
      </c>
      <c r="B142" s="5">
        <v>1410</v>
      </c>
      <c r="C142" s="5">
        <v>419</v>
      </c>
      <c r="D142" s="5">
        <v>4345</v>
      </c>
      <c r="E142" s="5">
        <v>13</v>
      </c>
      <c r="F142" s="5">
        <v>35</v>
      </c>
      <c r="G142" s="5">
        <v>279</v>
      </c>
      <c r="H142" s="5">
        <v>1475</v>
      </c>
      <c r="I142" s="5">
        <v>17802</v>
      </c>
      <c r="J142" s="5">
        <v>17925</v>
      </c>
      <c r="K142" s="5">
        <v>43703</v>
      </c>
    </row>
    <row r="143" spans="1:11">
      <c r="A143" s="4" t="s">
        <v>163</v>
      </c>
      <c r="B143" s="5">
        <v>2656</v>
      </c>
      <c r="C143" s="5">
        <v>583</v>
      </c>
      <c r="D143" s="5">
        <v>7236</v>
      </c>
      <c r="E143" s="5">
        <v>6</v>
      </c>
      <c r="F143" s="5">
        <v>61</v>
      </c>
      <c r="G143" s="5">
        <v>389</v>
      </c>
      <c r="H143" s="5">
        <v>2694</v>
      </c>
      <c r="I143" s="5">
        <v>27085</v>
      </c>
      <c r="J143" s="5">
        <v>29274</v>
      </c>
      <c r="K143" s="5">
        <v>69984</v>
      </c>
    </row>
    <row r="144" spans="1:11">
      <c r="A144" s="4" t="s">
        <v>164</v>
      </c>
      <c r="B144" s="5">
        <v>3558</v>
      </c>
      <c r="C144" s="5">
        <v>688</v>
      </c>
      <c r="D144" s="5">
        <v>9976</v>
      </c>
      <c r="E144" s="5">
        <v>1</v>
      </c>
      <c r="F144" s="5">
        <v>120</v>
      </c>
      <c r="G144" s="5">
        <v>458</v>
      </c>
      <c r="H144" s="5">
        <v>3738</v>
      </c>
      <c r="I144" s="5">
        <v>36974</v>
      </c>
      <c r="J144" s="5">
        <v>38589</v>
      </c>
      <c r="K144" s="5">
        <v>94102</v>
      </c>
    </row>
    <row r="145" spans="1:11">
      <c r="A145" s="4" t="s">
        <v>177</v>
      </c>
      <c r="B145" s="5">
        <v>2167</v>
      </c>
      <c r="C145" s="5">
        <v>511</v>
      </c>
      <c r="D145" s="5">
        <v>5114</v>
      </c>
      <c r="E145" s="5">
        <v>12</v>
      </c>
      <c r="F145" s="5">
        <v>145</v>
      </c>
      <c r="G145" s="5">
        <v>340</v>
      </c>
      <c r="H145" s="5">
        <v>2114</v>
      </c>
      <c r="I145" s="5">
        <v>19848</v>
      </c>
      <c r="J145" s="5">
        <v>21678</v>
      </c>
      <c r="K145" s="5">
        <v>51929</v>
      </c>
    </row>
    <row r="146" spans="1:11">
      <c r="A146" s="4" t="s">
        <v>184</v>
      </c>
      <c r="B146" s="5">
        <v>1010</v>
      </c>
      <c r="C146" s="5">
        <v>438</v>
      </c>
      <c r="D146" s="5">
        <v>2956</v>
      </c>
      <c r="E146" s="5">
        <v>6</v>
      </c>
      <c r="F146" s="5">
        <v>120</v>
      </c>
      <c r="G146" s="5">
        <v>292</v>
      </c>
      <c r="H146" s="5">
        <v>1091</v>
      </c>
      <c r="I146" s="5">
        <v>12132</v>
      </c>
      <c r="J146" s="5">
        <v>13098</v>
      </c>
      <c r="K146" s="5">
        <v>31143</v>
      </c>
    </row>
    <row r="147" spans="1:11">
      <c r="A147" s="4" t="s">
        <v>165</v>
      </c>
      <c r="B147" s="5">
        <v>8568</v>
      </c>
      <c r="C147" s="5">
        <v>2504</v>
      </c>
      <c r="D147" s="5">
        <v>23787</v>
      </c>
      <c r="E147" s="5">
        <v>49</v>
      </c>
      <c r="F147" s="5">
        <v>337</v>
      </c>
      <c r="G147" s="5">
        <v>1670</v>
      </c>
      <c r="H147" s="5">
        <v>9091</v>
      </c>
      <c r="I147" s="5">
        <v>92082</v>
      </c>
      <c r="J147" s="5">
        <v>97095</v>
      </c>
      <c r="K147" s="5">
        <v>235183</v>
      </c>
    </row>
    <row r="148" spans="1:11">
      <c r="A148" s="4" t="s">
        <v>191</v>
      </c>
      <c r="B148" s="5">
        <v>1872</v>
      </c>
      <c r="C148" s="5">
        <v>546</v>
      </c>
      <c r="D148" s="5">
        <v>5437</v>
      </c>
      <c r="E148" s="5">
        <v>15</v>
      </c>
      <c r="F148" s="5">
        <v>24</v>
      </c>
      <c r="G148" s="5">
        <v>364</v>
      </c>
      <c r="H148" s="5">
        <v>2058</v>
      </c>
      <c r="I148" s="5">
        <v>22105</v>
      </c>
      <c r="J148" s="5">
        <v>23920</v>
      </c>
      <c r="K148" s="5">
        <v>56341</v>
      </c>
    </row>
    <row r="149" spans="1:11">
      <c r="A149" s="4" t="s">
        <v>179</v>
      </c>
      <c r="B149" s="5">
        <v>1708</v>
      </c>
      <c r="C149" s="5">
        <v>455</v>
      </c>
      <c r="D149" s="5">
        <v>4945</v>
      </c>
      <c r="E149" s="5">
        <v>14</v>
      </c>
      <c r="F149" s="5">
        <v>19</v>
      </c>
      <c r="G149" s="5">
        <v>304</v>
      </c>
      <c r="H149" s="5">
        <v>1795</v>
      </c>
      <c r="I149" s="5">
        <v>20103</v>
      </c>
      <c r="J149" s="5">
        <v>22850</v>
      </c>
      <c r="K149" s="5">
        <v>52193</v>
      </c>
    </row>
    <row r="150" spans="1:11">
      <c r="A150" s="4" t="s">
        <v>185</v>
      </c>
      <c r="B150" s="5">
        <v>1218</v>
      </c>
      <c r="C150" s="5">
        <v>305</v>
      </c>
      <c r="D150" s="5">
        <v>3465</v>
      </c>
      <c r="E150" s="5">
        <v>4</v>
      </c>
      <c r="F150" s="5">
        <v>29</v>
      </c>
      <c r="G150" s="5">
        <v>203</v>
      </c>
      <c r="H150" s="5">
        <v>1326</v>
      </c>
      <c r="I150" s="5">
        <v>15443</v>
      </c>
      <c r="J150" s="5">
        <v>20185</v>
      </c>
      <c r="K150" s="5">
        <v>42178</v>
      </c>
    </row>
    <row r="151" spans="1:11">
      <c r="A151" s="4" t="s">
        <v>166</v>
      </c>
      <c r="B151" s="5">
        <v>5868</v>
      </c>
      <c r="C151" s="5">
        <v>1166</v>
      </c>
      <c r="D151" s="5">
        <v>18835</v>
      </c>
      <c r="E151" s="5">
        <v>34</v>
      </c>
      <c r="F151" s="5">
        <v>166</v>
      </c>
      <c r="G151" s="5">
        <v>777</v>
      </c>
      <c r="H151" s="5">
        <v>6623</v>
      </c>
      <c r="I151" s="5">
        <v>79040</v>
      </c>
      <c r="J151" s="5">
        <v>93801</v>
      </c>
      <c r="K151" s="5">
        <v>206310</v>
      </c>
    </row>
    <row r="152" spans="1:11">
      <c r="A152" s="4" t="s">
        <v>187</v>
      </c>
      <c r="B152" s="5">
        <v>1800</v>
      </c>
      <c r="C152" s="5">
        <v>206</v>
      </c>
      <c r="D152" s="5">
        <v>4506</v>
      </c>
      <c r="E152" s="5">
        <v>2</v>
      </c>
      <c r="F152" s="5">
        <v>2</v>
      </c>
      <c r="G152" s="5">
        <v>137</v>
      </c>
      <c r="H152" s="5">
        <v>1763</v>
      </c>
      <c r="I152" s="5">
        <v>18007</v>
      </c>
      <c r="J152" s="5">
        <v>18699</v>
      </c>
      <c r="K152" s="5">
        <v>45122</v>
      </c>
    </row>
    <row r="153" spans="1:11">
      <c r="A153" s="4" t="s">
        <v>180</v>
      </c>
      <c r="B153" s="5">
        <v>1816</v>
      </c>
      <c r="C153" s="5">
        <v>309</v>
      </c>
      <c r="D153" s="5">
        <v>6020</v>
      </c>
      <c r="E153" s="5">
        <v>6</v>
      </c>
      <c r="F153" s="5">
        <v>78</v>
      </c>
      <c r="G153" s="5">
        <v>206</v>
      </c>
      <c r="H153" s="5">
        <v>2077</v>
      </c>
      <c r="I153" s="5">
        <v>27535</v>
      </c>
      <c r="J153" s="5">
        <v>37099</v>
      </c>
      <c r="K153" s="5">
        <v>75146</v>
      </c>
    </row>
    <row r="154" spans="1:11">
      <c r="A154" s="4" t="s">
        <v>167</v>
      </c>
      <c r="B154" s="5">
        <v>3522</v>
      </c>
      <c r="C154" s="5">
        <v>676</v>
      </c>
      <c r="D154" s="5">
        <v>8731</v>
      </c>
      <c r="E154" s="5">
        <v>17</v>
      </c>
      <c r="F154" s="5">
        <v>174</v>
      </c>
      <c r="G154" s="5">
        <v>450</v>
      </c>
      <c r="H154" s="5">
        <v>3474</v>
      </c>
      <c r="I154" s="5">
        <v>35633</v>
      </c>
      <c r="J154" s="5">
        <v>39873</v>
      </c>
      <c r="K154" s="5">
        <v>92550</v>
      </c>
    </row>
    <row r="155" spans="1:11">
      <c r="A155" s="4" t="s">
        <v>186</v>
      </c>
      <c r="B155" s="5">
        <v>1459</v>
      </c>
      <c r="C155" s="5">
        <v>383</v>
      </c>
      <c r="D155" s="5">
        <v>3930</v>
      </c>
      <c r="E155" s="5">
        <v>13</v>
      </c>
      <c r="F155" s="5">
        <v>77</v>
      </c>
      <c r="G155" s="5">
        <v>256</v>
      </c>
      <c r="H155" s="5">
        <v>1445</v>
      </c>
      <c r="I155" s="5">
        <v>15571</v>
      </c>
      <c r="J155" s="5">
        <v>16536</v>
      </c>
      <c r="K155" s="5">
        <v>39670</v>
      </c>
    </row>
    <row r="156" spans="1:11">
      <c r="A156" s="4" t="s">
        <v>168</v>
      </c>
      <c r="B156" s="5">
        <v>63237</v>
      </c>
      <c r="C156" s="5">
        <v>31816</v>
      </c>
      <c r="D156" s="5">
        <v>213151</v>
      </c>
      <c r="E156" s="5">
        <v>507</v>
      </c>
      <c r="F156" s="5">
        <v>10092</v>
      </c>
      <c r="G156" s="5">
        <v>21210</v>
      </c>
      <c r="H156" s="5">
        <v>75870</v>
      </c>
      <c r="I156" s="5">
        <v>789856</v>
      </c>
      <c r="J156" s="5">
        <v>760967</v>
      </c>
      <c r="K156" s="5">
        <v>1966706</v>
      </c>
    </row>
    <row r="157" spans="1:11">
      <c r="A157" s="4" t="s">
        <v>183</v>
      </c>
      <c r="B157" s="5">
        <v>1433</v>
      </c>
      <c r="C157" s="5">
        <v>188</v>
      </c>
      <c r="D157" s="5">
        <v>4311</v>
      </c>
      <c r="E157" s="5">
        <v>1</v>
      </c>
      <c r="F157" s="5">
        <v>60</v>
      </c>
      <c r="G157" s="5">
        <v>125</v>
      </c>
      <c r="H157" s="5">
        <v>1578</v>
      </c>
      <c r="I157" s="5">
        <v>17793</v>
      </c>
      <c r="J157" s="5">
        <v>20276</v>
      </c>
      <c r="K157" s="5">
        <v>45765</v>
      </c>
    </row>
    <row r="158" spans="1:11">
      <c r="A158" s="4" t="s">
        <v>169</v>
      </c>
      <c r="B158" s="5">
        <v>7291</v>
      </c>
      <c r="C158" s="5">
        <v>2569</v>
      </c>
      <c r="D158" s="5">
        <v>21817</v>
      </c>
      <c r="E158" s="5">
        <v>41</v>
      </c>
      <c r="F158" s="5">
        <v>532</v>
      </c>
      <c r="G158" s="5">
        <v>1713</v>
      </c>
      <c r="H158" s="5">
        <v>7877</v>
      </c>
      <c r="I158" s="5">
        <v>82600</v>
      </c>
      <c r="J158" s="5">
        <v>87717</v>
      </c>
      <c r="K158" s="5">
        <v>212157</v>
      </c>
    </row>
    <row r="159" spans="1:11">
      <c r="A159" s="4" t="s">
        <v>170</v>
      </c>
      <c r="B159" s="5">
        <v>4768</v>
      </c>
      <c r="C159" s="5">
        <v>840</v>
      </c>
      <c r="D159" s="5">
        <v>12620</v>
      </c>
      <c r="E159" s="5">
        <v>22</v>
      </c>
      <c r="F159" s="5">
        <v>39</v>
      </c>
      <c r="G159" s="5">
        <v>560</v>
      </c>
      <c r="H159" s="5">
        <v>5002</v>
      </c>
      <c r="I159" s="5">
        <v>48569</v>
      </c>
      <c r="J159" s="5">
        <v>51277</v>
      </c>
      <c r="K159" s="5">
        <v>123697</v>
      </c>
    </row>
    <row r="160" spans="1:11">
      <c r="A160" s="4" t="s">
        <v>181</v>
      </c>
      <c r="B160" s="5">
        <v>2072</v>
      </c>
      <c r="C160" s="5">
        <v>232</v>
      </c>
      <c r="D160" s="5">
        <v>6219</v>
      </c>
      <c r="E160" s="5">
        <v>7</v>
      </c>
      <c r="F160" s="5">
        <v>67</v>
      </c>
      <c r="G160" s="5">
        <v>154</v>
      </c>
      <c r="H160" s="5">
        <v>2252</v>
      </c>
      <c r="I160" s="5">
        <v>28524</v>
      </c>
      <c r="J160" s="5">
        <v>32637</v>
      </c>
      <c r="K160" s="5">
        <v>72164</v>
      </c>
    </row>
    <row r="161" spans="1:11">
      <c r="A161" s="4" t="s">
        <v>171</v>
      </c>
      <c r="B161" s="5">
        <v>10248</v>
      </c>
      <c r="C161" s="5">
        <v>1591</v>
      </c>
      <c r="D161" s="5">
        <v>28156</v>
      </c>
      <c r="E161" s="5">
        <v>49</v>
      </c>
      <c r="F161" s="5">
        <v>293</v>
      </c>
      <c r="G161" s="5">
        <v>1061</v>
      </c>
      <c r="H161" s="5">
        <v>10749</v>
      </c>
      <c r="I161" s="5">
        <v>106379</v>
      </c>
      <c r="J161" s="5">
        <v>110219</v>
      </c>
      <c r="K161" s="5">
        <v>268745</v>
      </c>
    </row>
    <row r="162" spans="1:11">
      <c r="A162" s="4" t="s">
        <v>189</v>
      </c>
      <c r="B162" s="5">
        <v>2200</v>
      </c>
      <c r="C162" s="5">
        <v>641</v>
      </c>
      <c r="D162" s="5">
        <v>7262</v>
      </c>
      <c r="E162" s="5">
        <v>18</v>
      </c>
      <c r="F162" s="5">
        <v>71</v>
      </c>
      <c r="G162" s="5">
        <v>427</v>
      </c>
      <c r="H162" s="5">
        <v>2449</v>
      </c>
      <c r="I162" s="5">
        <v>32448</v>
      </c>
      <c r="J162" s="5">
        <v>41003</v>
      </c>
      <c r="K162" s="5">
        <v>86519</v>
      </c>
    </row>
    <row r="163" spans="1:11">
      <c r="A163" s="4" t="s">
        <v>188</v>
      </c>
      <c r="B163" s="5">
        <v>1582</v>
      </c>
      <c r="C163" s="5">
        <v>1393</v>
      </c>
      <c r="D163" s="5">
        <v>5115</v>
      </c>
      <c r="E163" s="5">
        <v>11</v>
      </c>
      <c r="F163" s="5">
        <v>330</v>
      </c>
      <c r="G163" s="5">
        <v>929</v>
      </c>
      <c r="H163" s="5">
        <v>1786</v>
      </c>
      <c r="I163" s="5">
        <v>20777</v>
      </c>
      <c r="J163" s="5">
        <v>26148</v>
      </c>
      <c r="K163" s="5">
        <v>58071</v>
      </c>
    </row>
    <row r="164" spans="1:11">
      <c r="A164" s="4" t="s">
        <v>172</v>
      </c>
      <c r="B164" s="5">
        <v>6945</v>
      </c>
      <c r="C164" s="5">
        <v>724</v>
      </c>
      <c r="D164" s="5">
        <v>20896</v>
      </c>
      <c r="E164" s="5">
        <v>23</v>
      </c>
      <c r="F164" s="5">
        <v>203</v>
      </c>
      <c r="G164" s="5">
        <v>482</v>
      </c>
      <c r="H164" s="5">
        <v>7613</v>
      </c>
      <c r="I164" s="5">
        <v>82224</v>
      </c>
      <c r="J164" s="5">
        <v>101779</v>
      </c>
      <c r="K164" s="5">
        <v>220889</v>
      </c>
    </row>
    <row r="165" spans="1:11">
      <c r="A165" s="4" t="s">
        <v>176</v>
      </c>
      <c r="B165" s="5">
        <v>2557</v>
      </c>
      <c r="C165" s="5">
        <v>1139</v>
      </c>
      <c r="D165" s="5">
        <v>7841</v>
      </c>
      <c r="E165" s="5">
        <v>30</v>
      </c>
      <c r="F165" s="5">
        <v>106</v>
      </c>
      <c r="G165" s="5">
        <v>760</v>
      </c>
      <c r="H165" s="5">
        <v>2899</v>
      </c>
      <c r="I165" s="5">
        <v>35633</v>
      </c>
      <c r="J165" s="5">
        <v>44255</v>
      </c>
      <c r="K165" s="5">
        <v>95220</v>
      </c>
    </row>
    <row r="166" spans="1:11">
      <c r="A166" s="4" t="s">
        <v>173</v>
      </c>
      <c r="B166" s="5">
        <v>9485</v>
      </c>
      <c r="C166" s="5">
        <v>1812</v>
      </c>
      <c r="D166" s="5">
        <v>31796</v>
      </c>
      <c r="E166" s="5">
        <v>26</v>
      </c>
      <c r="F166" s="5">
        <v>395</v>
      </c>
      <c r="G166" s="5">
        <v>1208</v>
      </c>
      <c r="H166" s="5">
        <v>10924</v>
      </c>
      <c r="I166" s="5">
        <v>132756</v>
      </c>
      <c r="J166" s="5">
        <v>141419</v>
      </c>
      <c r="K166" s="5">
        <v>329821</v>
      </c>
    </row>
    <row r="167" spans="1:11">
      <c r="A167" s="4" t="s">
        <v>174</v>
      </c>
      <c r="B167" s="5">
        <v>4877</v>
      </c>
      <c r="C167" s="5">
        <v>1007</v>
      </c>
      <c r="D167" s="5">
        <v>13096</v>
      </c>
      <c r="E167" s="5">
        <v>1</v>
      </c>
      <c r="F167" s="5">
        <v>283</v>
      </c>
      <c r="G167" s="5">
        <v>672</v>
      </c>
      <c r="H167" s="5">
        <v>5113</v>
      </c>
      <c r="I167" s="5">
        <v>47626</v>
      </c>
      <c r="J167" s="5">
        <v>46744</v>
      </c>
      <c r="K167" s="5">
        <v>119419</v>
      </c>
    </row>
    <row r="168" spans="1:11">
      <c r="A168" s="4" t="s">
        <v>182</v>
      </c>
      <c r="B168" s="5">
        <v>1620</v>
      </c>
      <c r="C168" s="5">
        <v>604</v>
      </c>
      <c r="D168" s="5">
        <v>5408</v>
      </c>
      <c r="E168" s="5">
        <v>8</v>
      </c>
      <c r="F168" s="5">
        <v>104</v>
      </c>
      <c r="G168" s="5">
        <v>403</v>
      </c>
      <c r="H168" s="5">
        <v>1969</v>
      </c>
      <c r="I168" s="5">
        <v>24724</v>
      </c>
      <c r="J168" s="5">
        <v>32692</v>
      </c>
      <c r="K168" s="5">
        <v>67532</v>
      </c>
    </row>
    <row r="169" spans="1:11">
      <c r="A169" s="4" t="s">
        <v>175</v>
      </c>
      <c r="B169" s="5">
        <v>3745</v>
      </c>
      <c r="C169" s="5">
        <v>360</v>
      </c>
      <c r="D169" s="5">
        <v>11367</v>
      </c>
      <c r="E169" s="5">
        <v>10</v>
      </c>
      <c r="F169" s="5">
        <v>91</v>
      </c>
      <c r="G169" s="5">
        <v>240</v>
      </c>
      <c r="H169" s="5">
        <v>4194</v>
      </c>
      <c r="I169" s="5">
        <v>45023</v>
      </c>
      <c r="J169" s="5">
        <v>50161</v>
      </c>
      <c r="K169" s="5">
        <v>115191</v>
      </c>
    </row>
    <row r="170" spans="1:11">
      <c r="A170" s="3" t="s">
        <v>425</v>
      </c>
      <c r="B170" s="5">
        <v>42242</v>
      </c>
      <c r="C170" s="5">
        <v>11947</v>
      </c>
      <c r="D170" s="5">
        <v>131634</v>
      </c>
      <c r="E170" s="5">
        <v>263</v>
      </c>
      <c r="F170" s="5">
        <v>657</v>
      </c>
      <c r="G170" s="5">
        <v>7963</v>
      </c>
      <c r="H170" s="5">
        <v>47162</v>
      </c>
      <c r="I170" s="5">
        <v>535538</v>
      </c>
      <c r="J170" s="5">
        <v>531553</v>
      </c>
      <c r="K170" s="5">
        <v>1308959</v>
      </c>
    </row>
    <row r="171" spans="1:11">
      <c r="A171" s="4" t="s">
        <v>428</v>
      </c>
      <c r="B171" s="5">
        <v>2882</v>
      </c>
      <c r="C171" s="5">
        <v>438</v>
      </c>
      <c r="D171" s="5">
        <v>9281</v>
      </c>
      <c r="E171" s="5">
        <v>6</v>
      </c>
      <c r="F171" s="5">
        <v>1</v>
      </c>
      <c r="G171" s="5">
        <v>292</v>
      </c>
      <c r="H171" s="5">
        <v>3232</v>
      </c>
      <c r="I171" s="5">
        <v>40127</v>
      </c>
      <c r="J171" s="5">
        <v>39992</v>
      </c>
      <c r="K171" s="5">
        <v>96251</v>
      </c>
    </row>
    <row r="172" spans="1:11">
      <c r="A172" s="4" t="s">
        <v>429</v>
      </c>
      <c r="B172" s="5">
        <v>4660</v>
      </c>
      <c r="C172" s="5">
        <v>492</v>
      </c>
      <c r="D172" s="5">
        <v>21392</v>
      </c>
      <c r="E172" s="5">
        <v>9</v>
      </c>
      <c r="F172" s="5">
        <v>157</v>
      </c>
      <c r="G172" s="5">
        <v>328</v>
      </c>
      <c r="H172" s="5">
        <v>6327</v>
      </c>
      <c r="I172" s="5">
        <v>107185</v>
      </c>
      <c r="J172" s="5">
        <v>107937</v>
      </c>
      <c r="K172" s="5">
        <v>248487</v>
      </c>
    </row>
    <row r="173" spans="1:11">
      <c r="A173" s="4" t="s">
        <v>431</v>
      </c>
      <c r="B173" s="5">
        <v>2363</v>
      </c>
      <c r="C173" s="5">
        <v>292</v>
      </c>
      <c r="D173" s="5">
        <v>5040</v>
      </c>
      <c r="E173" s="5">
        <v>3</v>
      </c>
      <c r="F173" s="5">
        <v>67</v>
      </c>
      <c r="G173" s="5">
        <v>194</v>
      </c>
      <c r="H173" s="5">
        <v>2197</v>
      </c>
      <c r="I173" s="5">
        <v>16926</v>
      </c>
      <c r="J173" s="5">
        <v>17727</v>
      </c>
      <c r="K173" s="5">
        <v>44809</v>
      </c>
    </row>
    <row r="174" spans="1:11">
      <c r="A174" s="4" t="s">
        <v>426</v>
      </c>
      <c r="B174" s="5">
        <v>4207</v>
      </c>
      <c r="C174" s="5">
        <v>694</v>
      </c>
      <c r="D174" s="5">
        <v>11525</v>
      </c>
      <c r="E174" s="5">
        <v>21</v>
      </c>
      <c r="F174" s="5">
        <v>89</v>
      </c>
      <c r="G174" s="5">
        <v>462</v>
      </c>
      <c r="H174" s="5">
        <v>4260</v>
      </c>
      <c r="I174" s="5">
        <v>48974</v>
      </c>
      <c r="J174" s="5">
        <v>55297</v>
      </c>
      <c r="K174" s="5">
        <v>125529</v>
      </c>
    </row>
    <row r="175" spans="1:11">
      <c r="A175" s="4" t="s">
        <v>427</v>
      </c>
      <c r="B175" s="5">
        <v>5891</v>
      </c>
      <c r="C175" s="5">
        <v>1468</v>
      </c>
      <c r="D175" s="5">
        <v>16743</v>
      </c>
      <c r="E175" s="5">
        <v>36</v>
      </c>
      <c r="F175" s="5">
        <v>221</v>
      </c>
      <c r="G175" s="5">
        <v>978</v>
      </c>
      <c r="H175" s="5">
        <v>6347</v>
      </c>
      <c r="I175" s="5">
        <v>68839</v>
      </c>
      <c r="J175" s="5">
        <v>75161</v>
      </c>
      <c r="K175" s="5">
        <v>175684</v>
      </c>
    </row>
    <row r="176" spans="1:11">
      <c r="A176" s="4" t="s">
        <v>425</v>
      </c>
      <c r="B176" s="5">
        <v>22239</v>
      </c>
      <c r="C176" s="5">
        <v>8563</v>
      </c>
      <c r="D176" s="5">
        <v>67653</v>
      </c>
      <c r="E176" s="5">
        <v>188</v>
      </c>
      <c r="F176" s="5">
        <v>122</v>
      </c>
      <c r="G176" s="5">
        <v>5709</v>
      </c>
      <c r="H176" s="5">
        <v>24799</v>
      </c>
      <c r="I176" s="5">
        <v>253487</v>
      </c>
      <c r="J176" s="5">
        <v>235439</v>
      </c>
      <c r="K176" s="5">
        <v>618199</v>
      </c>
    </row>
    <row r="177" spans="1:11">
      <c r="A177" s="3" t="s">
        <v>423</v>
      </c>
      <c r="B177" s="5">
        <v>36679</v>
      </c>
      <c r="C177" s="5">
        <v>11600</v>
      </c>
      <c r="D177" s="5">
        <v>122411</v>
      </c>
      <c r="E177" s="5">
        <v>210</v>
      </c>
      <c r="F177" s="5">
        <v>1638</v>
      </c>
      <c r="G177" s="5">
        <v>7734</v>
      </c>
      <c r="H177" s="5">
        <v>41862</v>
      </c>
      <c r="I177" s="5">
        <v>520616</v>
      </c>
      <c r="J177" s="5">
        <v>593675</v>
      </c>
      <c r="K177" s="5">
        <v>1336425</v>
      </c>
    </row>
    <row r="178" spans="1:11">
      <c r="A178" s="4" t="s">
        <v>423</v>
      </c>
      <c r="B178" s="5">
        <v>36679</v>
      </c>
      <c r="C178" s="5">
        <v>11600</v>
      </c>
      <c r="D178" s="5">
        <v>122411</v>
      </c>
      <c r="E178" s="5">
        <v>210</v>
      </c>
      <c r="F178" s="5">
        <v>1638</v>
      </c>
      <c r="G178" s="5">
        <v>7734</v>
      </c>
      <c r="H178" s="5">
        <v>41862</v>
      </c>
      <c r="I178" s="5">
        <v>520616</v>
      </c>
      <c r="J178" s="5">
        <v>593675</v>
      </c>
      <c r="K178" s="5">
        <v>1336425</v>
      </c>
    </row>
    <row r="179" spans="1:11">
      <c r="A179" s="3" t="s">
        <v>286</v>
      </c>
      <c r="B179" s="5">
        <v>53275</v>
      </c>
      <c r="C179" s="5">
        <v>15336</v>
      </c>
      <c r="D179" s="5">
        <v>160110</v>
      </c>
      <c r="E179" s="5">
        <v>381</v>
      </c>
      <c r="F179" s="5">
        <v>1260</v>
      </c>
      <c r="G179" s="5">
        <v>10225</v>
      </c>
      <c r="H179" s="5">
        <v>58399</v>
      </c>
      <c r="I179" s="5">
        <v>649226</v>
      </c>
      <c r="J179" s="5">
        <v>698161</v>
      </c>
      <c r="K179" s="5">
        <v>1646373</v>
      </c>
    </row>
    <row r="180" spans="1:11">
      <c r="A180" s="4" t="s">
        <v>288</v>
      </c>
      <c r="B180" s="5">
        <v>4382</v>
      </c>
      <c r="C180" s="5">
        <v>1061</v>
      </c>
      <c r="D180" s="5">
        <v>12851</v>
      </c>
      <c r="E180" s="5">
        <v>23</v>
      </c>
      <c r="F180" s="5">
        <v>24</v>
      </c>
      <c r="G180" s="5">
        <v>707</v>
      </c>
      <c r="H180" s="5">
        <v>4685</v>
      </c>
      <c r="I180" s="5">
        <v>61216</v>
      </c>
      <c r="J180" s="5">
        <v>79091</v>
      </c>
      <c r="K180" s="5">
        <v>164040</v>
      </c>
    </row>
    <row r="181" spans="1:11">
      <c r="A181" s="4" t="s">
        <v>289</v>
      </c>
      <c r="B181" s="5">
        <v>4365</v>
      </c>
      <c r="C181" s="5">
        <v>877</v>
      </c>
      <c r="D181" s="5">
        <v>10904</v>
      </c>
      <c r="E181" s="5">
        <v>3</v>
      </c>
      <c r="F181" s="5">
        <v>107</v>
      </c>
      <c r="G181" s="5">
        <v>585</v>
      </c>
      <c r="H181" s="5">
        <v>4416</v>
      </c>
      <c r="I181" s="5">
        <v>34853</v>
      </c>
      <c r="J181" s="5">
        <v>34018</v>
      </c>
      <c r="K181" s="5">
        <v>90128</v>
      </c>
    </row>
    <row r="182" spans="1:11">
      <c r="A182" s="4" t="s">
        <v>298</v>
      </c>
      <c r="B182" s="5">
        <v>2055</v>
      </c>
      <c r="C182" s="5">
        <v>386</v>
      </c>
      <c r="D182" s="5">
        <v>6304</v>
      </c>
      <c r="E182" s="5">
        <v>10</v>
      </c>
      <c r="F182" s="5">
        <v>77</v>
      </c>
      <c r="G182" s="5">
        <v>257</v>
      </c>
      <c r="H182" s="5">
        <v>2352</v>
      </c>
      <c r="I182" s="5">
        <v>25735</v>
      </c>
      <c r="J182" s="5">
        <v>27856</v>
      </c>
      <c r="K182" s="5">
        <v>65032</v>
      </c>
    </row>
    <row r="183" spans="1:11">
      <c r="A183" s="4" t="s">
        <v>294</v>
      </c>
      <c r="B183" s="5">
        <v>2626</v>
      </c>
      <c r="C183" s="5">
        <v>824</v>
      </c>
      <c r="D183" s="5">
        <v>7587</v>
      </c>
      <c r="E183" s="5">
        <v>10</v>
      </c>
      <c r="F183" s="5">
        <v>82</v>
      </c>
      <c r="G183" s="5">
        <v>549</v>
      </c>
      <c r="H183" s="5">
        <v>2821</v>
      </c>
      <c r="I183" s="5">
        <v>31092</v>
      </c>
      <c r="J183" s="5">
        <v>35556</v>
      </c>
      <c r="K183" s="5">
        <v>81147</v>
      </c>
    </row>
    <row r="184" spans="1:11">
      <c r="A184" s="4" t="s">
        <v>296</v>
      </c>
      <c r="B184" s="5">
        <v>2284</v>
      </c>
      <c r="C184" s="5">
        <v>382</v>
      </c>
      <c r="D184" s="5">
        <v>5100</v>
      </c>
      <c r="E184" s="5">
        <v>11</v>
      </c>
      <c r="F184" s="5">
        <v>9</v>
      </c>
      <c r="G184" s="5">
        <v>255</v>
      </c>
      <c r="H184" s="5">
        <v>2123</v>
      </c>
      <c r="I184" s="5">
        <v>16551</v>
      </c>
      <c r="J184" s="5">
        <v>18203</v>
      </c>
      <c r="K184" s="5">
        <v>44918</v>
      </c>
    </row>
    <row r="185" spans="1:11">
      <c r="A185" s="4" t="s">
        <v>290</v>
      </c>
      <c r="B185" s="5">
        <v>8083</v>
      </c>
      <c r="C185" s="5">
        <v>1670</v>
      </c>
      <c r="D185" s="5">
        <v>22903</v>
      </c>
      <c r="E185" s="5">
        <v>54</v>
      </c>
      <c r="F185" s="5">
        <v>25</v>
      </c>
      <c r="G185" s="5">
        <v>1114</v>
      </c>
      <c r="H185" s="5">
        <v>8550</v>
      </c>
      <c r="I185" s="5">
        <v>91162</v>
      </c>
      <c r="J185" s="5">
        <v>97287</v>
      </c>
      <c r="K185" s="5">
        <v>230848</v>
      </c>
    </row>
    <row r="186" spans="1:11">
      <c r="A186" s="4" t="s">
        <v>291</v>
      </c>
      <c r="B186" s="5">
        <v>16399</v>
      </c>
      <c r="C186" s="5">
        <v>7049</v>
      </c>
      <c r="D186" s="5">
        <v>52730</v>
      </c>
      <c r="E186" s="5">
        <v>202</v>
      </c>
      <c r="F186" s="5">
        <v>537</v>
      </c>
      <c r="G186" s="5">
        <v>4699</v>
      </c>
      <c r="H186" s="5">
        <v>18694</v>
      </c>
      <c r="I186" s="5">
        <v>211648</v>
      </c>
      <c r="J186" s="5">
        <v>210116</v>
      </c>
      <c r="K186" s="5">
        <v>522074</v>
      </c>
    </row>
    <row r="187" spans="1:11">
      <c r="A187" s="4" t="s">
        <v>292</v>
      </c>
      <c r="B187" s="5">
        <v>4854</v>
      </c>
      <c r="C187" s="5">
        <v>1013</v>
      </c>
      <c r="D187" s="5">
        <v>15495</v>
      </c>
      <c r="E187" s="5">
        <v>21</v>
      </c>
      <c r="F187" s="5">
        <v>35</v>
      </c>
      <c r="G187" s="5">
        <v>676</v>
      </c>
      <c r="H187" s="5">
        <v>5512</v>
      </c>
      <c r="I187" s="5">
        <v>56783</v>
      </c>
      <c r="J187" s="5">
        <v>57996</v>
      </c>
      <c r="K187" s="5">
        <v>142385</v>
      </c>
    </row>
    <row r="188" spans="1:11">
      <c r="A188" s="4" t="s">
        <v>295</v>
      </c>
      <c r="B188" s="5">
        <v>3453</v>
      </c>
      <c r="C188" s="5">
        <v>780</v>
      </c>
      <c r="D188" s="5">
        <v>10304</v>
      </c>
      <c r="E188" s="5">
        <v>6</v>
      </c>
      <c r="F188" s="5">
        <v>101</v>
      </c>
      <c r="G188" s="5">
        <v>520</v>
      </c>
      <c r="H188" s="5">
        <v>3735</v>
      </c>
      <c r="I188" s="5">
        <v>41747</v>
      </c>
      <c r="J188" s="5">
        <v>43554</v>
      </c>
      <c r="K188" s="5">
        <v>104200</v>
      </c>
    </row>
    <row r="189" spans="1:11">
      <c r="A189" s="4" t="s">
        <v>293</v>
      </c>
      <c r="B189" s="5">
        <v>4774</v>
      </c>
      <c r="C189" s="5">
        <v>1294</v>
      </c>
      <c r="D189" s="5">
        <v>15932</v>
      </c>
      <c r="E189" s="5">
        <v>41</v>
      </c>
      <c r="F189" s="5">
        <v>263</v>
      </c>
      <c r="G189" s="5">
        <v>863</v>
      </c>
      <c r="H189" s="5">
        <v>5511</v>
      </c>
      <c r="I189" s="5">
        <v>78439</v>
      </c>
      <c r="J189" s="5">
        <v>94484</v>
      </c>
      <c r="K189" s="5">
        <v>201601</v>
      </c>
    </row>
    <row r="190" spans="1:11">
      <c r="A190" s="3" t="s">
        <v>190</v>
      </c>
      <c r="B190" s="5">
        <v>90285</v>
      </c>
      <c r="C190" s="5">
        <v>29073</v>
      </c>
      <c r="D190" s="5">
        <v>286159</v>
      </c>
      <c r="E190" s="5">
        <v>610</v>
      </c>
      <c r="F190" s="5">
        <v>5104</v>
      </c>
      <c r="G190" s="5">
        <v>19378</v>
      </c>
      <c r="H190" s="5">
        <v>100678</v>
      </c>
      <c r="I190" s="5">
        <v>1234069</v>
      </c>
      <c r="J190" s="5">
        <v>1515677</v>
      </c>
      <c r="K190" s="5">
        <v>3281033</v>
      </c>
    </row>
    <row r="191" spans="1:11">
      <c r="A191" s="4" t="s">
        <v>214</v>
      </c>
      <c r="B191" s="5">
        <v>1245</v>
      </c>
      <c r="C191" s="5">
        <v>289</v>
      </c>
      <c r="D191" s="5">
        <v>3408</v>
      </c>
      <c r="E191" s="5">
        <v>8</v>
      </c>
      <c r="F191" s="5">
        <v>58</v>
      </c>
      <c r="G191" s="5">
        <v>192</v>
      </c>
      <c r="H191" s="5">
        <v>1273</v>
      </c>
      <c r="I191" s="5">
        <v>14519</v>
      </c>
      <c r="J191" s="5">
        <v>18198</v>
      </c>
      <c r="K191" s="5">
        <v>39190</v>
      </c>
    </row>
    <row r="192" spans="1:11">
      <c r="A192" s="4" t="s">
        <v>210</v>
      </c>
      <c r="B192" s="5">
        <v>1125</v>
      </c>
      <c r="C192" s="5">
        <v>292</v>
      </c>
      <c r="D192" s="5">
        <v>3470</v>
      </c>
      <c r="E192" s="5">
        <v>9</v>
      </c>
      <c r="F192" s="5">
        <v>6</v>
      </c>
      <c r="G192" s="5">
        <v>195</v>
      </c>
      <c r="H192" s="5">
        <v>1198</v>
      </c>
      <c r="I192" s="5">
        <v>14396</v>
      </c>
      <c r="J192" s="5">
        <v>17125</v>
      </c>
      <c r="K192" s="5">
        <v>37816</v>
      </c>
    </row>
    <row r="193" spans="1:11">
      <c r="A193" s="4" t="s">
        <v>192</v>
      </c>
      <c r="B193" s="5">
        <v>3846</v>
      </c>
      <c r="C193" s="5">
        <v>757</v>
      </c>
      <c r="D193" s="5">
        <v>9207</v>
      </c>
      <c r="E193" s="5">
        <v>11</v>
      </c>
      <c r="F193" s="5">
        <v>230</v>
      </c>
      <c r="G193" s="5">
        <v>504</v>
      </c>
      <c r="H193" s="5">
        <v>3673</v>
      </c>
      <c r="I193" s="5">
        <v>33301</v>
      </c>
      <c r="J193" s="5">
        <v>35807</v>
      </c>
      <c r="K193" s="5">
        <v>87336</v>
      </c>
    </row>
    <row r="194" spans="1:11">
      <c r="A194" s="4" t="s">
        <v>200</v>
      </c>
      <c r="B194" s="5">
        <v>2682</v>
      </c>
      <c r="C194" s="5">
        <v>809</v>
      </c>
      <c r="D194" s="5">
        <v>8006</v>
      </c>
      <c r="E194" s="5">
        <v>21</v>
      </c>
      <c r="F194" s="5">
        <v>177</v>
      </c>
      <c r="G194" s="5">
        <v>539</v>
      </c>
      <c r="H194" s="5">
        <v>2849</v>
      </c>
      <c r="I194" s="5">
        <v>31309</v>
      </c>
      <c r="J194" s="5">
        <v>35638</v>
      </c>
      <c r="K194" s="5">
        <v>82030</v>
      </c>
    </row>
    <row r="195" spans="1:11">
      <c r="A195" s="4" t="s">
        <v>193</v>
      </c>
      <c r="B195" s="5">
        <v>5629</v>
      </c>
      <c r="C195" s="5">
        <v>1592</v>
      </c>
      <c r="D195" s="5">
        <v>20233</v>
      </c>
      <c r="E195" s="5">
        <v>22</v>
      </c>
      <c r="F195" s="5">
        <v>102</v>
      </c>
      <c r="G195" s="5">
        <v>1062</v>
      </c>
      <c r="H195" s="5">
        <v>6613</v>
      </c>
      <c r="I195" s="5">
        <v>92142</v>
      </c>
      <c r="J195" s="5">
        <v>114968</v>
      </c>
      <c r="K195" s="5">
        <v>242363</v>
      </c>
    </row>
    <row r="196" spans="1:11">
      <c r="A196" s="4" t="s">
        <v>194</v>
      </c>
      <c r="B196" s="5">
        <v>8873</v>
      </c>
      <c r="C196" s="5">
        <v>2444</v>
      </c>
      <c r="D196" s="5">
        <v>28141</v>
      </c>
      <c r="E196" s="5">
        <v>79</v>
      </c>
      <c r="F196" s="5">
        <v>111</v>
      </c>
      <c r="G196" s="5">
        <v>1629</v>
      </c>
      <c r="H196" s="5">
        <v>9469</v>
      </c>
      <c r="I196" s="5">
        <v>127051</v>
      </c>
      <c r="J196" s="5">
        <v>145480</v>
      </c>
      <c r="K196" s="5">
        <v>323277</v>
      </c>
    </row>
    <row r="197" spans="1:11">
      <c r="A197" s="4" t="s">
        <v>208</v>
      </c>
      <c r="B197" s="5">
        <v>1561</v>
      </c>
      <c r="C197" s="5">
        <v>192</v>
      </c>
      <c r="D197" s="5">
        <v>3660</v>
      </c>
      <c r="E197" s="5">
        <v>0</v>
      </c>
      <c r="F197" s="5">
        <v>9</v>
      </c>
      <c r="G197" s="5">
        <v>128</v>
      </c>
      <c r="H197" s="5">
        <v>1438</v>
      </c>
      <c r="I197" s="5">
        <v>13401</v>
      </c>
      <c r="J197" s="5">
        <v>15517</v>
      </c>
      <c r="K197" s="5">
        <v>35906</v>
      </c>
    </row>
    <row r="198" spans="1:11">
      <c r="A198" s="4" t="s">
        <v>201</v>
      </c>
      <c r="B198" s="5">
        <v>1447</v>
      </c>
      <c r="C198" s="5">
        <v>429</v>
      </c>
      <c r="D198" s="5">
        <v>4408</v>
      </c>
      <c r="E198" s="5">
        <v>10</v>
      </c>
      <c r="F198" s="5">
        <v>36</v>
      </c>
      <c r="G198" s="5">
        <v>286</v>
      </c>
      <c r="H198" s="5">
        <v>1667</v>
      </c>
      <c r="I198" s="5">
        <v>16703</v>
      </c>
      <c r="J198" s="5">
        <v>19291</v>
      </c>
      <c r="K198" s="5">
        <v>44277</v>
      </c>
    </row>
    <row r="199" spans="1:11">
      <c r="A199" s="4" t="s">
        <v>195</v>
      </c>
      <c r="B199" s="5">
        <v>9694</v>
      </c>
      <c r="C199" s="5">
        <v>2911</v>
      </c>
      <c r="D199" s="5">
        <v>30361</v>
      </c>
      <c r="E199" s="5">
        <v>28</v>
      </c>
      <c r="F199" s="5">
        <v>845</v>
      </c>
      <c r="G199" s="5">
        <v>1940</v>
      </c>
      <c r="H199" s="5">
        <v>11135</v>
      </c>
      <c r="I199" s="5">
        <v>124148</v>
      </c>
      <c r="J199" s="5">
        <v>141313</v>
      </c>
      <c r="K199" s="5">
        <v>322375</v>
      </c>
    </row>
    <row r="200" spans="1:11">
      <c r="A200" s="4" t="s">
        <v>205</v>
      </c>
      <c r="B200" s="5">
        <v>2162</v>
      </c>
      <c r="C200" s="5">
        <v>221</v>
      </c>
      <c r="D200" s="5">
        <v>6167</v>
      </c>
      <c r="E200" s="5">
        <v>1</v>
      </c>
      <c r="F200" s="5">
        <v>2</v>
      </c>
      <c r="G200" s="5">
        <v>147</v>
      </c>
      <c r="H200" s="5">
        <v>2219</v>
      </c>
      <c r="I200" s="5">
        <v>35772</v>
      </c>
      <c r="J200" s="5">
        <v>62737</v>
      </c>
      <c r="K200" s="5">
        <v>109428</v>
      </c>
    </row>
    <row r="201" spans="1:11">
      <c r="A201" s="4" t="s">
        <v>207</v>
      </c>
      <c r="B201" s="5">
        <v>1485</v>
      </c>
      <c r="C201" s="5">
        <v>227</v>
      </c>
      <c r="D201" s="5">
        <v>5305</v>
      </c>
      <c r="E201" s="5">
        <v>6</v>
      </c>
      <c r="F201" s="5">
        <v>8</v>
      </c>
      <c r="G201" s="5">
        <v>151</v>
      </c>
      <c r="H201" s="5">
        <v>1729</v>
      </c>
      <c r="I201" s="5">
        <v>29842</v>
      </c>
      <c r="J201" s="5">
        <v>53144</v>
      </c>
      <c r="K201" s="5">
        <v>91897</v>
      </c>
    </row>
    <row r="202" spans="1:11">
      <c r="A202" s="4" t="s">
        <v>196</v>
      </c>
      <c r="B202" s="5">
        <v>4264</v>
      </c>
      <c r="C202" s="5">
        <v>1169</v>
      </c>
      <c r="D202" s="5">
        <v>12744</v>
      </c>
      <c r="E202" s="5">
        <v>34</v>
      </c>
      <c r="F202" s="5">
        <v>303</v>
      </c>
      <c r="G202" s="5">
        <v>780</v>
      </c>
      <c r="H202" s="5">
        <v>4685</v>
      </c>
      <c r="I202" s="5">
        <v>53329</v>
      </c>
      <c r="J202" s="5">
        <v>64602</v>
      </c>
      <c r="K202" s="5">
        <v>141910</v>
      </c>
    </row>
    <row r="203" spans="1:11">
      <c r="A203" s="4" t="s">
        <v>197</v>
      </c>
      <c r="B203" s="5">
        <v>8874</v>
      </c>
      <c r="C203" s="5">
        <v>2237</v>
      </c>
      <c r="D203" s="5">
        <v>30157</v>
      </c>
      <c r="E203" s="5">
        <v>22</v>
      </c>
      <c r="F203" s="5">
        <v>425</v>
      </c>
      <c r="G203" s="5">
        <v>1491</v>
      </c>
      <c r="H203" s="5">
        <v>10207</v>
      </c>
      <c r="I203" s="5">
        <v>128943</v>
      </c>
      <c r="J203" s="5">
        <v>152076</v>
      </c>
      <c r="K203" s="5">
        <v>334432</v>
      </c>
    </row>
    <row r="204" spans="1:11">
      <c r="A204" s="4" t="s">
        <v>198</v>
      </c>
      <c r="B204" s="5">
        <v>3779</v>
      </c>
      <c r="C204" s="5">
        <v>661</v>
      </c>
      <c r="D204" s="5">
        <v>10406</v>
      </c>
      <c r="E204" s="5">
        <v>3</v>
      </c>
      <c r="F204" s="5">
        <v>59</v>
      </c>
      <c r="G204" s="5">
        <v>441</v>
      </c>
      <c r="H204" s="5">
        <v>3751</v>
      </c>
      <c r="I204" s="5">
        <v>41494</v>
      </c>
      <c r="J204" s="5">
        <v>43951</v>
      </c>
      <c r="K204" s="5">
        <v>104545</v>
      </c>
    </row>
    <row r="205" spans="1:11">
      <c r="A205" s="4" t="s">
        <v>202</v>
      </c>
      <c r="B205" s="5">
        <v>2112</v>
      </c>
      <c r="C205" s="5">
        <v>289</v>
      </c>
      <c r="D205" s="5">
        <v>6063</v>
      </c>
      <c r="E205" s="5">
        <v>5</v>
      </c>
      <c r="F205" s="5">
        <v>24</v>
      </c>
      <c r="G205" s="5">
        <v>192</v>
      </c>
      <c r="H205" s="5">
        <v>2156</v>
      </c>
      <c r="I205" s="5">
        <v>30695</v>
      </c>
      <c r="J205" s="5">
        <v>42712</v>
      </c>
      <c r="K205" s="5">
        <v>84248</v>
      </c>
    </row>
    <row r="206" spans="1:11">
      <c r="A206" s="4" t="s">
        <v>212</v>
      </c>
      <c r="B206" s="5">
        <v>797</v>
      </c>
      <c r="C206" s="5">
        <v>91</v>
      </c>
      <c r="D206" s="5">
        <v>2521</v>
      </c>
      <c r="E206" s="5">
        <v>0</v>
      </c>
      <c r="F206" s="5">
        <v>11</v>
      </c>
      <c r="G206" s="5">
        <v>60</v>
      </c>
      <c r="H206" s="5">
        <v>882</v>
      </c>
      <c r="I206" s="5">
        <v>12357</v>
      </c>
      <c r="J206" s="5">
        <v>17947</v>
      </c>
      <c r="K206" s="5">
        <v>34666</v>
      </c>
    </row>
    <row r="207" spans="1:11">
      <c r="A207" s="4" t="s">
        <v>209</v>
      </c>
      <c r="B207" s="5">
        <v>1343</v>
      </c>
      <c r="C207" s="5">
        <v>159</v>
      </c>
      <c r="D207" s="5">
        <v>4327</v>
      </c>
      <c r="E207" s="5">
        <v>1</v>
      </c>
      <c r="F207" s="5">
        <v>13</v>
      </c>
      <c r="G207" s="5">
        <v>106</v>
      </c>
      <c r="H207" s="5">
        <v>1479</v>
      </c>
      <c r="I207" s="5">
        <v>23678</v>
      </c>
      <c r="J207" s="5">
        <v>41084</v>
      </c>
      <c r="K207" s="5">
        <v>72190</v>
      </c>
    </row>
    <row r="208" spans="1:11">
      <c r="A208" s="4" t="s">
        <v>206</v>
      </c>
      <c r="B208" s="5">
        <v>2037</v>
      </c>
      <c r="C208" s="5">
        <v>326</v>
      </c>
      <c r="D208" s="5">
        <v>5101</v>
      </c>
      <c r="E208" s="5">
        <v>2</v>
      </c>
      <c r="F208" s="5">
        <v>5</v>
      </c>
      <c r="G208" s="5">
        <v>217</v>
      </c>
      <c r="H208" s="5">
        <v>1919</v>
      </c>
      <c r="I208" s="5">
        <v>26600</v>
      </c>
      <c r="J208" s="5">
        <v>42028</v>
      </c>
      <c r="K208" s="5">
        <v>78235</v>
      </c>
    </row>
    <row r="209" spans="1:11">
      <c r="A209" s="4" t="s">
        <v>190</v>
      </c>
      <c r="B209" s="5">
        <v>21107</v>
      </c>
      <c r="C209" s="5">
        <v>12595</v>
      </c>
      <c r="D209" s="5">
        <v>74160</v>
      </c>
      <c r="E209" s="5">
        <v>317</v>
      </c>
      <c r="F209" s="5">
        <v>2401</v>
      </c>
      <c r="G209" s="5">
        <v>8396</v>
      </c>
      <c r="H209" s="5">
        <v>25883</v>
      </c>
      <c r="I209" s="5">
        <v>294984</v>
      </c>
      <c r="J209" s="5">
        <v>331271</v>
      </c>
      <c r="K209" s="5">
        <v>771114</v>
      </c>
    </row>
    <row r="210" spans="1:11">
      <c r="A210" s="4" t="s">
        <v>199</v>
      </c>
      <c r="B210" s="5">
        <v>2003</v>
      </c>
      <c r="C210" s="5">
        <v>620</v>
      </c>
      <c r="D210" s="5">
        <v>6900</v>
      </c>
      <c r="E210" s="5">
        <v>13</v>
      </c>
      <c r="F210" s="5">
        <v>133</v>
      </c>
      <c r="G210" s="5">
        <v>414</v>
      </c>
      <c r="H210" s="5">
        <v>2218</v>
      </c>
      <c r="I210" s="5">
        <v>36813</v>
      </c>
      <c r="J210" s="5">
        <v>49620</v>
      </c>
      <c r="K210" s="5">
        <v>98734</v>
      </c>
    </row>
    <row r="211" spans="1:11">
      <c r="A211" s="4" t="s">
        <v>204</v>
      </c>
      <c r="B211" s="5">
        <v>818</v>
      </c>
      <c r="C211" s="5">
        <v>167</v>
      </c>
      <c r="D211" s="5">
        <v>2170</v>
      </c>
      <c r="E211" s="5">
        <v>3</v>
      </c>
      <c r="F211" s="5">
        <v>1</v>
      </c>
      <c r="G211" s="5">
        <v>112</v>
      </c>
      <c r="H211" s="5">
        <v>856</v>
      </c>
      <c r="I211" s="5">
        <v>7973</v>
      </c>
      <c r="J211" s="5">
        <v>9389</v>
      </c>
      <c r="K211" s="5">
        <v>21489</v>
      </c>
    </row>
    <row r="212" spans="1:11">
      <c r="A212" s="4" t="s">
        <v>203</v>
      </c>
      <c r="B212" s="5">
        <v>2047</v>
      </c>
      <c r="C212" s="5">
        <v>340</v>
      </c>
      <c r="D212" s="5">
        <v>4904</v>
      </c>
      <c r="E212" s="5">
        <v>11</v>
      </c>
      <c r="F212" s="5">
        <v>99</v>
      </c>
      <c r="G212" s="5">
        <v>226</v>
      </c>
      <c r="H212" s="5">
        <v>1845</v>
      </c>
      <c r="I212" s="5">
        <v>24569</v>
      </c>
      <c r="J212" s="5">
        <v>33663</v>
      </c>
      <c r="K212" s="5">
        <v>67704</v>
      </c>
    </row>
    <row r="213" spans="1:11">
      <c r="A213" s="4" t="s">
        <v>211</v>
      </c>
      <c r="B213" s="5">
        <v>1355</v>
      </c>
      <c r="C213" s="5">
        <v>256</v>
      </c>
      <c r="D213" s="5">
        <v>4340</v>
      </c>
      <c r="E213" s="5">
        <v>4</v>
      </c>
      <c r="F213" s="5">
        <v>46</v>
      </c>
      <c r="G213" s="5">
        <v>170</v>
      </c>
      <c r="H213" s="5">
        <v>1534</v>
      </c>
      <c r="I213" s="5">
        <v>20050</v>
      </c>
      <c r="J213" s="5">
        <v>28116</v>
      </c>
      <c r="K213" s="5">
        <v>55871</v>
      </c>
    </row>
    <row r="214" spans="1:11">
      <c r="A214" s="3" t="s">
        <v>118</v>
      </c>
      <c r="B214" s="5">
        <v>69459</v>
      </c>
      <c r="C214" s="5">
        <v>18266</v>
      </c>
      <c r="D214" s="5">
        <v>217532</v>
      </c>
      <c r="E214" s="5">
        <v>404</v>
      </c>
      <c r="F214" s="5">
        <v>4225</v>
      </c>
      <c r="G214" s="5">
        <v>12178</v>
      </c>
      <c r="H214" s="5">
        <v>77792</v>
      </c>
      <c r="I214" s="5">
        <v>803238</v>
      </c>
      <c r="J214" s="5">
        <v>798806</v>
      </c>
      <c r="K214" s="5">
        <v>2001900</v>
      </c>
    </row>
    <row r="215" spans="1:11">
      <c r="A215" s="4" t="s">
        <v>120</v>
      </c>
      <c r="B215" s="5">
        <v>5391</v>
      </c>
      <c r="C215" s="5">
        <v>462</v>
      </c>
      <c r="D215" s="5">
        <v>16077</v>
      </c>
      <c r="E215" s="5">
        <v>6</v>
      </c>
      <c r="F215" s="5">
        <v>134</v>
      </c>
      <c r="G215" s="5">
        <v>308</v>
      </c>
      <c r="H215" s="5">
        <v>5923</v>
      </c>
      <c r="I215" s="5">
        <v>57949</v>
      </c>
      <c r="J215" s="5">
        <v>55340</v>
      </c>
      <c r="K215" s="5">
        <v>141590</v>
      </c>
    </row>
    <row r="216" spans="1:11">
      <c r="A216" s="4" t="s">
        <v>121</v>
      </c>
      <c r="B216" s="5">
        <v>2289</v>
      </c>
      <c r="C216" s="5">
        <v>520</v>
      </c>
      <c r="D216" s="5">
        <v>6493</v>
      </c>
      <c r="E216" s="5">
        <v>3</v>
      </c>
      <c r="F216" s="5">
        <v>20</v>
      </c>
      <c r="G216" s="5">
        <v>347</v>
      </c>
      <c r="H216" s="5">
        <v>2359</v>
      </c>
      <c r="I216" s="5">
        <v>24853</v>
      </c>
      <c r="J216" s="5">
        <v>25296</v>
      </c>
      <c r="K216" s="5">
        <v>62180</v>
      </c>
    </row>
    <row r="217" spans="1:11">
      <c r="A217" s="4" t="s">
        <v>130</v>
      </c>
      <c r="B217" s="5">
        <v>929</v>
      </c>
      <c r="C217" s="5">
        <v>235</v>
      </c>
      <c r="D217" s="5">
        <v>2790</v>
      </c>
      <c r="E217" s="5">
        <v>0</v>
      </c>
      <c r="F217" s="5">
        <v>30</v>
      </c>
      <c r="G217" s="5">
        <v>157</v>
      </c>
      <c r="H217" s="5">
        <v>929</v>
      </c>
      <c r="I217" s="5">
        <v>12773</v>
      </c>
      <c r="J217" s="5">
        <v>17867</v>
      </c>
      <c r="K217" s="5">
        <v>35710</v>
      </c>
    </row>
    <row r="218" spans="1:11">
      <c r="A218" s="4" t="s">
        <v>127</v>
      </c>
      <c r="B218" s="5">
        <v>2074</v>
      </c>
      <c r="C218" s="5">
        <v>688</v>
      </c>
      <c r="D218" s="5">
        <v>6678</v>
      </c>
      <c r="E218" s="5">
        <v>1</v>
      </c>
      <c r="F218" s="5">
        <v>103</v>
      </c>
      <c r="G218" s="5">
        <v>459</v>
      </c>
      <c r="H218" s="5">
        <v>2150</v>
      </c>
      <c r="I218" s="5">
        <v>30028</v>
      </c>
      <c r="J218" s="5">
        <v>35908</v>
      </c>
      <c r="K218" s="5">
        <v>78089</v>
      </c>
    </row>
    <row r="219" spans="1:11">
      <c r="A219" s="4" t="s">
        <v>131</v>
      </c>
      <c r="B219" s="5">
        <v>1833</v>
      </c>
      <c r="C219" s="5">
        <v>211</v>
      </c>
      <c r="D219" s="5">
        <v>4311</v>
      </c>
      <c r="E219" s="5">
        <v>1</v>
      </c>
      <c r="F219" s="5">
        <v>41</v>
      </c>
      <c r="G219" s="5">
        <v>140</v>
      </c>
      <c r="H219" s="5">
        <v>1717</v>
      </c>
      <c r="I219" s="5">
        <v>13966</v>
      </c>
      <c r="J219" s="5">
        <v>13745</v>
      </c>
      <c r="K219" s="5">
        <v>35965</v>
      </c>
    </row>
    <row r="220" spans="1:11">
      <c r="A220" s="4" t="s">
        <v>133</v>
      </c>
      <c r="B220" s="5">
        <v>1683</v>
      </c>
      <c r="C220" s="5">
        <v>266</v>
      </c>
      <c r="D220" s="5">
        <v>4814</v>
      </c>
      <c r="E220" s="5">
        <v>8</v>
      </c>
      <c r="F220" s="5">
        <v>52</v>
      </c>
      <c r="G220" s="5">
        <v>178</v>
      </c>
      <c r="H220" s="5">
        <v>1747</v>
      </c>
      <c r="I220" s="5">
        <v>19519</v>
      </c>
      <c r="J220" s="5">
        <v>20370</v>
      </c>
      <c r="K220" s="5">
        <v>48637</v>
      </c>
    </row>
    <row r="221" spans="1:11">
      <c r="A221" s="4" t="s">
        <v>122</v>
      </c>
      <c r="B221" s="5">
        <v>2705</v>
      </c>
      <c r="C221" s="5">
        <v>315</v>
      </c>
      <c r="D221" s="5">
        <v>8522</v>
      </c>
      <c r="E221" s="5">
        <v>4</v>
      </c>
      <c r="F221" s="5">
        <v>60</v>
      </c>
      <c r="G221" s="5">
        <v>210</v>
      </c>
      <c r="H221" s="5">
        <v>2901</v>
      </c>
      <c r="I221" s="5">
        <v>34369</v>
      </c>
      <c r="J221" s="5">
        <v>37240</v>
      </c>
      <c r="K221" s="5">
        <v>86326</v>
      </c>
    </row>
    <row r="222" spans="1:11">
      <c r="A222" s="4" t="s">
        <v>123</v>
      </c>
      <c r="B222" s="5">
        <v>3756</v>
      </c>
      <c r="C222" s="5">
        <v>943</v>
      </c>
      <c r="D222" s="5">
        <v>10701</v>
      </c>
      <c r="E222" s="5">
        <v>21</v>
      </c>
      <c r="F222" s="5">
        <v>92</v>
      </c>
      <c r="G222" s="5">
        <v>629</v>
      </c>
      <c r="H222" s="5">
        <v>4158</v>
      </c>
      <c r="I222" s="5">
        <v>31757</v>
      </c>
      <c r="J222" s="5">
        <v>30327</v>
      </c>
      <c r="K222" s="5">
        <v>82384</v>
      </c>
    </row>
    <row r="223" spans="1:11">
      <c r="A223" s="4" t="s">
        <v>128</v>
      </c>
      <c r="B223" s="5">
        <v>3139</v>
      </c>
      <c r="C223" s="5">
        <v>629</v>
      </c>
      <c r="D223" s="5">
        <v>8579</v>
      </c>
      <c r="E223" s="5">
        <v>6</v>
      </c>
      <c r="F223" s="5">
        <v>150</v>
      </c>
      <c r="G223" s="5">
        <v>419</v>
      </c>
      <c r="H223" s="5">
        <v>3327</v>
      </c>
      <c r="I223" s="5">
        <v>28235</v>
      </c>
      <c r="J223" s="5">
        <v>27411</v>
      </c>
      <c r="K223" s="5">
        <v>71895</v>
      </c>
    </row>
    <row r="224" spans="1:11">
      <c r="A224" s="4" t="s">
        <v>124</v>
      </c>
      <c r="B224" s="5">
        <v>756</v>
      </c>
      <c r="C224" s="5">
        <v>152</v>
      </c>
      <c r="D224" s="5">
        <v>2354</v>
      </c>
      <c r="E224" s="5">
        <v>4</v>
      </c>
      <c r="F224" s="5">
        <v>31</v>
      </c>
      <c r="G224" s="5">
        <v>101</v>
      </c>
      <c r="H224" s="5">
        <v>784</v>
      </c>
      <c r="I224" s="5">
        <v>9907</v>
      </c>
      <c r="J224" s="5">
        <v>10326</v>
      </c>
      <c r="K224" s="5">
        <v>24415</v>
      </c>
    </row>
    <row r="225" spans="1:11">
      <c r="A225" s="4" t="s">
        <v>118</v>
      </c>
      <c r="B225" s="5">
        <v>36454</v>
      </c>
      <c r="C225" s="5">
        <v>12178</v>
      </c>
      <c r="D225" s="5">
        <v>122301</v>
      </c>
      <c r="E225" s="5">
        <v>318</v>
      </c>
      <c r="F225" s="5">
        <v>3315</v>
      </c>
      <c r="G225" s="5">
        <v>8118</v>
      </c>
      <c r="H225" s="5">
        <v>42904</v>
      </c>
      <c r="I225" s="5">
        <v>454654</v>
      </c>
      <c r="J225" s="5">
        <v>440794</v>
      </c>
      <c r="K225" s="5">
        <v>1121036</v>
      </c>
    </row>
    <row r="226" spans="1:11">
      <c r="A226" s="4" t="s">
        <v>125</v>
      </c>
      <c r="B226" s="5">
        <v>3015</v>
      </c>
      <c r="C226" s="5">
        <v>635</v>
      </c>
      <c r="D226" s="5">
        <v>8970</v>
      </c>
      <c r="E226" s="5">
        <v>14</v>
      </c>
      <c r="F226" s="5">
        <v>27</v>
      </c>
      <c r="G226" s="5">
        <v>423</v>
      </c>
      <c r="H226" s="5">
        <v>3291</v>
      </c>
      <c r="I226" s="5">
        <v>31004</v>
      </c>
      <c r="J226" s="5">
        <v>29971</v>
      </c>
      <c r="K226" s="5">
        <v>77350</v>
      </c>
    </row>
    <row r="227" spans="1:11">
      <c r="A227" s="4" t="s">
        <v>126</v>
      </c>
      <c r="B227" s="5">
        <v>2407</v>
      </c>
      <c r="C227" s="5">
        <v>400</v>
      </c>
      <c r="D227" s="5">
        <v>6921</v>
      </c>
      <c r="E227" s="5">
        <v>13</v>
      </c>
      <c r="F227" s="5">
        <v>46</v>
      </c>
      <c r="G227" s="5">
        <v>267</v>
      </c>
      <c r="H227" s="5">
        <v>2436</v>
      </c>
      <c r="I227" s="5">
        <v>24097</v>
      </c>
      <c r="J227" s="5">
        <v>21087</v>
      </c>
      <c r="K227" s="5">
        <v>57674</v>
      </c>
    </row>
    <row r="228" spans="1:11">
      <c r="A228" s="4" t="s">
        <v>129</v>
      </c>
      <c r="B228" s="5">
        <v>3028</v>
      </c>
      <c r="C228" s="5">
        <v>632</v>
      </c>
      <c r="D228" s="5">
        <v>8021</v>
      </c>
      <c r="E228" s="5">
        <v>5</v>
      </c>
      <c r="F228" s="5">
        <v>124</v>
      </c>
      <c r="G228" s="5">
        <v>422</v>
      </c>
      <c r="H228" s="5">
        <v>3166</v>
      </c>
      <c r="I228" s="5">
        <v>30127</v>
      </c>
      <c r="J228" s="5">
        <v>33124</v>
      </c>
      <c r="K228" s="5">
        <v>78649</v>
      </c>
    </row>
    <row r="229" spans="1:11">
      <c r="A229" s="3" t="s">
        <v>430</v>
      </c>
      <c r="B229" s="5">
        <v>52281</v>
      </c>
      <c r="C229" s="5">
        <v>16504</v>
      </c>
      <c r="D229" s="5">
        <v>185798</v>
      </c>
      <c r="E229" s="5">
        <v>198</v>
      </c>
      <c r="F229" s="5">
        <v>2219</v>
      </c>
      <c r="G229" s="5">
        <v>11005</v>
      </c>
      <c r="H229" s="5">
        <v>63597</v>
      </c>
      <c r="I229" s="5">
        <v>739838</v>
      </c>
      <c r="J229" s="5">
        <v>858860</v>
      </c>
      <c r="K229" s="5">
        <v>1930300</v>
      </c>
    </row>
    <row r="230" spans="1:11">
      <c r="A230" s="4" t="s">
        <v>441</v>
      </c>
      <c r="B230" s="5">
        <v>2624</v>
      </c>
      <c r="C230" s="5">
        <v>587</v>
      </c>
      <c r="D230" s="5">
        <v>9450</v>
      </c>
      <c r="E230" s="5">
        <v>15</v>
      </c>
      <c r="F230" s="5">
        <v>44</v>
      </c>
      <c r="G230" s="5">
        <v>391</v>
      </c>
      <c r="H230" s="5">
        <v>3279</v>
      </c>
      <c r="I230" s="5">
        <v>37754</v>
      </c>
      <c r="J230" s="5">
        <v>44418</v>
      </c>
      <c r="K230" s="5">
        <v>98562</v>
      </c>
    </row>
    <row r="231" spans="1:11">
      <c r="A231" s="4" t="s">
        <v>439</v>
      </c>
      <c r="B231" s="5">
        <v>3108</v>
      </c>
      <c r="C231" s="5">
        <v>1309</v>
      </c>
      <c r="D231" s="5">
        <v>11257</v>
      </c>
      <c r="E231" s="5">
        <v>33</v>
      </c>
      <c r="F231" s="5">
        <v>101</v>
      </c>
      <c r="G231" s="5">
        <v>873</v>
      </c>
      <c r="H231" s="5">
        <v>3698</v>
      </c>
      <c r="I231" s="5">
        <v>48989</v>
      </c>
      <c r="J231" s="5">
        <v>68213</v>
      </c>
      <c r="K231" s="5">
        <v>137581</v>
      </c>
    </row>
    <row r="232" spans="1:11">
      <c r="A232" s="4" t="s">
        <v>432</v>
      </c>
      <c r="B232" s="5">
        <v>2247</v>
      </c>
      <c r="C232" s="5">
        <v>569</v>
      </c>
      <c r="D232" s="5">
        <v>5991</v>
      </c>
      <c r="E232" s="5">
        <v>10</v>
      </c>
      <c r="F232" s="5">
        <v>60</v>
      </c>
      <c r="G232" s="5">
        <v>379</v>
      </c>
      <c r="H232" s="5">
        <v>2331</v>
      </c>
      <c r="I232" s="5">
        <v>18794</v>
      </c>
      <c r="J232" s="5">
        <v>16890</v>
      </c>
      <c r="K232" s="5">
        <v>47271</v>
      </c>
    </row>
    <row r="233" spans="1:11">
      <c r="A233" s="4" t="s">
        <v>433</v>
      </c>
      <c r="B233" s="5">
        <v>2271</v>
      </c>
      <c r="C233" s="5">
        <v>217</v>
      </c>
      <c r="D233" s="5">
        <v>8088</v>
      </c>
      <c r="E233" s="5">
        <v>0</v>
      </c>
      <c r="F233" s="5">
        <v>49</v>
      </c>
      <c r="G233" s="5">
        <v>145</v>
      </c>
      <c r="H233" s="5">
        <v>2749</v>
      </c>
      <c r="I233" s="5">
        <v>30133</v>
      </c>
      <c r="J233" s="5">
        <v>37960</v>
      </c>
      <c r="K233" s="5">
        <v>81612</v>
      </c>
    </row>
    <row r="234" spans="1:11">
      <c r="A234" s="4" t="s">
        <v>442</v>
      </c>
      <c r="B234" s="5">
        <v>2420</v>
      </c>
      <c r="C234" s="5">
        <v>538</v>
      </c>
      <c r="D234" s="5">
        <v>8101</v>
      </c>
      <c r="E234" s="5">
        <v>4</v>
      </c>
      <c r="F234" s="5">
        <v>101</v>
      </c>
      <c r="G234" s="5">
        <v>359</v>
      </c>
      <c r="H234" s="5">
        <v>2700</v>
      </c>
      <c r="I234" s="5">
        <v>32417</v>
      </c>
      <c r="J234" s="5">
        <v>41178</v>
      </c>
      <c r="K234" s="5">
        <v>87818</v>
      </c>
    </row>
    <row r="235" spans="1:11">
      <c r="A235" s="4" t="s">
        <v>434</v>
      </c>
      <c r="B235" s="5">
        <v>3855</v>
      </c>
      <c r="C235" s="5">
        <v>566</v>
      </c>
      <c r="D235" s="5">
        <v>13836</v>
      </c>
      <c r="E235" s="5">
        <v>6</v>
      </c>
      <c r="F235" s="5">
        <v>42</v>
      </c>
      <c r="G235" s="5">
        <v>378</v>
      </c>
      <c r="H235" s="5">
        <v>4763</v>
      </c>
      <c r="I235" s="5">
        <v>55994</v>
      </c>
      <c r="J235" s="5">
        <v>63970</v>
      </c>
      <c r="K235" s="5">
        <v>143410</v>
      </c>
    </row>
    <row r="236" spans="1:11">
      <c r="A236" s="4" t="s">
        <v>435</v>
      </c>
      <c r="B236" s="5">
        <v>2940</v>
      </c>
      <c r="C236" s="5">
        <v>276</v>
      </c>
      <c r="D236" s="5">
        <v>8808</v>
      </c>
      <c r="E236" s="5">
        <v>4</v>
      </c>
      <c r="F236" s="5">
        <v>39</v>
      </c>
      <c r="G236" s="5">
        <v>184</v>
      </c>
      <c r="H236" s="5">
        <v>3330</v>
      </c>
      <c r="I236" s="5">
        <v>29690</v>
      </c>
      <c r="J236" s="5">
        <v>27060</v>
      </c>
      <c r="K236" s="5">
        <v>72331</v>
      </c>
    </row>
    <row r="237" spans="1:11">
      <c r="A237" s="4" t="s">
        <v>440</v>
      </c>
      <c r="B237" s="5">
        <v>2571</v>
      </c>
      <c r="C237" s="5">
        <v>1793</v>
      </c>
      <c r="D237" s="5">
        <v>10052</v>
      </c>
      <c r="E237" s="5">
        <v>53</v>
      </c>
      <c r="F237" s="5">
        <v>343</v>
      </c>
      <c r="G237" s="5">
        <v>1196</v>
      </c>
      <c r="H237" s="5">
        <v>3256</v>
      </c>
      <c r="I237" s="5">
        <v>43843</v>
      </c>
      <c r="J237" s="5">
        <v>59368</v>
      </c>
      <c r="K237" s="5">
        <v>122475</v>
      </c>
    </row>
    <row r="238" spans="1:11">
      <c r="A238" s="4" t="s">
        <v>446</v>
      </c>
      <c r="B238" s="5">
        <v>1654</v>
      </c>
      <c r="C238" s="5">
        <v>338</v>
      </c>
      <c r="D238" s="5">
        <v>5949</v>
      </c>
      <c r="E238" s="5">
        <v>9</v>
      </c>
      <c r="F238" s="5">
        <v>13</v>
      </c>
      <c r="G238" s="5">
        <v>226</v>
      </c>
      <c r="H238" s="5">
        <v>1969</v>
      </c>
      <c r="I238" s="5">
        <v>24292</v>
      </c>
      <c r="J238" s="5">
        <v>29848</v>
      </c>
      <c r="K238" s="5">
        <v>64298</v>
      </c>
    </row>
    <row r="239" spans="1:11">
      <c r="A239" s="4" t="s">
        <v>436</v>
      </c>
      <c r="B239" s="5">
        <v>14938</v>
      </c>
      <c r="C239" s="5">
        <v>6918</v>
      </c>
      <c r="D239" s="5">
        <v>53657</v>
      </c>
      <c r="E239" s="5">
        <v>2</v>
      </c>
      <c r="F239" s="5">
        <v>836</v>
      </c>
      <c r="G239" s="5">
        <v>4612</v>
      </c>
      <c r="H239" s="5">
        <v>18498</v>
      </c>
      <c r="I239" s="5">
        <v>205615</v>
      </c>
      <c r="J239" s="5">
        <v>199128</v>
      </c>
      <c r="K239" s="5">
        <v>504204</v>
      </c>
    </row>
    <row r="240" spans="1:11">
      <c r="A240" s="4" t="s">
        <v>444</v>
      </c>
      <c r="B240" s="5">
        <v>2022</v>
      </c>
      <c r="C240" s="5">
        <v>241</v>
      </c>
      <c r="D240" s="5">
        <v>6352</v>
      </c>
      <c r="E240" s="5">
        <v>1</v>
      </c>
      <c r="F240" s="5">
        <v>4</v>
      </c>
      <c r="G240" s="5">
        <v>161</v>
      </c>
      <c r="H240" s="5">
        <v>2277</v>
      </c>
      <c r="I240" s="5">
        <v>25422</v>
      </c>
      <c r="J240" s="5">
        <v>34202</v>
      </c>
      <c r="K240" s="5">
        <v>70682</v>
      </c>
    </row>
    <row r="241" spans="1:11">
      <c r="A241" s="4" t="s">
        <v>437</v>
      </c>
      <c r="B241" s="5">
        <v>8259</v>
      </c>
      <c r="C241" s="5">
        <v>1309</v>
      </c>
      <c r="D241" s="5">
        <v>32338</v>
      </c>
      <c r="E241" s="5">
        <v>22</v>
      </c>
      <c r="F241" s="5">
        <v>165</v>
      </c>
      <c r="G241" s="5">
        <v>872</v>
      </c>
      <c r="H241" s="5">
        <v>10658</v>
      </c>
      <c r="I241" s="5">
        <v>136202</v>
      </c>
      <c r="J241" s="5">
        <v>168268</v>
      </c>
      <c r="K241" s="5">
        <v>358093</v>
      </c>
    </row>
    <row r="242" spans="1:11">
      <c r="A242" s="4" t="s">
        <v>443</v>
      </c>
      <c r="B242" s="5">
        <v>998</v>
      </c>
      <c r="C242" s="5">
        <v>965</v>
      </c>
      <c r="D242" s="5">
        <v>4550</v>
      </c>
      <c r="E242" s="5">
        <v>11</v>
      </c>
      <c r="F242" s="5">
        <v>130</v>
      </c>
      <c r="G242" s="5">
        <v>643</v>
      </c>
      <c r="H242" s="5">
        <v>1405</v>
      </c>
      <c r="I242" s="5">
        <v>21345</v>
      </c>
      <c r="J242" s="5">
        <v>33802</v>
      </c>
      <c r="K242" s="5">
        <v>63849</v>
      </c>
    </row>
    <row r="243" spans="1:11">
      <c r="A243" s="4" t="s">
        <v>438</v>
      </c>
      <c r="B243" s="5">
        <v>2374</v>
      </c>
      <c r="C243" s="5">
        <v>878</v>
      </c>
      <c r="D243" s="5">
        <v>7369</v>
      </c>
      <c r="E243" s="5">
        <v>28</v>
      </c>
      <c r="F243" s="5">
        <v>292</v>
      </c>
      <c r="G243" s="5">
        <v>586</v>
      </c>
      <c r="H243" s="5">
        <v>2684</v>
      </c>
      <c r="I243" s="5">
        <v>29348</v>
      </c>
      <c r="J243" s="5">
        <v>34555</v>
      </c>
      <c r="K243" s="5">
        <v>78114</v>
      </c>
    </row>
    <row r="244" spans="1:11">
      <c r="A244" s="3" t="s">
        <v>39</v>
      </c>
      <c r="B244" s="5">
        <v>125354</v>
      </c>
      <c r="C244" s="5">
        <v>27079</v>
      </c>
      <c r="D244" s="5">
        <v>344834</v>
      </c>
      <c r="E244" s="5">
        <v>268</v>
      </c>
      <c r="F244" s="5">
        <v>5239</v>
      </c>
      <c r="G244" s="5">
        <v>18053</v>
      </c>
      <c r="H244" s="5">
        <v>134139</v>
      </c>
      <c r="I244" s="5">
        <v>1073033</v>
      </c>
      <c r="J244" s="5">
        <v>871733</v>
      </c>
      <c r="K244" s="5">
        <v>2599732</v>
      </c>
    </row>
    <row r="245" spans="1:11">
      <c r="A245" s="4" t="s">
        <v>41</v>
      </c>
      <c r="B245" s="5">
        <v>3145</v>
      </c>
      <c r="C245" s="5">
        <v>710</v>
      </c>
      <c r="D245" s="5">
        <v>10402</v>
      </c>
      <c r="E245" s="5">
        <v>11</v>
      </c>
      <c r="F245" s="5">
        <v>180</v>
      </c>
      <c r="G245" s="5">
        <v>474</v>
      </c>
      <c r="H245" s="5">
        <v>3566</v>
      </c>
      <c r="I245" s="5">
        <v>38306</v>
      </c>
      <c r="J245" s="5">
        <v>37289</v>
      </c>
      <c r="K245" s="5">
        <v>94083</v>
      </c>
    </row>
    <row r="246" spans="1:11">
      <c r="A246" s="4" t="s">
        <v>42</v>
      </c>
      <c r="B246" s="5">
        <v>6731</v>
      </c>
      <c r="C246" s="5">
        <v>425</v>
      </c>
      <c r="D246" s="5">
        <v>15519</v>
      </c>
      <c r="E246" s="5">
        <v>6</v>
      </c>
      <c r="F246" s="5">
        <v>75</v>
      </c>
      <c r="G246" s="5">
        <v>283</v>
      </c>
      <c r="H246" s="5">
        <v>6572</v>
      </c>
      <c r="I246" s="5">
        <v>44925</v>
      </c>
      <c r="J246" s="5">
        <v>34283</v>
      </c>
      <c r="K246" s="5">
        <v>108819</v>
      </c>
    </row>
    <row r="247" spans="1:11">
      <c r="A247" s="4" t="s">
        <v>53</v>
      </c>
      <c r="B247" s="5">
        <v>2857</v>
      </c>
      <c r="C247" s="5">
        <v>302</v>
      </c>
      <c r="D247" s="5">
        <v>6351</v>
      </c>
      <c r="E247" s="5">
        <v>1</v>
      </c>
      <c r="F247" s="5">
        <v>6</v>
      </c>
      <c r="G247" s="5">
        <v>201</v>
      </c>
      <c r="H247" s="5">
        <v>2713</v>
      </c>
      <c r="I247" s="5">
        <v>17817</v>
      </c>
      <c r="J247" s="5">
        <v>13276</v>
      </c>
      <c r="K247" s="5">
        <v>43524</v>
      </c>
    </row>
    <row r="248" spans="1:11">
      <c r="A248" s="4" t="s">
        <v>43</v>
      </c>
      <c r="B248" s="5">
        <v>7595</v>
      </c>
      <c r="C248" s="5">
        <v>1081</v>
      </c>
      <c r="D248" s="5">
        <v>20750</v>
      </c>
      <c r="E248" s="5">
        <v>20</v>
      </c>
      <c r="F248" s="5">
        <v>169</v>
      </c>
      <c r="G248" s="5">
        <v>721</v>
      </c>
      <c r="H248" s="5">
        <v>8524</v>
      </c>
      <c r="I248" s="5">
        <v>59278</v>
      </c>
      <c r="J248" s="5">
        <v>43927</v>
      </c>
      <c r="K248" s="5">
        <v>142065</v>
      </c>
    </row>
    <row r="249" spans="1:11">
      <c r="A249" s="4" t="s">
        <v>44</v>
      </c>
      <c r="B249" s="5">
        <v>6725</v>
      </c>
      <c r="C249" s="5">
        <v>1390</v>
      </c>
      <c r="D249" s="5">
        <v>21543</v>
      </c>
      <c r="E249" s="5">
        <v>0</v>
      </c>
      <c r="F249" s="5">
        <v>282</v>
      </c>
      <c r="G249" s="5">
        <v>927</v>
      </c>
      <c r="H249" s="5">
        <v>7720</v>
      </c>
      <c r="I249" s="5">
        <v>81295</v>
      </c>
      <c r="J249" s="5">
        <v>85600</v>
      </c>
      <c r="K249" s="5">
        <v>205482</v>
      </c>
    </row>
    <row r="250" spans="1:11">
      <c r="A250" s="4" t="s">
        <v>45</v>
      </c>
      <c r="B250" s="5">
        <v>41454</v>
      </c>
      <c r="C250" s="5">
        <v>14945</v>
      </c>
      <c r="D250" s="5">
        <v>130827</v>
      </c>
      <c r="E250" s="5">
        <v>98</v>
      </c>
      <c r="F250" s="5">
        <v>2855</v>
      </c>
      <c r="G250" s="5">
        <v>9963</v>
      </c>
      <c r="H250" s="5">
        <v>47672</v>
      </c>
      <c r="I250" s="5">
        <v>421520</v>
      </c>
      <c r="J250" s="5">
        <v>327729</v>
      </c>
      <c r="K250" s="5">
        <v>997063</v>
      </c>
    </row>
    <row r="251" spans="1:11">
      <c r="A251" s="4" t="s">
        <v>54</v>
      </c>
      <c r="B251" s="5">
        <v>3034</v>
      </c>
      <c r="C251" s="5">
        <v>326</v>
      </c>
      <c r="D251" s="5">
        <v>8411</v>
      </c>
      <c r="E251" s="5">
        <v>10</v>
      </c>
      <c r="F251" s="5">
        <v>2</v>
      </c>
      <c r="G251" s="5">
        <v>217</v>
      </c>
      <c r="H251" s="5">
        <v>3167</v>
      </c>
      <c r="I251" s="5">
        <v>28721</v>
      </c>
      <c r="J251" s="5">
        <v>27139</v>
      </c>
      <c r="K251" s="5">
        <v>71027</v>
      </c>
    </row>
    <row r="252" spans="1:11">
      <c r="A252" s="4" t="s">
        <v>46</v>
      </c>
      <c r="B252" s="5">
        <v>5320</v>
      </c>
      <c r="C252" s="5">
        <v>889</v>
      </c>
      <c r="D252" s="5">
        <v>11830</v>
      </c>
      <c r="E252" s="5">
        <v>25</v>
      </c>
      <c r="F252" s="5">
        <v>84</v>
      </c>
      <c r="G252" s="5">
        <v>593</v>
      </c>
      <c r="H252" s="5">
        <v>5062</v>
      </c>
      <c r="I252" s="5">
        <v>37675</v>
      </c>
      <c r="J252" s="5">
        <v>34305</v>
      </c>
      <c r="K252" s="5">
        <v>95783</v>
      </c>
    </row>
    <row r="253" spans="1:11">
      <c r="A253" s="4" t="s">
        <v>47</v>
      </c>
      <c r="B253" s="5">
        <v>9301</v>
      </c>
      <c r="C253" s="5">
        <v>1159</v>
      </c>
      <c r="D253" s="5">
        <v>22078</v>
      </c>
      <c r="E253" s="5">
        <v>9</v>
      </c>
      <c r="F253" s="5">
        <v>245</v>
      </c>
      <c r="G253" s="5">
        <v>772</v>
      </c>
      <c r="H253" s="5">
        <v>9318</v>
      </c>
      <c r="I253" s="5">
        <v>61059</v>
      </c>
      <c r="J253" s="5">
        <v>45745</v>
      </c>
      <c r="K253" s="5">
        <v>149686</v>
      </c>
    </row>
    <row r="254" spans="1:11">
      <c r="A254" s="4" t="s">
        <v>55</v>
      </c>
      <c r="B254" s="5">
        <v>3001</v>
      </c>
      <c r="C254" s="5">
        <v>476</v>
      </c>
      <c r="D254" s="5">
        <v>6821</v>
      </c>
      <c r="E254" s="5">
        <v>6</v>
      </c>
      <c r="F254" s="5">
        <v>155</v>
      </c>
      <c r="G254" s="5">
        <v>318</v>
      </c>
      <c r="H254" s="5">
        <v>2807</v>
      </c>
      <c r="I254" s="5">
        <v>18882</v>
      </c>
      <c r="J254" s="5">
        <v>15514</v>
      </c>
      <c r="K254" s="5">
        <v>47980</v>
      </c>
    </row>
    <row r="255" spans="1:11">
      <c r="A255" s="4" t="s">
        <v>52</v>
      </c>
      <c r="B255" s="5">
        <v>3205</v>
      </c>
      <c r="C255" s="5">
        <v>399</v>
      </c>
      <c r="D255" s="5">
        <v>7969</v>
      </c>
      <c r="E255" s="5">
        <v>12</v>
      </c>
      <c r="F255" s="5">
        <v>73</v>
      </c>
      <c r="G255" s="5">
        <v>266</v>
      </c>
      <c r="H255" s="5">
        <v>3247</v>
      </c>
      <c r="I255" s="5">
        <v>22626</v>
      </c>
      <c r="J255" s="5">
        <v>16430</v>
      </c>
      <c r="K255" s="5">
        <v>54227</v>
      </c>
    </row>
    <row r="256" spans="1:11">
      <c r="A256" s="4" t="s">
        <v>48</v>
      </c>
      <c r="B256" s="5">
        <v>6696</v>
      </c>
      <c r="C256" s="5">
        <v>550</v>
      </c>
      <c r="D256" s="5">
        <v>17333</v>
      </c>
      <c r="E256" s="5">
        <v>7</v>
      </c>
      <c r="F256" s="5">
        <v>142</v>
      </c>
      <c r="G256" s="5">
        <v>366</v>
      </c>
      <c r="H256" s="5">
        <v>6830</v>
      </c>
      <c r="I256" s="5">
        <v>51223</v>
      </c>
      <c r="J256" s="5">
        <v>42676</v>
      </c>
      <c r="K256" s="5">
        <v>125823</v>
      </c>
    </row>
    <row r="257" spans="1:11">
      <c r="A257" s="4" t="s">
        <v>49</v>
      </c>
      <c r="B257" s="5">
        <v>5441</v>
      </c>
      <c r="C257" s="5">
        <v>658</v>
      </c>
      <c r="D257" s="5">
        <v>13613</v>
      </c>
      <c r="E257" s="5">
        <v>11</v>
      </c>
      <c r="F257" s="5">
        <v>118</v>
      </c>
      <c r="G257" s="5">
        <v>439</v>
      </c>
      <c r="H257" s="5">
        <v>5505</v>
      </c>
      <c r="I257" s="5">
        <v>37529</v>
      </c>
      <c r="J257" s="5">
        <v>29843</v>
      </c>
      <c r="K257" s="5">
        <v>93157</v>
      </c>
    </row>
    <row r="258" spans="1:11">
      <c r="A258" s="4" t="s">
        <v>51</v>
      </c>
      <c r="B258" s="5">
        <v>10489</v>
      </c>
      <c r="C258" s="5">
        <v>2424</v>
      </c>
      <c r="D258" s="5">
        <v>24521</v>
      </c>
      <c r="E258" s="5">
        <v>12</v>
      </c>
      <c r="F258" s="5">
        <v>726</v>
      </c>
      <c r="G258" s="5">
        <v>1616</v>
      </c>
      <c r="H258" s="5">
        <v>10527</v>
      </c>
      <c r="I258" s="5">
        <v>70833</v>
      </c>
      <c r="J258" s="5">
        <v>52458</v>
      </c>
      <c r="K258" s="5">
        <v>173606</v>
      </c>
    </row>
    <row r="259" spans="1:11">
      <c r="A259" s="4" t="s">
        <v>50</v>
      </c>
      <c r="B259" s="5">
        <v>8018</v>
      </c>
      <c r="C259" s="5">
        <v>1045</v>
      </c>
      <c r="D259" s="5">
        <v>20372</v>
      </c>
      <c r="E259" s="5">
        <v>33</v>
      </c>
      <c r="F259" s="5">
        <v>69</v>
      </c>
      <c r="G259" s="5">
        <v>697</v>
      </c>
      <c r="H259" s="5">
        <v>8365</v>
      </c>
      <c r="I259" s="5">
        <v>59666</v>
      </c>
      <c r="J259" s="5">
        <v>45133</v>
      </c>
      <c r="K259" s="5">
        <v>143398</v>
      </c>
    </row>
    <row r="260" spans="1:11">
      <c r="A260" s="4" t="s">
        <v>57</v>
      </c>
      <c r="B260" s="5">
        <v>2342</v>
      </c>
      <c r="C260" s="5">
        <v>300</v>
      </c>
      <c r="D260" s="5">
        <v>6494</v>
      </c>
      <c r="E260" s="5">
        <v>7</v>
      </c>
      <c r="F260" s="5">
        <v>58</v>
      </c>
      <c r="G260" s="5">
        <v>200</v>
      </c>
      <c r="H260" s="5">
        <v>2544</v>
      </c>
      <c r="I260" s="5">
        <v>21678</v>
      </c>
      <c r="J260" s="5">
        <v>20386</v>
      </c>
      <c r="K260" s="5">
        <v>54009</v>
      </c>
    </row>
    <row r="261" spans="1:11">
      <c r="A261" s="3" t="s">
        <v>316</v>
      </c>
      <c r="B261" s="5">
        <v>57838</v>
      </c>
      <c r="C261" s="5">
        <v>23287</v>
      </c>
      <c r="D261" s="5">
        <v>174090</v>
      </c>
      <c r="E261" s="5">
        <v>437</v>
      </c>
      <c r="F261" s="5">
        <v>1886</v>
      </c>
      <c r="G261" s="5">
        <v>15521</v>
      </c>
      <c r="H261" s="5">
        <v>61242</v>
      </c>
      <c r="I261" s="5">
        <v>708447</v>
      </c>
      <c r="J261" s="5">
        <v>769455</v>
      </c>
      <c r="K261" s="5">
        <v>1812203</v>
      </c>
    </row>
    <row r="262" spans="1:11">
      <c r="A262" s="4" t="s">
        <v>324</v>
      </c>
      <c r="B262" s="5">
        <v>2987</v>
      </c>
      <c r="C262" s="5">
        <v>611</v>
      </c>
      <c r="D262" s="5">
        <v>7529</v>
      </c>
      <c r="E262" s="5">
        <v>1</v>
      </c>
      <c r="F262" s="5">
        <v>200</v>
      </c>
      <c r="G262" s="5">
        <v>407</v>
      </c>
      <c r="H262" s="5">
        <v>2966</v>
      </c>
      <c r="I262" s="5">
        <v>29125</v>
      </c>
      <c r="J262" s="5">
        <v>32621</v>
      </c>
      <c r="K262" s="5">
        <v>76447</v>
      </c>
    </row>
    <row r="263" spans="1:11">
      <c r="A263" s="4" t="s">
        <v>318</v>
      </c>
      <c r="B263" s="5">
        <v>4716</v>
      </c>
      <c r="C263" s="5">
        <v>1186</v>
      </c>
      <c r="D263" s="5">
        <v>12658</v>
      </c>
      <c r="E263" s="5">
        <v>34</v>
      </c>
      <c r="F263" s="5">
        <v>102</v>
      </c>
      <c r="G263" s="5">
        <v>790</v>
      </c>
      <c r="H263" s="5">
        <v>4921</v>
      </c>
      <c r="I263" s="5">
        <v>52022</v>
      </c>
      <c r="J263" s="5">
        <v>63746</v>
      </c>
      <c r="K263" s="5">
        <v>140175</v>
      </c>
    </row>
    <row r="264" spans="1:11">
      <c r="A264" s="4" t="s">
        <v>319</v>
      </c>
      <c r="B264" s="5">
        <v>13438</v>
      </c>
      <c r="C264" s="5">
        <v>2420</v>
      </c>
      <c r="D264" s="5">
        <v>37841</v>
      </c>
      <c r="E264" s="5">
        <v>21</v>
      </c>
      <c r="F264" s="5">
        <v>516</v>
      </c>
      <c r="G264" s="5">
        <v>1614</v>
      </c>
      <c r="H264" s="5">
        <v>13923</v>
      </c>
      <c r="I264" s="5">
        <v>132064</v>
      </c>
      <c r="J264" s="5">
        <v>131398</v>
      </c>
      <c r="K264" s="5">
        <v>333235</v>
      </c>
    </row>
    <row r="265" spans="1:11">
      <c r="A265" s="4" t="s">
        <v>325</v>
      </c>
      <c r="B265" s="5">
        <v>2268</v>
      </c>
      <c r="C265" s="5">
        <v>637</v>
      </c>
      <c r="D265" s="5">
        <v>6915</v>
      </c>
      <c r="E265" s="5">
        <v>10</v>
      </c>
      <c r="F265" s="5">
        <v>182</v>
      </c>
      <c r="G265" s="5">
        <v>425</v>
      </c>
      <c r="H265" s="5">
        <v>2330</v>
      </c>
      <c r="I265" s="5">
        <v>30492</v>
      </c>
      <c r="J265" s="5">
        <v>31772</v>
      </c>
      <c r="K265" s="5">
        <v>75031</v>
      </c>
    </row>
    <row r="266" spans="1:11">
      <c r="A266" s="4" t="s">
        <v>320</v>
      </c>
      <c r="B266" s="5">
        <v>15372</v>
      </c>
      <c r="C266" s="5">
        <v>1376</v>
      </c>
      <c r="D266" s="5">
        <v>50980</v>
      </c>
      <c r="E266" s="5">
        <v>24</v>
      </c>
      <c r="F266" s="5">
        <v>149</v>
      </c>
      <c r="G266" s="5">
        <v>917</v>
      </c>
      <c r="H266" s="5">
        <v>16949</v>
      </c>
      <c r="I266" s="5">
        <v>212063</v>
      </c>
      <c r="J266" s="5">
        <v>214784</v>
      </c>
      <c r="K266" s="5">
        <v>512614</v>
      </c>
    </row>
    <row r="267" spans="1:11">
      <c r="A267" s="4" t="s">
        <v>321</v>
      </c>
      <c r="B267" s="5">
        <v>3735</v>
      </c>
      <c r="C267" s="5">
        <v>949</v>
      </c>
      <c r="D267" s="5">
        <v>11765</v>
      </c>
      <c r="E267" s="5">
        <v>3</v>
      </c>
      <c r="F267" s="5">
        <v>44</v>
      </c>
      <c r="G267" s="5">
        <v>632</v>
      </c>
      <c r="H267" s="5">
        <v>4205</v>
      </c>
      <c r="I267" s="5">
        <v>54922</v>
      </c>
      <c r="J267" s="5">
        <v>70651</v>
      </c>
      <c r="K267" s="5">
        <v>146906</v>
      </c>
    </row>
    <row r="268" spans="1:11">
      <c r="A268" s="4" t="s">
        <v>327</v>
      </c>
      <c r="B268" s="5">
        <v>1430</v>
      </c>
      <c r="C268" s="5">
        <v>339</v>
      </c>
      <c r="D268" s="5">
        <v>4031</v>
      </c>
      <c r="E268" s="5">
        <v>7</v>
      </c>
      <c r="F268" s="5">
        <v>109</v>
      </c>
      <c r="G268" s="5">
        <v>226</v>
      </c>
      <c r="H268" s="5">
        <v>1436</v>
      </c>
      <c r="I268" s="5">
        <v>15856</v>
      </c>
      <c r="J268" s="5">
        <v>18701</v>
      </c>
      <c r="K268" s="5">
        <v>42135</v>
      </c>
    </row>
    <row r="269" spans="1:11">
      <c r="A269" s="4" t="s">
        <v>322</v>
      </c>
      <c r="B269" s="5">
        <v>5423</v>
      </c>
      <c r="C269" s="5">
        <v>1114</v>
      </c>
      <c r="D269" s="5">
        <v>17178</v>
      </c>
      <c r="E269" s="5">
        <v>28</v>
      </c>
      <c r="F269" s="5">
        <v>195</v>
      </c>
      <c r="G269" s="5">
        <v>742</v>
      </c>
      <c r="H269" s="5">
        <v>5890</v>
      </c>
      <c r="I269" s="5">
        <v>70131</v>
      </c>
      <c r="J269" s="5">
        <v>77156</v>
      </c>
      <c r="K269" s="5">
        <v>177857</v>
      </c>
    </row>
    <row r="270" spans="1:11">
      <c r="A270" s="4" t="s">
        <v>329</v>
      </c>
      <c r="B270" s="5">
        <v>1046</v>
      </c>
      <c r="C270" s="5"/>
      <c r="D270" s="5">
        <v>3206</v>
      </c>
      <c r="E270" s="5"/>
      <c r="F270" s="5">
        <v>0</v>
      </c>
      <c r="G270" s="5"/>
      <c r="H270" s="5">
        <v>1067</v>
      </c>
      <c r="I270" s="5">
        <v>15218</v>
      </c>
      <c r="J270" s="5">
        <v>18367</v>
      </c>
      <c r="K270" s="5">
        <v>38904</v>
      </c>
    </row>
    <row r="271" spans="1:11">
      <c r="A271" s="4" t="s">
        <v>326</v>
      </c>
      <c r="B271" s="5">
        <v>2527</v>
      </c>
      <c r="C271" s="5">
        <v>613</v>
      </c>
      <c r="D271" s="5">
        <v>7414</v>
      </c>
      <c r="E271" s="5">
        <v>14</v>
      </c>
      <c r="F271" s="5">
        <v>168</v>
      </c>
      <c r="G271" s="5">
        <v>408</v>
      </c>
      <c r="H271" s="5">
        <v>2596</v>
      </c>
      <c r="I271" s="5">
        <v>30335</v>
      </c>
      <c r="J271" s="5">
        <v>32960</v>
      </c>
      <c r="K271" s="5">
        <v>77035</v>
      </c>
    </row>
    <row r="272" spans="1:11">
      <c r="A272" s="4" t="s">
        <v>323</v>
      </c>
      <c r="B272" s="5">
        <v>4896</v>
      </c>
      <c r="C272" s="5"/>
      <c r="D272" s="5">
        <v>14573</v>
      </c>
      <c r="E272" s="5"/>
      <c r="F272" s="5">
        <v>221</v>
      </c>
      <c r="G272" s="5"/>
      <c r="H272" s="5">
        <v>4959</v>
      </c>
      <c r="I272" s="5">
        <v>66219</v>
      </c>
      <c r="J272" s="5">
        <v>77299</v>
      </c>
      <c r="K272" s="5">
        <v>168167</v>
      </c>
    </row>
    <row r="273" spans="1:11">
      <c r="A273" s="4" t="s">
        <v>819</v>
      </c>
      <c r="B273" s="5"/>
      <c r="C273" s="5">
        <v>7021</v>
      </c>
      <c r="D273" s="5"/>
      <c r="E273" s="5">
        <v>216</v>
      </c>
      <c r="F273" s="5"/>
      <c r="G273" s="5">
        <v>4680</v>
      </c>
      <c r="H273" s="5"/>
      <c r="I273" s="5"/>
      <c r="J273" s="5"/>
      <c r="K273" s="5">
        <v>11917</v>
      </c>
    </row>
    <row r="274" spans="1:11">
      <c r="A274" s="4" t="s">
        <v>817</v>
      </c>
      <c r="B274" s="5"/>
      <c r="C274" s="5">
        <v>7021</v>
      </c>
      <c r="D274" s="5"/>
      <c r="E274" s="5">
        <v>79</v>
      </c>
      <c r="F274" s="5"/>
      <c r="G274" s="5">
        <v>4680</v>
      </c>
      <c r="H274" s="5"/>
      <c r="I274" s="5"/>
      <c r="J274" s="5"/>
      <c r="K274" s="5">
        <v>11780</v>
      </c>
    </row>
    <row r="275" spans="1:11">
      <c r="A275" s="3" t="s">
        <v>56</v>
      </c>
      <c r="B275" s="5">
        <v>139268</v>
      </c>
      <c r="C275" s="5">
        <v>39232</v>
      </c>
      <c r="D275" s="5">
        <v>410954</v>
      </c>
      <c r="E275" s="5">
        <v>703</v>
      </c>
      <c r="F275" s="5">
        <v>7172</v>
      </c>
      <c r="G275" s="5">
        <v>26156</v>
      </c>
      <c r="H275" s="5">
        <v>153259</v>
      </c>
      <c r="I275" s="5">
        <v>1403545</v>
      </c>
      <c r="J275" s="5">
        <v>1213717</v>
      </c>
      <c r="K275" s="5">
        <v>3394006</v>
      </c>
    </row>
    <row r="276" spans="1:11">
      <c r="A276" s="4" t="s">
        <v>58</v>
      </c>
      <c r="B276" s="5">
        <v>15730</v>
      </c>
      <c r="C276" s="5">
        <v>4327</v>
      </c>
      <c r="D276" s="5">
        <v>50030</v>
      </c>
      <c r="E276" s="5">
        <v>102</v>
      </c>
      <c r="F276" s="5">
        <v>998</v>
      </c>
      <c r="G276" s="5">
        <v>2885</v>
      </c>
      <c r="H276" s="5">
        <v>18036</v>
      </c>
      <c r="I276" s="5">
        <v>174836</v>
      </c>
      <c r="J276" s="5">
        <v>148450</v>
      </c>
      <c r="K276" s="5">
        <v>415394</v>
      </c>
    </row>
    <row r="277" spans="1:11">
      <c r="A277" s="4" t="s">
        <v>59</v>
      </c>
      <c r="B277" s="5">
        <v>23598</v>
      </c>
      <c r="C277" s="5">
        <v>7502</v>
      </c>
      <c r="D277" s="5">
        <v>66021</v>
      </c>
      <c r="E277" s="5">
        <v>200</v>
      </c>
      <c r="F277" s="5">
        <v>1410</v>
      </c>
      <c r="G277" s="5">
        <v>5002</v>
      </c>
      <c r="H277" s="5">
        <v>25351</v>
      </c>
      <c r="I277" s="5">
        <v>223395</v>
      </c>
      <c r="J277" s="5">
        <v>199652</v>
      </c>
      <c r="K277" s="5">
        <v>552131</v>
      </c>
    </row>
    <row r="278" spans="1:11">
      <c r="A278" s="4" t="s">
        <v>68</v>
      </c>
      <c r="B278" s="5">
        <v>5309</v>
      </c>
      <c r="C278" s="5">
        <v>947</v>
      </c>
      <c r="D278" s="5">
        <v>16443</v>
      </c>
      <c r="E278" s="5">
        <v>15</v>
      </c>
      <c r="F278" s="5">
        <v>281</v>
      </c>
      <c r="G278" s="5">
        <v>631</v>
      </c>
      <c r="H278" s="5">
        <v>5836</v>
      </c>
      <c r="I278" s="5">
        <v>56886</v>
      </c>
      <c r="J278" s="5">
        <v>52150</v>
      </c>
      <c r="K278" s="5">
        <v>138498</v>
      </c>
    </row>
    <row r="279" spans="1:11">
      <c r="A279" s="4" t="s">
        <v>60</v>
      </c>
      <c r="B279" s="5">
        <v>6813</v>
      </c>
      <c r="C279" s="5">
        <v>1830</v>
      </c>
      <c r="D279" s="5">
        <v>20697</v>
      </c>
      <c r="E279" s="5">
        <v>52</v>
      </c>
      <c r="F279" s="5">
        <v>462</v>
      </c>
      <c r="G279" s="5">
        <v>1220</v>
      </c>
      <c r="H279" s="5">
        <v>7607</v>
      </c>
      <c r="I279" s="5">
        <v>71416</v>
      </c>
      <c r="J279" s="5">
        <v>63033</v>
      </c>
      <c r="K279" s="5">
        <v>173130</v>
      </c>
    </row>
    <row r="280" spans="1:11">
      <c r="A280" s="4" t="s">
        <v>61</v>
      </c>
      <c r="B280" s="5">
        <v>8655</v>
      </c>
      <c r="C280" s="5">
        <v>1736</v>
      </c>
      <c r="D280" s="5">
        <v>23299</v>
      </c>
      <c r="E280" s="5">
        <v>45</v>
      </c>
      <c r="F280" s="5">
        <v>358</v>
      </c>
      <c r="G280" s="5">
        <v>1157</v>
      </c>
      <c r="H280" s="5">
        <v>9276</v>
      </c>
      <c r="I280" s="5">
        <v>70753</v>
      </c>
      <c r="J280" s="5">
        <v>55710</v>
      </c>
      <c r="K280" s="5">
        <v>170989</v>
      </c>
    </row>
    <row r="281" spans="1:11">
      <c r="A281" s="4" t="s">
        <v>72</v>
      </c>
      <c r="B281" s="5">
        <v>3246</v>
      </c>
      <c r="C281" s="5">
        <v>554</v>
      </c>
      <c r="D281" s="5">
        <v>9330</v>
      </c>
      <c r="E281" s="5">
        <v>2</v>
      </c>
      <c r="F281" s="5">
        <v>119</v>
      </c>
      <c r="G281" s="5">
        <v>370</v>
      </c>
      <c r="H281" s="5">
        <v>3461</v>
      </c>
      <c r="I281" s="5">
        <v>32243</v>
      </c>
      <c r="J281" s="5">
        <v>30100</v>
      </c>
      <c r="K281" s="5">
        <v>79425</v>
      </c>
    </row>
    <row r="282" spans="1:11">
      <c r="A282" s="4" t="s">
        <v>71</v>
      </c>
      <c r="B282" s="5">
        <v>5028</v>
      </c>
      <c r="C282" s="5">
        <v>1564</v>
      </c>
      <c r="D282" s="5">
        <v>14826</v>
      </c>
      <c r="E282" s="5">
        <v>38</v>
      </c>
      <c r="F282" s="5">
        <v>437</v>
      </c>
      <c r="G282" s="5">
        <v>1042</v>
      </c>
      <c r="H282" s="5">
        <v>5495</v>
      </c>
      <c r="I282" s="5">
        <v>50604</v>
      </c>
      <c r="J282" s="5">
        <v>41756</v>
      </c>
      <c r="K282" s="5">
        <v>120790</v>
      </c>
    </row>
    <row r="283" spans="1:11">
      <c r="A283" s="4" t="s">
        <v>62</v>
      </c>
      <c r="B283" s="5">
        <v>4012</v>
      </c>
      <c r="C283" s="5">
        <v>1067</v>
      </c>
      <c r="D283" s="5">
        <v>10607</v>
      </c>
      <c r="E283" s="5">
        <v>6</v>
      </c>
      <c r="F283" s="5">
        <v>157</v>
      </c>
      <c r="G283" s="5">
        <v>711</v>
      </c>
      <c r="H283" s="5">
        <v>4309</v>
      </c>
      <c r="I283" s="5">
        <v>31237</v>
      </c>
      <c r="J283" s="5">
        <v>24401</v>
      </c>
      <c r="K283" s="5">
        <v>76507</v>
      </c>
    </row>
    <row r="284" spans="1:11">
      <c r="A284" s="4" t="s">
        <v>63</v>
      </c>
      <c r="B284" s="5">
        <v>19946</v>
      </c>
      <c r="C284" s="5">
        <v>3798</v>
      </c>
      <c r="D284" s="5">
        <v>61969</v>
      </c>
      <c r="E284" s="5">
        <v>95</v>
      </c>
      <c r="F284" s="5">
        <v>1017</v>
      </c>
      <c r="G284" s="5">
        <v>2532</v>
      </c>
      <c r="H284" s="5">
        <v>22504</v>
      </c>
      <c r="I284" s="5">
        <v>219563</v>
      </c>
      <c r="J284" s="5">
        <v>187885</v>
      </c>
      <c r="K284" s="5">
        <v>519309</v>
      </c>
    </row>
    <row r="285" spans="1:11">
      <c r="A285" s="4" t="s">
        <v>64</v>
      </c>
      <c r="B285" s="5">
        <v>2242</v>
      </c>
      <c r="C285" s="5">
        <v>515</v>
      </c>
      <c r="D285" s="5">
        <v>5845</v>
      </c>
      <c r="E285" s="5">
        <v>15</v>
      </c>
      <c r="F285" s="5">
        <v>37</v>
      </c>
      <c r="G285" s="5">
        <v>344</v>
      </c>
      <c r="H285" s="5">
        <v>2360</v>
      </c>
      <c r="I285" s="5">
        <v>17927</v>
      </c>
      <c r="J285" s="5">
        <v>15359</v>
      </c>
      <c r="K285" s="5">
        <v>44644</v>
      </c>
    </row>
    <row r="286" spans="1:11">
      <c r="A286" s="4" t="s">
        <v>78</v>
      </c>
      <c r="B286" s="5">
        <v>1573</v>
      </c>
      <c r="C286" s="5">
        <v>272</v>
      </c>
      <c r="D286" s="5">
        <v>3313</v>
      </c>
      <c r="E286" s="5">
        <v>4</v>
      </c>
      <c r="F286" s="5">
        <v>53</v>
      </c>
      <c r="G286" s="5">
        <v>182</v>
      </c>
      <c r="H286" s="5">
        <v>1496</v>
      </c>
      <c r="I286" s="5">
        <v>9863</v>
      </c>
      <c r="J286" s="5">
        <v>8620</v>
      </c>
      <c r="K286" s="5">
        <v>25376</v>
      </c>
    </row>
    <row r="287" spans="1:11">
      <c r="A287" s="4" t="s">
        <v>77</v>
      </c>
      <c r="B287" s="5">
        <v>1029</v>
      </c>
      <c r="C287" s="5">
        <v>257</v>
      </c>
      <c r="D287" s="5">
        <v>2619</v>
      </c>
      <c r="E287" s="5">
        <v>7</v>
      </c>
      <c r="F287" s="5">
        <v>41</v>
      </c>
      <c r="G287" s="5">
        <v>171</v>
      </c>
      <c r="H287" s="5">
        <v>944</v>
      </c>
      <c r="I287" s="5">
        <v>7873</v>
      </c>
      <c r="J287" s="5">
        <v>6998</v>
      </c>
      <c r="K287" s="5">
        <v>19939</v>
      </c>
    </row>
    <row r="288" spans="1:11">
      <c r="A288" s="4" t="s">
        <v>75</v>
      </c>
      <c r="B288" s="5">
        <v>1968</v>
      </c>
      <c r="C288" s="5">
        <v>242</v>
      </c>
      <c r="D288" s="5">
        <v>6366</v>
      </c>
      <c r="E288" s="5">
        <v>1</v>
      </c>
      <c r="F288" s="5">
        <v>73</v>
      </c>
      <c r="G288" s="5">
        <v>161</v>
      </c>
      <c r="H288" s="5">
        <v>2240</v>
      </c>
      <c r="I288" s="5">
        <v>23302</v>
      </c>
      <c r="J288" s="5">
        <v>19559</v>
      </c>
      <c r="K288" s="5">
        <v>53912</v>
      </c>
    </row>
    <row r="289" spans="1:11">
      <c r="A289" s="4" t="s">
        <v>74</v>
      </c>
      <c r="B289" s="5">
        <v>2240</v>
      </c>
      <c r="C289" s="5">
        <v>1446</v>
      </c>
      <c r="D289" s="5">
        <v>7497</v>
      </c>
      <c r="E289" s="5">
        <v>2</v>
      </c>
      <c r="F289" s="5">
        <v>215</v>
      </c>
      <c r="G289" s="5">
        <v>964</v>
      </c>
      <c r="H289" s="5">
        <v>2600</v>
      </c>
      <c r="I289" s="5">
        <v>25901</v>
      </c>
      <c r="J289" s="5">
        <v>22387</v>
      </c>
      <c r="K289" s="5">
        <v>63252</v>
      </c>
    </row>
    <row r="290" spans="1:11">
      <c r="A290" s="4" t="s">
        <v>65</v>
      </c>
      <c r="B290" s="5">
        <v>13417</v>
      </c>
      <c r="C290" s="5">
        <v>1748</v>
      </c>
      <c r="D290" s="5">
        <v>39854</v>
      </c>
      <c r="E290" s="5">
        <v>11</v>
      </c>
      <c r="F290" s="5">
        <v>534</v>
      </c>
      <c r="G290" s="5">
        <v>1166</v>
      </c>
      <c r="H290" s="5">
        <v>14957</v>
      </c>
      <c r="I290" s="5">
        <v>133661</v>
      </c>
      <c r="J290" s="5">
        <v>111849</v>
      </c>
      <c r="K290" s="5">
        <v>317197</v>
      </c>
    </row>
    <row r="291" spans="1:11">
      <c r="A291" s="4" t="s">
        <v>80</v>
      </c>
      <c r="B291" s="5">
        <v>1246</v>
      </c>
      <c r="C291" s="5"/>
      <c r="D291" s="5">
        <v>3105</v>
      </c>
      <c r="E291" s="5"/>
      <c r="F291" s="5">
        <v>18</v>
      </c>
      <c r="G291" s="5"/>
      <c r="H291" s="5">
        <v>1162</v>
      </c>
      <c r="I291" s="5">
        <v>9826</v>
      </c>
      <c r="J291" s="5">
        <v>8151</v>
      </c>
      <c r="K291" s="5">
        <v>23508</v>
      </c>
    </row>
    <row r="292" spans="1:11">
      <c r="A292" s="4" t="s">
        <v>73</v>
      </c>
      <c r="B292" s="5">
        <v>1811</v>
      </c>
      <c r="C292" s="5">
        <v>318</v>
      </c>
      <c r="D292" s="5">
        <v>5168</v>
      </c>
      <c r="E292" s="5">
        <v>4</v>
      </c>
      <c r="F292" s="5">
        <v>50</v>
      </c>
      <c r="G292" s="5">
        <v>212</v>
      </c>
      <c r="H292" s="5">
        <v>1917</v>
      </c>
      <c r="I292" s="5">
        <v>16519</v>
      </c>
      <c r="J292" s="5">
        <v>14731</v>
      </c>
      <c r="K292" s="5">
        <v>40730</v>
      </c>
    </row>
    <row r="293" spans="1:11">
      <c r="A293" s="4" t="s">
        <v>69</v>
      </c>
      <c r="B293" s="5">
        <v>3711</v>
      </c>
      <c r="C293" s="5">
        <v>560</v>
      </c>
      <c r="D293" s="5">
        <v>12058</v>
      </c>
      <c r="E293" s="5">
        <v>16</v>
      </c>
      <c r="F293" s="5">
        <v>91</v>
      </c>
      <c r="G293" s="5">
        <v>374</v>
      </c>
      <c r="H293" s="5">
        <v>4328</v>
      </c>
      <c r="I293" s="5">
        <v>42689</v>
      </c>
      <c r="J293" s="5">
        <v>36749</v>
      </c>
      <c r="K293" s="5">
        <v>100576</v>
      </c>
    </row>
    <row r="294" spans="1:11">
      <c r="A294" s="4" t="s">
        <v>76</v>
      </c>
      <c r="B294" s="5">
        <v>2402</v>
      </c>
      <c r="C294" s="5">
        <v>510</v>
      </c>
      <c r="D294" s="5">
        <v>6601</v>
      </c>
      <c r="E294" s="5">
        <v>11</v>
      </c>
      <c r="F294" s="5">
        <v>84</v>
      </c>
      <c r="G294" s="5">
        <v>340</v>
      </c>
      <c r="H294" s="5">
        <v>2498</v>
      </c>
      <c r="I294" s="5">
        <v>22705</v>
      </c>
      <c r="J294" s="5">
        <v>21174</v>
      </c>
      <c r="K294" s="5">
        <v>56325</v>
      </c>
    </row>
    <row r="295" spans="1:11">
      <c r="A295" s="4" t="s">
        <v>70</v>
      </c>
      <c r="B295" s="5">
        <v>4150</v>
      </c>
      <c r="C295" s="5">
        <v>900</v>
      </c>
      <c r="D295" s="5">
        <v>13286</v>
      </c>
      <c r="E295" s="5">
        <v>2</v>
      </c>
      <c r="F295" s="5">
        <v>293</v>
      </c>
      <c r="G295" s="5">
        <v>600</v>
      </c>
      <c r="H295" s="5">
        <v>4758</v>
      </c>
      <c r="I295" s="5">
        <v>50038</v>
      </c>
      <c r="J295" s="5">
        <v>48716</v>
      </c>
      <c r="K295" s="5">
        <v>122743</v>
      </c>
    </row>
    <row r="296" spans="1:11">
      <c r="A296" s="4" t="s">
        <v>66</v>
      </c>
      <c r="B296" s="5">
        <v>5288</v>
      </c>
      <c r="C296" s="5">
        <v>1002</v>
      </c>
      <c r="D296" s="5">
        <v>14891</v>
      </c>
      <c r="E296" s="5">
        <v>2</v>
      </c>
      <c r="F296" s="5">
        <v>168</v>
      </c>
      <c r="G296" s="5">
        <v>668</v>
      </c>
      <c r="H296" s="5">
        <v>5675</v>
      </c>
      <c r="I296" s="5">
        <v>51555</v>
      </c>
      <c r="J296" s="5">
        <v>45314</v>
      </c>
      <c r="K296" s="5">
        <v>124563</v>
      </c>
    </row>
    <row r="297" spans="1:11">
      <c r="A297" s="4" t="s">
        <v>67</v>
      </c>
      <c r="B297" s="5">
        <v>5854</v>
      </c>
      <c r="C297" s="5">
        <v>1116</v>
      </c>
      <c r="D297" s="5">
        <v>17129</v>
      </c>
      <c r="E297" s="5">
        <v>6</v>
      </c>
      <c r="F297" s="5">
        <v>276</v>
      </c>
      <c r="G297" s="5">
        <v>744</v>
      </c>
      <c r="H297" s="5">
        <v>6449</v>
      </c>
      <c r="I297" s="5">
        <v>60753</v>
      </c>
      <c r="J297" s="5">
        <v>50973</v>
      </c>
      <c r="K297" s="5">
        <v>143300</v>
      </c>
    </row>
    <row r="298" spans="1:11">
      <c r="A298" s="4" t="s">
        <v>850</v>
      </c>
      <c r="B298" s="5"/>
      <c r="C298" s="5">
        <v>7021</v>
      </c>
      <c r="D298" s="5"/>
      <c r="E298" s="5">
        <v>67</v>
      </c>
      <c r="F298" s="5"/>
      <c r="G298" s="5">
        <v>4680</v>
      </c>
      <c r="H298" s="5"/>
      <c r="I298" s="5"/>
      <c r="J298" s="5"/>
      <c r="K298" s="5">
        <v>11768</v>
      </c>
    </row>
    <row r="299" spans="1:11">
      <c r="A299" s="3" t="s">
        <v>27</v>
      </c>
      <c r="B299" s="5">
        <v>60493</v>
      </c>
      <c r="C299" s="5">
        <v>13759</v>
      </c>
      <c r="D299" s="5">
        <v>159864</v>
      </c>
      <c r="E299" s="5">
        <v>230</v>
      </c>
      <c r="F299" s="5">
        <v>2884</v>
      </c>
      <c r="G299" s="5">
        <v>9171</v>
      </c>
      <c r="H299" s="5">
        <v>61968</v>
      </c>
      <c r="I299" s="5">
        <v>592478</v>
      </c>
      <c r="J299" s="5">
        <v>568052</v>
      </c>
      <c r="K299" s="5">
        <v>1468899</v>
      </c>
    </row>
    <row r="300" spans="1:11">
      <c r="A300" s="4" t="s">
        <v>28</v>
      </c>
      <c r="B300" s="5">
        <v>22286</v>
      </c>
      <c r="C300" s="5">
        <v>7021</v>
      </c>
      <c r="D300" s="5">
        <v>67825</v>
      </c>
      <c r="E300" s="5">
        <v>113</v>
      </c>
      <c r="F300" s="5">
        <v>1372</v>
      </c>
      <c r="G300" s="5">
        <v>4680</v>
      </c>
      <c r="H300" s="5">
        <v>24629</v>
      </c>
      <c r="I300" s="5">
        <v>254134</v>
      </c>
      <c r="J300" s="5">
        <v>230364</v>
      </c>
      <c r="K300" s="5">
        <v>612424</v>
      </c>
    </row>
    <row r="301" spans="1:11">
      <c r="A301" s="4" t="s">
        <v>29</v>
      </c>
      <c r="B301" s="5">
        <v>1177</v>
      </c>
      <c r="C301" s="5">
        <v>241</v>
      </c>
      <c r="D301" s="5">
        <v>2079</v>
      </c>
      <c r="E301" s="5">
        <v>3</v>
      </c>
      <c r="F301" s="5">
        <v>77</v>
      </c>
      <c r="G301" s="5">
        <v>161</v>
      </c>
      <c r="H301" s="5">
        <v>979</v>
      </c>
      <c r="I301" s="5">
        <v>6123</v>
      </c>
      <c r="J301" s="5">
        <v>5564</v>
      </c>
      <c r="K301" s="5">
        <v>16404</v>
      </c>
    </row>
    <row r="302" spans="1:11">
      <c r="A302" s="4" t="s">
        <v>30</v>
      </c>
      <c r="B302" s="5">
        <v>2017</v>
      </c>
      <c r="C302" s="5">
        <v>335</v>
      </c>
      <c r="D302" s="5">
        <v>3306</v>
      </c>
      <c r="E302" s="5">
        <v>2</v>
      </c>
      <c r="F302" s="5">
        <v>48</v>
      </c>
      <c r="G302" s="5">
        <v>224</v>
      </c>
      <c r="H302" s="5">
        <v>1759</v>
      </c>
      <c r="I302" s="5">
        <v>9297</v>
      </c>
      <c r="J302" s="5">
        <v>8665</v>
      </c>
      <c r="K302" s="5">
        <v>25653</v>
      </c>
    </row>
    <row r="303" spans="1:11">
      <c r="A303" s="4" t="s">
        <v>31</v>
      </c>
      <c r="B303" s="5">
        <v>5956</v>
      </c>
      <c r="C303" s="5">
        <v>922</v>
      </c>
      <c r="D303" s="5">
        <v>13709</v>
      </c>
      <c r="E303" s="5">
        <v>23</v>
      </c>
      <c r="F303" s="5">
        <v>251</v>
      </c>
      <c r="G303" s="5">
        <v>614</v>
      </c>
      <c r="H303" s="5">
        <v>5727</v>
      </c>
      <c r="I303" s="5">
        <v>41366</v>
      </c>
      <c r="J303" s="5">
        <v>38083</v>
      </c>
      <c r="K303" s="5">
        <v>106651</v>
      </c>
    </row>
    <row r="304" spans="1:11">
      <c r="A304" s="4" t="s">
        <v>38</v>
      </c>
      <c r="B304" s="5">
        <v>2621</v>
      </c>
      <c r="C304" s="5">
        <v>428</v>
      </c>
      <c r="D304" s="5">
        <v>5914</v>
      </c>
      <c r="E304" s="5">
        <v>9</v>
      </c>
      <c r="F304" s="5">
        <v>13</v>
      </c>
      <c r="G304" s="5">
        <v>285</v>
      </c>
      <c r="H304" s="5">
        <v>2537</v>
      </c>
      <c r="I304" s="5">
        <v>21008</v>
      </c>
      <c r="J304" s="5">
        <v>21736</v>
      </c>
      <c r="K304" s="5">
        <v>54551</v>
      </c>
    </row>
    <row r="305" spans="1:11">
      <c r="A305" s="4" t="s">
        <v>32</v>
      </c>
      <c r="B305" s="5">
        <v>2371</v>
      </c>
      <c r="C305" s="5">
        <v>404</v>
      </c>
      <c r="D305" s="5">
        <v>5659</v>
      </c>
      <c r="E305" s="5">
        <v>7</v>
      </c>
      <c r="F305" s="5">
        <v>63</v>
      </c>
      <c r="G305" s="5">
        <v>270</v>
      </c>
      <c r="H305" s="5">
        <v>2147</v>
      </c>
      <c r="I305" s="5">
        <v>21121</v>
      </c>
      <c r="J305" s="5">
        <v>21243</v>
      </c>
      <c r="K305" s="5">
        <v>53285</v>
      </c>
    </row>
    <row r="306" spans="1:11">
      <c r="A306" s="4" t="s">
        <v>36</v>
      </c>
      <c r="B306" s="5">
        <v>2964</v>
      </c>
      <c r="C306" s="5">
        <v>412</v>
      </c>
      <c r="D306" s="5">
        <v>6962</v>
      </c>
      <c r="E306" s="5">
        <v>4</v>
      </c>
      <c r="F306" s="5">
        <v>15</v>
      </c>
      <c r="G306" s="5">
        <v>274</v>
      </c>
      <c r="H306" s="5">
        <v>2831</v>
      </c>
      <c r="I306" s="5">
        <v>25773</v>
      </c>
      <c r="J306" s="5">
        <v>25625</v>
      </c>
      <c r="K306" s="5">
        <v>64860</v>
      </c>
    </row>
    <row r="307" spans="1:11">
      <c r="A307" s="4" t="s">
        <v>33</v>
      </c>
      <c r="B307" s="5">
        <v>8449</v>
      </c>
      <c r="C307" s="5">
        <v>2248</v>
      </c>
      <c r="D307" s="5">
        <v>27395</v>
      </c>
      <c r="E307" s="5">
        <v>45</v>
      </c>
      <c r="F307" s="5">
        <v>722</v>
      </c>
      <c r="G307" s="5">
        <v>1498</v>
      </c>
      <c r="H307" s="5">
        <v>9498</v>
      </c>
      <c r="I307" s="5">
        <v>118285</v>
      </c>
      <c r="J307" s="5">
        <v>124577</v>
      </c>
      <c r="K307" s="5">
        <v>292717</v>
      </c>
    </row>
    <row r="308" spans="1:11">
      <c r="A308" s="4" t="s">
        <v>34</v>
      </c>
      <c r="B308" s="5">
        <v>6076</v>
      </c>
      <c r="C308" s="5">
        <v>776</v>
      </c>
      <c r="D308" s="5">
        <v>13301</v>
      </c>
      <c r="E308" s="5">
        <v>7</v>
      </c>
      <c r="F308" s="5">
        <v>190</v>
      </c>
      <c r="G308" s="5">
        <v>518</v>
      </c>
      <c r="H308" s="5">
        <v>5714</v>
      </c>
      <c r="I308" s="5">
        <v>47170</v>
      </c>
      <c r="J308" s="5">
        <v>45242</v>
      </c>
      <c r="K308" s="5">
        <v>118994</v>
      </c>
    </row>
    <row r="309" spans="1:11">
      <c r="A309" s="4" t="s">
        <v>40</v>
      </c>
      <c r="B309" s="5">
        <v>1926</v>
      </c>
      <c r="C309" s="5">
        <v>299</v>
      </c>
      <c r="D309" s="5">
        <v>3310</v>
      </c>
      <c r="E309" s="5">
        <v>3</v>
      </c>
      <c r="F309" s="5">
        <v>12</v>
      </c>
      <c r="G309" s="5">
        <v>199</v>
      </c>
      <c r="H309" s="5">
        <v>1701</v>
      </c>
      <c r="I309" s="5">
        <v>10960</v>
      </c>
      <c r="J309" s="5">
        <v>10925</v>
      </c>
      <c r="K309" s="5">
        <v>29335</v>
      </c>
    </row>
    <row r="310" spans="1:11">
      <c r="A310" s="4" t="s">
        <v>37</v>
      </c>
      <c r="B310" s="5">
        <v>1907</v>
      </c>
      <c r="C310" s="5">
        <v>289</v>
      </c>
      <c r="D310" s="5">
        <v>3800</v>
      </c>
      <c r="E310" s="5">
        <v>4</v>
      </c>
      <c r="F310" s="5">
        <v>73</v>
      </c>
      <c r="G310" s="5">
        <v>192</v>
      </c>
      <c r="H310" s="5">
        <v>1783</v>
      </c>
      <c r="I310" s="5">
        <v>14348</v>
      </c>
      <c r="J310" s="5">
        <v>14758</v>
      </c>
      <c r="K310" s="5">
        <v>37154</v>
      </c>
    </row>
    <row r="311" spans="1:11">
      <c r="A311" s="4" t="s">
        <v>35</v>
      </c>
      <c r="B311" s="5">
        <v>2743</v>
      </c>
      <c r="C311" s="5">
        <v>384</v>
      </c>
      <c r="D311" s="5">
        <v>6604</v>
      </c>
      <c r="E311" s="5">
        <v>10</v>
      </c>
      <c r="F311" s="5">
        <v>48</v>
      </c>
      <c r="G311" s="5">
        <v>256</v>
      </c>
      <c r="H311" s="5">
        <v>2663</v>
      </c>
      <c r="I311" s="5">
        <v>22893</v>
      </c>
      <c r="J311" s="5">
        <v>21270</v>
      </c>
      <c r="K311" s="5">
        <v>56871</v>
      </c>
    </row>
    <row r="312" spans="1:11">
      <c r="A312" s="3" t="s">
        <v>383</v>
      </c>
      <c r="B312" s="5">
        <v>42963</v>
      </c>
      <c r="C312" s="5">
        <v>15586</v>
      </c>
      <c r="D312" s="5">
        <v>137620</v>
      </c>
      <c r="E312" s="5">
        <v>201</v>
      </c>
      <c r="F312" s="5">
        <v>3362</v>
      </c>
      <c r="G312" s="5">
        <v>10392</v>
      </c>
      <c r="H312" s="5">
        <v>45754</v>
      </c>
      <c r="I312" s="5">
        <v>674309</v>
      </c>
      <c r="J312" s="5">
        <v>914613</v>
      </c>
      <c r="K312" s="5">
        <v>1844800</v>
      </c>
    </row>
    <row r="313" spans="1:11">
      <c r="A313" s="4" t="s">
        <v>385</v>
      </c>
      <c r="B313" s="5">
        <v>14</v>
      </c>
      <c r="C313" s="5">
        <v>67</v>
      </c>
      <c r="D313" s="5">
        <v>341</v>
      </c>
      <c r="E313" s="5">
        <v>2</v>
      </c>
      <c r="F313" s="5">
        <v>2</v>
      </c>
      <c r="G313" s="5">
        <v>45</v>
      </c>
      <c r="H313" s="5">
        <v>53</v>
      </c>
      <c r="I313" s="5">
        <v>3684</v>
      </c>
      <c r="J313" s="5">
        <v>3743</v>
      </c>
      <c r="K313" s="5">
        <v>7951</v>
      </c>
    </row>
    <row r="314" spans="1:11">
      <c r="A314" s="4" t="s">
        <v>393</v>
      </c>
      <c r="B314" s="5">
        <v>2435</v>
      </c>
      <c r="C314" s="5">
        <v>1276</v>
      </c>
      <c r="D314" s="5">
        <v>6875</v>
      </c>
      <c r="E314" s="5">
        <v>31</v>
      </c>
      <c r="F314" s="5">
        <v>186</v>
      </c>
      <c r="G314" s="5">
        <v>851</v>
      </c>
      <c r="H314" s="5">
        <v>2441</v>
      </c>
      <c r="I314" s="5">
        <v>28173</v>
      </c>
      <c r="J314" s="5">
        <v>42650</v>
      </c>
      <c r="K314" s="5">
        <v>84918</v>
      </c>
    </row>
    <row r="315" spans="1:11">
      <c r="A315" s="4" t="s">
        <v>398</v>
      </c>
      <c r="B315" s="5">
        <v>1051</v>
      </c>
      <c r="C315" s="5">
        <v>264</v>
      </c>
      <c r="D315" s="5">
        <v>2481</v>
      </c>
      <c r="E315" s="5">
        <v>8</v>
      </c>
      <c r="F315" s="5">
        <v>69</v>
      </c>
      <c r="G315" s="5">
        <v>176</v>
      </c>
      <c r="H315" s="5">
        <v>1043</v>
      </c>
      <c r="I315" s="5">
        <v>10923</v>
      </c>
      <c r="J315" s="5">
        <v>20607</v>
      </c>
      <c r="K315" s="5">
        <v>36622</v>
      </c>
    </row>
    <row r="316" spans="1:11">
      <c r="A316" s="4" t="s">
        <v>386</v>
      </c>
      <c r="B316" s="5">
        <v>13834</v>
      </c>
      <c r="C316" s="5">
        <v>6893</v>
      </c>
      <c r="D316" s="5">
        <v>54633</v>
      </c>
      <c r="E316" s="5">
        <v>107</v>
      </c>
      <c r="F316" s="5">
        <v>2144</v>
      </c>
      <c r="G316" s="5">
        <v>4595</v>
      </c>
      <c r="H316" s="5">
        <v>16738</v>
      </c>
      <c r="I316" s="5">
        <v>276718</v>
      </c>
      <c r="J316" s="5">
        <v>334466</v>
      </c>
      <c r="K316" s="5">
        <v>710128</v>
      </c>
    </row>
    <row r="317" spans="1:11">
      <c r="A317" s="4" t="s">
        <v>387</v>
      </c>
      <c r="B317" s="5">
        <v>3242</v>
      </c>
      <c r="C317" s="5">
        <v>1316</v>
      </c>
      <c r="D317" s="5">
        <v>12170</v>
      </c>
      <c r="E317" s="5">
        <v>9</v>
      </c>
      <c r="F317" s="5">
        <v>49</v>
      </c>
      <c r="G317" s="5">
        <v>877</v>
      </c>
      <c r="H317" s="5">
        <v>3717</v>
      </c>
      <c r="I317" s="5">
        <v>63384</v>
      </c>
      <c r="J317" s="5">
        <v>81027</v>
      </c>
      <c r="K317" s="5">
        <v>165791</v>
      </c>
    </row>
    <row r="318" spans="1:11">
      <c r="A318" s="4" t="s">
        <v>390</v>
      </c>
      <c r="B318" s="5">
        <v>1508</v>
      </c>
      <c r="C318" s="5">
        <v>286</v>
      </c>
      <c r="D318" s="5">
        <v>3877</v>
      </c>
      <c r="E318" s="5">
        <v>7</v>
      </c>
      <c r="F318" s="5">
        <v>14</v>
      </c>
      <c r="G318" s="5">
        <v>191</v>
      </c>
      <c r="H318" s="5">
        <v>1437</v>
      </c>
      <c r="I318" s="5">
        <v>19148</v>
      </c>
      <c r="J318" s="5">
        <v>34362</v>
      </c>
      <c r="K318" s="5">
        <v>60830</v>
      </c>
    </row>
    <row r="319" spans="1:11">
      <c r="A319" s="4" t="s">
        <v>392</v>
      </c>
      <c r="B319" s="5">
        <v>2451</v>
      </c>
      <c r="C319" s="5">
        <v>409</v>
      </c>
      <c r="D319" s="5">
        <v>6625</v>
      </c>
      <c r="E319" s="5">
        <v>6</v>
      </c>
      <c r="F319" s="5">
        <v>45</v>
      </c>
      <c r="G319" s="5">
        <v>273</v>
      </c>
      <c r="H319" s="5">
        <v>2484</v>
      </c>
      <c r="I319" s="5">
        <v>25885</v>
      </c>
      <c r="J319" s="5">
        <v>32647</v>
      </c>
      <c r="K319" s="5">
        <v>70825</v>
      </c>
    </row>
    <row r="320" spans="1:11">
      <c r="A320" s="4" t="s">
        <v>394</v>
      </c>
      <c r="B320" s="5">
        <v>1387</v>
      </c>
      <c r="C320" s="5">
        <v>454</v>
      </c>
      <c r="D320" s="5">
        <v>4309</v>
      </c>
      <c r="E320" s="5">
        <v>4</v>
      </c>
      <c r="F320" s="5">
        <v>91</v>
      </c>
      <c r="G320" s="5">
        <v>302</v>
      </c>
      <c r="H320" s="5">
        <v>1478</v>
      </c>
      <c r="I320" s="5">
        <v>20233</v>
      </c>
      <c r="J320" s="5">
        <v>29745</v>
      </c>
      <c r="K320" s="5">
        <v>58003</v>
      </c>
    </row>
    <row r="321" spans="1:11">
      <c r="A321" s="4" t="s">
        <v>391</v>
      </c>
      <c r="B321" s="5">
        <v>3822</v>
      </c>
      <c r="C321" s="5">
        <v>1002</v>
      </c>
      <c r="D321" s="5">
        <v>9695</v>
      </c>
      <c r="E321" s="5">
        <v>6</v>
      </c>
      <c r="F321" s="5">
        <v>212</v>
      </c>
      <c r="G321" s="5">
        <v>668</v>
      </c>
      <c r="H321" s="5">
        <v>3589</v>
      </c>
      <c r="I321" s="5">
        <v>45053</v>
      </c>
      <c r="J321" s="5">
        <v>64563</v>
      </c>
      <c r="K321" s="5">
        <v>128610</v>
      </c>
    </row>
    <row r="322" spans="1:11">
      <c r="A322" s="4" t="s">
        <v>396</v>
      </c>
      <c r="B322" s="5">
        <v>1532</v>
      </c>
      <c r="C322" s="5">
        <v>299</v>
      </c>
      <c r="D322" s="5">
        <v>3210</v>
      </c>
      <c r="E322" s="5">
        <v>8</v>
      </c>
      <c r="F322" s="5">
        <v>67</v>
      </c>
      <c r="G322" s="5">
        <v>200</v>
      </c>
      <c r="H322" s="5">
        <v>1138</v>
      </c>
      <c r="I322" s="5">
        <v>15601</v>
      </c>
      <c r="J322" s="5">
        <v>25319</v>
      </c>
      <c r="K322" s="5">
        <v>47374</v>
      </c>
    </row>
    <row r="323" spans="1:11">
      <c r="A323" s="4" t="s">
        <v>388</v>
      </c>
      <c r="B323" s="5">
        <v>2940</v>
      </c>
      <c r="C323" s="5">
        <v>730</v>
      </c>
      <c r="D323" s="5">
        <v>10083</v>
      </c>
      <c r="E323" s="5">
        <v>2</v>
      </c>
      <c r="F323" s="5">
        <v>38</v>
      </c>
      <c r="G323" s="5">
        <v>486</v>
      </c>
      <c r="H323" s="5">
        <v>3181</v>
      </c>
      <c r="I323" s="5">
        <v>54287</v>
      </c>
      <c r="J323" s="5">
        <v>82125</v>
      </c>
      <c r="K323" s="5">
        <v>153872</v>
      </c>
    </row>
    <row r="324" spans="1:11">
      <c r="A324" s="4" t="s">
        <v>395</v>
      </c>
      <c r="B324" s="5">
        <v>1260</v>
      </c>
      <c r="C324" s="5">
        <v>1004</v>
      </c>
      <c r="D324" s="5">
        <v>4028</v>
      </c>
      <c r="E324" s="5">
        <v>3</v>
      </c>
      <c r="F324" s="5">
        <v>134</v>
      </c>
      <c r="G324" s="5">
        <v>670</v>
      </c>
      <c r="H324" s="5">
        <v>1375</v>
      </c>
      <c r="I324" s="5">
        <v>18766</v>
      </c>
      <c r="J324" s="5">
        <v>26463</v>
      </c>
      <c r="K324" s="5">
        <v>53703</v>
      </c>
    </row>
    <row r="325" spans="1:11">
      <c r="A325" s="4" t="s">
        <v>389</v>
      </c>
      <c r="B325" s="5">
        <v>7487</v>
      </c>
      <c r="C325" s="5">
        <v>1586</v>
      </c>
      <c r="D325" s="5">
        <v>19293</v>
      </c>
      <c r="E325" s="5">
        <v>8</v>
      </c>
      <c r="F325" s="5">
        <v>311</v>
      </c>
      <c r="G325" s="5">
        <v>1058</v>
      </c>
      <c r="H325" s="5">
        <v>7080</v>
      </c>
      <c r="I325" s="5">
        <v>92454</v>
      </c>
      <c r="J325" s="5">
        <v>136896</v>
      </c>
      <c r="K325" s="5">
        <v>266173</v>
      </c>
    </row>
    <row r="326" spans="1:11">
      <c r="A326" s="3" t="s">
        <v>297</v>
      </c>
      <c r="B326" s="5">
        <v>66890</v>
      </c>
      <c r="C326" s="5">
        <v>17018</v>
      </c>
      <c r="D326" s="5">
        <v>193335</v>
      </c>
      <c r="E326" s="5">
        <v>456</v>
      </c>
      <c r="F326" s="5">
        <v>2417</v>
      </c>
      <c r="G326" s="5">
        <v>11346</v>
      </c>
      <c r="H326" s="5">
        <v>73139</v>
      </c>
      <c r="I326" s="5">
        <v>707494</v>
      </c>
      <c r="J326" s="5">
        <v>708020</v>
      </c>
      <c r="K326" s="5">
        <v>1780115</v>
      </c>
    </row>
    <row r="327" spans="1:11">
      <c r="A327" s="4" t="s">
        <v>303</v>
      </c>
      <c r="B327" s="5">
        <v>3561</v>
      </c>
      <c r="C327" s="5">
        <v>715</v>
      </c>
      <c r="D327" s="5">
        <v>10998</v>
      </c>
      <c r="E327" s="5">
        <v>20</v>
      </c>
      <c r="F327" s="5">
        <v>184</v>
      </c>
      <c r="G327" s="5">
        <v>477</v>
      </c>
      <c r="H327" s="5">
        <v>3982</v>
      </c>
      <c r="I327" s="5">
        <v>40048</v>
      </c>
      <c r="J327" s="5">
        <v>42455</v>
      </c>
      <c r="K327" s="5">
        <v>102440</v>
      </c>
    </row>
    <row r="328" spans="1:11">
      <c r="A328" s="4" t="s">
        <v>304</v>
      </c>
      <c r="B328" s="5">
        <v>4718</v>
      </c>
      <c r="C328" s="5">
        <v>691</v>
      </c>
      <c r="D328" s="5">
        <v>12761</v>
      </c>
      <c r="E328" s="5">
        <v>22</v>
      </c>
      <c r="F328" s="5">
        <v>8</v>
      </c>
      <c r="G328" s="5">
        <v>460</v>
      </c>
      <c r="H328" s="5">
        <v>5106</v>
      </c>
      <c r="I328" s="5">
        <v>47885</v>
      </c>
      <c r="J328" s="5">
        <v>48895</v>
      </c>
      <c r="K328" s="5">
        <v>120546</v>
      </c>
    </row>
    <row r="329" spans="1:11">
      <c r="A329" s="4" t="s">
        <v>299</v>
      </c>
      <c r="B329" s="5">
        <v>5393</v>
      </c>
      <c r="C329" s="5">
        <v>851</v>
      </c>
      <c r="D329" s="5">
        <v>12501</v>
      </c>
      <c r="E329" s="5">
        <v>23</v>
      </c>
      <c r="F329" s="5">
        <v>72</v>
      </c>
      <c r="G329" s="5">
        <v>567</v>
      </c>
      <c r="H329" s="5">
        <v>5472</v>
      </c>
      <c r="I329" s="5">
        <v>39509</v>
      </c>
      <c r="J329" s="5">
        <v>37962</v>
      </c>
      <c r="K329" s="5">
        <v>102350</v>
      </c>
    </row>
    <row r="330" spans="1:11">
      <c r="A330" s="4" t="s">
        <v>305</v>
      </c>
      <c r="B330" s="5">
        <v>4621</v>
      </c>
      <c r="C330" s="5">
        <v>827</v>
      </c>
      <c r="D330" s="5">
        <v>11310</v>
      </c>
      <c r="E330" s="5">
        <v>26</v>
      </c>
      <c r="F330" s="5">
        <v>232</v>
      </c>
      <c r="G330" s="5">
        <v>551</v>
      </c>
      <c r="H330" s="5">
        <v>4494</v>
      </c>
      <c r="I330" s="5">
        <v>41776</v>
      </c>
      <c r="J330" s="5">
        <v>45765</v>
      </c>
      <c r="K330" s="5">
        <v>109602</v>
      </c>
    </row>
    <row r="331" spans="1:11">
      <c r="A331" s="4" t="s">
        <v>307</v>
      </c>
      <c r="B331" s="5">
        <v>1566</v>
      </c>
      <c r="C331" s="5">
        <v>322</v>
      </c>
      <c r="D331" s="5">
        <v>4129</v>
      </c>
      <c r="E331" s="5">
        <v>2</v>
      </c>
      <c r="F331" s="5">
        <v>95</v>
      </c>
      <c r="G331" s="5">
        <v>214</v>
      </c>
      <c r="H331" s="5">
        <v>1625</v>
      </c>
      <c r="I331" s="5">
        <v>15229</v>
      </c>
      <c r="J331" s="5">
        <v>16788</v>
      </c>
      <c r="K331" s="5">
        <v>39970</v>
      </c>
    </row>
    <row r="332" spans="1:11">
      <c r="A332" s="4" t="s">
        <v>302</v>
      </c>
      <c r="B332" s="5">
        <v>4410</v>
      </c>
      <c r="C332" s="5">
        <v>847</v>
      </c>
      <c r="D332" s="5">
        <v>12567</v>
      </c>
      <c r="E332" s="5">
        <v>10</v>
      </c>
      <c r="F332" s="5">
        <v>250</v>
      </c>
      <c r="G332" s="5">
        <v>565</v>
      </c>
      <c r="H332" s="5">
        <v>4565</v>
      </c>
      <c r="I332" s="5">
        <v>48444</v>
      </c>
      <c r="J332" s="5">
        <v>55743</v>
      </c>
      <c r="K332" s="5">
        <v>127401</v>
      </c>
    </row>
    <row r="333" spans="1:11">
      <c r="A333" s="4" t="s">
        <v>300</v>
      </c>
      <c r="B333" s="5">
        <v>11775</v>
      </c>
      <c r="C333" s="5">
        <v>2498</v>
      </c>
      <c r="D333" s="5">
        <v>31996</v>
      </c>
      <c r="E333" s="5">
        <v>56</v>
      </c>
      <c r="F333" s="5">
        <v>280</v>
      </c>
      <c r="G333" s="5">
        <v>1666</v>
      </c>
      <c r="H333" s="5">
        <v>12606</v>
      </c>
      <c r="I333" s="5">
        <v>114972</v>
      </c>
      <c r="J333" s="5">
        <v>117677</v>
      </c>
      <c r="K333" s="5">
        <v>293526</v>
      </c>
    </row>
    <row r="334" spans="1:11">
      <c r="A334" s="4" t="s">
        <v>301</v>
      </c>
      <c r="B334" s="5">
        <v>6954</v>
      </c>
      <c r="C334" s="5">
        <v>1412</v>
      </c>
      <c r="D334" s="5">
        <v>20299</v>
      </c>
      <c r="E334" s="5">
        <v>30</v>
      </c>
      <c r="F334" s="5">
        <v>253</v>
      </c>
      <c r="G334" s="5">
        <v>942</v>
      </c>
      <c r="H334" s="5">
        <v>7709</v>
      </c>
      <c r="I334" s="5">
        <v>71410</v>
      </c>
      <c r="J334" s="5">
        <v>72435</v>
      </c>
      <c r="K334" s="5">
        <v>181444</v>
      </c>
    </row>
    <row r="335" spans="1:11">
      <c r="A335" s="4" t="s">
        <v>297</v>
      </c>
      <c r="B335" s="5">
        <v>23892</v>
      </c>
      <c r="C335" s="5">
        <v>8855</v>
      </c>
      <c r="D335" s="5">
        <v>76774</v>
      </c>
      <c r="E335" s="5">
        <v>267</v>
      </c>
      <c r="F335" s="5">
        <v>1043</v>
      </c>
      <c r="G335" s="5">
        <v>5904</v>
      </c>
      <c r="H335" s="5">
        <v>27580</v>
      </c>
      <c r="I335" s="5">
        <v>288221</v>
      </c>
      <c r="J335" s="5">
        <v>270300</v>
      </c>
      <c r="K335" s="5">
        <v>702836</v>
      </c>
    </row>
    <row r="336" spans="1:11">
      <c r="A336" s="3" t="s">
        <v>373</v>
      </c>
      <c r="B336" s="5">
        <v>39596</v>
      </c>
      <c r="C336" s="5">
        <v>23539</v>
      </c>
      <c r="D336" s="5">
        <v>108149</v>
      </c>
      <c r="E336" s="5">
        <v>397</v>
      </c>
      <c r="F336" s="5">
        <v>3371</v>
      </c>
      <c r="G336" s="5">
        <v>15692</v>
      </c>
      <c r="H336" s="5">
        <v>40205</v>
      </c>
      <c r="I336" s="5">
        <v>439345</v>
      </c>
      <c r="J336" s="5">
        <v>514512</v>
      </c>
      <c r="K336" s="5">
        <v>1184806</v>
      </c>
    </row>
    <row r="337" spans="1:11">
      <c r="A337" s="4" t="s">
        <v>380</v>
      </c>
      <c r="B337" s="5">
        <v>2429</v>
      </c>
      <c r="C337" s="5">
        <v>569</v>
      </c>
      <c r="D337" s="5">
        <v>5311</v>
      </c>
      <c r="E337" s="5">
        <v>5</v>
      </c>
      <c r="F337" s="5">
        <v>103</v>
      </c>
      <c r="G337" s="5">
        <v>379</v>
      </c>
      <c r="H337" s="5">
        <v>2127</v>
      </c>
      <c r="I337" s="5">
        <v>20404</v>
      </c>
      <c r="J337" s="5">
        <v>22065</v>
      </c>
      <c r="K337" s="5">
        <v>53392</v>
      </c>
    </row>
    <row r="338" spans="1:11">
      <c r="A338" s="4" t="s">
        <v>375</v>
      </c>
      <c r="B338" s="5">
        <v>3404</v>
      </c>
      <c r="C338" s="5">
        <v>959</v>
      </c>
      <c r="D338" s="5">
        <v>9060</v>
      </c>
      <c r="E338" s="5">
        <v>5</v>
      </c>
      <c r="F338" s="5">
        <v>261</v>
      </c>
      <c r="G338" s="5">
        <v>639</v>
      </c>
      <c r="H338" s="5">
        <v>3409</v>
      </c>
      <c r="I338" s="5">
        <v>39241</v>
      </c>
      <c r="J338" s="5">
        <v>44877</v>
      </c>
      <c r="K338" s="5">
        <v>101855</v>
      </c>
    </row>
    <row r="339" spans="1:11">
      <c r="A339" s="4" t="s">
        <v>381</v>
      </c>
      <c r="B339" s="5">
        <v>1310</v>
      </c>
      <c r="C339" s="5"/>
      <c r="D339" s="5">
        <v>2929</v>
      </c>
      <c r="E339" s="5"/>
      <c r="F339" s="5">
        <v>44</v>
      </c>
      <c r="G339" s="5"/>
      <c r="H339" s="5">
        <v>1244</v>
      </c>
      <c r="I339" s="5">
        <v>12170</v>
      </c>
      <c r="J339" s="5">
        <v>15267</v>
      </c>
      <c r="K339" s="5">
        <v>32964</v>
      </c>
    </row>
    <row r="340" spans="1:11">
      <c r="A340" s="4" t="s">
        <v>376</v>
      </c>
      <c r="B340" s="5">
        <v>1661</v>
      </c>
      <c r="C340" s="5">
        <v>493</v>
      </c>
      <c r="D340" s="5">
        <v>4255</v>
      </c>
      <c r="E340" s="5">
        <v>4</v>
      </c>
      <c r="F340" s="5">
        <v>40</v>
      </c>
      <c r="G340" s="5">
        <v>329</v>
      </c>
      <c r="H340" s="5">
        <v>1549</v>
      </c>
      <c r="I340" s="5">
        <v>19471</v>
      </c>
      <c r="J340" s="5">
        <v>25169</v>
      </c>
      <c r="K340" s="5">
        <v>52971</v>
      </c>
    </row>
    <row r="341" spans="1:11">
      <c r="A341" s="4" t="s">
        <v>377</v>
      </c>
      <c r="B341" s="5">
        <v>3642</v>
      </c>
      <c r="C341" s="5">
        <v>1214</v>
      </c>
      <c r="D341" s="5">
        <v>5741</v>
      </c>
      <c r="E341" s="5">
        <v>27</v>
      </c>
      <c r="F341" s="5">
        <v>251</v>
      </c>
      <c r="G341" s="5">
        <v>809</v>
      </c>
      <c r="H341" s="5">
        <v>2814</v>
      </c>
      <c r="I341" s="5">
        <v>15159</v>
      </c>
      <c r="J341" s="5">
        <v>16300</v>
      </c>
      <c r="K341" s="5">
        <v>45957</v>
      </c>
    </row>
    <row r="342" spans="1:11">
      <c r="A342" s="4" t="s">
        <v>382</v>
      </c>
      <c r="B342" s="5">
        <v>1307</v>
      </c>
      <c r="C342" s="5">
        <v>516</v>
      </c>
      <c r="D342" s="5">
        <v>3584</v>
      </c>
      <c r="E342" s="5">
        <v>8</v>
      </c>
      <c r="F342" s="5">
        <v>169</v>
      </c>
      <c r="G342" s="5">
        <v>344</v>
      </c>
      <c r="H342" s="5">
        <v>1362</v>
      </c>
      <c r="I342" s="5">
        <v>14448</v>
      </c>
      <c r="J342" s="5">
        <v>16442</v>
      </c>
      <c r="K342" s="5">
        <v>38180</v>
      </c>
    </row>
    <row r="343" spans="1:11">
      <c r="A343" s="4" t="s">
        <v>378</v>
      </c>
      <c r="B343" s="5">
        <v>2537</v>
      </c>
      <c r="C343" s="5">
        <v>885</v>
      </c>
      <c r="D343" s="5">
        <v>5102</v>
      </c>
      <c r="E343" s="5">
        <v>24</v>
      </c>
      <c r="F343" s="5">
        <v>12</v>
      </c>
      <c r="G343" s="5">
        <v>590</v>
      </c>
      <c r="H343" s="5">
        <v>2175</v>
      </c>
      <c r="I343" s="5">
        <v>19331</v>
      </c>
      <c r="J343" s="5">
        <v>22992</v>
      </c>
      <c r="K343" s="5">
        <v>53648</v>
      </c>
    </row>
    <row r="344" spans="1:11">
      <c r="A344" s="4" t="s">
        <v>379</v>
      </c>
      <c r="B344" s="5">
        <v>3518</v>
      </c>
      <c r="C344" s="5">
        <v>1040</v>
      </c>
      <c r="D344" s="5">
        <v>9396</v>
      </c>
      <c r="E344" s="5">
        <v>4</v>
      </c>
      <c r="F344" s="5">
        <v>6</v>
      </c>
      <c r="G344" s="5">
        <v>694</v>
      </c>
      <c r="H344" s="5">
        <v>3427</v>
      </c>
      <c r="I344" s="5">
        <v>37762</v>
      </c>
      <c r="J344" s="5">
        <v>48127</v>
      </c>
      <c r="K344" s="5">
        <v>103974</v>
      </c>
    </row>
    <row r="345" spans="1:11">
      <c r="A345" s="4" t="s">
        <v>373</v>
      </c>
      <c r="B345" s="5">
        <v>19788</v>
      </c>
      <c r="C345" s="5">
        <v>10842</v>
      </c>
      <c r="D345" s="5">
        <v>62771</v>
      </c>
      <c r="E345" s="5">
        <v>208</v>
      </c>
      <c r="F345" s="5">
        <v>2485</v>
      </c>
      <c r="G345" s="5">
        <v>7228</v>
      </c>
      <c r="H345" s="5">
        <v>22098</v>
      </c>
      <c r="I345" s="5">
        <v>261359</v>
      </c>
      <c r="J345" s="5">
        <v>303273</v>
      </c>
      <c r="K345" s="5">
        <v>690052</v>
      </c>
    </row>
    <row r="346" spans="1:11">
      <c r="A346" s="4" t="s">
        <v>999</v>
      </c>
      <c r="B346" s="5"/>
      <c r="C346" s="5">
        <v>7021</v>
      </c>
      <c r="D346" s="5"/>
      <c r="E346" s="5">
        <v>112</v>
      </c>
      <c r="F346" s="5"/>
      <c r="G346" s="5">
        <v>4680</v>
      </c>
      <c r="H346" s="5"/>
      <c r="I346" s="5"/>
      <c r="J346" s="5"/>
      <c r="K346" s="5">
        <v>11813</v>
      </c>
    </row>
    <row r="347" spans="1:11">
      <c r="A347" s="3" t="s">
        <v>1008</v>
      </c>
      <c r="B347" s="5">
        <v>162222</v>
      </c>
      <c r="C347" s="5">
        <v>41829</v>
      </c>
      <c r="D347" s="5">
        <v>439788</v>
      </c>
      <c r="E347" s="5">
        <v>1012</v>
      </c>
      <c r="F347" s="5">
        <v>8292</v>
      </c>
      <c r="G347" s="5">
        <v>27886</v>
      </c>
      <c r="H347" s="5">
        <v>167975</v>
      </c>
      <c r="I347" s="5">
        <v>1595680</v>
      </c>
      <c r="J347" s="5">
        <v>1577364</v>
      </c>
      <c r="K347" s="5">
        <v>4022048</v>
      </c>
    </row>
    <row r="348" spans="1:11">
      <c r="A348" s="4" t="s">
        <v>95</v>
      </c>
      <c r="B348" s="5">
        <v>4916</v>
      </c>
      <c r="C348" s="5">
        <v>508</v>
      </c>
      <c r="D348" s="5">
        <v>12756</v>
      </c>
      <c r="E348" s="5">
        <v>9</v>
      </c>
      <c r="F348" s="5">
        <v>155</v>
      </c>
      <c r="G348" s="5">
        <v>338</v>
      </c>
      <c r="H348" s="5">
        <v>4985</v>
      </c>
      <c r="I348" s="5">
        <v>44755</v>
      </c>
      <c r="J348" s="5">
        <v>44126</v>
      </c>
      <c r="K348" s="5">
        <v>112548</v>
      </c>
    </row>
    <row r="349" spans="1:11">
      <c r="A349" s="4" t="s">
        <v>96</v>
      </c>
      <c r="B349" s="5">
        <v>5086</v>
      </c>
      <c r="C349" s="5">
        <v>496</v>
      </c>
      <c r="D349" s="5">
        <v>16043</v>
      </c>
      <c r="E349" s="5">
        <v>1</v>
      </c>
      <c r="F349" s="5">
        <v>27</v>
      </c>
      <c r="G349" s="5">
        <v>330</v>
      </c>
      <c r="H349" s="5">
        <v>5576</v>
      </c>
      <c r="I349" s="5">
        <v>68212</v>
      </c>
      <c r="J349" s="5">
        <v>68654</v>
      </c>
      <c r="K349" s="5">
        <v>164425</v>
      </c>
    </row>
    <row r="350" spans="1:11">
      <c r="A350" s="4" t="s">
        <v>81</v>
      </c>
      <c r="B350" s="5">
        <v>6626</v>
      </c>
      <c r="C350" s="5">
        <v>1207</v>
      </c>
      <c r="D350" s="5">
        <v>15977</v>
      </c>
      <c r="E350" s="5">
        <v>35</v>
      </c>
      <c r="F350" s="5">
        <v>237</v>
      </c>
      <c r="G350" s="5">
        <v>805</v>
      </c>
      <c r="H350" s="5">
        <v>6410</v>
      </c>
      <c r="I350" s="5">
        <v>59258</v>
      </c>
      <c r="J350" s="5">
        <v>66784</v>
      </c>
      <c r="K350" s="5">
        <v>157339</v>
      </c>
    </row>
    <row r="351" spans="1:11">
      <c r="A351" s="4" t="s">
        <v>89</v>
      </c>
      <c r="B351" s="5">
        <v>3546</v>
      </c>
      <c r="C351" s="5">
        <v>928</v>
      </c>
      <c r="D351" s="5">
        <v>8970</v>
      </c>
      <c r="E351" s="5">
        <v>30</v>
      </c>
      <c r="F351" s="5">
        <v>294</v>
      </c>
      <c r="G351" s="5">
        <v>619</v>
      </c>
      <c r="H351" s="5">
        <v>3429</v>
      </c>
      <c r="I351" s="5">
        <v>35531</v>
      </c>
      <c r="J351" s="5">
        <v>43078</v>
      </c>
      <c r="K351" s="5">
        <v>96425</v>
      </c>
    </row>
    <row r="352" spans="1:11">
      <c r="A352" s="4" t="s">
        <v>88</v>
      </c>
      <c r="B352" s="5">
        <v>4733</v>
      </c>
      <c r="C352" s="5">
        <v>1211</v>
      </c>
      <c r="D352" s="5">
        <v>14712</v>
      </c>
      <c r="E352" s="5">
        <v>11</v>
      </c>
      <c r="F352" s="5">
        <v>229</v>
      </c>
      <c r="G352" s="5">
        <v>808</v>
      </c>
      <c r="H352" s="5">
        <v>5223</v>
      </c>
      <c r="I352" s="5">
        <v>55416</v>
      </c>
      <c r="J352" s="5">
        <v>55798</v>
      </c>
      <c r="K352" s="5">
        <v>138141</v>
      </c>
    </row>
    <row r="353" spans="1:11">
      <c r="A353" s="4" t="s">
        <v>82</v>
      </c>
      <c r="B353" s="5">
        <v>71905</v>
      </c>
      <c r="C353" s="5">
        <v>25898</v>
      </c>
      <c r="D353" s="5">
        <v>210951</v>
      </c>
      <c r="E353" s="5">
        <v>758</v>
      </c>
      <c r="F353" s="5">
        <v>5644</v>
      </c>
      <c r="G353" s="5">
        <v>17266</v>
      </c>
      <c r="H353" s="5">
        <v>78354</v>
      </c>
      <c r="I353" s="5">
        <v>748616</v>
      </c>
      <c r="J353" s="5">
        <v>685779</v>
      </c>
      <c r="K353" s="5">
        <v>1845171</v>
      </c>
    </row>
    <row r="354" spans="1:11">
      <c r="A354" s="4" t="s">
        <v>93</v>
      </c>
      <c r="B354" s="5">
        <v>2930</v>
      </c>
      <c r="C354" s="5">
        <v>361</v>
      </c>
      <c r="D354" s="5">
        <v>6872</v>
      </c>
      <c r="E354" s="5">
        <v>4</v>
      </c>
      <c r="F354" s="5">
        <v>71</v>
      </c>
      <c r="G354" s="5">
        <v>240</v>
      </c>
      <c r="H354" s="5">
        <v>2775</v>
      </c>
      <c r="I354" s="5">
        <v>25198</v>
      </c>
      <c r="J354" s="5">
        <v>24167</v>
      </c>
      <c r="K354" s="5">
        <v>62618</v>
      </c>
    </row>
    <row r="355" spans="1:11">
      <c r="A355" s="4" t="s">
        <v>97</v>
      </c>
      <c r="B355" s="5">
        <v>999</v>
      </c>
      <c r="C355" s="5">
        <v>400</v>
      </c>
      <c r="D355" s="5">
        <v>2706</v>
      </c>
      <c r="E355" s="5">
        <v>12</v>
      </c>
      <c r="F355" s="5">
        <v>18</v>
      </c>
      <c r="G355" s="5">
        <v>266</v>
      </c>
      <c r="H355" s="5">
        <v>1009</v>
      </c>
      <c r="I355" s="5">
        <v>10845</v>
      </c>
      <c r="J355" s="5">
        <v>15235</v>
      </c>
      <c r="K355" s="5">
        <v>31490</v>
      </c>
    </row>
    <row r="356" spans="1:11">
      <c r="A356" s="4" t="s">
        <v>101</v>
      </c>
      <c r="B356" s="5">
        <v>1741</v>
      </c>
      <c r="C356" s="5">
        <v>233</v>
      </c>
      <c r="D356" s="5">
        <v>3598</v>
      </c>
      <c r="E356" s="5">
        <v>7</v>
      </c>
      <c r="F356" s="5">
        <v>12</v>
      </c>
      <c r="G356" s="5">
        <v>156</v>
      </c>
      <c r="H356" s="5">
        <v>1528</v>
      </c>
      <c r="I356" s="5">
        <v>12146</v>
      </c>
      <c r="J356" s="5">
        <v>13785</v>
      </c>
      <c r="K356" s="5">
        <v>33206</v>
      </c>
    </row>
    <row r="357" spans="1:11">
      <c r="A357" s="4" t="s">
        <v>83</v>
      </c>
      <c r="B357" s="5">
        <v>5750</v>
      </c>
      <c r="C357" s="5">
        <v>1264</v>
      </c>
      <c r="D357" s="5">
        <v>13255</v>
      </c>
      <c r="E357" s="5">
        <v>24</v>
      </c>
      <c r="F357" s="5">
        <v>264</v>
      </c>
      <c r="G357" s="5">
        <v>842</v>
      </c>
      <c r="H357" s="5">
        <v>5550</v>
      </c>
      <c r="I357" s="5">
        <v>48157</v>
      </c>
      <c r="J357" s="5">
        <v>52302</v>
      </c>
      <c r="K357" s="5">
        <v>127408</v>
      </c>
    </row>
    <row r="358" spans="1:11">
      <c r="A358" s="4" t="s">
        <v>90</v>
      </c>
      <c r="B358" s="5">
        <v>7745</v>
      </c>
      <c r="C358" s="5">
        <v>857</v>
      </c>
      <c r="D358" s="5">
        <v>16497</v>
      </c>
      <c r="E358" s="5">
        <v>14</v>
      </c>
      <c r="F358" s="5">
        <v>136</v>
      </c>
      <c r="G358" s="5">
        <v>571</v>
      </c>
      <c r="H358" s="5">
        <v>7258</v>
      </c>
      <c r="I358" s="5">
        <v>52956</v>
      </c>
      <c r="J358" s="5">
        <v>51703</v>
      </c>
      <c r="K358" s="5">
        <v>137737</v>
      </c>
    </row>
    <row r="359" spans="1:11">
      <c r="A359" s="4" t="s">
        <v>99</v>
      </c>
      <c r="B359" s="5">
        <v>2738</v>
      </c>
      <c r="C359" s="5">
        <v>448</v>
      </c>
      <c r="D359" s="5">
        <v>7350</v>
      </c>
      <c r="E359" s="5">
        <v>10</v>
      </c>
      <c r="F359" s="5">
        <v>40</v>
      </c>
      <c r="G359" s="5">
        <v>298</v>
      </c>
      <c r="H359" s="5">
        <v>2775</v>
      </c>
      <c r="I359" s="5">
        <v>26508</v>
      </c>
      <c r="J359" s="5">
        <v>30091</v>
      </c>
      <c r="K359" s="5">
        <v>70258</v>
      </c>
    </row>
    <row r="360" spans="1:11">
      <c r="A360" s="4" t="s">
        <v>91</v>
      </c>
      <c r="B360" s="5">
        <v>2389</v>
      </c>
      <c r="C360" s="5">
        <v>458</v>
      </c>
      <c r="D360" s="5">
        <v>4843</v>
      </c>
      <c r="E360" s="5">
        <v>5</v>
      </c>
      <c r="F360" s="5">
        <v>60</v>
      </c>
      <c r="G360" s="5">
        <v>306</v>
      </c>
      <c r="H360" s="5">
        <v>2088</v>
      </c>
      <c r="I360" s="5">
        <v>16771</v>
      </c>
      <c r="J360" s="5">
        <v>19510</v>
      </c>
      <c r="K360" s="5">
        <v>46430</v>
      </c>
    </row>
    <row r="361" spans="1:11">
      <c r="A361" s="4" t="s">
        <v>84</v>
      </c>
      <c r="B361" s="5">
        <v>10043</v>
      </c>
      <c r="C361" s="5">
        <v>2126</v>
      </c>
      <c r="D361" s="5">
        <v>28267</v>
      </c>
      <c r="E361" s="5">
        <v>39</v>
      </c>
      <c r="F361" s="5">
        <v>328</v>
      </c>
      <c r="G361" s="5">
        <v>1418</v>
      </c>
      <c r="H361" s="5">
        <v>10513</v>
      </c>
      <c r="I361" s="5">
        <v>106701</v>
      </c>
      <c r="J361" s="5">
        <v>109842</v>
      </c>
      <c r="K361" s="5">
        <v>269277</v>
      </c>
    </row>
    <row r="362" spans="1:11">
      <c r="A362" s="4" t="s">
        <v>85</v>
      </c>
      <c r="B362" s="5">
        <v>10588</v>
      </c>
      <c r="C362" s="5">
        <v>1292</v>
      </c>
      <c r="D362" s="5">
        <v>27403</v>
      </c>
      <c r="E362" s="5">
        <v>22</v>
      </c>
      <c r="F362" s="5">
        <v>351</v>
      </c>
      <c r="G362" s="5">
        <v>861</v>
      </c>
      <c r="H362" s="5">
        <v>10748</v>
      </c>
      <c r="I362" s="5">
        <v>99797</v>
      </c>
      <c r="J362" s="5">
        <v>98070</v>
      </c>
      <c r="K362" s="5">
        <v>249132</v>
      </c>
    </row>
    <row r="363" spans="1:11">
      <c r="A363" s="4" t="s">
        <v>94</v>
      </c>
      <c r="B363" s="5">
        <v>3711</v>
      </c>
      <c r="C363" s="5">
        <v>706</v>
      </c>
      <c r="D363" s="5">
        <v>11276</v>
      </c>
      <c r="E363" s="5">
        <v>1</v>
      </c>
      <c r="F363" s="5">
        <v>1</v>
      </c>
      <c r="G363" s="5">
        <v>470</v>
      </c>
      <c r="H363" s="5">
        <v>4012</v>
      </c>
      <c r="I363" s="5">
        <v>45350</v>
      </c>
      <c r="J363" s="5">
        <v>48095</v>
      </c>
      <c r="K363" s="5">
        <v>113622</v>
      </c>
    </row>
    <row r="364" spans="1:11">
      <c r="A364" s="4" t="s">
        <v>86</v>
      </c>
      <c r="B364" s="5">
        <v>9330</v>
      </c>
      <c r="C364" s="5">
        <v>1550</v>
      </c>
      <c r="D364" s="5">
        <v>20804</v>
      </c>
      <c r="E364" s="5">
        <v>13</v>
      </c>
      <c r="F364" s="5">
        <v>42</v>
      </c>
      <c r="G364" s="5">
        <v>1034</v>
      </c>
      <c r="H364" s="5">
        <v>8644</v>
      </c>
      <c r="I364" s="5">
        <v>71683</v>
      </c>
      <c r="J364" s="5">
        <v>71865</v>
      </c>
      <c r="K364" s="5">
        <v>184965</v>
      </c>
    </row>
    <row r="365" spans="1:11">
      <c r="A365" s="4" t="s">
        <v>92</v>
      </c>
      <c r="B365" s="5">
        <v>2732</v>
      </c>
      <c r="C365" s="5">
        <v>620</v>
      </c>
      <c r="D365" s="5">
        <v>6438</v>
      </c>
      <c r="E365" s="5">
        <v>6</v>
      </c>
      <c r="F365" s="5">
        <v>127</v>
      </c>
      <c r="G365" s="5">
        <v>414</v>
      </c>
      <c r="H365" s="5">
        <v>2617</v>
      </c>
      <c r="I365" s="5">
        <v>26284</v>
      </c>
      <c r="J365" s="5">
        <v>31130</v>
      </c>
      <c r="K365" s="5">
        <v>70368</v>
      </c>
    </row>
    <row r="366" spans="1:11">
      <c r="A366" s="4" t="s">
        <v>87</v>
      </c>
      <c r="B366" s="5">
        <v>2309</v>
      </c>
      <c r="C366" s="5">
        <v>891</v>
      </c>
      <c r="D366" s="5">
        <v>5783</v>
      </c>
      <c r="E366" s="5">
        <v>7</v>
      </c>
      <c r="F366" s="5">
        <v>132</v>
      </c>
      <c r="G366" s="5">
        <v>594</v>
      </c>
      <c r="H366" s="5">
        <v>2320</v>
      </c>
      <c r="I366" s="5">
        <v>21973</v>
      </c>
      <c r="J366" s="5">
        <v>24032</v>
      </c>
      <c r="K366" s="5">
        <v>58041</v>
      </c>
    </row>
    <row r="367" spans="1:11">
      <c r="A367" s="4" t="s">
        <v>98</v>
      </c>
      <c r="B367" s="5">
        <v>2405</v>
      </c>
      <c r="C367" s="5">
        <v>375</v>
      </c>
      <c r="D367" s="5">
        <v>5287</v>
      </c>
      <c r="E367" s="5">
        <v>4</v>
      </c>
      <c r="F367" s="5">
        <v>124</v>
      </c>
      <c r="G367" s="5">
        <v>250</v>
      </c>
      <c r="H367" s="5">
        <v>2161</v>
      </c>
      <c r="I367" s="5">
        <v>19523</v>
      </c>
      <c r="J367" s="5">
        <v>23318</v>
      </c>
      <c r="K367" s="5">
        <v>53447</v>
      </c>
    </row>
    <row r="368" spans="1:11">
      <c r="A368" s="3" t="s">
        <v>1009</v>
      </c>
      <c r="B368" s="5">
        <v>101236</v>
      </c>
      <c r="C368" s="5">
        <v>26760</v>
      </c>
      <c r="D368" s="5">
        <v>323885</v>
      </c>
      <c r="E368" s="5">
        <v>537</v>
      </c>
      <c r="F368" s="5">
        <v>2379</v>
      </c>
      <c r="G368" s="5">
        <v>17836</v>
      </c>
      <c r="H368" s="5">
        <v>114573</v>
      </c>
      <c r="I368" s="5">
        <v>1283582</v>
      </c>
      <c r="J368" s="5">
        <v>1486490</v>
      </c>
      <c r="K368" s="5">
        <v>3357278</v>
      </c>
    </row>
    <row r="369" spans="1:11">
      <c r="A369" s="4" t="s">
        <v>102</v>
      </c>
      <c r="B369" s="5">
        <v>33449</v>
      </c>
      <c r="C369" s="5">
        <v>12323</v>
      </c>
      <c r="D369" s="5">
        <v>109262</v>
      </c>
      <c r="E369" s="5">
        <v>303</v>
      </c>
      <c r="F369" s="5">
        <v>176</v>
      </c>
      <c r="G369" s="5">
        <v>8215</v>
      </c>
      <c r="H369" s="5">
        <v>37982</v>
      </c>
      <c r="I369" s="5">
        <v>415787</v>
      </c>
      <c r="J369" s="5">
        <v>462406</v>
      </c>
      <c r="K369" s="5">
        <v>1079903</v>
      </c>
    </row>
    <row r="370" spans="1:11">
      <c r="A370" s="4" t="s">
        <v>114</v>
      </c>
      <c r="B370" s="5">
        <v>2027</v>
      </c>
      <c r="C370" s="5">
        <v>436</v>
      </c>
      <c r="D370" s="5">
        <v>6250</v>
      </c>
      <c r="E370" s="5">
        <v>0</v>
      </c>
      <c r="F370" s="5">
        <v>139</v>
      </c>
      <c r="G370" s="5">
        <v>290</v>
      </c>
      <c r="H370" s="5">
        <v>2135</v>
      </c>
      <c r="I370" s="5">
        <v>28100</v>
      </c>
      <c r="J370" s="5">
        <v>36561</v>
      </c>
      <c r="K370" s="5">
        <v>75938</v>
      </c>
    </row>
    <row r="371" spans="1:11">
      <c r="A371" s="4" t="s">
        <v>111</v>
      </c>
      <c r="B371" s="5">
        <v>7676</v>
      </c>
      <c r="C371" s="5">
        <v>1511</v>
      </c>
      <c r="D371" s="5">
        <v>24504</v>
      </c>
      <c r="E371" s="5">
        <v>35</v>
      </c>
      <c r="F371" s="5">
        <v>38</v>
      </c>
      <c r="G371" s="5">
        <v>1007</v>
      </c>
      <c r="H371" s="5">
        <v>8282</v>
      </c>
      <c r="I371" s="5">
        <v>102919</v>
      </c>
      <c r="J371" s="5">
        <v>112693</v>
      </c>
      <c r="K371" s="5">
        <v>258665</v>
      </c>
    </row>
    <row r="372" spans="1:11">
      <c r="A372" s="4" t="s">
        <v>116</v>
      </c>
      <c r="B372" s="5">
        <v>1124</v>
      </c>
      <c r="C372" s="5">
        <v>298</v>
      </c>
      <c r="D372" s="5">
        <v>3761</v>
      </c>
      <c r="E372" s="5">
        <v>9</v>
      </c>
      <c r="F372" s="5">
        <v>41</v>
      </c>
      <c r="G372" s="5">
        <v>198</v>
      </c>
      <c r="H372" s="5">
        <v>1292</v>
      </c>
      <c r="I372" s="5">
        <v>15597</v>
      </c>
      <c r="J372" s="5">
        <v>20978</v>
      </c>
      <c r="K372" s="5">
        <v>43298</v>
      </c>
    </row>
    <row r="373" spans="1:11">
      <c r="A373" s="4" t="s">
        <v>103</v>
      </c>
      <c r="B373" s="5">
        <v>3217</v>
      </c>
      <c r="C373" s="5">
        <v>714</v>
      </c>
      <c r="D373" s="5">
        <v>10557</v>
      </c>
      <c r="E373" s="5">
        <v>7</v>
      </c>
      <c r="F373" s="5">
        <v>13</v>
      </c>
      <c r="G373" s="5">
        <v>476</v>
      </c>
      <c r="H373" s="5">
        <v>3426</v>
      </c>
      <c r="I373" s="5">
        <v>51817</v>
      </c>
      <c r="J373" s="5">
        <v>72484</v>
      </c>
      <c r="K373" s="5">
        <v>142711</v>
      </c>
    </row>
    <row r="374" spans="1:11">
      <c r="A374" s="4" t="s">
        <v>113</v>
      </c>
      <c r="B374" s="5">
        <v>3157</v>
      </c>
      <c r="C374" s="5">
        <v>1375</v>
      </c>
      <c r="D374" s="5">
        <v>8634</v>
      </c>
      <c r="E374" s="5">
        <v>39</v>
      </c>
      <c r="F374" s="5">
        <v>60</v>
      </c>
      <c r="G374" s="5">
        <v>916</v>
      </c>
      <c r="H374" s="5">
        <v>3391</v>
      </c>
      <c r="I374" s="5">
        <v>30235</v>
      </c>
      <c r="J374" s="5">
        <v>34846</v>
      </c>
      <c r="K374" s="5">
        <v>82653</v>
      </c>
    </row>
    <row r="375" spans="1:11">
      <c r="A375" s="4" t="s">
        <v>115</v>
      </c>
      <c r="B375" s="5">
        <v>1223</v>
      </c>
      <c r="C375" s="5">
        <v>361</v>
      </c>
      <c r="D375" s="5">
        <v>3847</v>
      </c>
      <c r="E375" s="5">
        <v>10</v>
      </c>
      <c r="F375" s="5">
        <v>30</v>
      </c>
      <c r="G375" s="5">
        <v>240</v>
      </c>
      <c r="H375" s="5">
        <v>1363</v>
      </c>
      <c r="I375" s="5">
        <v>15915</v>
      </c>
      <c r="J375" s="5">
        <v>22891</v>
      </c>
      <c r="K375" s="5">
        <v>45880</v>
      </c>
    </row>
    <row r="376" spans="1:11">
      <c r="A376" s="4" t="s">
        <v>117</v>
      </c>
      <c r="B376" s="5">
        <v>1415</v>
      </c>
      <c r="C376" s="5">
        <v>360</v>
      </c>
      <c r="D376" s="5">
        <v>4632</v>
      </c>
      <c r="E376" s="5">
        <v>8</v>
      </c>
      <c r="F376" s="5">
        <v>120</v>
      </c>
      <c r="G376" s="5">
        <v>240</v>
      </c>
      <c r="H376" s="5">
        <v>1665</v>
      </c>
      <c r="I376" s="5">
        <v>18138</v>
      </c>
      <c r="J376" s="5">
        <v>21813</v>
      </c>
      <c r="K376" s="5">
        <v>48391</v>
      </c>
    </row>
    <row r="377" spans="1:11">
      <c r="A377" s="4" t="s">
        <v>104</v>
      </c>
      <c r="B377" s="5">
        <v>11154</v>
      </c>
      <c r="C377" s="5">
        <v>1042</v>
      </c>
      <c r="D377" s="5">
        <v>35785</v>
      </c>
      <c r="E377" s="5">
        <v>34</v>
      </c>
      <c r="F377" s="5">
        <v>280</v>
      </c>
      <c r="G377" s="5">
        <v>694</v>
      </c>
      <c r="H377" s="5">
        <v>13204</v>
      </c>
      <c r="I377" s="5">
        <v>135481</v>
      </c>
      <c r="J377" s="5">
        <v>157297</v>
      </c>
      <c r="K377" s="5">
        <v>354971</v>
      </c>
    </row>
    <row r="378" spans="1:11">
      <c r="A378" s="4" t="s">
        <v>105</v>
      </c>
      <c r="B378" s="5">
        <v>3396</v>
      </c>
      <c r="C378" s="5">
        <v>880</v>
      </c>
      <c r="D378" s="5">
        <v>9604</v>
      </c>
      <c r="E378" s="5">
        <v>14</v>
      </c>
      <c r="F378" s="5">
        <v>25</v>
      </c>
      <c r="G378" s="5">
        <v>586</v>
      </c>
      <c r="H378" s="5">
        <v>3504</v>
      </c>
      <c r="I378" s="5">
        <v>44377</v>
      </c>
      <c r="J378" s="5">
        <v>59474</v>
      </c>
      <c r="K378" s="5">
        <v>121860</v>
      </c>
    </row>
    <row r="379" spans="1:11">
      <c r="A379" s="4" t="s">
        <v>106</v>
      </c>
      <c r="B379" s="5">
        <v>6003</v>
      </c>
      <c r="C379" s="5">
        <v>1236</v>
      </c>
      <c r="D379" s="5">
        <v>18978</v>
      </c>
      <c r="E379" s="5">
        <v>14</v>
      </c>
      <c r="F379" s="5">
        <v>126</v>
      </c>
      <c r="G379" s="5">
        <v>824</v>
      </c>
      <c r="H379" s="5">
        <v>6903</v>
      </c>
      <c r="I379" s="5">
        <v>74427</v>
      </c>
      <c r="J379" s="5">
        <v>92099</v>
      </c>
      <c r="K379" s="5">
        <v>200610</v>
      </c>
    </row>
    <row r="380" spans="1:11">
      <c r="A380" s="4" t="s">
        <v>112</v>
      </c>
      <c r="B380" s="5">
        <v>3230</v>
      </c>
      <c r="C380" s="5">
        <v>496</v>
      </c>
      <c r="D380" s="5">
        <v>9993</v>
      </c>
      <c r="E380" s="5">
        <v>1</v>
      </c>
      <c r="F380" s="5">
        <v>104</v>
      </c>
      <c r="G380" s="5">
        <v>331</v>
      </c>
      <c r="H380" s="5">
        <v>3685</v>
      </c>
      <c r="I380" s="5">
        <v>36451</v>
      </c>
      <c r="J380" s="5">
        <v>39506</v>
      </c>
      <c r="K380" s="5">
        <v>93797</v>
      </c>
    </row>
    <row r="381" spans="1:11">
      <c r="A381" s="4" t="s">
        <v>119</v>
      </c>
      <c r="B381" s="5">
        <v>1580</v>
      </c>
      <c r="C381" s="5">
        <v>321</v>
      </c>
      <c r="D381" s="5">
        <v>5001</v>
      </c>
      <c r="E381" s="5">
        <v>6</v>
      </c>
      <c r="F381" s="5">
        <v>100</v>
      </c>
      <c r="G381" s="5">
        <v>214</v>
      </c>
      <c r="H381" s="5">
        <v>1960</v>
      </c>
      <c r="I381" s="5">
        <v>20690</v>
      </c>
      <c r="J381" s="5">
        <v>27200</v>
      </c>
      <c r="K381" s="5">
        <v>57072</v>
      </c>
    </row>
    <row r="382" spans="1:11">
      <c r="A382" s="4" t="s">
        <v>107</v>
      </c>
      <c r="B382" s="5">
        <v>2211</v>
      </c>
      <c r="C382" s="5">
        <v>770</v>
      </c>
      <c r="D382" s="5">
        <v>8718</v>
      </c>
      <c r="E382" s="5">
        <v>17</v>
      </c>
      <c r="F382" s="5">
        <v>146</v>
      </c>
      <c r="G382" s="5">
        <v>514</v>
      </c>
      <c r="H382" s="5">
        <v>3019</v>
      </c>
      <c r="I382" s="5">
        <v>36388</v>
      </c>
      <c r="J382" s="5">
        <v>45311</v>
      </c>
      <c r="K382" s="5">
        <v>97094</v>
      </c>
    </row>
    <row r="383" spans="1:11">
      <c r="A383" s="4" t="s">
        <v>108</v>
      </c>
      <c r="B383" s="5">
        <v>7509</v>
      </c>
      <c r="C383" s="5">
        <v>1630</v>
      </c>
      <c r="D383" s="5">
        <v>23450</v>
      </c>
      <c r="E383" s="5">
        <v>19</v>
      </c>
      <c r="F383" s="5">
        <v>521</v>
      </c>
      <c r="G383" s="5">
        <v>1086</v>
      </c>
      <c r="H383" s="5">
        <v>8377</v>
      </c>
      <c r="I383" s="5">
        <v>94480</v>
      </c>
      <c r="J383" s="5">
        <v>106384</v>
      </c>
      <c r="K383" s="5">
        <v>243456</v>
      </c>
    </row>
    <row r="384" spans="1:11">
      <c r="A384" s="4" t="s">
        <v>109</v>
      </c>
      <c r="B384" s="5">
        <v>8557</v>
      </c>
      <c r="C384" s="5">
        <v>2078</v>
      </c>
      <c r="D384" s="5">
        <v>27715</v>
      </c>
      <c r="E384" s="5">
        <v>9</v>
      </c>
      <c r="F384" s="5">
        <v>289</v>
      </c>
      <c r="G384" s="5">
        <v>1386</v>
      </c>
      <c r="H384" s="5">
        <v>9586</v>
      </c>
      <c r="I384" s="5">
        <v>112016</v>
      </c>
      <c r="J384" s="5">
        <v>118995</v>
      </c>
      <c r="K384" s="5">
        <v>280631</v>
      </c>
    </row>
    <row r="385" spans="1:11">
      <c r="A385" s="4" t="s">
        <v>110</v>
      </c>
      <c r="B385" s="5">
        <v>4308</v>
      </c>
      <c r="C385" s="5">
        <v>929</v>
      </c>
      <c r="D385" s="5">
        <v>13194</v>
      </c>
      <c r="E385" s="5">
        <v>12</v>
      </c>
      <c r="F385" s="5">
        <v>171</v>
      </c>
      <c r="G385" s="5">
        <v>619</v>
      </c>
      <c r="H385" s="5">
        <v>4799</v>
      </c>
      <c r="I385" s="5">
        <v>50764</v>
      </c>
      <c r="J385" s="5">
        <v>55552</v>
      </c>
      <c r="K385" s="5">
        <v>130348</v>
      </c>
    </row>
    <row r="386" spans="1:11">
      <c r="A386" s="3" t="s">
        <v>1010</v>
      </c>
      <c r="B386" s="5">
        <v>28576</v>
      </c>
      <c r="C386" s="5">
        <v>10499</v>
      </c>
      <c r="D386" s="5">
        <v>90195</v>
      </c>
      <c r="E386" s="5">
        <v>93</v>
      </c>
      <c r="F386" s="5">
        <v>1818</v>
      </c>
      <c r="G386" s="5">
        <v>7001</v>
      </c>
      <c r="H386" s="5">
        <v>32210</v>
      </c>
      <c r="I386" s="5">
        <v>371646</v>
      </c>
      <c r="J386" s="5">
        <v>435283</v>
      </c>
      <c r="K386" s="5">
        <v>977321</v>
      </c>
    </row>
    <row r="387" spans="1:11">
      <c r="A387" s="4" t="s">
        <v>312</v>
      </c>
      <c r="B387" s="5">
        <v>1558</v>
      </c>
      <c r="C387" s="5">
        <v>470</v>
      </c>
      <c r="D387" s="5">
        <v>4503</v>
      </c>
      <c r="E387" s="5">
        <v>5</v>
      </c>
      <c r="F387" s="5">
        <v>43</v>
      </c>
      <c r="G387" s="5">
        <v>314</v>
      </c>
      <c r="H387" s="5">
        <v>1662</v>
      </c>
      <c r="I387" s="5">
        <v>17771</v>
      </c>
      <c r="J387" s="5">
        <v>23472</v>
      </c>
      <c r="K387" s="5">
        <v>49798</v>
      </c>
    </row>
    <row r="388" spans="1:11">
      <c r="A388" s="4" t="s">
        <v>308</v>
      </c>
      <c r="B388" s="5">
        <v>4235</v>
      </c>
      <c r="C388" s="5">
        <v>1220</v>
      </c>
      <c r="D388" s="5">
        <v>13040</v>
      </c>
      <c r="E388" s="5">
        <v>21</v>
      </c>
      <c r="F388" s="5">
        <v>365</v>
      </c>
      <c r="G388" s="5">
        <v>814</v>
      </c>
      <c r="H388" s="5">
        <v>4709</v>
      </c>
      <c r="I388" s="5">
        <v>50193</v>
      </c>
      <c r="J388" s="5">
        <v>51198</v>
      </c>
      <c r="K388" s="5">
        <v>125795</v>
      </c>
    </row>
    <row r="389" spans="1:11">
      <c r="A389" s="4" t="s">
        <v>317</v>
      </c>
      <c r="B389" s="5">
        <v>1230</v>
      </c>
      <c r="C389" s="5">
        <v>283</v>
      </c>
      <c r="D389" s="5">
        <v>3135</v>
      </c>
      <c r="E389" s="5">
        <v>7</v>
      </c>
      <c r="F389" s="5">
        <v>7</v>
      </c>
      <c r="G389" s="5">
        <v>189</v>
      </c>
      <c r="H389" s="5">
        <v>1183</v>
      </c>
      <c r="I389" s="5">
        <v>11374</v>
      </c>
      <c r="J389" s="5">
        <v>11782</v>
      </c>
      <c r="K389" s="5">
        <v>29190</v>
      </c>
    </row>
    <row r="390" spans="1:11">
      <c r="A390" s="4" t="s">
        <v>315</v>
      </c>
      <c r="B390" s="5">
        <v>1319</v>
      </c>
      <c r="C390" s="5">
        <v>367</v>
      </c>
      <c r="D390" s="5">
        <v>3945</v>
      </c>
      <c r="E390" s="5">
        <v>5</v>
      </c>
      <c r="F390" s="5">
        <v>22</v>
      </c>
      <c r="G390" s="5">
        <v>245</v>
      </c>
      <c r="H390" s="5">
        <v>1474</v>
      </c>
      <c r="I390" s="5">
        <v>13986</v>
      </c>
      <c r="J390" s="5">
        <v>14310</v>
      </c>
      <c r="K390" s="5">
        <v>35673</v>
      </c>
    </row>
    <row r="391" spans="1:11">
      <c r="A391" s="4" t="s">
        <v>309</v>
      </c>
      <c r="B391" s="5">
        <v>9606</v>
      </c>
      <c r="C391" s="5">
        <v>4611</v>
      </c>
      <c r="D391" s="5">
        <v>32285</v>
      </c>
      <c r="E391" s="5">
        <v>6</v>
      </c>
      <c r="F391" s="5">
        <v>842</v>
      </c>
      <c r="G391" s="5">
        <v>3074</v>
      </c>
      <c r="H391" s="5">
        <v>11409</v>
      </c>
      <c r="I391" s="5">
        <v>132718</v>
      </c>
      <c r="J391" s="5">
        <v>133730</v>
      </c>
      <c r="K391" s="5">
        <v>328281</v>
      </c>
    </row>
    <row r="392" spans="1:11">
      <c r="A392" s="4" t="s">
        <v>310</v>
      </c>
      <c r="B392" s="5">
        <v>2669</v>
      </c>
      <c r="C392" s="5">
        <v>1257</v>
      </c>
      <c r="D392" s="5">
        <v>8436</v>
      </c>
      <c r="E392" s="5">
        <v>6</v>
      </c>
      <c r="F392" s="5">
        <v>109</v>
      </c>
      <c r="G392" s="5">
        <v>838</v>
      </c>
      <c r="H392" s="5">
        <v>2973</v>
      </c>
      <c r="I392" s="5">
        <v>37193</v>
      </c>
      <c r="J392" s="5">
        <v>44821</v>
      </c>
      <c r="K392" s="5">
        <v>98302</v>
      </c>
    </row>
    <row r="393" spans="1:11">
      <c r="A393" s="4" t="s">
        <v>313</v>
      </c>
      <c r="B393" s="5">
        <v>1308</v>
      </c>
      <c r="C393" s="5">
        <v>323</v>
      </c>
      <c r="D393" s="5">
        <v>3386</v>
      </c>
      <c r="E393" s="5">
        <v>11</v>
      </c>
      <c r="F393" s="5">
        <v>69</v>
      </c>
      <c r="G393" s="5">
        <v>216</v>
      </c>
      <c r="H393" s="5">
        <v>1225</v>
      </c>
      <c r="I393" s="5">
        <v>14205</v>
      </c>
      <c r="J393" s="5">
        <v>21813</v>
      </c>
      <c r="K393" s="5">
        <v>42556</v>
      </c>
    </row>
    <row r="394" spans="1:11">
      <c r="A394" s="4" t="s">
        <v>314</v>
      </c>
      <c r="B394" s="5">
        <v>2124</v>
      </c>
      <c r="C394" s="5">
        <v>463</v>
      </c>
      <c r="D394" s="5">
        <v>5439</v>
      </c>
      <c r="E394" s="5">
        <v>14</v>
      </c>
      <c r="F394" s="5">
        <v>130</v>
      </c>
      <c r="G394" s="5">
        <v>308</v>
      </c>
      <c r="H394" s="5">
        <v>2119</v>
      </c>
      <c r="I394" s="5">
        <v>19758</v>
      </c>
      <c r="J394" s="5">
        <v>21235</v>
      </c>
      <c r="K394" s="5">
        <v>51590</v>
      </c>
    </row>
    <row r="395" spans="1:11">
      <c r="A395" s="4" t="s">
        <v>311</v>
      </c>
      <c r="B395" s="5">
        <v>4527</v>
      </c>
      <c r="C395" s="5">
        <v>1505</v>
      </c>
      <c r="D395" s="5">
        <v>16026</v>
      </c>
      <c r="E395" s="5">
        <v>18</v>
      </c>
      <c r="F395" s="5">
        <v>231</v>
      </c>
      <c r="G395" s="5">
        <v>1003</v>
      </c>
      <c r="H395" s="5">
        <v>5456</v>
      </c>
      <c r="I395" s="5">
        <v>74448</v>
      </c>
      <c r="J395" s="5">
        <v>112922</v>
      </c>
      <c r="K395" s="5">
        <v>216136</v>
      </c>
    </row>
    <row r="396" spans="1:11">
      <c r="A396" s="3" t="s">
        <v>1011</v>
      </c>
      <c r="B396" s="5">
        <v>30600</v>
      </c>
      <c r="C396" s="5">
        <v>8377</v>
      </c>
      <c r="D396" s="5">
        <v>71745</v>
      </c>
      <c r="E396" s="5">
        <v>165</v>
      </c>
      <c r="F396" s="5">
        <v>933</v>
      </c>
      <c r="G396" s="5">
        <v>5586</v>
      </c>
      <c r="H396" s="5">
        <v>28644</v>
      </c>
      <c r="I396" s="5">
        <v>276838</v>
      </c>
      <c r="J396" s="5">
        <v>370067</v>
      </c>
      <c r="K396" s="5">
        <v>792955</v>
      </c>
    </row>
    <row r="397" spans="1:11">
      <c r="A397" s="4" t="s">
        <v>463</v>
      </c>
      <c r="B397" s="5">
        <v>1255</v>
      </c>
      <c r="C397" s="5">
        <v>217</v>
      </c>
      <c r="D397" s="5">
        <v>2681</v>
      </c>
      <c r="E397" s="5">
        <v>7</v>
      </c>
      <c r="F397" s="5">
        <v>35</v>
      </c>
      <c r="G397" s="5">
        <v>145</v>
      </c>
      <c r="H397" s="5">
        <v>1132</v>
      </c>
      <c r="I397" s="5">
        <v>9765</v>
      </c>
      <c r="J397" s="5">
        <v>11554</v>
      </c>
      <c r="K397" s="5">
        <v>26791</v>
      </c>
    </row>
    <row r="398" spans="1:11">
      <c r="A398" s="4" t="s">
        <v>456</v>
      </c>
      <c r="B398" s="5">
        <v>8384</v>
      </c>
      <c r="C398" s="5">
        <v>3852</v>
      </c>
      <c r="D398" s="5">
        <v>23574</v>
      </c>
      <c r="E398" s="5">
        <v>106</v>
      </c>
      <c r="F398" s="5">
        <v>217</v>
      </c>
      <c r="G398" s="5">
        <v>2568</v>
      </c>
      <c r="H398" s="5">
        <v>8702</v>
      </c>
      <c r="I398" s="5">
        <v>98205</v>
      </c>
      <c r="J398" s="5">
        <v>127085</v>
      </c>
      <c r="K398" s="5">
        <v>272693</v>
      </c>
    </row>
    <row r="399" spans="1:11">
      <c r="A399" s="4" t="s">
        <v>465</v>
      </c>
      <c r="B399" s="5">
        <v>1697</v>
      </c>
      <c r="C399" s="5">
        <v>125</v>
      </c>
      <c r="D399" s="5">
        <v>2753</v>
      </c>
      <c r="E399" s="5">
        <v>3</v>
      </c>
      <c r="F399" s="5">
        <v>30</v>
      </c>
      <c r="G399" s="5">
        <v>83</v>
      </c>
      <c r="H399" s="5">
        <v>1385</v>
      </c>
      <c r="I399" s="5">
        <v>9353</v>
      </c>
      <c r="J399" s="5">
        <v>13614</v>
      </c>
      <c r="K399" s="5">
        <v>29043</v>
      </c>
    </row>
    <row r="400" spans="1:11">
      <c r="A400" s="4" t="s">
        <v>457</v>
      </c>
      <c r="B400" s="5">
        <v>2134</v>
      </c>
      <c r="C400" s="5">
        <v>379</v>
      </c>
      <c r="D400" s="5">
        <v>4787</v>
      </c>
      <c r="E400" s="5">
        <v>3</v>
      </c>
      <c r="F400" s="5">
        <v>41</v>
      </c>
      <c r="G400" s="5">
        <v>253</v>
      </c>
      <c r="H400" s="5">
        <v>1983</v>
      </c>
      <c r="I400" s="5">
        <v>17403</v>
      </c>
      <c r="J400" s="5">
        <v>27587</v>
      </c>
      <c r="K400" s="5">
        <v>54570</v>
      </c>
    </row>
    <row r="401" spans="1:11">
      <c r="A401" s="4" t="s">
        <v>464</v>
      </c>
      <c r="B401" s="5">
        <v>1573</v>
      </c>
      <c r="C401" s="5">
        <v>345</v>
      </c>
      <c r="D401" s="5">
        <v>3574</v>
      </c>
      <c r="E401" s="5">
        <v>4</v>
      </c>
      <c r="F401" s="5">
        <v>34</v>
      </c>
      <c r="G401" s="5">
        <v>230</v>
      </c>
      <c r="H401" s="5">
        <v>1484</v>
      </c>
      <c r="I401" s="5">
        <v>13307</v>
      </c>
      <c r="J401" s="5">
        <v>20448</v>
      </c>
      <c r="K401" s="5">
        <v>40999</v>
      </c>
    </row>
    <row r="402" spans="1:11">
      <c r="A402" s="4" t="s">
        <v>461</v>
      </c>
      <c r="B402" s="5">
        <v>1711</v>
      </c>
      <c r="C402" s="5">
        <v>239</v>
      </c>
      <c r="D402" s="5">
        <v>3424</v>
      </c>
      <c r="E402" s="5">
        <v>2</v>
      </c>
      <c r="F402" s="5">
        <v>29</v>
      </c>
      <c r="G402" s="5">
        <v>159</v>
      </c>
      <c r="H402" s="5">
        <v>1442</v>
      </c>
      <c r="I402" s="5">
        <v>11858</v>
      </c>
      <c r="J402" s="5">
        <v>14651</v>
      </c>
      <c r="K402" s="5">
        <v>33515</v>
      </c>
    </row>
    <row r="403" spans="1:11">
      <c r="A403" s="4" t="s">
        <v>458</v>
      </c>
      <c r="B403" s="5">
        <v>1883</v>
      </c>
      <c r="C403" s="5">
        <v>281</v>
      </c>
      <c r="D403" s="5">
        <v>3869</v>
      </c>
      <c r="E403" s="5">
        <v>2</v>
      </c>
      <c r="F403" s="5">
        <v>45</v>
      </c>
      <c r="G403" s="5">
        <v>188</v>
      </c>
      <c r="H403" s="5">
        <v>1631</v>
      </c>
      <c r="I403" s="5">
        <v>13499</v>
      </c>
      <c r="J403" s="5">
        <v>20282</v>
      </c>
      <c r="K403" s="5">
        <v>41680</v>
      </c>
    </row>
    <row r="404" spans="1:11">
      <c r="A404" s="4" t="s">
        <v>466</v>
      </c>
      <c r="B404" s="5">
        <v>2709</v>
      </c>
      <c r="C404" s="5">
        <v>824</v>
      </c>
      <c r="D404" s="5">
        <v>7088</v>
      </c>
      <c r="E404" s="5">
        <v>0</v>
      </c>
      <c r="F404" s="5">
        <v>273</v>
      </c>
      <c r="G404" s="5">
        <v>550</v>
      </c>
      <c r="H404" s="5">
        <v>2569</v>
      </c>
      <c r="I404" s="5">
        <v>27858</v>
      </c>
      <c r="J404" s="5">
        <v>33212</v>
      </c>
      <c r="K404" s="5">
        <v>75083</v>
      </c>
    </row>
    <row r="405" spans="1:11">
      <c r="A405" s="4" t="s">
        <v>462</v>
      </c>
      <c r="B405" s="5">
        <v>2288</v>
      </c>
      <c r="C405" s="5">
        <v>751</v>
      </c>
      <c r="D405" s="5">
        <v>4985</v>
      </c>
      <c r="E405" s="5">
        <v>22</v>
      </c>
      <c r="F405" s="5">
        <v>23</v>
      </c>
      <c r="G405" s="5">
        <v>500</v>
      </c>
      <c r="H405" s="5">
        <v>2015</v>
      </c>
      <c r="I405" s="5">
        <v>16873</v>
      </c>
      <c r="J405" s="5">
        <v>19859</v>
      </c>
      <c r="K405" s="5">
        <v>47316</v>
      </c>
    </row>
    <row r="406" spans="1:11">
      <c r="A406" s="4" t="s">
        <v>459</v>
      </c>
      <c r="B406" s="5">
        <v>5187</v>
      </c>
      <c r="C406" s="5">
        <v>969</v>
      </c>
      <c r="D406" s="5">
        <v>10816</v>
      </c>
      <c r="E406" s="5">
        <v>9</v>
      </c>
      <c r="F406" s="5">
        <v>140</v>
      </c>
      <c r="G406" s="5">
        <v>646</v>
      </c>
      <c r="H406" s="5">
        <v>4642</v>
      </c>
      <c r="I406" s="5">
        <v>41388</v>
      </c>
      <c r="J406" s="5">
        <v>55672</v>
      </c>
      <c r="K406" s="5">
        <v>119469</v>
      </c>
    </row>
    <row r="407" spans="1:11">
      <c r="A407" s="4" t="s">
        <v>460</v>
      </c>
      <c r="B407" s="5">
        <v>1779</v>
      </c>
      <c r="C407" s="5">
        <v>395</v>
      </c>
      <c r="D407" s="5">
        <v>4194</v>
      </c>
      <c r="E407" s="5">
        <v>7</v>
      </c>
      <c r="F407" s="5">
        <v>66</v>
      </c>
      <c r="G407" s="5">
        <v>264</v>
      </c>
      <c r="H407" s="5">
        <v>1659</v>
      </c>
      <c r="I407" s="5">
        <v>17329</v>
      </c>
      <c r="J407" s="5">
        <v>26103</v>
      </c>
      <c r="K407" s="5">
        <v>51796</v>
      </c>
    </row>
    <row r="408" spans="1:11">
      <c r="A408" s="3" t="s">
        <v>1012</v>
      </c>
      <c r="B408" s="5">
        <v>205648</v>
      </c>
      <c r="C408" s="5">
        <v>63051</v>
      </c>
      <c r="D408" s="5">
        <v>626118</v>
      </c>
      <c r="E408" s="5">
        <v>1164</v>
      </c>
      <c r="F408" s="5">
        <v>13245</v>
      </c>
      <c r="G408" s="5">
        <v>42035</v>
      </c>
      <c r="H408" s="5">
        <v>226114</v>
      </c>
      <c r="I408" s="5">
        <v>2516007</v>
      </c>
      <c r="J408" s="5">
        <v>2972596</v>
      </c>
      <c r="K408" s="5">
        <v>6665978</v>
      </c>
    </row>
    <row r="409" spans="1:11">
      <c r="A409" s="4" t="s">
        <v>240</v>
      </c>
      <c r="B409" s="5">
        <v>1399</v>
      </c>
      <c r="C409" s="5">
        <v>1462</v>
      </c>
      <c r="D409" s="5">
        <v>4218</v>
      </c>
      <c r="E409" s="5">
        <v>8</v>
      </c>
      <c r="F409" s="5">
        <v>130</v>
      </c>
      <c r="G409" s="5">
        <v>975</v>
      </c>
      <c r="H409" s="5">
        <v>1597</v>
      </c>
      <c r="I409" s="5">
        <v>18930</v>
      </c>
      <c r="J409" s="5">
        <v>29391</v>
      </c>
      <c r="K409" s="5">
        <v>58110</v>
      </c>
    </row>
    <row r="410" spans="1:11">
      <c r="A410" s="4" t="s">
        <v>234</v>
      </c>
      <c r="B410" s="5">
        <v>1456</v>
      </c>
      <c r="C410" s="5">
        <v>248</v>
      </c>
      <c r="D410" s="5">
        <v>3253</v>
      </c>
      <c r="E410" s="5">
        <v>5</v>
      </c>
      <c r="F410" s="5">
        <v>35</v>
      </c>
      <c r="G410" s="5">
        <v>165</v>
      </c>
      <c r="H410" s="5">
        <v>1328</v>
      </c>
      <c r="I410" s="5">
        <v>11722</v>
      </c>
      <c r="J410" s="5">
        <v>13634</v>
      </c>
      <c r="K410" s="5">
        <v>31846</v>
      </c>
    </row>
    <row r="411" spans="1:11">
      <c r="A411" s="4" t="s">
        <v>229</v>
      </c>
      <c r="B411" s="5">
        <v>3191</v>
      </c>
      <c r="C411" s="5">
        <v>678</v>
      </c>
      <c r="D411" s="5">
        <v>7461</v>
      </c>
      <c r="E411" s="5">
        <v>14</v>
      </c>
      <c r="F411" s="5">
        <v>36</v>
      </c>
      <c r="G411" s="5">
        <v>452</v>
      </c>
      <c r="H411" s="5">
        <v>2991</v>
      </c>
      <c r="I411" s="5">
        <v>29238</v>
      </c>
      <c r="J411" s="5">
        <v>33504</v>
      </c>
      <c r="K411" s="5">
        <v>77565</v>
      </c>
    </row>
    <row r="412" spans="1:11">
      <c r="A412" s="4" t="s">
        <v>235</v>
      </c>
      <c r="B412" s="5">
        <v>2617</v>
      </c>
      <c r="C412" s="5">
        <v>374</v>
      </c>
      <c r="D412" s="5">
        <v>7199</v>
      </c>
      <c r="E412" s="5">
        <v>11</v>
      </c>
      <c r="F412" s="5">
        <v>85</v>
      </c>
      <c r="G412" s="5">
        <v>249</v>
      </c>
      <c r="H412" s="5">
        <v>2731</v>
      </c>
      <c r="I412" s="5">
        <v>27851</v>
      </c>
      <c r="J412" s="5">
        <v>31097</v>
      </c>
      <c r="K412" s="5">
        <v>72214</v>
      </c>
    </row>
    <row r="413" spans="1:11">
      <c r="A413" s="4" t="s">
        <v>215</v>
      </c>
      <c r="B413" s="5">
        <v>2359</v>
      </c>
      <c r="C413" s="5">
        <v>1328</v>
      </c>
      <c r="D413" s="5">
        <v>8181</v>
      </c>
      <c r="E413" s="5">
        <v>13</v>
      </c>
      <c r="F413" s="5">
        <v>299</v>
      </c>
      <c r="G413" s="5">
        <v>885</v>
      </c>
      <c r="H413" s="5">
        <v>2627</v>
      </c>
      <c r="I413" s="5">
        <v>40598</v>
      </c>
      <c r="J413" s="5">
        <v>65935</v>
      </c>
      <c r="K413" s="5">
        <v>122225</v>
      </c>
    </row>
    <row r="414" spans="1:11">
      <c r="A414" s="4" t="s">
        <v>217</v>
      </c>
      <c r="B414" s="5">
        <v>6086</v>
      </c>
      <c r="C414" s="5">
        <v>902</v>
      </c>
      <c r="D414" s="5">
        <v>20620</v>
      </c>
      <c r="E414" s="5">
        <v>27</v>
      </c>
      <c r="F414" s="5">
        <v>215</v>
      </c>
      <c r="G414" s="5">
        <v>602</v>
      </c>
      <c r="H414" s="5">
        <v>6940</v>
      </c>
      <c r="I414" s="5">
        <v>94583</v>
      </c>
      <c r="J414" s="5">
        <v>142686</v>
      </c>
      <c r="K414" s="5">
        <v>272661</v>
      </c>
    </row>
    <row r="415" spans="1:11">
      <c r="A415" s="4" t="s">
        <v>216</v>
      </c>
      <c r="B415" s="5">
        <v>8594</v>
      </c>
      <c r="C415" s="5">
        <v>566</v>
      </c>
      <c r="D415" s="5">
        <v>22230</v>
      </c>
      <c r="E415" s="5">
        <v>13</v>
      </c>
      <c r="F415" s="5">
        <v>56</v>
      </c>
      <c r="G415" s="5">
        <v>378</v>
      </c>
      <c r="H415" s="5">
        <v>8536</v>
      </c>
      <c r="I415" s="5">
        <v>87003</v>
      </c>
      <c r="J415" s="5">
        <v>100851</v>
      </c>
      <c r="K415" s="5">
        <v>228227</v>
      </c>
    </row>
    <row r="416" spans="1:11">
      <c r="A416" s="4" t="s">
        <v>237</v>
      </c>
      <c r="B416" s="5">
        <v>1348</v>
      </c>
      <c r="C416" s="5">
        <v>443</v>
      </c>
      <c r="D416" s="5">
        <v>4361</v>
      </c>
      <c r="E416" s="5">
        <v>1</v>
      </c>
      <c r="F416" s="5">
        <v>34</v>
      </c>
      <c r="G416" s="5">
        <v>295</v>
      </c>
      <c r="H416" s="5">
        <v>1494</v>
      </c>
      <c r="I416" s="5">
        <v>18356</v>
      </c>
      <c r="J416" s="5">
        <v>23986</v>
      </c>
      <c r="K416" s="5">
        <v>50318</v>
      </c>
    </row>
    <row r="417" spans="1:11">
      <c r="A417" s="4" t="s">
        <v>239</v>
      </c>
      <c r="B417" s="5">
        <v>1726</v>
      </c>
      <c r="C417" s="5">
        <v>503</v>
      </c>
      <c r="D417" s="5">
        <v>5101</v>
      </c>
      <c r="E417" s="5">
        <v>14</v>
      </c>
      <c r="F417" s="5">
        <v>5</v>
      </c>
      <c r="G417" s="5">
        <v>336</v>
      </c>
      <c r="H417" s="5">
        <v>1869</v>
      </c>
      <c r="I417" s="5">
        <v>20502</v>
      </c>
      <c r="J417" s="5">
        <v>26019</v>
      </c>
      <c r="K417" s="5">
        <v>56075</v>
      </c>
    </row>
    <row r="418" spans="1:11">
      <c r="A418" s="4" t="s">
        <v>225</v>
      </c>
      <c r="B418" s="5">
        <v>4334</v>
      </c>
      <c r="C418" s="5">
        <v>1070</v>
      </c>
      <c r="D418" s="5">
        <v>14322</v>
      </c>
      <c r="E418" s="5">
        <v>35</v>
      </c>
      <c r="F418" s="5">
        <v>289</v>
      </c>
      <c r="G418" s="5">
        <v>714</v>
      </c>
      <c r="H418" s="5">
        <v>4924</v>
      </c>
      <c r="I418" s="5">
        <v>62271</v>
      </c>
      <c r="J418" s="5">
        <v>73186</v>
      </c>
      <c r="K418" s="5">
        <v>161145</v>
      </c>
    </row>
    <row r="419" spans="1:11">
      <c r="A419" s="4" t="s">
        <v>232</v>
      </c>
      <c r="B419" s="5">
        <v>2240</v>
      </c>
      <c r="C419" s="5">
        <v>221</v>
      </c>
      <c r="D419" s="5">
        <v>5199</v>
      </c>
      <c r="E419" s="5">
        <v>7</v>
      </c>
      <c r="F419" s="5">
        <v>11</v>
      </c>
      <c r="G419" s="5">
        <v>148</v>
      </c>
      <c r="H419" s="5">
        <v>1947</v>
      </c>
      <c r="I419" s="5">
        <v>20104</v>
      </c>
      <c r="J419" s="5">
        <v>23107</v>
      </c>
      <c r="K419" s="5">
        <v>52984</v>
      </c>
    </row>
    <row r="420" spans="1:11">
      <c r="A420" s="4" t="s">
        <v>226</v>
      </c>
      <c r="B420" s="5">
        <v>3073</v>
      </c>
      <c r="C420" s="5">
        <v>1765</v>
      </c>
      <c r="D420" s="5">
        <v>9650</v>
      </c>
      <c r="E420" s="5">
        <v>33</v>
      </c>
      <c r="F420" s="5">
        <v>302</v>
      </c>
      <c r="G420" s="5">
        <v>1176</v>
      </c>
      <c r="H420" s="5">
        <v>3415</v>
      </c>
      <c r="I420" s="5">
        <v>46618</v>
      </c>
      <c r="J420" s="5">
        <v>78773</v>
      </c>
      <c r="K420" s="5">
        <v>144805</v>
      </c>
    </row>
    <row r="421" spans="1:11">
      <c r="A421" s="4" t="s">
        <v>241</v>
      </c>
      <c r="B421" s="5">
        <v>1575</v>
      </c>
      <c r="C421" s="5">
        <v>235</v>
      </c>
      <c r="D421" s="5">
        <v>4049</v>
      </c>
      <c r="E421" s="5">
        <v>4</v>
      </c>
      <c r="F421" s="5">
        <v>28</v>
      </c>
      <c r="G421" s="5">
        <v>157</v>
      </c>
      <c r="H421" s="5">
        <v>1696</v>
      </c>
      <c r="I421" s="5">
        <v>13129</v>
      </c>
      <c r="J421" s="5">
        <v>16744</v>
      </c>
      <c r="K421" s="5">
        <v>37617</v>
      </c>
    </row>
    <row r="422" spans="1:11">
      <c r="A422" s="4" t="s">
        <v>243</v>
      </c>
      <c r="B422" s="5">
        <v>1814</v>
      </c>
      <c r="C422" s="5">
        <v>136</v>
      </c>
      <c r="D422" s="5">
        <v>2942</v>
      </c>
      <c r="E422" s="5">
        <v>2</v>
      </c>
      <c r="F422" s="5">
        <v>28</v>
      </c>
      <c r="G422" s="5">
        <v>90</v>
      </c>
      <c r="H422" s="5">
        <v>1419</v>
      </c>
      <c r="I422" s="5">
        <v>7821</v>
      </c>
      <c r="J422" s="5">
        <v>8017</v>
      </c>
      <c r="K422" s="5">
        <v>22269</v>
      </c>
    </row>
    <row r="423" spans="1:11">
      <c r="A423" s="4" t="s">
        <v>218</v>
      </c>
      <c r="B423" s="5">
        <v>2947</v>
      </c>
      <c r="C423" s="5">
        <v>635</v>
      </c>
      <c r="D423" s="5">
        <v>8257</v>
      </c>
      <c r="E423" s="5">
        <v>12</v>
      </c>
      <c r="F423" s="5">
        <v>3</v>
      </c>
      <c r="G423" s="5">
        <v>423</v>
      </c>
      <c r="H423" s="5">
        <v>3054</v>
      </c>
      <c r="I423" s="5">
        <v>27105</v>
      </c>
      <c r="J423" s="5">
        <v>30829</v>
      </c>
      <c r="K423" s="5">
        <v>73265</v>
      </c>
    </row>
    <row r="424" spans="1:11">
      <c r="A424" s="4" t="s">
        <v>230</v>
      </c>
      <c r="B424" s="5">
        <v>2095</v>
      </c>
      <c r="C424" s="5">
        <v>299</v>
      </c>
      <c r="D424" s="5">
        <v>5208</v>
      </c>
      <c r="E424" s="5">
        <v>9</v>
      </c>
      <c r="F424" s="5">
        <v>45</v>
      </c>
      <c r="G424" s="5">
        <v>199</v>
      </c>
      <c r="H424" s="5">
        <v>2028</v>
      </c>
      <c r="I424" s="5">
        <v>21855</v>
      </c>
      <c r="J424" s="5">
        <v>30055</v>
      </c>
      <c r="K424" s="5">
        <v>61793</v>
      </c>
    </row>
    <row r="425" spans="1:11">
      <c r="A425" s="4" t="s">
        <v>238</v>
      </c>
      <c r="B425" s="5">
        <v>2041</v>
      </c>
      <c r="C425" s="5">
        <v>280</v>
      </c>
      <c r="D425" s="5">
        <v>5447</v>
      </c>
      <c r="E425" s="5">
        <v>4</v>
      </c>
      <c r="F425" s="5">
        <v>83</v>
      </c>
      <c r="G425" s="5">
        <v>186</v>
      </c>
      <c r="H425" s="5">
        <v>2173</v>
      </c>
      <c r="I425" s="5">
        <v>24616</v>
      </c>
      <c r="J425" s="5">
        <v>34159</v>
      </c>
      <c r="K425" s="5">
        <v>68989</v>
      </c>
    </row>
    <row r="426" spans="1:11">
      <c r="A426" s="4" t="s">
        <v>219</v>
      </c>
      <c r="B426" s="5">
        <v>12135</v>
      </c>
      <c r="C426" s="5">
        <v>3268</v>
      </c>
      <c r="D426" s="5">
        <v>32710</v>
      </c>
      <c r="E426" s="5">
        <v>103</v>
      </c>
      <c r="F426" s="5">
        <v>682</v>
      </c>
      <c r="G426" s="5">
        <v>2179</v>
      </c>
      <c r="H426" s="5">
        <v>12600</v>
      </c>
      <c r="I426" s="5">
        <v>119965</v>
      </c>
      <c r="J426" s="5">
        <v>132373</v>
      </c>
      <c r="K426" s="5">
        <v>316015</v>
      </c>
    </row>
    <row r="427" spans="1:11">
      <c r="A427" s="4" t="s">
        <v>227</v>
      </c>
      <c r="B427" s="5">
        <v>2010</v>
      </c>
      <c r="C427" s="5">
        <v>796</v>
      </c>
      <c r="D427" s="5">
        <v>7598</v>
      </c>
      <c r="E427" s="5">
        <v>7</v>
      </c>
      <c r="F427" s="5">
        <v>6</v>
      </c>
      <c r="G427" s="5">
        <v>530</v>
      </c>
      <c r="H427" s="5">
        <v>2425</v>
      </c>
      <c r="I427" s="5">
        <v>35433</v>
      </c>
      <c r="J427" s="5">
        <v>50936</v>
      </c>
      <c r="K427" s="5">
        <v>99741</v>
      </c>
    </row>
    <row r="428" spans="1:11">
      <c r="A428" s="4" t="s">
        <v>228</v>
      </c>
      <c r="B428" s="5">
        <v>3058</v>
      </c>
      <c r="C428" s="5">
        <v>875</v>
      </c>
      <c r="D428" s="5">
        <v>8575</v>
      </c>
      <c r="E428" s="5">
        <v>15</v>
      </c>
      <c r="F428" s="5">
        <v>230</v>
      </c>
      <c r="G428" s="5">
        <v>584</v>
      </c>
      <c r="H428" s="5">
        <v>3131</v>
      </c>
      <c r="I428" s="5">
        <v>36297</v>
      </c>
      <c r="J428" s="5">
        <v>49135</v>
      </c>
      <c r="K428" s="5">
        <v>101900</v>
      </c>
    </row>
    <row r="429" spans="1:11">
      <c r="A429" s="4" t="s">
        <v>236</v>
      </c>
      <c r="B429" s="5">
        <v>2293</v>
      </c>
      <c r="C429" s="5">
        <v>313</v>
      </c>
      <c r="D429" s="5">
        <v>6473</v>
      </c>
      <c r="E429" s="5">
        <v>7</v>
      </c>
      <c r="F429" s="5">
        <v>31</v>
      </c>
      <c r="G429" s="5">
        <v>208</v>
      </c>
      <c r="H429" s="5">
        <v>2500</v>
      </c>
      <c r="I429" s="5">
        <v>23577</v>
      </c>
      <c r="J429" s="5">
        <v>24811</v>
      </c>
      <c r="K429" s="5">
        <v>60213</v>
      </c>
    </row>
    <row r="430" spans="1:11">
      <c r="A430" s="4" t="s">
        <v>220</v>
      </c>
      <c r="B430" s="5">
        <v>6571</v>
      </c>
      <c r="C430" s="5">
        <v>1405</v>
      </c>
      <c r="D430" s="5">
        <v>17977</v>
      </c>
      <c r="E430" s="5">
        <v>26</v>
      </c>
      <c r="F430" s="5">
        <v>100</v>
      </c>
      <c r="G430" s="5">
        <v>937</v>
      </c>
      <c r="H430" s="5">
        <v>6996</v>
      </c>
      <c r="I430" s="5">
        <v>65511</v>
      </c>
      <c r="J430" s="5">
        <v>76652</v>
      </c>
      <c r="K430" s="5">
        <v>176175</v>
      </c>
    </row>
    <row r="431" spans="1:11">
      <c r="A431" s="4" t="s">
        <v>221</v>
      </c>
      <c r="B431" s="5">
        <v>6516</v>
      </c>
      <c r="C431" s="5">
        <v>1397</v>
      </c>
      <c r="D431" s="5">
        <v>17115</v>
      </c>
      <c r="E431" s="5">
        <v>40</v>
      </c>
      <c r="F431" s="5">
        <v>246</v>
      </c>
      <c r="G431" s="5">
        <v>932</v>
      </c>
      <c r="H431" s="5">
        <v>6552</v>
      </c>
      <c r="I431" s="5">
        <v>65748</v>
      </c>
      <c r="J431" s="5">
        <v>74725</v>
      </c>
      <c r="K431" s="5">
        <v>173271</v>
      </c>
    </row>
    <row r="432" spans="1:11">
      <c r="A432" s="4" t="s">
        <v>231</v>
      </c>
      <c r="B432" s="5">
        <v>1393</v>
      </c>
      <c r="C432" s="5">
        <v>311</v>
      </c>
      <c r="D432" s="5">
        <v>3590</v>
      </c>
      <c r="E432" s="5">
        <v>6</v>
      </c>
      <c r="F432" s="5">
        <v>81</v>
      </c>
      <c r="G432" s="5">
        <v>207</v>
      </c>
      <c r="H432" s="5">
        <v>1388</v>
      </c>
      <c r="I432" s="5">
        <v>12662</v>
      </c>
      <c r="J432" s="5">
        <v>16900</v>
      </c>
      <c r="K432" s="5">
        <v>36538</v>
      </c>
    </row>
    <row r="433" spans="1:11">
      <c r="A433" s="4" t="s">
        <v>222</v>
      </c>
      <c r="B433" s="5">
        <v>4613</v>
      </c>
      <c r="C433" s="5">
        <v>1151</v>
      </c>
      <c r="D433" s="5">
        <v>9497</v>
      </c>
      <c r="E433" s="5">
        <v>32</v>
      </c>
      <c r="F433" s="5">
        <v>143</v>
      </c>
      <c r="G433" s="5">
        <v>768</v>
      </c>
      <c r="H433" s="5">
        <v>4052</v>
      </c>
      <c r="I433" s="5">
        <v>32799</v>
      </c>
      <c r="J433" s="5">
        <v>38441</v>
      </c>
      <c r="K433" s="5">
        <v>91496</v>
      </c>
    </row>
    <row r="434" spans="1:11">
      <c r="A434" s="4" t="s">
        <v>223</v>
      </c>
      <c r="B434" s="5">
        <v>100016</v>
      </c>
      <c r="C434" s="5">
        <v>38855</v>
      </c>
      <c r="D434" s="5">
        <v>334476</v>
      </c>
      <c r="E434" s="5">
        <v>634</v>
      </c>
      <c r="F434" s="5">
        <v>9755</v>
      </c>
      <c r="G434" s="5">
        <v>25903</v>
      </c>
      <c r="H434" s="5">
        <v>116576</v>
      </c>
      <c r="I434" s="5">
        <v>1354836</v>
      </c>
      <c r="J434" s="5">
        <v>1521645</v>
      </c>
      <c r="K434" s="5">
        <v>3502696</v>
      </c>
    </row>
    <row r="435" spans="1:11">
      <c r="A435" s="4" t="s">
        <v>233</v>
      </c>
      <c r="B435" s="5">
        <v>2262</v>
      </c>
      <c r="C435" s="5">
        <v>254</v>
      </c>
      <c r="D435" s="5">
        <v>5127</v>
      </c>
      <c r="E435" s="5">
        <v>3</v>
      </c>
      <c r="F435" s="5">
        <v>73</v>
      </c>
      <c r="G435" s="5">
        <v>169</v>
      </c>
      <c r="H435" s="5">
        <v>2134</v>
      </c>
      <c r="I435" s="5">
        <v>19554</v>
      </c>
      <c r="J435" s="5">
        <v>22746</v>
      </c>
      <c r="K435" s="5">
        <v>52322</v>
      </c>
    </row>
    <row r="436" spans="1:11">
      <c r="A436" s="4" t="s">
        <v>224</v>
      </c>
      <c r="B436" s="5">
        <v>15886</v>
      </c>
      <c r="C436" s="5">
        <v>3281</v>
      </c>
      <c r="D436" s="5">
        <v>45282</v>
      </c>
      <c r="E436" s="5">
        <v>79</v>
      </c>
      <c r="F436" s="5">
        <v>214</v>
      </c>
      <c r="G436" s="5">
        <v>2188</v>
      </c>
      <c r="H436" s="5">
        <v>16991</v>
      </c>
      <c r="I436" s="5">
        <v>177323</v>
      </c>
      <c r="J436" s="5">
        <v>202259</v>
      </c>
      <c r="K436" s="5">
        <v>463503</v>
      </c>
    </row>
    <row r="437" spans="1:11">
      <c r="A437" s="3" t="s">
        <v>1013</v>
      </c>
      <c r="B437" s="5">
        <v>26680</v>
      </c>
      <c r="C437" s="5">
        <v>7511</v>
      </c>
      <c r="D437" s="5">
        <v>85047</v>
      </c>
      <c r="E437" s="5">
        <v>103</v>
      </c>
      <c r="F437" s="5">
        <v>904</v>
      </c>
      <c r="G437" s="5">
        <v>5008</v>
      </c>
      <c r="H437" s="5">
        <v>30171</v>
      </c>
      <c r="I437" s="5">
        <v>326755</v>
      </c>
      <c r="J437" s="5">
        <v>404798</v>
      </c>
      <c r="K437" s="5">
        <v>886977</v>
      </c>
    </row>
    <row r="438" spans="1:11">
      <c r="A438" s="4" t="s">
        <v>447</v>
      </c>
      <c r="B438" s="5">
        <v>4437</v>
      </c>
      <c r="C438" s="5">
        <v>923</v>
      </c>
      <c r="D438" s="5">
        <v>13019</v>
      </c>
      <c r="E438" s="5">
        <v>25</v>
      </c>
      <c r="F438" s="5">
        <v>159</v>
      </c>
      <c r="G438" s="5">
        <v>615</v>
      </c>
      <c r="H438" s="5">
        <v>4717</v>
      </c>
      <c r="I438" s="5">
        <v>46272</v>
      </c>
      <c r="J438" s="5">
        <v>52680</v>
      </c>
      <c r="K438" s="5">
        <v>122847</v>
      </c>
    </row>
    <row r="439" spans="1:11">
      <c r="A439" s="4" t="s">
        <v>448</v>
      </c>
      <c r="B439" s="5">
        <v>8517</v>
      </c>
      <c r="C439" s="5">
        <v>3797</v>
      </c>
      <c r="D439" s="5">
        <v>30406</v>
      </c>
      <c r="E439" s="5">
        <v>33</v>
      </c>
      <c r="F439" s="5">
        <v>123</v>
      </c>
      <c r="G439" s="5">
        <v>2532</v>
      </c>
      <c r="H439" s="5">
        <v>10230</v>
      </c>
      <c r="I439" s="5">
        <v>126390</v>
      </c>
      <c r="J439" s="5">
        <v>155101</v>
      </c>
      <c r="K439" s="5">
        <v>337129</v>
      </c>
    </row>
    <row r="440" spans="1:11">
      <c r="A440" s="4" t="s">
        <v>449</v>
      </c>
      <c r="B440" s="5">
        <v>1352</v>
      </c>
      <c r="C440" s="5">
        <v>305</v>
      </c>
      <c r="D440" s="5">
        <v>3637</v>
      </c>
      <c r="E440" s="5">
        <v>6</v>
      </c>
      <c r="F440" s="5">
        <v>41</v>
      </c>
      <c r="G440" s="5">
        <v>204</v>
      </c>
      <c r="H440" s="5">
        <v>1378</v>
      </c>
      <c r="I440" s="5">
        <v>13482</v>
      </c>
      <c r="J440" s="5">
        <v>15881</v>
      </c>
      <c r="K440" s="5">
        <v>36286</v>
      </c>
    </row>
    <row r="441" spans="1:11">
      <c r="A441" s="4" t="s">
        <v>455</v>
      </c>
      <c r="B441" s="5">
        <v>1185</v>
      </c>
      <c r="C441" s="5">
        <v>332</v>
      </c>
      <c r="D441" s="5">
        <v>4672</v>
      </c>
      <c r="E441" s="5">
        <v>9</v>
      </c>
      <c r="F441" s="5">
        <v>108</v>
      </c>
      <c r="G441" s="5">
        <v>221</v>
      </c>
      <c r="H441" s="5">
        <v>1512</v>
      </c>
      <c r="I441" s="5">
        <v>19735</v>
      </c>
      <c r="J441" s="5">
        <v>32424</v>
      </c>
      <c r="K441" s="5">
        <v>60198</v>
      </c>
    </row>
    <row r="442" spans="1:11">
      <c r="A442" s="4" t="s">
        <v>450</v>
      </c>
      <c r="B442" s="5">
        <v>5188</v>
      </c>
      <c r="C442" s="5">
        <v>1322</v>
      </c>
      <c r="D442" s="5">
        <v>16021</v>
      </c>
      <c r="E442" s="5">
        <v>12</v>
      </c>
      <c r="F442" s="5">
        <v>389</v>
      </c>
      <c r="G442" s="5">
        <v>881</v>
      </c>
      <c r="H442" s="5">
        <v>5855</v>
      </c>
      <c r="I442" s="5">
        <v>55901</v>
      </c>
      <c r="J442" s="5">
        <v>63211</v>
      </c>
      <c r="K442" s="5">
        <v>148780</v>
      </c>
    </row>
    <row r="443" spans="1:11">
      <c r="A443" s="4" t="s">
        <v>451</v>
      </c>
      <c r="B443" s="5">
        <v>2448</v>
      </c>
      <c r="C443" s="5">
        <v>323</v>
      </c>
      <c r="D443" s="5">
        <v>5662</v>
      </c>
      <c r="E443" s="5">
        <v>8</v>
      </c>
      <c r="F443" s="5">
        <v>68</v>
      </c>
      <c r="G443" s="5">
        <v>216</v>
      </c>
      <c r="H443" s="5">
        <v>2442</v>
      </c>
      <c r="I443" s="5">
        <v>17788</v>
      </c>
      <c r="J443" s="5">
        <v>21392</v>
      </c>
      <c r="K443" s="5">
        <v>50347</v>
      </c>
    </row>
    <row r="444" spans="1:11">
      <c r="A444" s="4" t="s">
        <v>453</v>
      </c>
      <c r="B444" s="5">
        <v>920</v>
      </c>
      <c r="C444" s="5">
        <v>94</v>
      </c>
      <c r="D444" s="5">
        <v>2563</v>
      </c>
      <c r="E444" s="5">
        <v>1</v>
      </c>
      <c r="F444" s="5">
        <v>14</v>
      </c>
      <c r="G444" s="5">
        <v>62</v>
      </c>
      <c r="H444" s="5">
        <v>978</v>
      </c>
      <c r="I444" s="5">
        <v>10224</v>
      </c>
      <c r="J444" s="5">
        <v>12743</v>
      </c>
      <c r="K444" s="5">
        <v>27599</v>
      </c>
    </row>
    <row r="445" spans="1:11">
      <c r="A445" s="4" t="s">
        <v>452</v>
      </c>
      <c r="B445" s="5">
        <v>2633</v>
      </c>
      <c r="C445" s="5">
        <v>415</v>
      </c>
      <c r="D445" s="5">
        <v>9067</v>
      </c>
      <c r="E445" s="5">
        <v>9</v>
      </c>
      <c r="F445" s="5">
        <v>2</v>
      </c>
      <c r="G445" s="5">
        <v>277</v>
      </c>
      <c r="H445" s="5">
        <v>3059</v>
      </c>
      <c r="I445" s="5">
        <v>36963</v>
      </c>
      <c r="J445" s="5">
        <v>51366</v>
      </c>
      <c r="K445" s="5">
        <v>103791</v>
      </c>
    </row>
    <row r="446" spans="1:11">
      <c r="A446" s="3" t="s">
        <v>1014</v>
      </c>
      <c r="B446" s="5">
        <v>49149</v>
      </c>
      <c r="C446" s="5">
        <v>16871</v>
      </c>
      <c r="D446" s="5">
        <v>165076</v>
      </c>
      <c r="E446" s="5">
        <v>288</v>
      </c>
      <c r="F446" s="5">
        <v>3773</v>
      </c>
      <c r="G446" s="5">
        <v>11248</v>
      </c>
      <c r="H446" s="5">
        <v>55415</v>
      </c>
      <c r="I446" s="5">
        <v>888614</v>
      </c>
      <c r="J446" s="5">
        <v>1652960</v>
      </c>
      <c r="K446" s="5">
        <v>2843394</v>
      </c>
    </row>
    <row r="447" spans="1:11">
      <c r="A447" s="4" t="s">
        <v>268</v>
      </c>
      <c r="B447" s="5">
        <v>4487</v>
      </c>
      <c r="C447" s="5">
        <v>1876</v>
      </c>
      <c r="D447" s="5">
        <v>14989</v>
      </c>
      <c r="E447" s="5">
        <v>9</v>
      </c>
      <c r="F447" s="5">
        <v>386</v>
      </c>
      <c r="G447" s="5">
        <v>1250</v>
      </c>
      <c r="H447" s="5">
        <v>5040</v>
      </c>
      <c r="I447" s="5">
        <v>83424</v>
      </c>
      <c r="J447" s="5">
        <v>149811</v>
      </c>
      <c r="K447" s="5">
        <v>261272</v>
      </c>
    </row>
    <row r="448" spans="1:11">
      <c r="A448" s="4" t="s">
        <v>269</v>
      </c>
      <c r="B448" s="5">
        <v>4232</v>
      </c>
      <c r="C448" s="5">
        <v>518</v>
      </c>
      <c r="D448" s="5">
        <v>14352</v>
      </c>
      <c r="E448" s="5">
        <v>2</v>
      </c>
      <c r="F448" s="5">
        <v>59</v>
      </c>
      <c r="G448" s="5">
        <v>345</v>
      </c>
      <c r="H448" s="5">
        <v>4545</v>
      </c>
      <c r="I448" s="5">
        <v>91978</v>
      </c>
      <c r="J448" s="5">
        <v>175516</v>
      </c>
      <c r="K448" s="5">
        <v>291547</v>
      </c>
    </row>
    <row r="449" spans="1:11">
      <c r="A449" s="4" t="s">
        <v>270</v>
      </c>
      <c r="B449" s="5">
        <v>2949</v>
      </c>
      <c r="C449" s="5">
        <v>1349</v>
      </c>
      <c r="D449" s="5">
        <v>9674</v>
      </c>
      <c r="E449" s="5">
        <v>14</v>
      </c>
      <c r="F449" s="5">
        <v>423</v>
      </c>
      <c r="G449" s="5">
        <v>900</v>
      </c>
      <c r="H449" s="5">
        <v>3262</v>
      </c>
      <c r="I449" s="5">
        <v>54497</v>
      </c>
      <c r="J449" s="5">
        <v>102928</v>
      </c>
      <c r="K449" s="5">
        <v>175996</v>
      </c>
    </row>
    <row r="450" spans="1:11">
      <c r="A450" s="4" t="s">
        <v>279</v>
      </c>
      <c r="B450" s="5">
        <v>1299</v>
      </c>
      <c r="C450" s="5">
        <v>256</v>
      </c>
      <c r="D450" s="5">
        <v>3744</v>
      </c>
      <c r="E450" s="5">
        <v>1</v>
      </c>
      <c r="F450" s="5">
        <v>3</v>
      </c>
      <c r="G450" s="5">
        <v>171</v>
      </c>
      <c r="H450" s="5">
        <v>1339</v>
      </c>
      <c r="I450" s="5">
        <v>20803</v>
      </c>
      <c r="J450" s="5">
        <v>42238</v>
      </c>
      <c r="K450" s="5">
        <v>69854</v>
      </c>
    </row>
    <row r="451" spans="1:11">
      <c r="A451" s="4" t="s">
        <v>271</v>
      </c>
      <c r="B451" s="5">
        <v>3335</v>
      </c>
      <c r="C451" s="5">
        <v>1970</v>
      </c>
      <c r="D451" s="5">
        <v>12843</v>
      </c>
      <c r="E451" s="5">
        <v>38</v>
      </c>
      <c r="F451" s="5">
        <v>212</v>
      </c>
      <c r="G451" s="5">
        <v>1313</v>
      </c>
      <c r="H451" s="5">
        <v>4121</v>
      </c>
      <c r="I451" s="5">
        <v>59036</v>
      </c>
      <c r="J451" s="5">
        <v>87254</v>
      </c>
      <c r="K451" s="5">
        <v>170122</v>
      </c>
    </row>
    <row r="452" spans="1:11">
      <c r="A452" s="4" t="s">
        <v>272</v>
      </c>
      <c r="B452" s="5">
        <v>9009</v>
      </c>
      <c r="C452" s="5">
        <v>5939</v>
      </c>
      <c r="D452" s="5">
        <v>41577</v>
      </c>
      <c r="E452" s="5">
        <v>132</v>
      </c>
      <c r="F452" s="5">
        <v>1734</v>
      </c>
      <c r="G452" s="5">
        <v>3960</v>
      </c>
      <c r="H452" s="5">
        <v>12112</v>
      </c>
      <c r="I452" s="5">
        <v>227820</v>
      </c>
      <c r="J452" s="5">
        <v>383078</v>
      </c>
      <c r="K452" s="5">
        <v>685361</v>
      </c>
    </row>
    <row r="453" spans="1:11">
      <c r="A453" s="4" t="s">
        <v>277</v>
      </c>
      <c r="B453" s="5">
        <v>1246</v>
      </c>
      <c r="C453" s="5">
        <v>632</v>
      </c>
      <c r="D453" s="5">
        <v>4832</v>
      </c>
      <c r="E453" s="5">
        <v>14</v>
      </c>
      <c r="F453" s="5">
        <v>142</v>
      </c>
      <c r="G453" s="5">
        <v>422</v>
      </c>
      <c r="H453" s="5">
        <v>1708</v>
      </c>
      <c r="I453" s="5">
        <v>24005</v>
      </c>
      <c r="J453" s="5">
        <v>43352</v>
      </c>
      <c r="K453" s="5">
        <v>76353</v>
      </c>
    </row>
    <row r="454" spans="1:11">
      <c r="A454" s="4" t="s">
        <v>273</v>
      </c>
      <c r="B454" s="5">
        <v>3474</v>
      </c>
      <c r="C454" s="5">
        <v>1009</v>
      </c>
      <c r="D454" s="5">
        <v>11150</v>
      </c>
      <c r="E454" s="5">
        <v>29</v>
      </c>
      <c r="F454" s="5">
        <v>192</v>
      </c>
      <c r="G454" s="5">
        <v>672</v>
      </c>
      <c r="H454" s="5">
        <v>3993</v>
      </c>
      <c r="I454" s="5">
        <v>57113</v>
      </c>
      <c r="J454" s="5">
        <v>120351</v>
      </c>
      <c r="K454" s="5">
        <v>197983</v>
      </c>
    </row>
    <row r="455" spans="1:11">
      <c r="A455" s="4" t="s">
        <v>275</v>
      </c>
      <c r="B455" s="5">
        <v>3689</v>
      </c>
      <c r="C455" s="5">
        <v>928</v>
      </c>
      <c r="D455" s="5">
        <v>9673</v>
      </c>
      <c r="E455" s="5">
        <v>21</v>
      </c>
      <c r="F455" s="5">
        <v>286</v>
      </c>
      <c r="G455" s="5">
        <v>619</v>
      </c>
      <c r="H455" s="5">
        <v>3645</v>
      </c>
      <c r="I455" s="5">
        <v>55271</v>
      </c>
      <c r="J455" s="5">
        <v>117671</v>
      </c>
      <c r="K455" s="5">
        <v>191803</v>
      </c>
    </row>
    <row r="456" spans="1:11">
      <c r="A456" s="4" t="s">
        <v>281</v>
      </c>
      <c r="B456" s="5">
        <v>1650</v>
      </c>
      <c r="C456" s="5">
        <v>211</v>
      </c>
      <c r="D456" s="5">
        <v>4844</v>
      </c>
      <c r="E456" s="5">
        <v>1</v>
      </c>
      <c r="F456" s="5">
        <v>4</v>
      </c>
      <c r="G456" s="5">
        <v>140</v>
      </c>
      <c r="H456" s="5">
        <v>1778</v>
      </c>
      <c r="I456" s="5">
        <v>23494</v>
      </c>
      <c r="J456" s="5">
        <v>55743</v>
      </c>
      <c r="K456" s="5">
        <v>87865</v>
      </c>
    </row>
    <row r="457" spans="1:11">
      <c r="A457" s="4" t="s">
        <v>287</v>
      </c>
      <c r="B457" s="5">
        <v>1188</v>
      </c>
      <c r="C457" s="5">
        <v>152</v>
      </c>
      <c r="D457" s="5">
        <v>3193</v>
      </c>
      <c r="E457" s="5">
        <v>3</v>
      </c>
      <c r="F457" s="5">
        <v>6</v>
      </c>
      <c r="G457" s="5">
        <v>102</v>
      </c>
      <c r="H457" s="5">
        <v>1267</v>
      </c>
      <c r="I457" s="5">
        <v>15531</v>
      </c>
      <c r="J457" s="5">
        <v>29453</v>
      </c>
      <c r="K457" s="5">
        <v>50895</v>
      </c>
    </row>
    <row r="458" spans="1:11">
      <c r="A458" s="4" t="s">
        <v>285</v>
      </c>
      <c r="B458" s="5">
        <v>1443</v>
      </c>
      <c r="C458" s="5">
        <v>152</v>
      </c>
      <c r="D458" s="5">
        <v>3831</v>
      </c>
      <c r="E458" s="5">
        <v>4</v>
      </c>
      <c r="F458" s="5">
        <v>24</v>
      </c>
      <c r="G458" s="5">
        <v>102</v>
      </c>
      <c r="H458" s="5">
        <v>1472</v>
      </c>
      <c r="I458" s="5">
        <v>18947</v>
      </c>
      <c r="J458" s="5">
        <v>37157</v>
      </c>
      <c r="K458" s="5">
        <v>63132</v>
      </c>
    </row>
    <row r="459" spans="1:11">
      <c r="A459" s="4" t="s">
        <v>276</v>
      </c>
      <c r="B459" s="5">
        <v>1458</v>
      </c>
      <c r="C459" s="5">
        <v>169</v>
      </c>
      <c r="D459" s="5">
        <v>4960</v>
      </c>
      <c r="E459" s="5">
        <v>4</v>
      </c>
      <c r="F459" s="5">
        <v>32</v>
      </c>
      <c r="G459" s="5">
        <v>112</v>
      </c>
      <c r="H459" s="5">
        <v>1590</v>
      </c>
      <c r="I459" s="5">
        <v>31554</v>
      </c>
      <c r="J459" s="5">
        <v>61078</v>
      </c>
      <c r="K459" s="5">
        <v>100957</v>
      </c>
    </row>
    <row r="460" spans="1:11">
      <c r="A460" s="4" t="s">
        <v>280</v>
      </c>
      <c r="B460" s="5">
        <v>1311</v>
      </c>
      <c r="C460" s="5">
        <v>180</v>
      </c>
      <c r="D460" s="5">
        <v>3719</v>
      </c>
      <c r="E460" s="5">
        <v>2</v>
      </c>
      <c r="F460" s="5">
        <v>9</v>
      </c>
      <c r="G460" s="5">
        <v>120</v>
      </c>
      <c r="H460" s="5">
        <v>1421</v>
      </c>
      <c r="I460" s="5">
        <v>19252</v>
      </c>
      <c r="J460" s="5">
        <v>46979</v>
      </c>
      <c r="K460" s="5">
        <v>72993</v>
      </c>
    </row>
    <row r="461" spans="1:11">
      <c r="A461" s="4" t="s">
        <v>284</v>
      </c>
      <c r="B461" s="5">
        <v>723</v>
      </c>
      <c r="C461" s="5">
        <v>208</v>
      </c>
      <c r="D461" s="5">
        <v>2304</v>
      </c>
      <c r="E461" s="5">
        <v>0</v>
      </c>
      <c r="F461" s="5">
        <v>41</v>
      </c>
      <c r="G461" s="5">
        <v>138</v>
      </c>
      <c r="H461" s="5">
        <v>772</v>
      </c>
      <c r="I461" s="5">
        <v>13759</v>
      </c>
      <c r="J461" s="5">
        <v>28084</v>
      </c>
      <c r="K461" s="5">
        <v>46029</v>
      </c>
    </row>
    <row r="462" spans="1:11">
      <c r="A462" s="4" t="s">
        <v>274</v>
      </c>
      <c r="B462" s="5">
        <v>3445</v>
      </c>
      <c r="C462" s="5">
        <v>434</v>
      </c>
      <c r="D462" s="5">
        <v>9221</v>
      </c>
      <c r="E462" s="5">
        <v>0</v>
      </c>
      <c r="F462" s="5">
        <v>110</v>
      </c>
      <c r="G462" s="5">
        <v>290</v>
      </c>
      <c r="H462" s="5">
        <v>3446</v>
      </c>
      <c r="I462" s="5">
        <v>44019</v>
      </c>
      <c r="J462" s="5">
        <v>85689</v>
      </c>
      <c r="K462" s="5">
        <v>146654</v>
      </c>
    </row>
    <row r="463" spans="1:11">
      <c r="A463" s="4" t="s">
        <v>282</v>
      </c>
      <c r="B463" s="5">
        <v>1226</v>
      </c>
      <c r="C463" s="5">
        <v>206</v>
      </c>
      <c r="D463" s="5">
        <v>3278</v>
      </c>
      <c r="E463" s="5">
        <v>6</v>
      </c>
      <c r="F463" s="5">
        <v>47</v>
      </c>
      <c r="G463" s="5">
        <v>137</v>
      </c>
      <c r="H463" s="5">
        <v>1199</v>
      </c>
      <c r="I463" s="5">
        <v>15718</v>
      </c>
      <c r="J463" s="5">
        <v>27097</v>
      </c>
      <c r="K463" s="5">
        <v>48914</v>
      </c>
    </row>
    <row r="464" spans="1:11">
      <c r="A464" s="4" t="s">
        <v>283</v>
      </c>
      <c r="B464" s="5">
        <v>1515</v>
      </c>
      <c r="C464" s="5">
        <v>269</v>
      </c>
      <c r="D464" s="5">
        <v>3379</v>
      </c>
      <c r="E464" s="5">
        <v>0</v>
      </c>
      <c r="F464" s="5">
        <v>45</v>
      </c>
      <c r="G464" s="5">
        <v>179</v>
      </c>
      <c r="H464" s="5">
        <v>1413</v>
      </c>
      <c r="I464" s="5">
        <v>13350</v>
      </c>
      <c r="J464" s="5">
        <v>21506</v>
      </c>
      <c r="K464" s="5">
        <v>41656</v>
      </c>
    </row>
    <row r="465" spans="1:11">
      <c r="A465" s="4" t="s">
        <v>278</v>
      </c>
      <c r="B465" s="5">
        <v>1470</v>
      </c>
      <c r="C465" s="5">
        <v>413</v>
      </c>
      <c r="D465" s="5">
        <v>3513</v>
      </c>
      <c r="E465" s="5">
        <v>8</v>
      </c>
      <c r="F465" s="5">
        <v>18</v>
      </c>
      <c r="G465" s="5">
        <v>276</v>
      </c>
      <c r="H465" s="5">
        <v>1292</v>
      </c>
      <c r="I465" s="5">
        <v>19043</v>
      </c>
      <c r="J465" s="5">
        <v>37975</v>
      </c>
      <c r="K465" s="5">
        <v>64008</v>
      </c>
    </row>
    <row r="466" spans="1:11">
      <c r="A466" s="3" t="s">
        <v>1015</v>
      </c>
      <c r="B466" s="5">
        <v>19021</v>
      </c>
      <c r="C466" s="5">
        <v>5500</v>
      </c>
      <c r="D466" s="5">
        <v>60781</v>
      </c>
      <c r="E466" s="5">
        <v>74</v>
      </c>
      <c r="F466" s="5">
        <v>866</v>
      </c>
      <c r="G466" s="5">
        <v>3665</v>
      </c>
      <c r="H466" s="5">
        <v>20179</v>
      </c>
      <c r="I466" s="5">
        <v>279291</v>
      </c>
      <c r="J466" s="5">
        <v>342088</v>
      </c>
      <c r="K466" s="5">
        <v>731465</v>
      </c>
    </row>
    <row r="467" spans="1:11">
      <c r="A467" s="4" t="s">
        <v>346</v>
      </c>
      <c r="B467" s="5">
        <v>798</v>
      </c>
      <c r="C467" s="5">
        <v>160</v>
      </c>
      <c r="D467" s="5">
        <v>1995</v>
      </c>
      <c r="E467" s="5">
        <v>0</v>
      </c>
      <c r="F467" s="5">
        <v>29</v>
      </c>
      <c r="G467" s="5">
        <v>106</v>
      </c>
      <c r="H467" s="5">
        <v>736</v>
      </c>
      <c r="I467" s="5">
        <v>8636</v>
      </c>
      <c r="J467" s="5">
        <v>9422</v>
      </c>
      <c r="K467" s="5">
        <v>21882</v>
      </c>
    </row>
    <row r="468" spans="1:11">
      <c r="A468" s="4" t="s">
        <v>344</v>
      </c>
      <c r="B468" s="5">
        <v>915</v>
      </c>
      <c r="C468" s="5">
        <v>280</v>
      </c>
      <c r="D468" s="5">
        <v>2792</v>
      </c>
      <c r="E468" s="5">
        <v>4</v>
      </c>
      <c r="F468" s="5">
        <v>73</v>
      </c>
      <c r="G468" s="5">
        <v>186</v>
      </c>
      <c r="H468" s="5">
        <v>961</v>
      </c>
      <c r="I468" s="5">
        <v>13847</v>
      </c>
      <c r="J468" s="5">
        <v>20112</v>
      </c>
      <c r="K468" s="5">
        <v>39170</v>
      </c>
    </row>
    <row r="469" spans="1:11">
      <c r="A469" s="4" t="s">
        <v>340</v>
      </c>
      <c r="B469" s="5">
        <v>6440</v>
      </c>
      <c r="C469" s="5">
        <v>1552</v>
      </c>
      <c r="D469" s="5">
        <v>23803</v>
      </c>
      <c r="E469" s="5">
        <v>44</v>
      </c>
      <c r="F469" s="5">
        <v>469</v>
      </c>
      <c r="G469" s="5">
        <v>1034</v>
      </c>
      <c r="H469" s="5">
        <v>7312</v>
      </c>
      <c r="I469" s="5">
        <v>118644</v>
      </c>
      <c r="J469" s="5">
        <v>151182</v>
      </c>
      <c r="K469" s="5">
        <v>310480</v>
      </c>
    </row>
    <row r="470" spans="1:11">
      <c r="A470" s="4" t="s">
        <v>345</v>
      </c>
      <c r="B470" s="5">
        <v>1183</v>
      </c>
      <c r="C470" s="5">
        <v>176</v>
      </c>
      <c r="D470" s="5">
        <v>3188</v>
      </c>
      <c r="E470" s="5">
        <v>5</v>
      </c>
      <c r="F470" s="5">
        <v>33</v>
      </c>
      <c r="G470" s="5">
        <v>117</v>
      </c>
      <c r="H470" s="5">
        <v>1146</v>
      </c>
      <c r="I470" s="5">
        <v>13136</v>
      </c>
      <c r="J470" s="5">
        <v>14551</v>
      </c>
      <c r="K470" s="5">
        <v>33535</v>
      </c>
    </row>
    <row r="471" spans="1:11">
      <c r="A471" s="4" t="s">
        <v>343</v>
      </c>
      <c r="B471" s="5">
        <v>1426</v>
      </c>
      <c r="C471" s="5">
        <v>288</v>
      </c>
      <c r="D471" s="5">
        <v>3822</v>
      </c>
      <c r="E471" s="5">
        <v>2</v>
      </c>
      <c r="F471" s="5">
        <v>76</v>
      </c>
      <c r="G471" s="5">
        <v>192</v>
      </c>
      <c r="H471" s="5">
        <v>1439</v>
      </c>
      <c r="I471" s="5">
        <v>15982</v>
      </c>
      <c r="J471" s="5">
        <v>18990</v>
      </c>
      <c r="K471" s="5">
        <v>42217</v>
      </c>
    </row>
    <row r="472" spans="1:11">
      <c r="A472" s="4" t="s">
        <v>341</v>
      </c>
      <c r="B472" s="5">
        <v>3972</v>
      </c>
      <c r="C472" s="5">
        <v>1457</v>
      </c>
      <c r="D472" s="5">
        <v>11125</v>
      </c>
      <c r="E472" s="5">
        <v>0</v>
      </c>
      <c r="F472" s="5">
        <v>66</v>
      </c>
      <c r="G472" s="5">
        <v>972</v>
      </c>
      <c r="H472" s="5">
        <v>3790</v>
      </c>
      <c r="I472" s="5">
        <v>49134</v>
      </c>
      <c r="J472" s="5">
        <v>63564</v>
      </c>
      <c r="K472" s="5">
        <v>134080</v>
      </c>
    </row>
    <row r="473" spans="1:11">
      <c r="A473" s="4" t="s">
        <v>342</v>
      </c>
      <c r="B473" s="5">
        <v>3490</v>
      </c>
      <c r="C473" s="5">
        <v>1405</v>
      </c>
      <c r="D473" s="5">
        <v>12081</v>
      </c>
      <c r="E473" s="5">
        <v>15</v>
      </c>
      <c r="F473" s="5">
        <v>77</v>
      </c>
      <c r="G473" s="5">
        <v>937</v>
      </c>
      <c r="H473" s="5">
        <v>4068</v>
      </c>
      <c r="I473" s="5">
        <v>51762</v>
      </c>
      <c r="J473" s="5">
        <v>54069</v>
      </c>
      <c r="K473" s="5">
        <v>127904</v>
      </c>
    </row>
    <row r="474" spans="1:11">
      <c r="A474" s="4" t="s">
        <v>348</v>
      </c>
      <c r="B474" s="5">
        <v>797</v>
      </c>
      <c r="C474" s="5">
        <v>182</v>
      </c>
      <c r="D474" s="5">
        <v>1975</v>
      </c>
      <c r="E474" s="5">
        <v>4</v>
      </c>
      <c r="F474" s="5">
        <v>43</v>
      </c>
      <c r="G474" s="5">
        <v>121</v>
      </c>
      <c r="H474" s="5">
        <v>727</v>
      </c>
      <c r="I474" s="5">
        <v>8150</v>
      </c>
      <c r="J474" s="5">
        <v>10198</v>
      </c>
      <c r="K474" s="5">
        <v>22197</v>
      </c>
    </row>
    <row r="475" spans="1:11">
      <c r="A475" s="3" t="s">
        <v>474</v>
      </c>
      <c r="B475" s="5">
        <v>2749040</v>
      </c>
      <c r="C475" s="5">
        <v>811866</v>
      </c>
      <c r="D475" s="5">
        <v>8388120</v>
      </c>
      <c r="E475" s="5">
        <v>12950</v>
      </c>
      <c r="F475" s="5">
        <v>133608</v>
      </c>
      <c r="G475" s="5">
        <v>541236</v>
      </c>
      <c r="H475" s="5">
        <v>3040019</v>
      </c>
      <c r="I475" s="5">
        <v>32525766</v>
      </c>
      <c r="J475" s="5">
        <v>34305540</v>
      </c>
      <c r="K475" s="5">
        <v>82508145</v>
      </c>
    </row>
    <row r="821" spans="4:4">
      <c r="D821">
        <f>GETPIVOTDATA("VaccineNeed",pivot!$A$3,"Province","مركزئ","District","فراهان","Class","AP")</f>
        <v>299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R48"/>
  <sheetViews>
    <sheetView workbookViewId="0">
      <selection activeCell="E7" sqref="E7"/>
    </sheetView>
  </sheetViews>
  <sheetFormatPr defaultRowHeight="15"/>
  <cols>
    <col min="1" max="1" width="17.28515625" bestFit="1" customWidth="1"/>
    <col min="2" max="2" width="62.85546875" customWidth="1"/>
    <col min="5" max="5" width="26.5703125" bestFit="1" customWidth="1"/>
  </cols>
  <sheetData>
    <row r="1" spans="1:18">
      <c r="A1" t="s">
        <v>1016</v>
      </c>
      <c r="B1" t="s">
        <v>1028</v>
      </c>
      <c r="D1" t="s">
        <v>1056</v>
      </c>
      <c r="E1" t="s">
        <v>1057</v>
      </c>
      <c r="F1" t="s">
        <v>1075</v>
      </c>
      <c r="I1" t="s">
        <v>1107</v>
      </c>
      <c r="J1" t="s">
        <v>1106</v>
      </c>
      <c r="K1" t="s">
        <v>1108</v>
      </c>
      <c r="M1" t="s">
        <v>1116</v>
      </c>
      <c r="N1" t="s">
        <v>1117</v>
      </c>
      <c r="O1" t="s">
        <v>413</v>
      </c>
      <c r="P1" s="15">
        <v>70843</v>
      </c>
    </row>
    <row r="2" spans="1:18">
      <c r="A2" t="s">
        <v>1029</v>
      </c>
      <c r="D2" t="s">
        <v>1067</v>
      </c>
      <c r="E2" t="s">
        <v>1069</v>
      </c>
      <c r="F2" t="s">
        <v>1073</v>
      </c>
      <c r="I2" t="s">
        <v>20</v>
      </c>
      <c r="J2" t="s">
        <v>1101</v>
      </c>
      <c r="K2" t="s">
        <v>1125</v>
      </c>
      <c r="M2" t="s">
        <v>1118</v>
      </c>
      <c r="O2" t="s">
        <v>242</v>
      </c>
      <c r="P2" s="15">
        <v>288991</v>
      </c>
    </row>
    <row r="3" spans="1:18">
      <c r="A3" t="s">
        <v>1029</v>
      </c>
      <c r="D3" t="s">
        <v>1068</v>
      </c>
      <c r="E3" t="s">
        <v>1070</v>
      </c>
      <c r="F3" t="s">
        <v>1074</v>
      </c>
      <c r="I3" t="s">
        <v>478</v>
      </c>
      <c r="J3" t="s">
        <v>1102</v>
      </c>
      <c r="K3" t="s">
        <v>1109</v>
      </c>
      <c r="M3" t="s">
        <v>1110</v>
      </c>
      <c r="O3" t="s">
        <v>429</v>
      </c>
      <c r="P3" s="15">
        <v>154302</v>
      </c>
    </row>
    <row r="4" spans="1:18">
      <c r="A4" t="s">
        <v>1030</v>
      </c>
      <c r="B4" t="s">
        <v>1066</v>
      </c>
      <c r="E4" t="s">
        <v>1071</v>
      </c>
      <c r="I4" t="s">
        <v>22</v>
      </c>
      <c r="J4" t="s">
        <v>1103</v>
      </c>
      <c r="M4" t="s">
        <v>1111</v>
      </c>
      <c r="O4" t="s">
        <v>328</v>
      </c>
      <c r="P4" s="15">
        <v>32453</v>
      </c>
    </row>
    <row r="5" spans="1:18">
      <c r="A5" t="s">
        <v>1031</v>
      </c>
      <c r="B5" t="s">
        <v>1050</v>
      </c>
      <c r="E5" t="s">
        <v>1072</v>
      </c>
      <c r="I5" t="s">
        <v>479</v>
      </c>
      <c r="J5" t="s">
        <v>1104</v>
      </c>
      <c r="M5" t="s">
        <v>1119</v>
      </c>
      <c r="O5" t="s">
        <v>347</v>
      </c>
      <c r="P5" s="15">
        <v>66312</v>
      </c>
    </row>
    <row r="6" spans="1:18">
      <c r="A6" t="s">
        <v>1032</v>
      </c>
      <c r="I6" t="s">
        <v>480</v>
      </c>
      <c r="J6" t="s">
        <v>1105</v>
      </c>
      <c r="M6" t="s">
        <v>1120</v>
      </c>
      <c r="O6" t="s">
        <v>397</v>
      </c>
      <c r="P6" s="15">
        <v>745752</v>
      </c>
      <c r="Q6" t="s">
        <v>28</v>
      </c>
      <c r="R6" s="15">
        <v>33395</v>
      </c>
    </row>
    <row r="7" spans="1:18">
      <c r="A7" t="s">
        <v>1033</v>
      </c>
      <c r="M7" t="s">
        <v>1112</v>
      </c>
      <c r="O7" t="s">
        <v>132</v>
      </c>
      <c r="P7" s="15">
        <v>266642</v>
      </c>
      <c r="Q7" t="s">
        <v>29</v>
      </c>
      <c r="R7" s="15">
        <v>894</v>
      </c>
    </row>
    <row r="8" spans="1:18">
      <c r="A8" t="s">
        <v>1034</v>
      </c>
      <c r="B8" t="s">
        <v>1051</v>
      </c>
      <c r="M8" t="s">
        <v>1113</v>
      </c>
      <c r="O8" t="s">
        <v>357</v>
      </c>
      <c r="P8" s="15">
        <v>59411</v>
      </c>
      <c r="Q8" t="s">
        <v>30</v>
      </c>
      <c r="R8" s="15">
        <v>1399</v>
      </c>
    </row>
    <row r="9" spans="1:18">
      <c r="A9" t="s">
        <v>1035</v>
      </c>
      <c r="B9" t="s">
        <v>1052</v>
      </c>
      <c r="M9" t="s">
        <v>1114</v>
      </c>
      <c r="O9" t="s">
        <v>365</v>
      </c>
      <c r="P9" s="15">
        <v>39873</v>
      </c>
      <c r="Q9" t="s">
        <v>31</v>
      </c>
      <c r="R9" s="15">
        <v>5816</v>
      </c>
    </row>
    <row r="10" spans="1:18">
      <c r="A10" t="s">
        <v>1036</v>
      </c>
      <c r="M10" t="s">
        <v>1115</v>
      </c>
      <c r="O10" t="s">
        <v>160</v>
      </c>
      <c r="P10" s="15">
        <v>273833</v>
      </c>
      <c r="Q10" t="s">
        <v>38</v>
      </c>
      <c r="R10" s="15">
        <v>2975</v>
      </c>
    </row>
    <row r="11" spans="1:18">
      <c r="A11" t="s">
        <v>1037</v>
      </c>
      <c r="B11" t="s">
        <v>1053</v>
      </c>
      <c r="O11" t="s">
        <v>425</v>
      </c>
      <c r="P11" s="15">
        <v>71391</v>
      </c>
      <c r="Q11" t="s">
        <v>32</v>
      </c>
      <c r="R11" s="15">
        <v>2906</v>
      </c>
    </row>
    <row r="12" spans="1:18">
      <c r="A12" t="s">
        <v>1038</v>
      </c>
      <c r="O12" t="s">
        <v>423</v>
      </c>
      <c r="P12" s="15">
        <v>72889</v>
      </c>
      <c r="Q12" t="s">
        <v>36</v>
      </c>
      <c r="R12" s="15">
        <v>3537</v>
      </c>
    </row>
    <row r="13" spans="1:18">
      <c r="A13" t="s">
        <v>1039</v>
      </c>
      <c r="O13" t="s">
        <v>286</v>
      </c>
      <c r="P13" s="15">
        <v>89793</v>
      </c>
      <c r="Q13" t="s">
        <v>33</v>
      </c>
      <c r="R13" s="15">
        <v>15961</v>
      </c>
    </row>
    <row r="14" spans="1:18">
      <c r="A14" t="s">
        <v>1040</v>
      </c>
      <c r="O14" t="s">
        <v>190</v>
      </c>
      <c r="P14" s="15">
        <v>178948</v>
      </c>
      <c r="Q14" t="s">
        <v>34</v>
      </c>
      <c r="R14" s="15">
        <v>6489</v>
      </c>
    </row>
    <row r="15" spans="1:18">
      <c r="A15" t="s">
        <v>1054</v>
      </c>
      <c r="B15" t="s">
        <v>1059</v>
      </c>
      <c r="O15" t="s">
        <v>118</v>
      </c>
      <c r="P15" s="15">
        <v>109184</v>
      </c>
      <c r="Q15" t="s">
        <v>40</v>
      </c>
      <c r="R15" s="15">
        <v>1600</v>
      </c>
    </row>
    <row r="16" spans="1:18">
      <c r="A16" t="s">
        <v>1055</v>
      </c>
      <c r="B16" t="s">
        <v>1060</v>
      </c>
      <c r="O16" t="s">
        <v>430</v>
      </c>
      <c r="P16" s="15">
        <v>105279</v>
      </c>
      <c r="Q16" t="s">
        <v>37</v>
      </c>
      <c r="R16" s="15">
        <v>2026</v>
      </c>
    </row>
    <row r="17" spans="1:18">
      <c r="A17" t="s">
        <v>1056</v>
      </c>
      <c r="B17" t="s">
        <v>1061</v>
      </c>
      <c r="O17" t="s">
        <v>39</v>
      </c>
      <c r="P17" s="15">
        <v>141790</v>
      </c>
      <c r="Q17" t="s">
        <v>158</v>
      </c>
      <c r="R17" s="15">
        <v>65</v>
      </c>
    </row>
    <row r="18" spans="1:18">
      <c r="A18" t="s">
        <v>1057</v>
      </c>
      <c r="B18" t="s">
        <v>1062</v>
      </c>
      <c r="O18" t="s">
        <v>316</v>
      </c>
      <c r="P18" s="15">
        <v>98838</v>
      </c>
      <c r="Q18" t="s">
        <v>140</v>
      </c>
      <c r="R18" s="15">
        <v>211</v>
      </c>
    </row>
    <row r="19" spans="1:18">
      <c r="A19" t="s">
        <v>1058</v>
      </c>
      <c r="B19" t="s">
        <v>1063</v>
      </c>
      <c r="O19" t="s">
        <v>56</v>
      </c>
      <c r="P19" s="15">
        <v>185109</v>
      </c>
      <c r="Q19" t="s">
        <v>141</v>
      </c>
      <c r="R19" s="15">
        <v>551</v>
      </c>
    </row>
    <row r="20" spans="1:18">
      <c r="A20" t="s">
        <v>1041</v>
      </c>
      <c r="B20" t="s">
        <v>1064</v>
      </c>
      <c r="O20" t="s">
        <v>27</v>
      </c>
      <c r="P20" s="15">
        <v>80114</v>
      </c>
      <c r="Q20" t="s">
        <v>142</v>
      </c>
      <c r="R20" s="15">
        <v>133</v>
      </c>
    </row>
    <row r="21" spans="1:18">
      <c r="A21" t="s">
        <v>1042</v>
      </c>
      <c r="O21" t="s">
        <v>383</v>
      </c>
      <c r="P21" s="15">
        <v>100616</v>
      </c>
      <c r="Q21" t="s">
        <v>152</v>
      </c>
      <c r="R21" s="15">
        <v>66</v>
      </c>
    </row>
    <row r="22" spans="1:18">
      <c r="A22" t="s">
        <v>1043</v>
      </c>
      <c r="O22" t="s">
        <v>297</v>
      </c>
      <c r="P22" s="15">
        <v>97088</v>
      </c>
      <c r="Q22" t="s">
        <v>143</v>
      </c>
      <c r="R22" s="15">
        <v>142</v>
      </c>
    </row>
    <row r="23" spans="1:18">
      <c r="A23" t="s">
        <v>1044</v>
      </c>
      <c r="O23" t="s">
        <v>373</v>
      </c>
      <c r="P23" s="15">
        <v>64619</v>
      </c>
      <c r="Q23" t="s">
        <v>144</v>
      </c>
      <c r="R23" s="15">
        <v>172</v>
      </c>
    </row>
    <row r="24" spans="1:18">
      <c r="A24" t="s">
        <v>1045</v>
      </c>
      <c r="B24" t="s">
        <v>1065</v>
      </c>
      <c r="O24" t="s">
        <v>1008</v>
      </c>
      <c r="P24" s="15">
        <v>219363</v>
      </c>
      <c r="Q24" t="s">
        <v>147</v>
      </c>
      <c r="R24" s="15">
        <v>254</v>
      </c>
    </row>
    <row r="25" spans="1:18">
      <c r="A25" t="s">
        <v>1046</v>
      </c>
      <c r="O25" t="s">
        <v>1009</v>
      </c>
      <c r="P25" s="15">
        <v>183106</v>
      </c>
      <c r="Q25" t="s">
        <v>145</v>
      </c>
      <c r="R25" s="15">
        <v>237</v>
      </c>
    </row>
    <row r="26" spans="1:18">
      <c r="A26" t="s">
        <v>1047</v>
      </c>
      <c r="O26" t="s">
        <v>1010</v>
      </c>
      <c r="P26" s="15">
        <v>53303</v>
      </c>
      <c r="Q26" t="s">
        <v>161</v>
      </c>
      <c r="R26" s="15">
        <v>129</v>
      </c>
    </row>
    <row r="27" spans="1:18">
      <c r="A27" t="s">
        <v>1048</v>
      </c>
      <c r="O27" t="s">
        <v>1011</v>
      </c>
      <c r="P27" s="15">
        <v>43248</v>
      </c>
      <c r="Q27" t="s">
        <v>153</v>
      </c>
      <c r="R27" s="15">
        <v>82</v>
      </c>
    </row>
    <row r="28" spans="1:18">
      <c r="A28" t="s">
        <v>1049</v>
      </c>
      <c r="O28" t="s">
        <v>1012</v>
      </c>
      <c r="P28" s="15">
        <v>363563</v>
      </c>
      <c r="Q28" t="s">
        <v>150</v>
      </c>
      <c r="R28">
        <v>47</v>
      </c>
    </row>
    <row r="29" spans="1:18">
      <c r="A29" t="s">
        <v>1077</v>
      </c>
      <c r="B29" t="s">
        <v>1078</v>
      </c>
      <c r="O29" t="s">
        <v>1013</v>
      </c>
      <c r="P29" s="15">
        <v>48376</v>
      </c>
      <c r="Q29" t="s">
        <v>146</v>
      </c>
      <c r="R29">
        <v>139</v>
      </c>
    </row>
    <row r="30" spans="1:18">
      <c r="A30" t="s">
        <v>1079</v>
      </c>
      <c r="O30" t="s">
        <v>1014</v>
      </c>
      <c r="P30" s="15">
        <v>155079</v>
      </c>
      <c r="Q30" t="s">
        <v>155</v>
      </c>
      <c r="R30">
        <v>27</v>
      </c>
    </row>
    <row r="31" spans="1:18">
      <c r="A31" t="s">
        <v>1080</v>
      </c>
      <c r="O31" t="s">
        <v>1015</v>
      </c>
      <c r="P31" s="15">
        <v>39894</v>
      </c>
      <c r="Q31" t="s">
        <v>151</v>
      </c>
      <c r="R31">
        <v>48</v>
      </c>
    </row>
    <row r="32" spans="1:18">
      <c r="A32" t="s">
        <v>1081</v>
      </c>
      <c r="B32" t="s">
        <v>1092</v>
      </c>
      <c r="Q32" t="s">
        <v>156</v>
      </c>
      <c r="R32">
        <v>48</v>
      </c>
    </row>
    <row r="33" spans="1:18">
      <c r="A33" t="s">
        <v>1082</v>
      </c>
      <c r="B33" t="s">
        <v>1093</v>
      </c>
      <c r="Q33" t="s">
        <v>725</v>
      </c>
      <c r="R33">
        <v>14</v>
      </c>
    </row>
    <row r="34" spans="1:18">
      <c r="A34" t="s">
        <v>1083</v>
      </c>
      <c r="B34" t="s">
        <v>1094</v>
      </c>
      <c r="Q34" t="s">
        <v>719</v>
      </c>
      <c r="R34">
        <v>14</v>
      </c>
    </row>
    <row r="35" spans="1:18">
      <c r="A35" t="s">
        <v>1084</v>
      </c>
      <c r="B35" t="s">
        <v>1095</v>
      </c>
      <c r="Q35" t="s">
        <v>719</v>
      </c>
      <c r="R35">
        <v>0</v>
      </c>
    </row>
    <row r="36" spans="1:18">
      <c r="A36" t="s">
        <v>1085</v>
      </c>
      <c r="B36" t="s">
        <v>1096</v>
      </c>
    </row>
    <row r="37" spans="1:18">
      <c r="A37" t="s">
        <v>1086</v>
      </c>
      <c r="B37" t="s">
        <v>1097</v>
      </c>
    </row>
    <row r="38" spans="1:18">
      <c r="A38" t="s">
        <v>1087</v>
      </c>
      <c r="B38" t="s">
        <v>1093</v>
      </c>
    </row>
    <row r="39" spans="1:18">
      <c r="A39" t="s">
        <v>1088</v>
      </c>
      <c r="B39" t="s">
        <v>1094</v>
      </c>
    </row>
    <row r="40" spans="1:18">
      <c r="A40" t="s">
        <v>1089</v>
      </c>
      <c r="B40" t="s">
        <v>1095</v>
      </c>
    </row>
    <row r="41" spans="1:18">
      <c r="A41" t="s">
        <v>1090</v>
      </c>
      <c r="B41" t="s">
        <v>1096</v>
      </c>
    </row>
    <row r="42" spans="1:18">
      <c r="A42" t="s">
        <v>1091</v>
      </c>
      <c r="B42" t="s">
        <v>1097</v>
      </c>
    </row>
    <row r="43" spans="1:18">
      <c r="A43" t="s">
        <v>1098</v>
      </c>
      <c r="B43" t="s">
        <v>1100</v>
      </c>
    </row>
    <row r="44" spans="1:18">
      <c r="A44" t="s">
        <v>1099</v>
      </c>
    </row>
    <row r="45" spans="1:18">
      <c r="A45" t="s">
        <v>1121</v>
      </c>
      <c r="B45" t="s">
        <v>1052</v>
      </c>
    </row>
    <row r="46" spans="1:18">
      <c r="A46" t="s">
        <v>1122</v>
      </c>
      <c r="B46" t="s">
        <v>1051</v>
      </c>
    </row>
    <row r="47" spans="1:18">
      <c r="A47" t="s">
        <v>1123</v>
      </c>
    </row>
    <row r="48" spans="1:18">
      <c r="A48" t="s">
        <v>1124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F2"/>
  <sheetViews>
    <sheetView workbookViewId="0">
      <selection activeCell="A2" sqref="A2:XFD2"/>
    </sheetView>
  </sheetViews>
  <sheetFormatPr defaultRowHeight="15"/>
  <cols>
    <col min="1" max="1" width="10.85546875" customWidth="1"/>
    <col min="2" max="2" width="9.42578125" customWidth="1"/>
    <col min="4" max="4" width="10" customWidth="1"/>
    <col min="5" max="5" width="12.85546875" customWidth="1"/>
    <col min="6" max="6" width="14.85546875" customWidth="1"/>
  </cols>
  <sheetData>
    <row r="1" spans="1:6">
      <c r="A1" t="s">
        <v>17</v>
      </c>
      <c r="B1" t="s">
        <v>6</v>
      </c>
      <c r="C1" t="s">
        <v>18</v>
      </c>
      <c r="D1" t="s">
        <v>21</v>
      </c>
      <c r="E1" t="s">
        <v>25</v>
      </c>
      <c r="F1" t="s">
        <v>26</v>
      </c>
    </row>
    <row r="2" spans="1:6">
      <c r="A2" t="s">
        <v>1003</v>
      </c>
      <c r="B2" t="s">
        <v>1003</v>
      </c>
      <c r="C2" t="s">
        <v>20</v>
      </c>
      <c r="D2">
        <v>4.536070650303934E-2</v>
      </c>
      <c r="E2">
        <v>17438</v>
      </c>
      <c r="F2">
        <v>791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L821"/>
  <sheetViews>
    <sheetView zoomScale="71" zoomScaleNormal="71" workbookViewId="0">
      <selection activeCell="C18" sqref="C18"/>
    </sheetView>
  </sheetViews>
  <sheetFormatPr defaultRowHeight="15"/>
  <cols>
    <col min="1" max="1" width="25.85546875" bestFit="1" customWidth="1"/>
    <col min="2" max="2" width="21.7109375" bestFit="1" customWidth="1"/>
    <col min="3" max="10" width="10.42578125" bestFit="1" customWidth="1"/>
    <col min="11" max="11" width="15" bestFit="1" customWidth="1"/>
    <col min="12" max="12" width="58.28515625" customWidth="1"/>
    <col min="13" max="13" width="5.5703125" bestFit="1" customWidth="1"/>
    <col min="14" max="14" width="6.140625" bestFit="1" customWidth="1"/>
    <col min="15" max="15" width="5.28515625" bestFit="1" customWidth="1"/>
    <col min="16" max="16" width="4.140625" bestFit="1" customWidth="1"/>
    <col min="17" max="17" width="6" bestFit="1" customWidth="1"/>
    <col min="18" max="18" width="7.140625" bestFit="1" customWidth="1"/>
    <col min="19" max="19" width="5.5703125" bestFit="1" customWidth="1"/>
    <col min="20" max="20" width="7" bestFit="1" customWidth="1"/>
    <col min="21" max="21" width="3" bestFit="1" customWidth="1"/>
    <col min="22" max="22" width="5.28515625" bestFit="1" customWidth="1"/>
    <col min="23" max="23" width="11.28515625" bestFit="1" customWidth="1"/>
    <col min="24" max="24" width="6.7109375" bestFit="1" customWidth="1"/>
    <col min="25" max="25" width="6.42578125" bestFit="1" customWidth="1"/>
    <col min="26" max="26" width="6.85546875" bestFit="1" customWidth="1"/>
    <col min="27" max="27" width="4.85546875" bestFit="1" customWidth="1"/>
    <col min="28" max="28" width="11.7109375" bestFit="1" customWidth="1"/>
    <col min="29" max="29" width="8.42578125" bestFit="1" customWidth="1"/>
    <col min="30" max="30" width="6.42578125" bestFit="1" customWidth="1"/>
    <col min="31" max="31" width="6" bestFit="1" customWidth="1"/>
    <col min="32" max="32" width="5.85546875" bestFit="1" customWidth="1"/>
    <col min="33" max="33" width="6" bestFit="1" customWidth="1"/>
    <col min="34" max="34" width="6.5703125" bestFit="1" customWidth="1"/>
    <col min="35" max="35" width="7" bestFit="1" customWidth="1"/>
    <col min="36" max="36" width="5.7109375" bestFit="1" customWidth="1"/>
    <col min="37" max="37" width="4.7109375" bestFit="1" customWidth="1"/>
    <col min="38" max="38" width="4.140625" bestFit="1" customWidth="1"/>
    <col min="39" max="39" width="7.140625" bestFit="1" customWidth="1"/>
    <col min="40" max="40" width="3.85546875" bestFit="1" customWidth="1"/>
    <col min="41" max="41" width="5" bestFit="1" customWidth="1"/>
    <col min="42" max="42" width="5.7109375" bestFit="1" customWidth="1"/>
    <col min="43" max="43" width="3.28515625" bestFit="1" customWidth="1"/>
    <col min="44" max="44" width="5" bestFit="1" customWidth="1"/>
    <col min="45" max="45" width="8.28515625" bestFit="1" customWidth="1"/>
    <col min="46" max="46" width="3.5703125" bestFit="1" customWidth="1"/>
    <col min="47" max="47" width="4.7109375" bestFit="1" customWidth="1"/>
    <col min="48" max="48" width="3.85546875" bestFit="1" customWidth="1"/>
    <col min="49" max="49" width="6.140625" bestFit="1" customWidth="1"/>
    <col min="50" max="50" width="3.85546875" bestFit="1" customWidth="1"/>
    <col min="51" max="51" width="7.140625" bestFit="1" customWidth="1"/>
    <col min="52" max="52" width="4.28515625" bestFit="1" customWidth="1"/>
    <col min="53" max="53" width="4.42578125" bestFit="1" customWidth="1"/>
    <col min="54" max="54" width="3.85546875" bestFit="1" customWidth="1"/>
    <col min="55" max="55" width="5.5703125" bestFit="1" customWidth="1"/>
    <col min="56" max="56" width="5.140625" bestFit="1" customWidth="1"/>
    <col min="57" max="57" width="5.28515625" bestFit="1" customWidth="1"/>
    <col min="58" max="58" width="7" bestFit="1" customWidth="1"/>
    <col min="59" max="59" width="4.7109375" bestFit="1" customWidth="1"/>
    <col min="60" max="60" width="4.28515625" bestFit="1" customWidth="1"/>
    <col min="61" max="61" width="3.5703125" bestFit="1" customWidth="1"/>
    <col min="62" max="62" width="4.28515625" bestFit="1" customWidth="1"/>
    <col min="63" max="63" width="6.85546875" bestFit="1" customWidth="1"/>
    <col min="64" max="64" width="6.140625" bestFit="1" customWidth="1"/>
    <col min="65" max="65" width="4.42578125" bestFit="1" customWidth="1"/>
    <col min="66" max="66" width="5.85546875" bestFit="1" customWidth="1"/>
    <col min="67" max="67" width="7" bestFit="1" customWidth="1"/>
    <col min="68" max="68" width="6.140625" bestFit="1" customWidth="1"/>
    <col min="69" max="69" width="6.42578125" bestFit="1" customWidth="1"/>
    <col min="70" max="70" width="6" bestFit="1" customWidth="1"/>
    <col min="71" max="71" width="8.5703125" bestFit="1" customWidth="1"/>
    <col min="72" max="72" width="5.5703125" bestFit="1" customWidth="1"/>
    <col min="73" max="73" width="6.140625" bestFit="1" customWidth="1"/>
    <col min="74" max="74" width="6.28515625" bestFit="1" customWidth="1"/>
    <col min="75" max="75" width="2.7109375" bestFit="1" customWidth="1"/>
    <col min="76" max="76" width="2.85546875" bestFit="1" customWidth="1"/>
    <col min="77" max="77" width="4.42578125" bestFit="1" customWidth="1"/>
    <col min="78" max="78" width="7.42578125" bestFit="1" customWidth="1"/>
    <col min="79" max="79" width="8.140625" bestFit="1" customWidth="1"/>
    <col min="80" max="80" width="5.7109375" bestFit="1" customWidth="1"/>
    <col min="81" max="81" width="7.28515625" bestFit="1" customWidth="1"/>
    <col min="82" max="82" width="9.85546875" bestFit="1" customWidth="1"/>
    <col min="83" max="83" width="4.85546875" bestFit="1" customWidth="1"/>
    <col min="84" max="84" width="3.7109375" bestFit="1" customWidth="1"/>
    <col min="85" max="85" width="7.140625" bestFit="1" customWidth="1"/>
    <col min="86" max="86" width="5.5703125" bestFit="1" customWidth="1"/>
    <col min="87" max="87" width="5.85546875" bestFit="1" customWidth="1"/>
    <col min="88" max="88" width="5" bestFit="1" customWidth="1"/>
    <col min="89" max="89" width="5.5703125" bestFit="1" customWidth="1"/>
    <col min="90" max="90" width="5.7109375" bestFit="1" customWidth="1"/>
    <col min="91" max="91" width="4.5703125" bestFit="1" customWidth="1"/>
    <col min="92" max="92" width="7.7109375" bestFit="1" customWidth="1"/>
    <col min="93" max="93" width="8" bestFit="1" customWidth="1"/>
    <col min="94" max="94" width="13.5703125" bestFit="1" customWidth="1"/>
    <col min="95" max="95" width="5" bestFit="1" customWidth="1"/>
    <col min="96" max="96" width="6" bestFit="1" customWidth="1"/>
    <col min="97" max="97" width="7.85546875" bestFit="1" customWidth="1"/>
    <col min="98" max="98" width="5.7109375" bestFit="1" customWidth="1"/>
    <col min="99" max="99" width="7.7109375" bestFit="1" customWidth="1"/>
    <col min="100" max="100" width="6.42578125" bestFit="1" customWidth="1"/>
    <col min="101" max="101" width="7.28515625" bestFit="1" customWidth="1"/>
    <col min="102" max="102" width="3.5703125" bestFit="1" customWidth="1"/>
    <col min="103" max="103" width="6" bestFit="1" customWidth="1"/>
    <col min="104" max="104" width="6.140625" bestFit="1" customWidth="1"/>
    <col min="105" max="105" width="6.5703125" bestFit="1" customWidth="1"/>
    <col min="106" max="106" width="7.140625" bestFit="1" customWidth="1"/>
    <col min="107" max="107" width="5" bestFit="1" customWidth="1"/>
    <col min="108" max="108" width="6.7109375" bestFit="1" customWidth="1"/>
    <col min="109" max="110" width="4.7109375" bestFit="1" customWidth="1"/>
    <col min="111" max="111" width="4.28515625" bestFit="1" customWidth="1"/>
    <col min="112" max="112" width="8.140625" bestFit="1" customWidth="1"/>
    <col min="113" max="113" width="10.7109375" bestFit="1" customWidth="1"/>
    <col min="114" max="114" width="5.140625" bestFit="1" customWidth="1"/>
    <col min="115" max="115" width="4.42578125" bestFit="1" customWidth="1"/>
    <col min="116" max="116" width="5.28515625" bestFit="1" customWidth="1"/>
    <col min="117" max="117" width="4.5703125" bestFit="1" customWidth="1"/>
    <col min="118" max="118" width="5.42578125" bestFit="1" customWidth="1"/>
    <col min="119" max="119" width="7.140625" bestFit="1" customWidth="1"/>
    <col min="120" max="120" width="4.7109375" bestFit="1" customWidth="1"/>
    <col min="121" max="121" width="7.28515625" bestFit="1" customWidth="1"/>
    <col min="122" max="122" width="9.7109375" bestFit="1" customWidth="1"/>
    <col min="123" max="123" width="10.28515625" bestFit="1" customWidth="1"/>
    <col min="124" max="126" width="6" bestFit="1" customWidth="1"/>
    <col min="127" max="127" width="4.42578125" bestFit="1" customWidth="1"/>
    <col min="128" max="128" width="3.5703125" bestFit="1" customWidth="1"/>
    <col min="129" max="129" width="5" bestFit="1" customWidth="1"/>
    <col min="130" max="130" width="7" bestFit="1" customWidth="1"/>
    <col min="131" max="131" width="5.85546875" bestFit="1" customWidth="1"/>
    <col min="132" max="132" width="5.140625" bestFit="1" customWidth="1"/>
    <col min="133" max="133" width="6.28515625" bestFit="1" customWidth="1"/>
    <col min="134" max="134" width="5.5703125" bestFit="1" customWidth="1"/>
    <col min="135" max="135" width="6.140625" bestFit="1" customWidth="1"/>
    <col min="136" max="136" width="8.140625" bestFit="1" customWidth="1"/>
    <col min="137" max="137" width="6.7109375" bestFit="1" customWidth="1"/>
    <col min="138" max="138" width="6.28515625" bestFit="1" customWidth="1"/>
    <col min="139" max="139" width="5.85546875" bestFit="1" customWidth="1"/>
    <col min="140" max="140" width="4.5703125" bestFit="1" customWidth="1"/>
    <col min="141" max="141" width="6.5703125" bestFit="1" customWidth="1"/>
    <col min="142" max="142" width="5.7109375" bestFit="1" customWidth="1"/>
    <col min="143" max="143" width="7.85546875" bestFit="1" customWidth="1"/>
    <col min="144" max="144" width="6.85546875" bestFit="1" customWidth="1"/>
    <col min="145" max="145" width="4.5703125" bestFit="1" customWidth="1"/>
    <col min="146" max="146" width="4.85546875" bestFit="1" customWidth="1"/>
    <col min="147" max="147" width="8" bestFit="1" customWidth="1"/>
    <col min="148" max="148" width="7.140625" bestFit="1" customWidth="1"/>
    <col min="149" max="149" width="5.42578125" bestFit="1" customWidth="1"/>
    <col min="150" max="150" width="7.28515625" bestFit="1" customWidth="1"/>
    <col min="151" max="151" width="7" bestFit="1" customWidth="1"/>
    <col min="152" max="152" width="6.42578125" bestFit="1" customWidth="1"/>
    <col min="153" max="153" width="7.42578125" bestFit="1" customWidth="1"/>
    <col min="154" max="154" width="6" bestFit="1" customWidth="1"/>
    <col min="155" max="155" width="8.140625" bestFit="1" customWidth="1"/>
    <col min="156" max="156" width="4.85546875" bestFit="1" customWidth="1"/>
    <col min="157" max="157" width="5.140625" bestFit="1" customWidth="1"/>
    <col min="158" max="158" width="9.42578125" bestFit="1" customWidth="1"/>
    <col min="159" max="159" width="4.42578125" bestFit="1" customWidth="1"/>
    <col min="160" max="160" width="6.42578125" bestFit="1" customWidth="1"/>
    <col min="161" max="161" width="5.5703125" bestFit="1" customWidth="1"/>
    <col min="162" max="162" width="7.140625" bestFit="1" customWidth="1"/>
    <col min="163" max="163" width="11" bestFit="1" customWidth="1"/>
    <col min="164" max="164" width="6.7109375" bestFit="1" customWidth="1"/>
    <col min="165" max="165" width="6.85546875" bestFit="1" customWidth="1"/>
    <col min="166" max="166" width="4.7109375" bestFit="1" customWidth="1"/>
    <col min="167" max="167" width="5.140625" bestFit="1" customWidth="1"/>
    <col min="168" max="169" width="5.85546875" bestFit="1" customWidth="1"/>
    <col min="170" max="170" width="6.140625" bestFit="1" customWidth="1"/>
    <col min="171" max="171" width="4.28515625" bestFit="1" customWidth="1"/>
    <col min="172" max="172" width="5.7109375" bestFit="1" customWidth="1"/>
    <col min="173" max="173" width="7" bestFit="1" customWidth="1"/>
    <col min="174" max="174" width="5.42578125" bestFit="1" customWidth="1"/>
    <col min="175" max="175" width="10.7109375" bestFit="1" customWidth="1"/>
    <col min="176" max="176" width="7.85546875" bestFit="1" customWidth="1"/>
    <col min="177" max="177" width="5" bestFit="1" customWidth="1"/>
    <col min="178" max="178" width="5.140625" bestFit="1" customWidth="1"/>
    <col min="179" max="179" width="5" bestFit="1" customWidth="1"/>
    <col min="180" max="180" width="6.28515625" bestFit="1" customWidth="1"/>
    <col min="181" max="181" width="5.85546875" bestFit="1" customWidth="1"/>
    <col min="182" max="182" width="3" bestFit="1" customWidth="1"/>
    <col min="183" max="183" width="6" bestFit="1" customWidth="1"/>
    <col min="184" max="184" width="6.42578125" bestFit="1" customWidth="1"/>
    <col min="185" max="185" width="6" bestFit="1" customWidth="1"/>
    <col min="186" max="186" width="4.140625" bestFit="1" customWidth="1"/>
    <col min="187" max="187" width="5.42578125" bestFit="1" customWidth="1"/>
    <col min="188" max="188" width="3.5703125" bestFit="1" customWidth="1"/>
    <col min="189" max="189" width="4.28515625" bestFit="1" customWidth="1"/>
    <col min="190" max="190" width="6.85546875" bestFit="1" customWidth="1"/>
    <col min="191" max="191" width="3.5703125" bestFit="1" customWidth="1"/>
    <col min="192" max="192" width="9.5703125" bestFit="1" customWidth="1"/>
    <col min="193" max="193" width="5.28515625" bestFit="1" customWidth="1"/>
    <col min="194" max="194" width="5.85546875" bestFit="1" customWidth="1"/>
    <col min="195" max="195" width="6.28515625" bestFit="1" customWidth="1"/>
    <col min="196" max="196" width="5.140625" bestFit="1" customWidth="1"/>
    <col min="197" max="197" width="3.7109375" bestFit="1" customWidth="1"/>
    <col min="198" max="198" width="7.42578125" bestFit="1" customWidth="1"/>
    <col min="199" max="199" width="3.42578125" bestFit="1" customWidth="1"/>
    <col min="200" max="201" width="4.85546875" bestFit="1" customWidth="1"/>
    <col min="202" max="202" width="7.28515625" bestFit="1" customWidth="1"/>
    <col min="203" max="203" width="8.5703125" bestFit="1" customWidth="1"/>
    <col min="204" max="204" width="7.7109375" bestFit="1" customWidth="1"/>
    <col min="205" max="205" width="6" bestFit="1" customWidth="1"/>
    <col min="206" max="206" width="5.140625" bestFit="1" customWidth="1"/>
    <col min="207" max="207" width="5.42578125" bestFit="1" customWidth="1"/>
    <col min="208" max="208" width="9.85546875" bestFit="1" customWidth="1"/>
    <col min="209" max="209" width="5.85546875" bestFit="1" customWidth="1"/>
    <col min="210" max="210" width="7.42578125" bestFit="1" customWidth="1"/>
    <col min="211" max="211" width="4.5703125" bestFit="1" customWidth="1"/>
    <col min="212" max="212" width="3" bestFit="1" customWidth="1"/>
    <col min="213" max="213" width="3.85546875" bestFit="1" customWidth="1"/>
    <col min="214" max="214" width="5.85546875" bestFit="1" customWidth="1"/>
    <col min="215" max="215" width="3.5703125" bestFit="1" customWidth="1"/>
    <col min="216" max="216" width="4" bestFit="1" customWidth="1"/>
    <col min="217" max="217" width="5.5703125" bestFit="1" customWidth="1"/>
    <col min="218" max="218" width="8.85546875" bestFit="1" customWidth="1"/>
    <col min="219" max="219" width="5.140625" bestFit="1" customWidth="1"/>
    <col min="220" max="220" width="4.42578125" bestFit="1" customWidth="1"/>
    <col min="221" max="221" width="5.140625" bestFit="1" customWidth="1"/>
    <col min="222" max="222" width="4.85546875" bestFit="1" customWidth="1"/>
    <col min="223" max="223" width="5.28515625" bestFit="1" customWidth="1"/>
    <col min="224" max="224" width="8.28515625" bestFit="1" customWidth="1"/>
    <col min="225" max="225" width="4.42578125" bestFit="1" customWidth="1"/>
    <col min="226" max="226" width="5.85546875" bestFit="1" customWidth="1"/>
    <col min="227" max="227" width="6.42578125" bestFit="1" customWidth="1"/>
    <col min="228" max="228" width="5.140625" bestFit="1" customWidth="1"/>
    <col min="229" max="229" width="5.85546875" bestFit="1" customWidth="1"/>
    <col min="230" max="230" width="5.5703125" bestFit="1" customWidth="1"/>
    <col min="231" max="231" width="4.85546875" bestFit="1" customWidth="1"/>
    <col min="232" max="232" width="6.7109375" bestFit="1" customWidth="1"/>
    <col min="233" max="233" width="9.5703125" bestFit="1" customWidth="1"/>
    <col min="234" max="234" width="6.42578125" bestFit="1" customWidth="1"/>
    <col min="235" max="235" width="5.28515625" bestFit="1" customWidth="1"/>
    <col min="236" max="236" width="7.28515625" bestFit="1" customWidth="1"/>
    <col min="237" max="237" width="5.7109375" bestFit="1" customWidth="1"/>
    <col min="238" max="238" width="6.5703125" bestFit="1" customWidth="1"/>
    <col min="239" max="239" width="7.7109375" bestFit="1" customWidth="1"/>
    <col min="240" max="240" width="4.42578125" bestFit="1" customWidth="1"/>
    <col min="241" max="241" width="6.140625" bestFit="1" customWidth="1"/>
    <col min="242" max="242" width="7.140625" bestFit="1" customWidth="1"/>
    <col min="243" max="243" width="6.42578125" bestFit="1" customWidth="1"/>
    <col min="244" max="244" width="5.7109375" bestFit="1" customWidth="1"/>
    <col min="245" max="245" width="5.5703125" bestFit="1" customWidth="1"/>
    <col min="246" max="246" width="5.140625" bestFit="1" customWidth="1"/>
    <col min="247" max="247" width="6" bestFit="1" customWidth="1"/>
    <col min="248" max="248" width="7.140625" bestFit="1" customWidth="1"/>
    <col min="249" max="249" width="11.85546875" bestFit="1" customWidth="1"/>
    <col min="250" max="250" width="6.85546875" bestFit="1" customWidth="1"/>
    <col min="251" max="251" width="11" bestFit="1" customWidth="1"/>
    <col min="252" max="252" width="6.5703125" bestFit="1" customWidth="1"/>
    <col min="253" max="253" width="6.140625" bestFit="1" customWidth="1"/>
    <col min="254" max="254" width="5.85546875" bestFit="1" customWidth="1"/>
    <col min="255" max="255" width="6" bestFit="1" customWidth="1"/>
    <col min="256" max="256" width="6.140625" bestFit="1" customWidth="1"/>
    <col min="257" max="257" width="5.140625" bestFit="1" customWidth="1"/>
    <col min="258" max="258" width="6.7109375" bestFit="1" customWidth="1"/>
    <col min="259" max="259" width="8" bestFit="1" customWidth="1"/>
    <col min="260" max="260" width="14.7109375" bestFit="1" customWidth="1"/>
    <col min="261" max="261" width="6" bestFit="1" customWidth="1"/>
    <col min="262" max="262" width="5.28515625" bestFit="1" customWidth="1"/>
    <col min="263" max="263" width="7.7109375" bestFit="1" customWidth="1"/>
    <col min="264" max="264" width="7.42578125" bestFit="1" customWidth="1"/>
    <col min="265" max="265" width="6.140625" bestFit="1" customWidth="1"/>
    <col min="266" max="266" width="6.42578125" bestFit="1" customWidth="1"/>
    <col min="267" max="267" width="6" bestFit="1" customWidth="1"/>
    <col min="268" max="268" width="5.28515625" bestFit="1" customWidth="1"/>
    <col min="269" max="269" width="6.140625" bestFit="1" customWidth="1"/>
    <col min="270" max="270" width="5" bestFit="1" customWidth="1"/>
    <col min="271" max="271" width="4.85546875" bestFit="1" customWidth="1"/>
    <col min="272" max="272" width="6.140625" bestFit="1" customWidth="1"/>
    <col min="273" max="273" width="5.85546875" bestFit="1" customWidth="1"/>
    <col min="274" max="274" width="9.28515625" bestFit="1" customWidth="1"/>
    <col min="275" max="275" width="4.28515625" bestFit="1" customWidth="1"/>
    <col min="276" max="276" width="5.85546875" bestFit="1" customWidth="1"/>
    <col min="277" max="277" width="5.42578125" bestFit="1" customWidth="1"/>
    <col min="278" max="278" width="8.28515625" bestFit="1" customWidth="1"/>
    <col min="279" max="279" width="8.5703125" bestFit="1" customWidth="1"/>
    <col min="280" max="280" width="7" bestFit="1" customWidth="1"/>
    <col min="281" max="281" width="6.85546875" bestFit="1" customWidth="1"/>
    <col min="282" max="282" width="6.42578125" bestFit="1" customWidth="1"/>
    <col min="283" max="283" width="5.85546875" bestFit="1" customWidth="1"/>
    <col min="284" max="284" width="5.140625" bestFit="1" customWidth="1"/>
    <col min="285" max="286" width="5.5703125" bestFit="1" customWidth="1"/>
    <col min="287" max="287" width="6.85546875" bestFit="1" customWidth="1"/>
    <col min="288" max="288" width="5.7109375" bestFit="1" customWidth="1"/>
    <col min="289" max="289" width="6.42578125" bestFit="1" customWidth="1"/>
    <col min="290" max="290" width="6.28515625" bestFit="1" customWidth="1"/>
    <col min="291" max="291" width="5.5703125" bestFit="1" customWidth="1"/>
    <col min="292" max="292" width="9.28515625" bestFit="1" customWidth="1"/>
    <col min="293" max="293" width="8.85546875" bestFit="1" customWidth="1"/>
    <col min="294" max="294" width="5.85546875" bestFit="1" customWidth="1"/>
    <col min="295" max="295" width="3.85546875" bestFit="1" customWidth="1"/>
    <col min="296" max="296" width="7.5703125" bestFit="1" customWidth="1"/>
    <col min="297" max="298" width="4.7109375" bestFit="1" customWidth="1"/>
    <col min="299" max="299" width="4.85546875" bestFit="1" customWidth="1"/>
    <col min="300" max="300" width="7.140625" bestFit="1" customWidth="1"/>
    <col min="301" max="301" width="6.85546875" bestFit="1" customWidth="1"/>
    <col min="302" max="302" width="15.5703125" bestFit="1" customWidth="1"/>
    <col min="303" max="303" width="7.7109375" bestFit="1" customWidth="1"/>
    <col min="304" max="304" width="5.7109375" bestFit="1" customWidth="1"/>
    <col min="305" max="305" width="5" bestFit="1" customWidth="1"/>
    <col min="306" max="306" width="6" bestFit="1" customWidth="1"/>
    <col min="307" max="307" width="4.28515625" bestFit="1" customWidth="1"/>
    <col min="308" max="308" width="5.42578125" bestFit="1" customWidth="1"/>
    <col min="309" max="309" width="4.5703125" bestFit="1" customWidth="1"/>
    <col min="310" max="310" width="8.5703125" bestFit="1" customWidth="1"/>
    <col min="311" max="311" width="6.85546875" bestFit="1" customWidth="1"/>
    <col min="312" max="312" width="7.7109375" bestFit="1" customWidth="1"/>
    <col min="313" max="313" width="3" bestFit="1" customWidth="1"/>
    <col min="314" max="314" width="5.7109375" bestFit="1" customWidth="1"/>
    <col min="315" max="315" width="8.140625" bestFit="1" customWidth="1"/>
    <col min="316" max="317" width="5.7109375" bestFit="1" customWidth="1"/>
    <col min="318" max="318" width="6.42578125" bestFit="1" customWidth="1"/>
    <col min="319" max="319" width="9.5703125" bestFit="1" customWidth="1"/>
    <col min="320" max="320" width="6.85546875" bestFit="1" customWidth="1"/>
    <col min="321" max="321" width="5.140625" bestFit="1" customWidth="1"/>
    <col min="322" max="322" width="7.28515625" bestFit="1" customWidth="1"/>
    <col min="323" max="323" width="4.85546875" bestFit="1" customWidth="1"/>
    <col min="324" max="324" width="4.7109375" bestFit="1" customWidth="1"/>
    <col min="325" max="325" width="4.5703125" bestFit="1" customWidth="1"/>
    <col min="326" max="326" width="6.5703125" bestFit="1" customWidth="1"/>
    <col min="327" max="327" width="5.28515625" bestFit="1" customWidth="1"/>
    <col min="328" max="328" width="5.140625" bestFit="1" customWidth="1"/>
    <col min="329" max="329" width="5.7109375" bestFit="1" customWidth="1"/>
    <col min="330" max="330" width="7.5703125" bestFit="1" customWidth="1"/>
    <col min="331" max="331" width="5.7109375" bestFit="1" customWidth="1"/>
    <col min="332" max="332" width="4.140625" bestFit="1" customWidth="1"/>
    <col min="333" max="333" width="4.42578125" bestFit="1" customWidth="1"/>
    <col min="334" max="334" width="7" bestFit="1" customWidth="1"/>
    <col min="335" max="335" width="7.28515625" bestFit="1" customWidth="1"/>
    <col min="336" max="336" width="4" bestFit="1" customWidth="1"/>
    <col min="337" max="337" width="5" bestFit="1" customWidth="1"/>
    <col min="338" max="338" width="5.28515625" bestFit="1" customWidth="1"/>
    <col min="339" max="339" width="4" bestFit="1" customWidth="1"/>
    <col min="340" max="340" width="8" bestFit="1" customWidth="1"/>
    <col min="341" max="341" width="8.42578125" bestFit="1" customWidth="1"/>
    <col min="342" max="342" width="6.7109375" bestFit="1" customWidth="1"/>
    <col min="343" max="343" width="7" bestFit="1" customWidth="1"/>
    <col min="344" max="344" width="5.28515625" bestFit="1" customWidth="1"/>
    <col min="345" max="345" width="7.5703125" bestFit="1" customWidth="1"/>
    <col min="346" max="346" width="5.140625" bestFit="1" customWidth="1"/>
    <col min="347" max="347" width="4.85546875" bestFit="1" customWidth="1"/>
    <col min="348" max="348" width="6.42578125" bestFit="1" customWidth="1"/>
    <col min="349" max="349" width="4.5703125" bestFit="1" customWidth="1"/>
    <col min="350" max="350" width="4.42578125" bestFit="1" customWidth="1"/>
    <col min="351" max="351" width="6.5703125" bestFit="1" customWidth="1"/>
    <col min="352" max="352" width="5" bestFit="1" customWidth="1"/>
    <col min="353" max="353" width="6.5703125" bestFit="1" customWidth="1"/>
    <col min="354" max="354" width="5.140625" bestFit="1" customWidth="1"/>
    <col min="355" max="355" width="4.7109375" bestFit="1" customWidth="1"/>
    <col min="356" max="356" width="9.42578125" bestFit="1" customWidth="1"/>
    <col min="357" max="357" width="8" bestFit="1" customWidth="1"/>
    <col min="358" max="358" width="6.5703125" bestFit="1" customWidth="1"/>
    <col min="359" max="359" width="3.7109375" bestFit="1" customWidth="1"/>
    <col min="360" max="360" width="4.85546875" bestFit="1" customWidth="1"/>
    <col min="361" max="361" width="7.140625" bestFit="1" customWidth="1"/>
    <col min="362" max="362" width="5.5703125" bestFit="1" customWidth="1"/>
    <col min="363" max="363" width="5.28515625" bestFit="1" customWidth="1"/>
    <col min="364" max="364" width="4.5703125" bestFit="1" customWidth="1"/>
    <col min="365" max="365" width="6" bestFit="1" customWidth="1"/>
    <col min="366" max="366" width="5.28515625" bestFit="1" customWidth="1"/>
    <col min="367" max="367" width="4.140625" bestFit="1" customWidth="1"/>
    <col min="368" max="368" width="11.140625" bestFit="1" customWidth="1"/>
    <col min="369" max="369" width="7.140625" bestFit="1" customWidth="1"/>
    <col min="370" max="370" width="5.28515625" bestFit="1" customWidth="1"/>
    <col min="371" max="371" width="6.28515625" bestFit="1" customWidth="1"/>
    <col min="372" max="372" width="8.7109375" bestFit="1" customWidth="1"/>
    <col min="373" max="373" width="5" bestFit="1" customWidth="1"/>
    <col min="374" max="374" width="7.28515625" bestFit="1" customWidth="1"/>
    <col min="375" max="375" width="4.28515625" bestFit="1" customWidth="1"/>
    <col min="376" max="376" width="7.85546875" bestFit="1" customWidth="1"/>
    <col min="377" max="377" width="5.7109375" bestFit="1" customWidth="1"/>
    <col min="378" max="378" width="11.28515625" bestFit="1" customWidth="1"/>
    <col min="379" max="379" width="9.85546875" bestFit="1" customWidth="1"/>
    <col min="380" max="380" width="5.42578125" bestFit="1" customWidth="1"/>
    <col min="381" max="382" width="4.7109375" bestFit="1" customWidth="1"/>
    <col min="383" max="383" width="4.85546875" bestFit="1" customWidth="1"/>
    <col min="384" max="384" width="7.5703125" bestFit="1" customWidth="1"/>
    <col min="385" max="385" width="6" bestFit="1" customWidth="1"/>
    <col min="386" max="386" width="6.42578125" bestFit="1" customWidth="1"/>
    <col min="387" max="387" width="7.140625" bestFit="1" customWidth="1"/>
    <col min="388" max="388" width="5.140625" bestFit="1" customWidth="1"/>
    <col min="389" max="389" width="9" bestFit="1" customWidth="1"/>
    <col min="390" max="390" width="3.7109375" bestFit="1" customWidth="1"/>
    <col min="391" max="391" width="5" bestFit="1" customWidth="1"/>
    <col min="392" max="392" width="12.28515625" bestFit="1" customWidth="1"/>
    <col min="393" max="393" width="5.140625" bestFit="1" customWidth="1"/>
    <col min="394" max="394" width="4.7109375" bestFit="1" customWidth="1"/>
    <col min="395" max="395" width="7.85546875" bestFit="1" customWidth="1"/>
    <col min="396" max="396" width="7.140625" bestFit="1" customWidth="1"/>
    <col min="397" max="397" width="4.5703125" bestFit="1" customWidth="1"/>
    <col min="398" max="398" width="4.42578125" bestFit="1" customWidth="1"/>
    <col min="399" max="399" width="6.42578125" bestFit="1" customWidth="1"/>
    <col min="400" max="400" width="5.42578125" bestFit="1" customWidth="1"/>
    <col min="401" max="401" width="8.42578125" bestFit="1" customWidth="1"/>
    <col min="402" max="402" width="4.28515625" bestFit="1" customWidth="1"/>
    <col min="403" max="403" width="8.140625" bestFit="1" customWidth="1"/>
    <col min="404" max="404" width="6.42578125" bestFit="1" customWidth="1"/>
    <col min="405" max="405" width="4.42578125" bestFit="1" customWidth="1"/>
    <col min="406" max="406" width="6.28515625" bestFit="1" customWidth="1"/>
    <col min="407" max="407" width="4.42578125" bestFit="1" customWidth="1"/>
    <col min="408" max="408" width="2.85546875" bestFit="1" customWidth="1"/>
    <col min="409" max="409" width="4.28515625" bestFit="1" customWidth="1"/>
    <col min="410" max="410" width="5.42578125" bestFit="1" customWidth="1"/>
    <col min="411" max="411" width="6.5703125" bestFit="1" customWidth="1"/>
    <col min="412" max="412" width="3.28515625" bestFit="1" customWidth="1"/>
    <col min="413" max="413" width="5.7109375" bestFit="1" customWidth="1"/>
    <col min="414" max="414" width="5" bestFit="1" customWidth="1"/>
    <col min="415" max="415" width="3" bestFit="1" customWidth="1"/>
    <col min="416" max="416" width="6.42578125" bestFit="1" customWidth="1"/>
    <col min="417" max="417" width="7.7109375" bestFit="1" customWidth="1"/>
    <col min="418" max="418" width="5.85546875" bestFit="1" customWidth="1"/>
    <col min="419" max="419" width="5.42578125" bestFit="1" customWidth="1"/>
    <col min="420" max="420" width="6" bestFit="1" customWidth="1"/>
    <col min="421" max="421" width="5.7109375" bestFit="1" customWidth="1"/>
    <col min="422" max="422" width="6.85546875" bestFit="1" customWidth="1"/>
    <col min="423" max="423" width="6" bestFit="1" customWidth="1"/>
    <col min="424" max="424" width="5.85546875" bestFit="1" customWidth="1"/>
    <col min="425" max="425" width="7.5703125" bestFit="1" customWidth="1"/>
    <col min="426" max="426" width="5" bestFit="1" customWidth="1"/>
    <col min="427" max="427" width="6" bestFit="1" customWidth="1"/>
    <col min="428" max="428" width="5.42578125" bestFit="1" customWidth="1"/>
    <col min="429" max="429" width="5.5703125" bestFit="1" customWidth="1"/>
    <col min="430" max="430" width="3.28515625" bestFit="1" customWidth="1"/>
    <col min="431" max="431" width="11.28515625" bestFit="1" customWidth="1"/>
    <col min="432" max="432" width="7.42578125" bestFit="1" customWidth="1"/>
    <col min="433" max="433" width="10.42578125" bestFit="1" customWidth="1"/>
    <col min="434" max="434" width="10.7109375" bestFit="1" customWidth="1"/>
    <col min="435" max="435" width="13.85546875" bestFit="1" customWidth="1"/>
    <col min="436" max="436" width="7.28515625" bestFit="1" customWidth="1"/>
    <col min="437" max="437" width="10" bestFit="1" customWidth="1"/>
    <col min="438" max="438" width="7.28515625" bestFit="1" customWidth="1"/>
    <col min="439" max="439" width="9.28515625" bestFit="1" customWidth="1"/>
    <col min="440" max="440" width="7.28515625" bestFit="1" customWidth="1"/>
    <col min="441" max="441" width="10" bestFit="1" customWidth="1"/>
    <col min="442" max="442" width="7.28515625" bestFit="1" customWidth="1"/>
    <col min="443" max="443" width="9.7109375" bestFit="1" customWidth="1"/>
    <col min="444" max="444" width="7.28515625" bestFit="1" customWidth="1"/>
    <col min="445" max="446" width="10.140625" bestFit="1" customWidth="1"/>
    <col min="447" max="447" width="13.28515625" bestFit="1" customWidth="1"/>
    <col min="448" max="448" width="6.28515625" bestFit="1" customWidth="1"/>
    <col min="449" max="449" width="9.28515625" bestFit="1" customWidth="1"/>
    <col min="450" max="450" width="7.7109375" bestFit="1" customWidth="1"/>
    <col min="451" max="451" width="10.7109375" bestFit="1" customWidth="1"/>
    <col min="452" max="452" width="8.28515625" bestFit="1" customWidth="1"/>
    <col min="453" max="453" width="11.28515625" bestFit="1" customWidth="1"/>
    <col min="454" max="454" width="7.28515625" bestFit="1" customWidth="1"/>
    <col min="455" max="455" width="10" bestFit="1" customWidth="1"/>
    <col min="456" max="456" width="7.7109375" bestFit="1" customWidth="1"/>
    <col min="457" max="457" width="10.7109375" bestFit="1" customWidth="1"/>
    <col min="458" max="458" width="7.42578125" bestFit="1" customWidth="1"/>
    <col min="459" max="459" width="10.42578125" bestFit="1" customWidth="1"/>
    <col min="460" max="460" width="7.28515625" bestFit="1" customWidth="1"/>
    <col min="461" max="461" width="9.7109375" bestFit="1" customWidth="1"/>
    <col min="462" max="462" width="8.5703125" bestFit="1" customWidth="1"/>
    <col min="463" max="463" width="11.5703125" bestFit="1" customWidth="1"/>
    <col min="464" max="464" width="11.42578125" bestFit="1" customWidth="1"/>
    <col min="465" max="465" width="14.5703125" bestFit="1" customWidth="1"/>
    <col min="466" max="466" width="8.28515625" bestFit="1" customWidth="1"/>
    <col min="467" max="467" width="11.28515625" bestFit="1" customWidth="1"/>
    <col min="468" max="468" width="7.28515625" bestFit="1" customWidth="1"/>
    <col min="469" max="469" width="10.140625" bestFit="1" customWidth="1"/>
    <col min="471" max="471" width="12.140625" bestFit="1" customWidth="1"/>
    <col min="472" max="472" width="7.5703125" bestFit="1" customWidth="1"/>
    <col min="473" max="473" width="10.5703125" bestFit="1" customWidth="1"/>
    <col min="474" max="474" width="8.42578125" bestFit="1" customWidth="1"/>
    <col min="475" max="475" width="11.42578125" bestFit="1" customWidth="1"/>
    <col min="476" max="476" width="9.5703125" bestFit="1" customWidth="1"/>
    <col min="477" max="477" width="12.5703125" bestFit="1" customWidth="1"/>
    <col min="478" max="478" width="7.28515625" bestFit="1" customWidth="1"/>
    <col min="479" max="479" width="9.28515625" bestFit="1" customWidth="1"/>
    <col min="480" max="480" width="8" bestFit="1" customWidth="1"/>
    <col min="481" max="481" width="11" bestFit="1" customWidth="1"/>
    <col min="482" max="482" width="9" bestFit="1" customWidth="1"/>
    <col min="483" max="483" width="12" bestFit="1" customWidth="1"/>
    <col min="484" max="484" width="8.28515625" bestFit="1" customWidth="1"/>
    <col min="485" max="485" width="11.28515625" bestFit="1" customWidth="1"/>
    <col min="486" max="486" width="7.5703125" bestFit="1" customWidth="1"/>
    <col min="487" max="487" width="10.5703125" bestFit="1" customWidth="1"/>
    <col min="488" max="488" width="7.42578125" bestFit="1" customWidth="1"/>
    <col min="489" max="489" width="10.42578125" bestFit="1" customWidth="1"/>
    <col min="490" max="490" width="7.28515625" bestFit="1" customWidth="1"/>
    <col min="491" max="491" width="10" bestFit="1" customWidth="1"/>
    <col min="492" max="492" width="7.85546875" bestFit="1" customWidth="1"/>
    <col min="493" max="493" width="10.85546875" bestFit="1" customWidth="1"/>
    <col min="494" max="494" width="9" bestFit="1" customWidth="1"/>
    <col min="495" max="495" width="12" bestFit="1" customWidth="1"/>
    <col min="496" max="496" width="13.7109375" bestFit="1" customWidth="1"/>
    <col min="497" max="497" width="16.85546875" bestFit="1" customWidth="1"/>
    <col min="498" max="498" width="8.7109375" bestFit="1" customWidth="1"/>
    <col min="499" max="499" width="11.7109375" bestFit="1" customWidth="1"/>
    <col min="500" max="500" width="12.85546875" bestFit="1" customWidth="1"/>
    <col min="501" max="501" width="16" bestFit="1" customWidth="1"/>
    <col min="502" max="502" width="8.42578125" bestFit="1" customWidth="1"/>
    <col min="503" max="503" width="11.42578125" bestFit="1" customWidth="1"/>
    <col min="504" max="504" width="8" bestFit="1" customWidth="1"/>
    <col min="505" max="505" width="11" bestFit="1" customWidth="1"/>
    <col min="506" max="506" width="7.7109375" bestFit="1" customWidth="1"/>
    <col min="507" max="507" width="10.7109375" bestFit="1" customWidth="1"/>
    <col min="508" max="508" width="7.85546875" bestFit="1" customWidth="1"/>
    <col min="509" max="509" width="10.85546875" bestFit="1" customWidth="1"/>
    <col min="510" max="510" width="8" bestFit="1" customWidth="1"/>
    <col min="511" max="511" width="11" bestFit="1" customWidth="1"/>
    <col min="512" max="512" width="7" bestFit="1" customWidth="1"/>
    <col min="513" max="513" width="10" bestFit="1" customWidth="1"/>
    <col min="514" max="514" width="8.5703125" bestFit="1" customWidth="1"/>
    <col min="515" max="515" width="11.5703125" bestFit="1" customWidth="1"/>
    <col min="516" max="516" width="9.85546875" bestFit="1" customWidth="1"/>
    <col min="517" max="517" width="12.85546875" bestFit="1" customWidth="1"/>
    <col min="518" max="518" width="16.5703125" bestFit="1" customWidth="1"/>
    <col min="519" max="519" width="19.7109375" bestFit="1" customWidth="1"/>
    <col min="520" max="520" width="7.85546875" bestFit="1" customWidth="1"/>
    <col min="521" max="521" width="10.85546875" bestFit="1" customWidth="1"/>
    <col min="522" max="522" width="7.28515625" bestFit="1" customWidth="1"/>
    <col min="523" max="523" width="10.140625" bestFit="1" customWidth="1"/>
    <col min="524" max="524" width="9.5703125" bestFit="1" customWidth="1"/>
    <col min="525" max="525" width="12.5703125" bestFit="1" customWidth="1"/>
    <col min="526" max="526" width="9.28515625" bestFit="1" customWidth="1"/>
    <col min="527" max="527" width="12.28515625" bestFit="1" customWidth="1"/>
    <col min="528" max="528" width="8" bestFit="1" customWidth="1"/>
    <col min="529" max="529" width="11" bestFit="1" customWidth="1"/>
    <col min="530" max="530" width="8.28515625" bestFit="1" customWidth="1"/>
    <col min="531" max="531" width="11.28515625" bestFit="1" customWidth="1"/>
    <col min="532" max="532" width="7.85546875" bestFit="1" customWidth="1"/>
    <col min="533" max="533" width="10.85546875" bestFit="1" customWidth="1"/>
    <col min="534" max="534" width="7.28515625" bestFit="1" customWidth="1"/>
    <col min="535" max="535" width="10.140625" bestFit="1" customWidth="1"/>
    <col min="536" max="536" width="8" bestFit="1" customWidth="1"/>
    <col min="537" max="537" width="11" bestFit="1" customWidth="1"/>
    <col min="538" max="538" width="7.28515625" bestFit="1" customWidth="1"/>
    <col min="539" max="539" width="9.85546875" bestFit="1" customWidth="1"/>
    <col min="540" max="540" width="7.28515625" bestFit="1" customWidth="1"/>
    <col min="541" max="541" width="9.7109375" bestFit="1" customWidth="1"/>
    <col min="542" max="542" width="8" bestFit="1" customWidth="1"/>
    <col min="543" max="543" width="11" bestFit="1" customWidth="1"/>
    <col min="544" max="544" width="7.7109375" bestFit="1" customWidth="1"/>
    <col min="545" max="545" width="10.7109375" bestFit="1" customWidth="1"/>
    <col min="546" max="546" width="11.140625" bestFit="1" customWidth="1"/>
    <col min="547" max="547" width="14.28515625" bestFit="1" customWidth="1"/>
    <col min="548" max="548" width="7.28515625" bestFit="1" customWidth="1"/>
    <col min="550" max="550" width="7.7109375" bestFit="1" customWidth="1"/>
    <col min="551" max="551" width="10.7109375" bestFit="1" customWidth="1"/>
    <col min="552" max="552" width="7.28515625" bestFit="1" customWidth="1"/>
    <col min="553" max="553" width="10.28515625" bestFit="1" customWidth="1"/>
    <col min="554" max="554" width="10.140625" bestFit="1" customWidth="1"/>
    <col min="555" max="555" width="13.28515625" bestFit="1" customWidth="1"/>
    <col min="556" max="556" width="10.42578125" bestFit="1" customWidth="1"/>
    <col min="557" max="557" width="13.5703125" bestFit="1" customWidth="1"/>
    <col min="558" max="558" width="8.85546875" bestFit="1" customWidth="1"/>
    <col min="559" max="559" width="11.85546875" bestFit="1" customWidth="1"/>
    <col min="560" max="560" width="8.7109375" bestFit="1" customWidth="1"/>
    <col min="561" max="561" width="11.7109375" bestFit="1" customWidth="1"/>
    <col min="562" max="562" width="8.28515625" bestFit="1" customWidth="1"/>
    <col min="563" max="563" width="11.28515625" bestFit="1" customWidth="1"/>
    <col min="564" max="564" width="7.7109375" bestFit="1" customWidth="1"/>
    <col min="565" max="565" width="10.7109375" bestFit="1" customWidth="1"/>
    <col min="566" max="566" width="7.28515625" bestFit="1" customWidth="1"/>
    <col min="567" max="567" width="10" bestFit="1" customWidth="1"/>
    <col min="568" max="568" width="7.42578125" bestFit="1" customWidth="1"/>
    <col min="569" max="569" width="10.42578125" bestFit="1" customWidth="1"/>
    <col min="570" max="570" width="7.42578125" bestFit="1" customWidth="1"/>
    <col min="571" max="571" width="10.42578125" bestFit="1" customWidth="1"/>
    <col min="572" max="572" width="8.7109375" bestFit="1" customWidth="1"/>
    <col min="573" max="573" width="11.7109375" bestFit="1" customWidth="1"/>
    <col min="574" max="574" width="7.5703125" bestFit="1" customWidth="1"/>
    <col min="575" max="575" width="10.5703125" bestFit="1" customWidth="1"/>
    <col min="576" max="576" width="8.28515625" bestFit="1" customWidth="1"/>
    <col min="577" max="577" width="11.28515625" bestFit="1" customWidth="1"/>
    <col min="578" max="578" width="8.140625" bestFit="1" customWidth="1"/>
    <col min="579" max="579" width="11.140625" bestFit="1" customWidth="1"/>
    <col min="580" max="580" width="7.42578125" bestFit="1" customWidth="1"/>
    <col min="581" max="581" width="10.42578125" bestFit="1" customWidth="1"/>
    <col min="582" max="582" width="11.140625" bestFit="1" customWidth="1"/>
    <col min="583" max="583" width="14.28515625" bestFit="1" customWidth="1"/>
    <col min="584" max="584" width="10.7109375" bestFit="1" customWidth="1"/>
    <col min="585" max="585" width="13.85546875" bestFit="1" customWidth="1"/>
    <col min="586" max="586" width="7.7109375" bestFit="1" customWidth="1"/>
    <col min="587" max="587" width="10.7109375" bestFit="1" customWidth="1"/>
    <col min="588" max="588" width="7.28515625" bestFit="1" customWidth="1"/>
    <col min="589" max="589" width="8.7109375" bestFit="1" customWidth="1"/>
    <col min="590" max="590" width="9.42578125" bestFit="1" customWidth="1"/>
    <col min="591" max="591" width="12.42578125" bestFit="1" customWidth="1"/>
    <col min="592" max="592" width="7.28515625" bestFit="1" customWidth="1"/>
    <col min="593" max="593" width="9.5703125" bestFit="1" customWidth="1"/>
    <col min="594" max="594" width="7.28515625" bestFit="1" customWidth="1"/>
    <col min="595" max="595" width="9.5703125" bestFit="1" customWidth="1"/>
    <col min="596" max="596" width="7.28515625" bestFit="1" customWidth="1"/>
    <col min="597" max="597" width="9.7109375" bestFit="1" customWidth="1"/>
    <col min="598" max="598" width="9" bestFit="1" customWidth="1"/>
    <col min="599" max="599" width="12" bestFit="1" customWidth="1"/>
    <col min="600" max="600" width="8.7109375" bestFit="1" customWidth="1"/>
    <col min="601" max="601" width="11.7109375" bestFit="1" customWidth="1"/>
    <col min="602" max="602" width="17.42578125" bestFit="1" customWidth="1"/>
    <col min="603" max="603" width="20.5703125" bestFit="1" customWidth="1"/>
    <col min="604" max="604" width="9.5703125" bestFit="1" customWidth="1"/>
    <col min="605" max="605" width="12.5703125" bestFit="1" customWidth="1"/>
    <col min="606" max="606" width="7.5703125" bestFit="1" customWidth="1"/>
    <col min="607" max="607" width="10.5703125" bestFit="1" customWidth="1"/>
    <col min="608" max="608" width="7.28515625" bestFit="1" customWidth="1"/>
    <col min="609" max="609" width="9.85546875" bestFit="1" customWidth="1"/>
    <col min="610" max="610" width="7.85546875" bestFit="1" customWidth="1"/>
    <col min="611" max="611" width="10.85546875" bestFit="1" customWidth="1"/>
    <col min="612" max="612" width="7.28515625" bestFit="1" customWidth="1"/>
    <col min="614" max="614" width="7.28515625" bestFit="1" customWidth="1"/>
    <col min="615" max="615" width="10.28515625" bestFit="1" customWidth="1"/>
    <col min="616" max="616" width="7.28515625" bestFit="1" customWidth="1"/>
    <col min="617" max="617" width="9.42578125" bestFit="1" customWidth="1"/>
    <col min="618" max="618" width="10.42578125" bestFit="1" customWidth="1"/>
    <col min="619" max="619" width="13.5703125" bestFit="1" customWidth="1"/>
    <col min="620" max="620" width="8.7109375" bestFit="1" customWidth="1"/>
    <col min="621" max="621" width="11.7109375" bestFit="1" customWidth="1"/>
    <col min="622" max="622" width="9.5703125" bestFit="1" customWidth="1"/>
    <col min="623" max="623" width="12.5703125" bestFit="1" customWidth="1"/>
    <col min="624" max="624" width="7.28515625" bestFit="1" customWidth="1"/>
    <col min="625" max="625" width="7.85546875" bestFit="1" customWidth="1"/>
    <col min="626" max="626" width="7.5703125" bestFit="1" customWidth="1"/>
    <col min="627" max="627" width="10.5703125" bestFit="1" customWidth="1"/>
    <col min="628" max="628" width="10" bestFit="1" customWidth="1"/>
    <col min="629" max="629" width="13.140625" bestFit="1" customWidth="1"/>
    <col min="630" max="630" width="7.5703125" bestFit="1" customWidth="1"/>
    <col min="631" max="631" width="10.5703125" bestFit="1" customWidth="1"/>
    <col min="632" max="632" width="7.5703125" bestFit="1" customWidth="1"/>
    <col min="633" max="633" width="10.5703125" bestFit="1" customWidth="1"/>
    <col min="634" max="634" width="8.28515625" bestFit="1" customWidth="1"/>
    <col min="635" max="635" width="11.28515625" bestFit="1" customWidth="1"/>
    <col min="636" max="636" width="11.42578125" bestFit="1" customWidth="1"/>
    <col min="637" max="637" width="14.5703125" bestFit="1" customWidth="1"/>
    <col min="638" max="638" width="8.7109375" bestFit="1" customWidth="1"/>
    <col min="639" max="639" width="11.7109375" bestFit="1" customWidth="1"/>
    <col min="640" max="640" width="7.28515625" bestFit="1" customWidth="1"/>
    <col min="641" max="641" width="10" bestFit="1" customWidth="1"/>
    <col min="643" max="643" width="12.140625" bestFit="1" customWidth="1"/>
    <col min="644" max="644" width="7.28515625" bestFit="1" customWidth="1"/>
    <col min="645" max="645" width="9.7109375" bestFit="1" customWidth="1"/>
    <col min="646" max="646" width="7.28515625" bestFit="1" customWidth="1"/>
    <col min="647" max="647" width="9.5703125" bestFit="1" customWidth="1"/>
    <col min="648" max="648" width="7.28515625" bestFit="1" customWidth="1"/>
    <col min="649" max="649" width="9.42578125" bestFit="1" customWidth="1"/>
    <col min="650" max="650" width="8.42578125" bestFit="1" customWidth="1"/>
    <col min="651" max="651" width="11.42578125" bestFit="1" customWidth="1"/>
    <col min="652" max="652" width="7.28515625" bestFit="1" customWidth="1"/>
    <col min="653" max="653" width="10.140625" bestFit="1" customWidth="1"/>
    <col min="654" max="654" width="7.28515625" bestFit="1" customWidth="1"/>
    <col min="655" max="655" width="10" bestFit="1" customWidth="1"/>
    <col min="656" max="656" width="7.5703125" bestFit="1" customWidth="1"/>
    <col min="657" max="657" width="10.5703125" bestFit="1" customWidth="1"/>
    <col min="658" max="658" width="9.42578125" bestFit="1" customWidth="1"/>
    <col min="659" max="659" width="12.42578125" bestFit="1" customWidth="1"/>
    <col min="660" max="660" width="7.5703125" bestFit="1" customWidth="1"/>
    <col min="661" max="661" width="10.5703125" bestFit="1" customWidth="1"/>
    <col min="662" max="662" width="7.28515625" bestFit="1" customWidth="1"/>
    <col min="663" max="663" width="9" bestFit="1" customWidth="1"/>
    <col min="664" max="664" width="7.28515625" bestFit="1" customWidth="1"/>
    <col min="665" max="665" width="9.28515625" bestFit="1" customWidth="1"/>
    <col min="666" max="666" width="8.85546875" bestFit="1" customWidth="1"/>
    <col min="667" max="667" width="11.85546875" bestFit="1" customWidth="1"/>
    <col min="669" max="669" width="12.140625" bestFit="1" customWidth="1"/>
    <col min="670" max="670" width="7.28515625" bestFit="1" customWidth="1"/>
    <col min="671" max="671" width="8.85546875" bestFit="1" customWidth="1"/>
    <col min="672" max="672" width="7.28515625" bestFit="1" customWidth="1"/>
    <col min="673" max="673" width="9.85546875" bestFit="1" customWidth="1"/>
    <col min="674" max="674" width="7.28515625" bestFit="1" customWidth="1"/>
    <col min="675" max="675" width="10.140625" bestFit="1" customWidth="1"/>
    <col min="676" max="676" width="7.28515625" bestFit="1" customWidth="1"/>
    <col min="677" max="677" width="8.85546875" bestFit="1" customWidth="1"/>
    <col min="678" max="678" width="9.85546875" bestFit="1" customWidth="1"/>
    <col min="679" max="679" width="12.85546875" bestFit="1" customWidth="1"/>
    <col min="680" max="680" width="10.28515625" bestFit="1" customWidth="1"/>
    <col min="681" max="681" width="13.42578125" bestFit="1" customWidth="1"/>
    <col min="682" max="682" width="8.5703125" bestFit="1" customWidth="1"/>
    <col min="683" max="683" width="11.5703125" bestFit="1" customWidth="1"/>
    <col min="684" max="684" width="8.85546875" bestFit="1" customWidth="1"/>
    <col min="685" max="685" width="11.85546875" bestFit="1" customWidth="1"/>
    <col min="686" max="686" width="7.28515625" bestFit="1" customWidth="1"/>
    <col min="687" max="687" width="10.140625" bestFit="1" customWidth="1"/>
    <col min="688" max="688" width="9.42578125" bestFit="1" customWidth="1"/>
    <col min="689" max="689" width="12.42578125" bestFit="1" customWidth="1"/>
    <col min="690" max="690" width="7.28515625" bestFit="1" customWidth="1"/>
    <col min="691" max="691" width="10" bestFit="1" customWidth="1"/>
    <col min="692" max="692" width="7.28515625" bestFit="1" customWidth="1"/>
    <col min="693" max="693" width="9.7109375" bestFit="1" customWidth="1"/>
    <col min="694" max="694" width="8.28515625" bestFit="1" customWidth="1"/>
    <col min="695" max="695" width="11.28515625" bestFit="1" customWidth="1"/>
    <col min="696" max="696" width="7.28515625" bestFit="1" customWidth="1"/>
    <col min="697" max="697" width="9.42578125" bestFit="1" customWidth="1"/>
    <col min="698" max="698" width="7.28515625" bestFit="1" customWidth="1"/>
    <col min="699" max="699" width="9.28515625" bestFit="1" customWidth="1"/>
    <col min="700" max="700" width="8.42578125" bestFit="1" customWidth="1"/>
    <col min="701" max="701" width="11.42578125" bestFit="1" customWidth="1"/>
    <col min="702" max="702" width="7.28515625" bestFit="1" customWidth="1"/>
    <col min="703" max="703" width="9.85546875" bestFit="1" customWidth="1"/>
    <col min="704" max="704" width="8.42578125" bestFit="1" customWidth="1"/>
    <col min="705" max="705" width="11.42578125" bestFit="1" customWidth="1"/>
    <col min="706" max="706" width="7.28515625" bestFit="1" customWidth="1"/>
    <col min="707" max="707" width="10" bestFit="1" customWidth="1"/>
    <col min="708" max="708" width="7.28515625" bestFit="1" customWidth="1"/>
    <col min="709" max="709" width="9.5703125" bestFit="1" customWidth="1"/>
    <col min="710" max="710" width="11.28515625" bestFit="1" customWidth="1"/>
    <col min="711" max="711" width="14.42578125" bestFit="1" customWidth="1"/>
    <col min="712" max="712" width="9.85546875" bestFit="1" customWidth="1"/>
    <col min="713" max="713" width="12.85546875" bestFit="1" customWidth="1"/>
    <col min="714" max="714" width="8.42578125" bestFit="1" customWidth="1"/>
    <col min="715" max="715" width="11.42578125" bestFit="1" customWidth="1"/>
    <col min="716" max="716" width="7.28515625" bestFit="1" customWidth="1"/>
    <col min="717" max="717" width="8.5703125" bestFit="1" customWidth="1"/>
    <col min="718" max="718" width="7.28515625" bestFit="1" customWidth="1"/>
    <col min="719" max="719" width="9.7109375" bestFit="1" customWidth="1"/>
    <col min="720" max="720" width="9" bestFit="1" customWidth="1"/>
    <col min="721" max="721" width="12" bestFit="1" customWidth="1"/>
    <col min="722" max="722" width="7.42578125" bestFit="1" customWidth="1"/>
    <col min="723" max="723" width="10.42578125" bestFit="1" customWidth="1"/>
    <col min="724" max="724" width="7.28515625" bestFit="1" customWidth="1"/>
    <col min="725" max="725" width="10.140625" bestFit="1" customWidth="1"/>
    <col min="726" max="726" width="7.28515625" bestFit="1" customWidth="1"/>
    <col min="727" max="727" width="9.42578125" bestFit="1" customWidth="1"/>
    <col min="728" max="728" width="7.85546875" bestFit="1" customWidth="1"/>
    <col min="729" max="729" width="10.85546875" bestFit="1" customWidth="1"/>
    <col min="730" max="730" width="7.28515625" bestFit="1" customWidth="1"/>
    <col min="731" max="731" width="10.140625" bestFit="1" customWidth="1"/>
    <col min="732" max="732" width="7.28515625" bestFit="1" customWidth="1"/>
    <col min="733" max="733" width="9" bestFit="1" customWidth="1"/>
    <col min="734" max="734" width="13" bestFit="1" customWidth="1"/>
    <col min="735" max="735" width="16.140625" bestFit="1" customWidth="1"/>
    <col min="736" max="736" width="9" bestFit="1" customWidth="1"/>
    <col min="737" max="737" width="12" bestFit="1" customWidth="1"/>
    <col min="738" max="738" width="7.28515625" bestFit="1" customWidth="1"/>
    <col min="739" max="739" width="10.140625" bestFit="1" customWidth="1"/>
    <col min="740" max="740" width="8.140625" bestFit="1" customWidth="1"/>
    <col min="741" max="741" width="11.140625" bestFit="1" customWidth="1"/>
    <col min="742" max="742" width="10.5703125" bestFit="1" customWidth="1"/>
    <col min="743" max="743" width="13.7109375" bestFit="1" customWidth="1"/>
    <col min="744" max="744" width="7.28515625" bestFit="1" customWidth="1"/>
    <col min="745" max="745" width="9.85546875" bestFit="1" customWidth="1"/>
    <col min="747" max="747" width="12.140625" bestFit="1" customWidth="1"/>
    <col min="748" max="748" width="7.28515625" bestFit="1" customWidth="1"/>
    <col min="750" max="750" width="9.7109375" bestFit="1" customWidth="1"/>
    <col min="751" max="751" width="12.7109375" bestFit="1" customWidth="1"/>
    <col min="752" max="752" width="7.5703125" bestFit="1" customWidth="1"/>
    <col min="753" max="753" width="10.5703125" bestFit="1" customWidth="1"/>
    <col min="754" max="754" width="13.140625" bestFit="1" customWidth="1"/>
    <col min="755" max="755" width="16.28515625" bestFit="1" customWidth="1"/>
    <col min="756" max="756" width="11.7109375" bestFit="1" customWidth="1"/>
    <col min="757" max="757" width="14.85546875" bestFit="1" customWidth="1"/>
    <col min="758" max="758" width="7.28515625" bestFit="1" customWidth="1"/>
    <col min="759" max="759" width="10.28515625" bestFit="1" customWidth="1"/>
    <col min="760" max="760" width="7.28515625" bestFit="1" customWidth="1"/>
    <col min="761" max="761" width="9.5703125" bestFit="1" customWidth="1"/>
    <col min="762" max="762" width="7.28515625" bestFit="1" customWidth="1"/>
    <col min="763" max="763" width="9.5703125" bestFit="1" customWidth="1"/>
    <col min="764" max="764" width="7.28515625" bestFit="1" customWidth="1"/>
    <col min="765" max="765" width="9.7109375" bestFit="1" customWidth="1"/>
    <col min="766" max="766" width="9.42578125" bestFit="1" customWidth="1"/>
    <col min="767" max="767" width="12.42578125" bestFit="1" customWidth="1"/>
    <col min="768" max="768" width="7.85546875" bestFit="1" customWidth="1"/>
    <col min="769" max="769" width="10.85546875" bestFit="1" customWidth="1"/>
    <col min="770" max="770" width="8.28515625" bestFit="1" customWidth="1"/>
    <col min="771" max="771" width="11.28515625" bestFit="1" customWidth="1"/>
    <col min="772" max="772" width="9" bestFit="1" customWidth="1"/>
    <col min="773" max="773" width="12" bestFit="1" customWidth="1"/>
    <col min="774" max="774" width="7.28515625" bestFit="1" customWidth="1"/>
    <col min="775" max="775" width="10" bestFit="1" customWidth="1"/>
    <col min="776" max="776" width="10.85546875" bestFit="1" customWidth="1"/>
    <col min="777" max="777" width="14" bestFit="1" customWidth="1"/>
    <col min="778" max="778" width="7.28515625" bestFit="1" customWidth="1"/>
    <col min="779" max="779" width="8.5703125" bestFit="1" customWidth="1"/>
    <col min="780" max="780" width="7.28515625" bestFit="1" customWidth="1"/>
    <col min="781" max="781" width="9.85546875" bestFit="1" customWidth="1"/>
    <col min="782" max="782" width="14.140625" bestFit="1" customWidth="1"/>
    <col min="783" max="783" width="17.42578125" bestFit="1" customWidth="1"/>
    <col min="784" max="784" width="7.28515625" bestFit="1" customWidth="1"/>
    <col min="785" max="785" width="10" bestFit="1" customWidth="1"/>
    <col min="786" max="786" width="7.28515625" bestFit="1" customWidth="1"/>
    <col min="787" max="787" width="9.5703125" bestFit="1" customWidth="1"/>
    <col min="788" max="788" width="9.7109375" bestFit="1" customWidth="1"/>
    <col min="789" max="789" width="12.7109375" bestFit="1" customWidth="1"/>
    <col min="790" max="790" width="9" bestFit="1" customWidth="1"/>
    <col min="791" max="791" width="12" bestFit="1" customWidth="1"/>
    <col min="792" max="792" width="7.28515625" bestFit="1" customWidth="1"/>
    <col min="793" max="793" width="9.42578125" bestFit="1" customWidth="1"/>
    <col min="794" max="794" width="7.28515625" bestFit="1" customWidth="1"/>
    <col min="795" max="795" width="9.28515625" bestFit="1" customWidth="1"/>
    <col min="796" max="796" width="8.28515625" bestFit="1" customWidth="1"/>
    <col min="797" max="797" width="11.28515625" bestFit="1" customWidth="1"/>
    <col min="798" max="798" width="7.28515625" bestFit="1" customWidth="1"/>
    <col min="799" max="800" width="10.28515625" bestFit="1" customWidth="1"/>
    <col min="801" max="801" width="13.42578125" bestFit="1" customWidth="1"/>
    <col min="802" max="802" width="7.28515625" bestFit="1" customWidth="1"/>
    <col min="804" max="804" width="10" bestFit="1" customWidth="1"/>
    <col min="805" max="805" width="13.140625" bestFit="1" customWidth="1"/>
    <col min="806" max="806" width="8.28515625" bestFit="1" customWidth="1"/>
    <col min="807" max="807" width="11.28515625" bestFit="1" customWidth="1"/>
    <col min="808" max="808" width="7.28515625" bestFit="1" customWidth="1"/>
    <col min="809" max="809" width="9.28515625" bestFit="1" customWidth="1"/>
    <col min="810" max="810" width="8.140625" bestFit="1" customWidth="1"/>
    <col min="811" max="811" width="11.140625" bestFit="1" customWidth="1"/>
    <col min="812" max="812" width="7.28515625" bestFit="1" customWidth="1"/>
    <col min="813" max="813" width="9.28515625" bestFit="1" customWidth="1"/>
    <col min="814" max="814" width="7.28515625" bestFit="1" customWidth="1"/>
    <col min="815" max="815" width="7.7109375" bestFit="1" customWidth="1"/>
    <col min="816" max="816" width="7.28515625" bestFit="1" customWidth="1"/>
    <col min="818" max="818" width="7.28515625" bestFit="1" customWidth="1"/>
    <col min="819" max="819" width="10.28515625" bestFit="1" customWidth="1"/>
    <col min="820" max="820" width="8.42578125" bestFit="1" customWidth="1"/>
    <col min="821" max="821" width="11.42578125" bestFit="1" customWidth="1"/>
    <col min="822" max="822" width="7.28515625" bestFit="1" customWidth="1"/>
    <col min="823" max="823" width="8.140625" bestFit="1" customWidth="1"/>
    <col min="824" max="824" width="7.5703125" bestFit="1" customWidth="1"/>
    <col min="825" max="825" width="10.5703125" bestFit="1" customWidth="1"/>
    <col min="826" max="826" width="7.28515625" bestFit="1" customWidth="1"/>
    <col min="827" max="827" width="9.85546875" bestFit="1" customWidth="1"/>
    <col min="828" max="828" width="7.28515625" bestFit="1" customWidth="1"/>
    <col min="829" max="829" width="7.85546875" bestFit="1" customWidth="1"/>
    <col min="830" max="830" width="8.28515625" bestFit="1" customWidth="1"/>
    <col min="831" max="831" width="11.28515625" bestFit="1" customWidth="1"/>
    <col min="832" max="832" width="9.5703125" bestFit="1" customWidth="1"/>
    <col min="833" max="833" width="12.5703125" bestFit="1" customWidth="1"/>
    <col min="834" max="834" width="7.7109375" bestFit="1" customWidth="1"/>
    <col min="835" max="835" width="10.7109375" bestFit="1" customWidth="1"/>
    <col min="836" max="836" width="7.28515625" bestFit="1" customWidth="1"/>
    <col min="837" max="837" width="10.28515625" bestFit="1" customWidth="1"/>
    <col min="838" max="838" width="7.85546875" bestFit="1" customWidth="1"/>
    <col min="839" max="839" width="10.85546875" bestFit="1" customWidth="1"/>
    <col min="840" max="840" width="7.5703125" bestFit="1" customWidth="1"/>
    <col min="841" max="841" width="10.5703125" bestFit="1" customWidth="1"/>
    <col min="842" max="842" width="8.7109375" bestFit="1" customWidth="1"/>
    <col min="843" max="843" width="11.7109375" bestFit="1" customWidth="1"/>
    <col min="844" max="844" width="7.85546875" bestFit="1" customWidth="1"/>
    <col min="845" max="845" width="10.85546875" bestFit="1" customWidth="1"/>
    <col min="846" max="846" width="7.7109375" bestFit="1" customWidth="1"/>
    <col min="847" max="847" width="10.7109375" bestFit="1" customWidth="1"/>
    <col min="848" max="848" width="9.42578125" bestFit="1" customWidth="1"/>
    <col min="849" max="849" width="12.42578125" bestFit="1" customWidth="1"/>
    <col min="850" max="850" width="7.28515625" bestFit="1" customWidth="1"/>
    <col min="851" max="851" width="9.85546875" bestFit="1" customWidth="1"/>
    <col min="852" max="852" width="7.85546875" bestFit="1" customWidth="1"/>
    <col min="853" max="853" width="10.85546875" bestFit="1" customWidth="1"/>
    <col min="854" max="854" width="7.28515625" bestFit="1" customWidth="1"/>
    <col min="855" max="855" width="10.28515625" bestFit="1" customWidth="1"/>
    <col min="856" max="856" width="7.42578125" bestFit="1" customWidth="1"/>
    <col min="857" max="857" width="10.42578125" bestFit="1" customWidth="1"/>
    <col min="858" max="858" width="7.28515625" bestFit="1" customWidth="1"/>
    <col min="859" max="859" width="8.140625" bestFit="1" customWidth="1"/>
    <col min="860" max="860" width="11.28515625" bestFit="1" customWidth="1"/>
  </cols>
  <sheetData>
    <row r="1" spans="1:12">
      <c r="A1">
        <f>GETPIVOTDATA("VaccineNeed",provPivot!$A$3,"Province","كرمانشاه","Class","EI")</f>
        <v>2.3285043756780973E-2</v>
      </c>
    </row>
    <row r="3" spans="1:12">
      <c r="A3" s="2" t="s">
        <v>476</v>
      </c>
      <c r="B3" s="2" t="s">
        <v>475</v>
      </c>
    </row>
    <row r="4" spans="1:12">
      <c r="A4" s="2" t="s">
        <v>473</v>
      </c>
      <c r="B4" t="s">
        <v>20</v>
      </c>
      <c r="C4" t="s">
        <v>19</v>
      </c>
      <c r="D4" t="s">
        <v>22</v>
      </c>
      <c r="E4" t="s">
        <v>23</v>
      </c>
      <c r="F4" t="s">
        <v>24</v>
      </c>
      <c r="G4" t="s">
        <v>477</v>
      </c>
      <c r="H4" t="s">
        <v>478</v>
      </c>
      <c r="I4" t="s">
        <v>479</v>
      </c>
      <c r="J4" t="s">
        <v>480</v>
      </c>
      <c r="K4" t="s">
        <v>474</v>
      </c>
    </row>
    <row r="5" spans="1:12">
      <c r="A5" s="3" t="s">
        <v>413</v>
      </c>
      <c r="B5" s="13">
        <v>1.6500305561214096E-2</v>
      </c>
      <c r="C5" s="13">
        <v>1.4076214547720929E-2</v>
      </c>
      <c r="D5" s="13">
        <v>1.5588594345336023E-2</v>
      </c>
      <c r="E5" s="13">
        <v>8.1081081081081086E-3</v>
      </c>
      <c r="F5" s="13">
        <v>2.1375965511047243E-2</v>
      </c>
      <c r="G5" s="13">
        <v>1.4077038482288688E-2</v>
      </c>
      <c r="H5" s="13">
        <v>1.5891348047495757E-2</v>
      </c>
      <c r="I5" s="13">
        <v>1.5874061198128279E-2</v>
      </c>
      <c r="J5" s="13">
        <v>1.5629079151647227E-2</v>
      </c>
      <c r="K5" s="13">
        <v>1.5742894231836141E-2</v>
      </c>
      <c r="L5" t="str">
        <f>_xlfn.CONCAT(A5," ",LEFT(K5,4))</f>
        <v>اردبيل 0.01</v>
      </c>
    </row>
    <row r="6" spans="1:12">
      <c r="A6" s="3" t="s">
        <v>242</v>
      </c>
      <c r="B6" s="13">
        <v>7.6440502866455193E-2</v>
      </c>
      <c r="C6" s="13">
        <v>7.4572651151791056E-2</v>
      </c>
      <c r="D6" s="13">
        <v>7.1365574169182128E-2</v>
      </c>
      <c r="E6" s="13">
        <v>0.11065637065637066</v>
      </c>
      <c r="F6" s="13">
        <v>6.0774803903957848E-2</v>
      </c>
      <c r="G6" s="13">
        <v>7.4571905786015719E-2</v>
      </c>
      <c r="H6" s="13">
        <v>7.3725855002879911E-2</v>
      </c>
      <c r="I6" s="13">
        <v>6.61412555203158E-2</v>
      </c>
      <c r="J6" s="13">
        <v>5.8417445112363776E-2</v>
      </c>
      <c r="K6" s="13">
        <v>6.4220120328726329E-2</v>
      </c>
      <c r="L6" t="str">
        <f t="shared" ref="L6:L38" si="0">_xlfn.CONCAT(A6," ",LEFT(K6,4))</f>
        <v>اصفهان 0.06</v>
      </c>
    </row>
    <row r="7" spans="1:12">
      <c r="A7" s="3" t="s">
        <v>429</v>
      </c>
      <c r="B7" s="13">
        <v>3.170888746617001E-2</v>
      </c>
      <c r="C7" s="13">
        <v>3.2523840141107027E-2</v>
      </c>
      <c r="D7" s="13">
        <v>3.6408515853373583E-2</v>
      </c>
      <c r="E7" s="13">
        <v>3.9150579150579151E-2</v>
      </c>
      <c r="F7" s="13">
        <v>2.6966948086940903E-2</v>
      </c>
      <c r="G7" s="13">
        <v>3.2521857378297082E-2</v>
      </c>
      <c r="H7" s="13">
        <v>3.4468205626346414E-2</v>
      </c>
      <c r="I7" s="13">
        <v>3.6943880122608026E-2</v>
      </c>
      <c r="J7" s="13">
        <v>3.1541727662645742E-2</v>
      </c>
      <c r="K7" s="13">
        <v>3.4289378339556656E-2</v>
      </c>
      <c r="L7" t="str">
        <f t="shared" si="0"/>
        <v>البرز 0.03</v>
      </c>
    </row>
    <row r="8" spans="1:12">
      <c r="A8" s="3" t="s">
        <v>328</v>
      </c>
      <c r="B8" s="13">
        <v>6.756540465035067E-3</v>
      </c>
      <c r="C8" s="13">
        <v>6.7732852465801005E-3</v>
      </c>
      <c r="D8" s="13">
        <v>6.6739626996275688E-3</v>
      </c>
      <c r="E8" s="13">
        <v>7.1042471042471042E-3</v>
      </c>
      <c r="F8" s="13">
        <v>6.6238548589904796E-3</v>
      </c>
      <c r="G8" s="13">
        <v>6.7789282309380751E-3</v>
      </c>
      <c r="H8" s="13">
        <v>6.4187098830632309E-3</v>
      </c>
      <c r="I8" s="13">
        <v>7.4355512488160922E-3</v>
      </c>
      <c r="J8" s="13">
        <v>7.2575741410862505E-3</v>
      </c>
      <c r="K8" s="13">
        <v>7.2118455699131277E-3</v>
      </c>
      <c r="L8" t="str">
        <f t="shared" si="0"/>
        <v>ايلام 0.00</v>
      </c>
    </row>
    <row r="9" spans="1:12">
      <c r="A9" s="3" t="s">
        <v>347</v>
      </c>
      <c r="B9" s="13">
        <v>1.027304077059628E-2</v>
      </c>
      <c r="C9" s="13">
        <v>1.1854172979284759E-2</v>
      </c>
      <c r="D9" s="13">
        <v>1.2229796426374444E-2</v>
      </c>
      <c r="E9" s="13">
        <v>1.1969111969111969E-2</v>
      </c>
      <c r="F9" s="13">
        <v>1.344979342554338E-2</v>
      </c>
      <c r="G9" s="13">
        <v>1.1858043441308412E-2</v>
      </c>
      <c r="H9" s="13">
        <v>1.0959142031678092E-2</v>
      </c>
      <c r="I9" s="13">
        <v>1.5147898438425709E-2</v>
      </c>
      <c r="J9" s="13">
        <v>1.577004763662079E-2</v>
      </c>
      <c r="K9" s="13">
        <v>1.47359148602844E-2</v>
      </c>
      <c r="L9" t="str">
        <f t="shared" si="0"/>
        <v>بوشهر 0.01</v>
      </c>
    </row>
    <row r="10" spans="1:12">
      <c r="A10" s="3" t="s">
        <v>397</v>
      </c>
      <c r="B10" s="13">
        <v>0.18471102639466869</v>
      </c>
      <c r="C10" s="13">
        <v>0.13847851739080094</v>
      </c>
      <c r="D10" s="13">
        <v>0.18855011611660299</v>
      </c>
      <c r="E10" s="13">
        <v>4.2934362934362931E-2</v>
      </c>
      <c r="F10" s="13">
        <v>0.13017933057900724</v>
      </c>
      <c r="G10" s="13">
        <v>0.13847194199942353</v>
      </c>
      <c r="H10" s="13">
        <v>0.19003532543711074</v>
      </c>
      <c r="I10" s="13">
        <v>0.17749337555954869</v>
      </c>
      <c r="J10" s="13">
        <v>0.14656437415064738</v>
      </c>
      <c r="K10" s="13">
        <v>0.16572265683587967</v>
      </c>
      <c r="L10" t="str">
        <f t="shared" si="0"/>
        <v>تهران 0.16</v>
      </c>
    </row>
    <row r="11" spans="1:12">
      <c r="A11" s="3" t="s">
        <v>132</v>
      </c>
      <c r="B11" s="13">
        <v>4.4739618193987717E-2</v>
      </c>
      <c r="C11" s="13">
        <v>8.4449896904168917E-2</v>
      </c>
      <c r="D11" s="13">
        <v>5.0541837741949328E-2</v>
      </c>
      <c r="E11" s="13">
        <v>5.2509652509652512E-2</v>
      </c>
      <c r="F11" s="13">
        <v>6.0131129872462726E-2</v>
      </c>
      <c r="G11" s="13">
        <v>8.4445602288096139E-2</v>
      </c>
      <c r="H11" s="13">
        <v>4.7103981915902496E-2</v>
      </c>
      <c r="I11" s="13">
        <v>5.6489522798632938E-2</v>
      </c>
      <c r="J11" s="13">
        <v>6.5250015012152551E-2</v>
      </c>
      <c r="K11" s="13">
        <v>5.9253810638937525E-2</v>
      </c>
      <c r="L11" t="str">
        <f t="shared" si="0"/>
        <v>خوزستان 0.05</v>
      </c>
    </row>
    <row r="12" spans="1:12">
      <c r="A12" s="3" t="s">
        <v>357</v>
      </c>
      <c r="B12" s="13">
        <v>1.3439964496697029E-2</v>
      </c>
      <c r="C12" s="13">
        <v>1.3404921501824194E-2</v>
      </c>
      <c r="D12" s="13">
        <v>1.2878809554465125E-2</v>
      </c>
      <c r="E12" s="13">
        <v>1.0270270270270269E-2</v>
      </c>
      <c r="F12" s="13">
        <v>1.3539608406682235E-2</v>
      </c>
      <c r="G12" s="13">
        <v>1.3408199011152252E-2</v>
      </c>
      <c r="H12" s="13">
        <v>1.3253206641142703E-2</v>
      </c>
      <c r="I12" s="13">
        <v>1.324832749519258E-2</v>
      </c>
      <c r="J12" s="13">
        <v>1.3206438377008495E-2</v>
      </c>
      <c r="K12" s="13">
        <v>1.3202502613529852E-2</v>
      </c>
      <c r="L12" t="str">
        <f t="shared" si="0"/>
        <v>زنجان 0.01</v>
      </c>
    </row>
    <row r="13" spans="1:12">
      <c r="A13" s="3" t="s">
        <v>365</v>
      </c>
      <c r="B13" s="13">
        <v>9.7644996071355825E-3</v>
      </c>
      <c r="C13" s="13">
        <v>1.0863861770292142E-2</v>
      </c>
      <c r="D13" s="13">
        <v>9.0578103317549112E-3</v>
      </c>
      <c r="E13" s="13">
        <v>1.1196911196911196E-2</v>
      </c>
      <c r="F13" s="13">
        <v>8.9515597868391108E-3</v>
      </c>
      <c r="G13" s="13">
        <v>1.0864022348845976E-2</v>
      </c>
      <c r="H13" s="13">
        <v>9.3821782034914907E-3</v>
      </c>
      <c r="I13" s="13">
        <v>8.8043122489413466E-3</v>
      </c>
      <c r="J13" s="13">
        <v>8.6670257923355826E-3</v>
      </c>
      <c r="K13" s="13">
        <v>8.8606767247039666E-3</v>
      </c>
      <c r="L13" t="str">
        <f t="shared" si="0"/>
        <v>سمنان 0.00</v>
      </c>
    </row>
    <row r="14" spans="1:12">
      <c r="A14" s="3" t="s">
        <v>160</v>
      </c>
      <c r="B14" s="13">
        <v>6.0109711026394667E-2</v>
      </c>
      <c r="C14" s="13">
        <v>6.7809219748086513E-2</v>
      </c>
      <c r="D14" s="13">
        <v>6.0813150026465999E-2</v>
      </c>
      <c r="E14" s="13">
        <v>7.3359073359073365E-2</v>
      </c>
      <c r="F14" s="13">
        <v>0.10681246631938207</v>
      </c>
      <c r="G14" s="13">
        <v>6.7807758537865179E-2</v>
      </c>
      <c r="H14" s="13">
        <v>6.1108499650824551E-2</v>
      </c>
      <c r="I14" s="13">
        <v>6.0710084429679533E-2</v>
      </c>
      <c r="J14" s="13">
        <v>6.0574327062043042E-2</v>
      </c>
      <c r="K14" s="13">
        <v>6.0851846808578719E-2</v>
      </c>
      <c r="L14" t="str">
        <f t="shared" si="0"/>
        <v>فارس 0.06</v>
      </c>
    </row>
    <row r="15" spans="1:12">
      <c r="A15" s="3" t="s">
        <v>425</v>
      </c>
      <c r="B15" s="13">
        <v>1.5366091435555685E-2</v>
      </c>
      <c r="C15" s="13">
        <v>1.4715482604272134E-2</v>
      </c>
      <c r="D15" s="13">
        <v>1.5692908542080945E-2</v>
      </c>
      <c r="E15" s="13">
        <v>2.0308880308880308E-2</v>
      </c>
      <c r="F15" s="13">
        <v>4.9173702173522542E-3</v>
      </c>
      <c r="G15" s="13">
        <v>1.4712620742153145E-2</v>
      </c>
      <c r="H15" s="13">
        <v>1.5513718828731005E-2</v>
      </c>
      <c r="I15" s="13">
        <v>1.6465038824911918E-2</v>
      </c>
      <c r="J15" s="13">
        <v>1.5494669374101093E-2</v>
      </c>
      <c r="K15" s="13">
        <v>1.5864603427940358E-2</v>
      </c>
      <c r="L15" t="str">
        <f t="shared" si="0"/>
        <v>قزوين 0.01</v>
      </c>
    </row>
    <row r="16" spans="1:12">
      <c r="A16" s="3" t="s">
        <v>423</v>
      </c>
      <c r="B16" s="13">
        <v>1.3342475918866222E-2</v>
      </c>
      <c r="C16" s="13">
        <v>1.428807216954522E-2</v>
      </c>
      <c r="D16" s="13">
        <v>1.4593377300277058E-2</v>
      </c>
      <c r="E16" s="13">
        <v>1.6216216216216217E-2</v>
      </c>
      <c r="F16" s="13">
        <v>1.2259744925453566E-2</v>
      </c>
      <c r="G16" s="13">
        <v>1.4289515109859655E-2</v>
      </c>
      <c r="H16" s="13">
        <v>1.3770308672412903E-2</v>
      </c>
      <c r="I16" s="13">
        <v>1.6006264079991228E-2</v>
      </c>
      <c r="J16" s="13">
        <v>1.7305513919909147E-2</v>
      </c>
      <c r="K16" s="13">
        <v>1.6197491774902952E-2</v>
      </c>
      <c r="L16" t="str">
        <f t="shared" si="0"/>
        <v>قم 0.01</v>
      </c>
    </row>
    <row r="17" spans="1:12">
      <c r="A17" s="3" t="s">
        <v>286</v>
      </c>
      <c r="B17" s="13">
        <v>1.937949247737392E-2</v>
      </c>
      <c r="C17" s="13">
        <v>1.8889816792426337E-2</v>
      </c>
      <c r="D17" s="13">
        <v>1.9087709760947626E-2</v>
      </c>
      <c r="E17" s="13">
        <v>2.942084942084942E-2</v>
      </c>
      <c r="F17" s="13">
        <v>9.4305730195796654E-3</v>
      </c>
      <c r="G17" s="13">
        <v>1.8891943625331649E-2</v>
      </c>
      <c r="H17" s="13">
        <v>1.9210077305437893E-2</v>
      </c>
      <c r="I17" s="13">
        <v>1.9960360041943362E-2</v>
      </c>
      <c r="J17" s="13">
        <v>2.0351261049964525E-2</v>
      </c>
      <c r="K17" s="13">
        <v>1.9954066353085505E-2</v>
      </c>
      <c r="L17" t="str">
        <f t="shared" si="0"/>
        <v>كردستان 0.01</v>
      </c>
    </row>
    <row r="18" spans="1:12">
      <c r="A18" s="3" t="s">
        <v>190</v>
      </c>
      <c r="B18" s="13">
        <v>3.2842374065128188E-2</v>
      </c>
      <c r="C18" s="13">
        <v>3.581009674010243E-2</v>
      </c>
      <c r="D18" s="13">
        <v>3.411479568723385E-2</v>
      </c>
      <c r="E18" s="13">
        <v>4.7104247104247106E-2</v>
      </c>
      <c r="F18" s="13">
        <v>3.8201305311059218E-2</v>
      </c>
      <c r="G18" s="13">
        <v>3.580323555713219E-2</v>
      </c>
      <c r="H18" s="13">
        <v>3.3117556173168652E-2</v>
      </c>
      <c r="I18" s="13">
        <v>3.7941274004123379E-2</v>
      </c>
      <c r="J18" s="13">
        <v>4.4181697766599796E-2</v>
      </c>
      <c r="K18" s="13">
        <v>3.976617096409088E-2</v>
      </c>
      <c r="L18" t="str">
        <f t="shared" si="0"/>
        <v>كرمان 0.03</v>
      </c>
    </row>
    <row r="19" spans="1:12">
      <c r="A19" s="3" t="s">
        <v>118</v>
      </c>
      <c r="B19" s="13">
        <v>2.5266638535634257E-2</v>
      </c>
      <c r="C19" s="13">
        <v>2.2498786745595949E-2</v>
      </c>
      <c r="D19" s="13">
        <v>2.5933343824361119E-2</v>
      </c>
      <c r="E19" s="13">
        <v>3.1196911196911196E-2</v>
      </c>
      <c r="F19" s="13">
        <v>3.1622357942638166E-2</v>
      </c>
      <c r="G19" s="13">
        <v>2.2500351048341204E-2</v>
      </c>
      <c r="H19" s="13">
        <v>2.5589313750999581E-2</v>
      </c>
      <c r="I19" s="13">
        <v>2.4695436842286821E-2</v>
      </c>
      <c r="J19" s="13">
        <v>2.3285043756780973E-2</v>
      </c>
      <c r="K19" s="13">
        <v>2.4263059119799629E-2</v>
      </c>
      <c r="L19" t="str">
        <f t="shared" si="0"/>
        <v>كرمانشاه 0.02</v>
      </c>
    </row>
    <row r="20" spans="1:12">
      <c r="A20" s="3" t="s">
        <v>430</v>
      </c>
      <c r="B20" s="13">
        <v>1.9017911707359659E-2</v>
      </c>
      <c r="C20" s="13">
        <v>2.0328477852256405E-2</v>
      </c>
      <c r="D20" s="13">
        <v>2.2150136144928782E-2</v>
      </c>
      <c r="E20" s="13">
        <v>1.5289575289575289E-2</v>
      </c>
      <c r="F20" s="13">
        <v>1.6608286928926411E-2</v>
      </c>
      <c r="G20" s="13">
        <v>2.0333089447117338E-2</v>
      </c>
      <c r="H20" s="13">
        <v>2.0919935039879684E-2</v>
      </c>
      <c r="I20" s="13">
        <v>2.2746212956214467E-2</v>
      </c>
      <c r="J20" s="13">
        <v>2.5035606493878249E-2</v>
      </c>
      <c r="K20" s="13">
        <v>2.3395266006768181E-2</v>
      </c>
      <c r="L20" t="str">
        <f t="shared" si="0"/>
        <v>گلستان 0.02</v>
      </c>
    </row>
    <row r="21" spans="1:12">
      <c r="A21" s="3" t="s">
        <v>39</v>
      </c>
      <c r="B21" s="13">
        <v>4.5599190990309346E-2</v>
      </c>
      <c r="C21" s="13">
        <v>3.3354026403371984E-2</v>
      </c>
      <c r="D21" s="13">
        <v>4.1109807680386072E-2</v>
      </c>
      <c r="E21" s="13">
        <v>2.0694980694980696E-2</v>
      </c>
      <c r="F21" s="13">
        <v>3.9211723848871324E-2</v>
      </c>
      <c r="G21" s="13">
        <v>3.335513528294496E-2</v>
      </c>
      <c r="H21" s="13">
        <v>4.4124395275161106E-2</v>
      </c>
      <c r="I21" s="13">
        <v>3.2990245333499604E-2</v>
      </c>
      <c r="J21" s="13">
        <v>2.5410852008159616E-2</v>
      </c>
      <c r="K21" s="13">
        <v>3.1508792253176945E-2</v>
      </c>
      <c r="L21" t="str">
        <f t="shared" si="0"/>
        <v>گيلان 0.03</v>
      </c>
    </row>
    <row r="22" spans="1:12">
      <c r="A22" s="3" t="s">
        <v>316</v>
      </c>
      <c r="B22" s="13">
        <v>2.1039344643948434E-2</v>
      </c>
      <c r="C22" s="13">
        <v>2.868330488036203E-2</v>
      </c>
      <c r="D22" s="13">
        <v>2.0754352584369324E-2</v>
      </c>
      <c r="E22" s="13">
        <v>3.3745173745173745E-2</v>
      </c>
      <c r="F22" s="13">
        <v>1.4115921202323214E-2</v>
      </c>
      <c r="G22" s="13">
        <v>2.8676954230686797E-2</v>
      </c>
      <c r="H22" s="13">
        <v>2.0145268828911926E-2</v>
      </c>
      <c r="I22" s="13">
        <v>2.1781101173758675E-2</v>
      </c>
      <c r="J22" s="13">
        <v>2.2429467660325417E-2</v>
      </c>
      <c r="K22" s="13">
        <v>2.1963928530934734E-2</v>
      </c>
      <c r="L22" t="str">
        <f t="shared" si="0"/>
        <v>لرستان 0.02</v>
      </c>
    </row>
    <row r="23" spans="1:12">
      <c r="A23" s="3" t="s">
        <v>56</v>
      </c>
      <c r="B23" s="13">
        <v>5.0660594243808747E-2</v>
      </c>
      <c r="C23" s="13">
        <v>4.8323245461689493E-2</v>
      </c>
      <c r="D23" s="13">
        <v>4.8992384467556493E-2</v>
      </c>
      <c r="E23" s="13">
        <v>5.4285714285714284E-2</v>
      </c>
      <c r="F23" s="13">
        <v>5.3679420393988382E-2</v>
      </c>
      <c r="G23" s="13">
        <v>4.8326423223880158E-2</v>
      </c>
      <c r="H23" s="13">
        <v>5.0413829650406791E-2</v>
      </c>
      <c r="I23" s="13">
        <v>4.3151789261473505E-2</v>
      </c>
      <c r="J23" s="13">
        <v>3.5379620900880732E-2</v>
      </c>
      <c r="K23" s="13">
        <v>4.1135405480271066E-2</v>
      </c>
      <c r="L23" t="str">
        <f t="shared" si="0"/>
        <v>مازندران 0.04</v>
      </c>
    </row>
    <row r="24" spans="1:12">
      <c r="A24" s="3" t="s">
        <v>27</v>
      </c>
      <c r="B24" s="13">
        <v>2.2005136338503622E-2</v>
      </c>
      <c r="C24" s="13">
        <v>1.6947378015583853E-2</v>
      </c>
      <c r="D24" s="13">
        <v>1.9058382569634196E-2</v>
      </c>
      <c r="E24" s="13">
        <v>1.7760617760617759E-2</v>
      </c>
      <c r="F24" s="13">
        <v>2.1585533800371235E-2</v>
      </c>
      <c r="G24" s="13">
        <v>1.6944549143072522E-2</v>
      </c>
      <c r="H24" s="13">
        <v>2.0384083125796253E-2</v>
      </c>
      <c r="I24" s="13">
        <v>1.8215650939627372E-2</v>
      </c>
      <c r="J24" s="13">
        <v>1.6558608318073407E-2</v>
      </c>
      <c r="K24" s="13">
        <v>1.7803078714228759E-2</v>
      </c>
      <c r="L24" t="str">
        <f t="shared" si="0"/>
        <v>مركزئ 0.01</v>
      </c>
    </row>
    <row r="25" spans="1:12">
      <c r="A25" s="3" t="s">
        <v>383</v>
      </c>
      <c r="B25" s="13">
        <v>1.5628364810988563E-2</v>
      </c>
      <c r="C25" s="13">
        <v>1.9197749382287226E-2</v>
      </c>
      <c r="D25" s="13">
        <v>1.640653686404105E-2</v>
      </c>
      <c r="E25" s="13">
        <v>1.5521235521235521E-2</v>
      </c>
      <c r="F25" s="13">
        <v>2.5163163882402251E-2</v>
      </c>
      <c r="G25" s="13">
        <v>1.920049664102166E-2</v>
      </c>
      <c r="H25" s="13">
        <v>1.5050563828712912E-2</v>
      </c>
      <c r="I25" s="13">
        <v>2.0731533271191829E-2</v>
      </c>
      <c r="J25" s="13">
        <v>2.6660795894773846E-2</v>
      </c>
      <c r="K25" s="13">
        <v>2.2359004677659399E-2</v>
      </c>
      <c r="L25" t="str">
        <f t="shared" si="0"/>
        <v>هرمزگان 0.02</v>
      </c>
    </row>
    <row r="26" spans="1:12">
      <c r="A26" s="3" t="s">
        <v>297</v>
      </c>
      <c r="B26" s="13">
        <v>2.4332130489188954E-2</v>
      </c>
      <c r="C26" s="13">
        <v>2.0961587257010392E-2</v>
      </c>
      <c r="D26" s="13">
        <v>2.3048668831633309E-2</v>
      </c>
      <c r="E26" s="13">
        <v>3.5212355212355211E-2</v>
      </c>
      <c r="F26" s="13">
        <v>1.8090234117717503E-2</v>
      </c>
      <c r="G26" s="13">
        <v>2.0963128838436467E-2</v>
      </c>
      <c r="H26" s="13">
        <v>2.4058731211877293E-2</v>
      </c>
      <c r="I26" s="13">
        <v>2.1751801325755094E-2</v>
      </c>
      <c r="J26" s="13">
        <v>2.0638649034529118E-2</v>
      </c>
      <c r="K26" s="13">
        <v>2.1575021472122539E-2</v>
      </c>
      <c r="L26" t="str">
        <f t="shared" si="0"/>
        <v>همدان 0.02</v>
      </c>
    </row>
    <row r="27" spans="1:12">
      <c r="A27" s="3" t="s">
        <v>373</v>
      </c>
      <c r="B27" s="13">
        <v>1.440357361115153E-2</v>
      </c>
      <c r="C27" s="13">
        <v>2.8993700930941807E-2</v>
      </c>
      <c r="D27" s="13">
        <v>1.2893115501447285E-2</v>
      </c>
      <c r="E27" s="13">
        <v>3.0656370656370658E-2</v>
      </c>
      <c r="F27" s="13">
        <v>2.5230525118256391E-2</v>
      </c>
      <c r="G27" s="13">
        <v>2.8992897737770584E-2</v>
      </c>
      <c r="H27" s="13">
        <v>1.3225246289579112E-2</v>
      </c>
      <c r="I27" s="13">
        <v>1.3507598867925201E-2</v>
      </c>
      <c r="J27" s="13">
        <v>1.4997927448452932E-2</v>
      </c>
      <c r="K27" s="13">
        <v>1.435986713796559E-2</v>
      </c>
      <c r="L27" t="str">
        <f t="shared" si="0"/>
        <v>يزد 0.01</v>
      </c>
    </row>
    <row r="28" spans="1:12">
      <c r="A28" s="3" t="s">
        <v>1008</v>
      </c>
      <c r="B28" s="13">
        <v>5.9010418182347292E-2</v>
      </c>
      <c r="C28" s="13">
        <v>5.15220492051644E-2</v>
      </c>
      <c r="D28" s="13">
        <v>5.242986509491996E-2</v>
      </c>
      <c r="E28" s="13">
        <v>7.8146718146718142E-2</v>
      </c>
      <c r="F28" s="13">
        <v>6.2062151966948087E-2</v>
      </c>
      <c r="G28" s="13">
        <v>5.1522810751686882E-2</v>
      </c>
      <c r="H28" s="13">
        <v>5.525458886934588E-2</v>
      </c>
      <c r="I28" s="13">
        <v>4.9058952216528888E-2</v>
      </c>
      <c r="J28" s="13">
        <v>4.597986214471482E-2</v>
      </c>
      <c r="K28" s="13">
        <v>4.8747284283266822E-2</v>
      </c>
      <c r="L28" t="str">
        <f t="shared" si="0"/>
        <v>آذربايجان_شرقي 0.04</v>
      </c>
    </row>
    <row r="29" spans="1:12">
      <c r="A29" s="3" t="s">
        <v>1009</v>
      </c>
      <c r="B29" s="13">
        <v>3.6825946512237001E-2</v>
      </c>
      <c r="C29" s="13">
        <v>3.2961104418709489E-2</v>
      </c>
      <c r="D29" s="13">
        <v>3.8612346985975404E-2</v>
      </c>
      <c r="E29" s="13">
        <v>4.1467181467181466E-2</v>
      </c>
      <c r="F29" s="13">
        <v>1.7805820010777799E-2</v>
      </c>
      <c r="G29" s="13">
        <v>3.2954201124832792E-2</v>
      </c>
      <c r="H29" s="13">
        <v>3.7688251290534699E-2</v>
      </c>
      <c r="I29" s="13">
        <v>3.9463544071490893E-2</v>
      </c>
      <c r="J29" s="13">
        <v>4.3330902239113567E-2</v>
      </c>
      <c r="K29" s="13">
        <v>4.0690261549329462E-2</v>
      </c>
      <c r="L29" t="str">
        <f t="shared" si="0"/>
        <v>آذربايجان_غربي 0.04</v>
      </c>
    </row>
    <row r="30" spans="1:12">
      <c r="A30" s="3" t="s">
        <v>1010</v>
      </c>
      <c r="B30" s="13">
        <v>1.0394901492884788E-2</v>
      </c>
      <c r="C30" s="13">
        <v>1.2931937043797867E-2</v>
      </c>
      <c r="D30" s="13">
        <v>1.0752707400466374E-2</v>
      </c>
      <c r="E30" s="13">
        <v>7.1814671814671811E-3</v>
      </c>
      <c r="F30" s="13">
        <v>1.3606969642536375E-2</v>
      </c>
      <c r="G30" s="13">
        <v>1.2935207561950794E-2</v>
      </c>
      <c r="H30" s="13">
        <v>1.0595328516038879E-2</v>
      </c>
      <c r="I30" s="13">
        <v>1.1426202844846144E-2</v>
      </c>
      <c r="J30" s="13">
        <v>1.2688417089484672E-2</v>
      </c>
      <c r="K30" s="13">
        <v>1.1845145712583891E-2</v>
      </c>
      <c r="L30" t="str">
        <f t="shared" si="0"/>
        <v>چهارمحال_وبختيارئ 0.01</v>
      </c>
    </row>
    <row r="31" spans="1:12">
      <c r="A31" s="3" t="s">
        <v>1011</v>
      </c>
      <c r="B31" s="13">
        <v>1.1131158513517446E-2</v>
      </c>
      <c r="C31" s="13">
        <v>1.0318205221058648E-2</v>
      </c>
      <c r="D31" s="13">
        <v>8.553168051959199E-3</v>
      </c>
      <c r="E31" s="13">
        <v>1.2741312741312742E-2</v>
      </c>
      <c r="F31" s="13">
        <v>6.9831147835458952E-3</v>
      </c>
      <c r="G31" s="13">
        <v>1.0320821231403677E-2</v>
      </c>
      <c r="H31" s="13">
        <v>9.4223095316180588E-3</v>
      </c>
      <c r="I31" s="13">
        <v>8.5113445137617975E-3</v>
      </c>
      <c r="J31" s="13">
        <v>1.0787383029096757E-2</v>
      </c>
      <c r="K31" s="13">
        <v>9.6106269265900969E-3</v>
      </c>
      <c r="L31" t="str">
        <f t="shared" si="0"/>
        <v>خراسان_جنوبي 0.00</v>
      </c>
    </row>
    <row r="32" spans="1:12">
      <c r="A32" s="3" t="s">
        <v>1012</v>
      </c>
      <c r="B32" s="13">
        <v>7.4807205424439083E-2</v>
      </c>
      <c r="C32" s="13">
        <v>7.7661830893275496E-2</v>
      </c>
      <c r="D32" s="13">
        <v>7.4643424271469652E-2</v>
      </c>
      <c r="E32" s="13">
        <v>8.988416988416989E-2</v>
      </c>
      <c r="F32" s="13">
        <v>9.9133285432010054E-2</v>
      </c>
      <c r="G32" s="13">
        <v>7.7664826434309622E-2</v>
      </c>
      <c r="H32" s="13">
        <v>7.4379140393530441E-2</v>
      </c>
      <c r="I32" s="13">
        <v>7.7354273531943879E-2</v>
      </c>
      <c r="J32" s="13">
        <v>8.6650610950884319E-2</v>
      </c>
      <c r="K32" s="13">
        <v>8.0791756983507504E-2</v>
      </c>
      <c r="L32" t="str">
        <f t="shared" si="0"/>
        <v>خراسان_رضوئ 0.08</v>
      </c>
    </row>
    <row r="33" spans="1:12">
      <c r="A33" s="3" t="s">
        <v>1013</v>
      </c>
      <c r="B33" s="13">
        <v>9.7052061810668448E-3</v>
      </c>
      <c r="C33" s="13">
        <v>9.2515267297805306E-3</v>
      </c>
      <c r="D33" s="13">
        <v>1.013898227493169E-2</v>
      </c>
      <c r="E33" s="13">
        <v>7.953667953667953E-3</v>
      </c>
      <c r="F33" s="13">
        <v>6.7660619124603315E-3</v>
      </c>
      <c r="G33" s="13">
        <v>9.2528952250035112E-3</v>
      </c>
      <c r="H33" s="13">
        <v>9.9246090238251806E-3</v>
      </c>
      <c r="I33" s="13">
        <v>1.0046035503053179E-2</v>
      </c>
      <c r="J33" s="13">
        <v>1.1799785107594867E-2</v>
      </c>
      <c r="K33" s="13">
        <v>1.0750175028174491E-2</v>
      </c>
      <c r="L33" t="str">
        <f t="shared" si="0"/>
        <v>خراسان_شمالي 0.01</v>
      </c>
    </row>
    <row r="34" spans="1:12">
      <c r="A34" s="3" t="s">
        <v>1014</v>
      </c>
      <c r="B34" s="13">
        <v>1.787860489479964E-2</v>
      </c>
      <c r="C34" s="13">
        <v>2.078052289417219E-2</v>
      </c>
      <c r="D34" s="13">
        <v>1.9679737533559366E-2</v>
      </c>
      <c r="E34" s="13">
        <v>2.2239382239382238E-2</v>
      </c>
      <c r="F34" s="13">
        <v>2.8239326986407999E-2</v>
      </c>
      <c r="G34" s="13">
        <v>2.0782061799289035E-2</v>
      </c>
      <c r="H34" s="13">
        <v>1.8228504492899551E-2</v>
      </c>
      <c r="I34" s="13">
        <v>2.7320309689247594E-2</v>
      </c>
      <c r="J34" s="13">
        <v>4.8183471241088176E-2</v>
      </c>
      <c r="K34" s="13">
        <v>3.4461979480934879E-2</v>
      </c>
      <c r="L34" t="str">
        <f t="shared" si="0"/>
        <v>سيستان_وبلوچستان 0.03</v>
      </c>
    </row>
    <row r="35" spans="1:12">
      <c r="A35" s="3" t="s">
        <v>1015</v>
      </c>
      <c r="B35" s="13">
        <v>6.9191426825364489E-3</v>
      </c>
      <c r="C35" s="13">
        <v>6.7745169769395444E-3</v>
      </c>
      <c r="D35" s="13">
        <v>7.2460813626891362E-3</v>
      </c>
      <c r="E35" s="13">
        <v>5.7142857142857143E-3</v>
      </c>
      <c r="F35" s="13">
        <v>6.4816478055206277E-3</v>
      </c>
      <c r="G35" s="13">
        <v>6.7715377395443019E-3</v>
      </c>
      <c r="H35" s="13">
        <v>6.6377874611967883E-3</v>
      </c>
      <c r="I35" s="13">
        <v>8.5867616461361741E-3</v>
      </c>
      <c r="J35" s="13">
        <v>9.9718004730431301E-3</v>
      </c>
      <c r="K35" s="13">
        <v>8.8653671707199337E-3</v>
      </c>
      <c r="L35" t="str">
        <f t="shared" si="0"/>
        <v>كهگيلويه_وبويراحمد 0.00</v>
      </c>
    </row>
    <row r="36" spans="1:12">
      <c r="A36" s="3" t="s">
        <v>474</v>
      </c>
      <c r="B36" s="13">
        <v>1</v>
      </c>
      <c r="C36" s="13">
        <v>1</v>
      </c>
      <c r="D36" s="13">
        <v>1</v>
      </c>
      <c r="E36" s="13">
        <v>1</v>
      </c>
      <c r="F36" s="13">
        <v>1</v>
      </c>
      <c r="G36" s="13">
        <v>1</v>
      </c>
      <c r="H36" s="13">
        <v>1</v>
      </c>
      <c r="I36" s="13">
        <v>1</v>
      </c>
      <c r="J36" s="13">
        <v>1</v>
      </c>
      <c r="K36" s="13">
        <v>1</v>
      </c>
      <c r="L36" t="str">
        <f t="shared" si="0"/>
        <v>Grand Total 1</v>
      </c>
    </row>
    <row r="37" spans="1:12">
      <c r="L37" t="str">
        <f t="shared" si="0"/>
        <v xml:space="preserve"> </v>
      </c>
    </row>
    <row r="38" spans="1:12">
      <c r="L38" t="str">
        <f t="shared" si="0"/>
        <v xml:space="preserve"> </v>
      </c>
    </row>
    <row r="821" spans="4:4">
      <c r="D821" t="e">
        <f>GETPIVOTDATA("VaccineNeed",provPivot!$A$3,"Province","مركزئ","District","فراهان","Class","AP")</f>
        <v>#REF!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M821"/>
  <sheetViews>
    <sheetView tabSelected="1" topLeftCell="C1" zoomScale="71" zoomScaleNormal="71" workbookViewId="0">
      <selection activeCell="H13" sqref="H13"/>
    </sheetView>
  </sheetViews>
  <sheetFormatPr defaultRowHeight="15"/>
  <cols>
    <col min="1" max="1" width="25.85546875" bestFit="1" customWidth="1"/>
    <col min="2" max="2" width="21.7109375" bestFit="1" customWidth="1"/>
    <col min="3" max="10" width="10.42578125" bestFit="1" customWidth="1"/>
    <col min="11" max="11" width="15" bestFit="1" customWidth="1"/>
    <col min="12" max="12" width="9.5703125" bestFit="1" customWidth="1"/>
    <col min="13" max="13" width="13.7109375" customWidth="1"/>
    <col min="14" max="14" width="6.140625" bestFit="1" customWidth="1"/>
    <col min="15" max="15" width="5.28515625" bestFit="1" customWidth="1"/>
    <col min="16" max="16" width="4.140625" bestFit="1" customWidth="1"/>
    <col min="17" max="17" width="6" bestFit="1" customWidth="1"/>
    <col min="18" max="18" width="7.140625" bestFit="1" customWidth="1"/>
    <col min="19" max="19" width="5.5703125" bestFit="1" customWidth="1"/>
    <col min="20" max="20" width="7" bestFit="1" customWidth="1"/>
    <col min="21" max="21" width="3" bestFit="1" customWidth="1"/>
    <col min="22" max="22" width="5.28515625" bestFit="1" customWidth="1"/>
    <col min="23" max="23" width="11.28515625" bestFit="1" customWidth="1"/>
    <col min="24" max="24" width="6.7109375" bestFit="1" customWidth="1"/>
    <col min="25" max="25" width="6.42578125" bestFit="1" customWidth="1"/>
    <col min="26" max="26" width="6.85546875" bestFit="1" customWidth="1"/>
    <col min="27" max="27" width="4.85546875" bestFit="1" customWidth="1"/>
    <col min="28" max="28" width="11.7109375" bestFit="1" customWidth="1"/>
    <col min="29" max="29" width="8.42578125" bestFit="1" customWidth="1"/>
    <col min="30" max="30" width="6.42578125" bestFit="1" customWidth="1"/>
    <col min="31" max="31" width="6" bestFit="1" customWidth="1"/>
    <col min="32" max="32" width="5.85546875" bestFit="1" customWidth="1"/>
    <col min="33" max="33" width="6" bestFit="1" customWidth="1"/>
    <col min="34" max="34" width="6.5703125" bestFit="1" customWidth="1"/>
    <col min="35" max="35" width="7" bestFit="1" customWidth="1"/>
    <col min="36" max="36" width="5.7109375" bestFit="1" customWidth="1"/>
    <col min="37" max="37" width="4.7109375" bestFit="1" customWidth="1"/>
    <col min="38" max="38" width="4.140625" bestFit="1" customWidth="1"/>
    <col min="39" max="39" width="7.140625" bestFit="1" customWidth="1"/>
    <col min="40" max="40" width="3.85546875" bestFit="1" customWidth="1"/>
    <col min="41" max="41" width="5" bestFit="1" customWidth="1"/>
    <col min="42" max="42" width="5.7109375" bestFit="1" customWidth="1"/>
    <col min="43" max="43" width="3.28515625" bestFit="1" customWidth="1"/>
    <col min="44" max="44" width="5" bestFit="1" customWidth="1"/>
    <col min="45" max="45" width="8.28515625" bestFit="1" customWidth="1"/>
    <col min="46" max="46" width="3.5703125" bestFit="1" customWidth="1"/>
    <col min="47" max="47" width="4.7109375" bestFit="1" customWidth="1"/>
    <col min="48" max="48" width="3.85546875" bestFit="1" customWidth="1"/>
    <col min="49" max="49" width="6.140625" bestFit="1" customWidth="1"/>
    <col min="50" max="50" width="3.85546875" bestFit="1" customWidth="1"/>
    <col min="51" max="51" width="7.140625" bestFit="1" customWidth="1"/>
    <col min="52" max="52" width="4.28515625" bestFit="1" customWidth="1"/>
    <col min="53" max="53" width="4.42578125" bestFit="1" customWidth="1"/>
    <col min="54" max="54" width="3.85546875" bestFit="1" customWidth="1"/>
    <col min="55" max="55" width="5.5703125" bestFit="1" customWidth="1"/>
    <col min="56" max="56" width="5.140625" bestFit="1" customWidth="1"/>
    <col min="57" max="57" width="5.28515625" bestFit="1" customWidth="1"/>
    <col min="58" max="58" width="7" bestFit="1" customWidth="1"/>
    <col min="59" max="59" width="4.7109375" bestFit="1" customWidth="1"/>
    <col min="60" max="60" width="4.28515625" bestFit="1" customWidth="1"/>
    <col min="61" max="61" width="3.5703125" bestFit="1" customWidth="1"/>
    <col min="62" max="62" width="4.28515625" bestFit="1" customWidth="1"/>
    <col min="63" max="63" width="6.85546875" bestFit="1" customWidth="1"/>
    <col min="64" max="64" width="6.140625" bestFit="1" customWidth="1"/>
    <col min="65" max="65" width="4.42578125" bestFit="1" customWidth="1"/>
    <col min="66" max="66" width="5.85546875" bestFit="1" customWidth="1"/>
    <col min="67" max="67" width="7" bestFit="1" customWidth="1"/>
    <col min="68" max="68" width="6.140625" bestFit="1" customWidth="1"/>
    <col min="69" max="69" width="6.42578125" bestFit="1" customWidth="1"/>
    <col min="70" max="70" width="6" bestFit="1" customWidth="1"/>
    <col min="71" max="71" width="8.5703125" bestFit="1" customWidth="1"/>
    <col min="72" max="72" width="5.5703125" bestFit="1" customWidth="1"/>
    <col min="73" max="73" width="6.140625" bestFit="1" customWidth="1"/>
    <col min="74" max="74" width="6.28515625" bestFit="1" customWidth="1"/>
    <col min="75" max="75" width="2.7109375" bestFit="1" customWidth="1"/>
    <col min="76" max="76" width="2.85546875" bestFit="1" customWidth="1"/>
    <col min="77" max="77" width="4.42578125" bestFit="1" customWidth="1"/>
    <col min="78" max="78" width="7.42578125" bestFit="1" customWidth="1"/>
    <col min="79" max="79" width="8.140625" bestFit="1" customWidth="1"/>
    <col min="80" max="80" width="5.7109375" bestFit="1" customWidth="1"/>
    <col min="81" max="81" width="7.28515625" bestFit="1" customWidth="1"/>
    <col min="82" max="82" width="9.85546875" bestFit="1" customWidth="1"/>
    <col min="83" max="83" width="4.85546875" bestFit="1" customWidth="1"/>
    <col min="84" max="84" width="3.7109375" bestFit="1" customWidth="1"/>
    <col min="85" max="85" width="7.140625" bestFit="1" customWidth="1"/>
    <col min="86" max="86" width="5.5703125" bestFit="1" customWidth="1"/>
    <col min="87" max="87" width="5.85546875" bestFit="1" customWidth="1"/>
    <col min="88" max="88" width="5" bestFit="1" customWidth="1"/>
    <col min="89" max="89" width="5.5703125" bestFit="1" customWidth="1"/>
    <col min="90" max="90" width="5.7109375" bestFit="1" customWidth="1"/>
    <col min="91" max="91" width="4.5703125" bestFit="1" customWidth="1"/>
    <col min="92" max="92" width="7.7109375" bestFit="1" customWidth="1"/>
    <col min="93" max="93" width="8" bestFit="1" customWidth="1"/>
    <col min="94" max="94" width="13.5703125" bestFit="1" customWidth="1"/>
    <col min="95" max="95" width="5" bestFit="1" customWidth="1"/>
    <col min="96" max="96" width="6" bestFit="1" customWidth="1"/>
    <col min="97" max="97" width="7.85546875" bestFit="1" customWidth="1"/>
    <col min="98" max="98" width="5.7109375" bestFit="1" customWidth="1"/>
    <col min="99" max="99" width="7.7109375" bestFit="1" customWidth="1"/>
    <col min="100" max="100" width="6.42578125" bestFit="1" customWidth="1"/>
    <col min="101" max="101" width="7.28515625" bestFit="1" customWidth="1"/>
    <col min="102" max="102" width="3.5703125" bestFit="1" customWidth="1"/>
    <col min="103" max="103" width="6" bestFit="1" customWidth="1"/>
    <col min="104" max="104" width="6.140625" bestFit="1" customWidth="1"/>
    <col min="105" max="105" width="6.5703125" bestFit="1" customWidth="1"/>
    <col min="106" max="106" width="7.140625" bestFit="1" customWidth="1"/>
    <col min="107" max="107" width="5" bestFit="1" customWidth="1"/>
    <col min="108" max="108" width="6.7109375" bestFit="1" customWidth="1"/>
    <col min="109" max="110" width="4.7109375" bestFit="1" customWidth="1"/>
    <col min="111" max="111" width="4.28515625" bestFit="1" customWidth="1"/>
    <col min="112" max="112" width="8.140625" bestFit="1" customWidth="1"/>
    <col min="113" max="113" width="10.7109375" bestFit="1" customWidth="1"/>
    <col min="114" max="114" width="5.140625" bestFit="1" customWidth="1"/>
    <col min="115" max="115" width="4.42578125" bestFit="1" customWidth="1"/>
    <col min="116" max="116" width="5.28515625" bestFit="1" customWidth="1"/>
    <col min="117" max="117" width="4.5703125" bestFit="1" customWidth="1"/>
    <col min="118" max="118" width="5.42578125" bestFit="1" customWidth="1"/>
    <col min="119" max="119" width="7.140625" bestFit="1" customWidth="1"/>
    <col min="120" max="120" width="4.7109375" bestFit="1" customWidth="1"/>
    <col min="121" max="121" width="7.28515625" bestFit="1" customWidth="1"/>
    <col min="122" max="122" width="9.7109375" bestFit="1" customWidth="1"/>
    <col min="123" max="123" width="10.28515625" bestFit="1" customWidth="1"/>
    <col min="124" max="126" width="6" bestFit="1" customWidth="1"/>
    <col min="127" max="127" width="4.42578125" bestFit="1" customWidth="1"/>
    <col min="128" max="128" width="3.5703125" bestFit="1" customWidth="1"/>
    <col min="129" max="129" width="5" bestFit="1" customWidth="1"/>
    <col min="130" max="130" width="7" bestFit="1" customWidth="1"/>
    <col min="131" max="131" width="5.85546875" bestFit="1" customWidth="1"/>
    <col min="132" max="132" width="5.140625" bestFit="1" customWidth="1"/>
    <col min="133" max="133" width="6.28515625" bestFit="1" customWidth="1"/>
    <col min="134" max="134" width="5.5703125" bestFit="1" customWidth="1"/>
    <col min="135" max="135" width="6.140625" bestFit="1" customWidth="1"/>
    <col min="136" max="136" width="8.140625" bestFit="1" customWidth="1"/>
    <col min="137" max="137" width="6.7109375" bestFit="1" customWidth="1"/>
    <col min="138" max="138" width="6.28515625" bestFit="1" customWidth="1"/>
    <col min="139" max="139" width="5.85546875" bestFit="1" customWidth="1"/>
    <col min="140" max="140" width="4.5703125" bestFit="1" customWidth="1"/>
    <col min="141" max="141" width="6.5703125" bestFit="1" customWidth="1"/>
    <col min="142" max="142" width="5.7109375" bestFit="1" customWidth="1"/>
    <col min="143" max="143" width="7.85546875" bestFit="1" customWidth="1"/>
    <col min="144" max="144" width="6.85546875" bestFit="1" customWidth="1"/>
    <col min="145" max="145" width="4.5703125" bestFit="1" customWidth="1"/>
    <col min="146" max="146" width="4.85546875" bestFit="1" customWidth="1"/>
    <col min="147" max="147" width="8" bestFit="1" customWidth="1"/>
    <col min="148" max="148" width="7.140625" bestFit="1" customWidth="1"/>
    <col min="149" max="149" width="5.42578125" bestFit="1" customWidth="1"/>
    <col min="150" max="150" width="7.28515625" bestFit="1" customWidth="1"/>
    <col min="151" max="151" width="7" bestFit="1" customWidth="1"/>
    <col min="152" max="152" width="6.42578125" bestFit="1" customWidth="1"/>
    <col min="153" max="153" width="7.42578125" bestFit="1" customWidth="1"/>
    <col min="154" max="154" width="6" bestFit="1" customWidth="1"/>
    <col min="155" max="155" width="8.140625" bestFit="1" customWidth="1"/>
    <col min="156" max="156" width="4.85546875" bestFit="1" customWidth="1"/>
    <col min="157" max="157" width="5.140625" bestFit="1" customWidth="1"/>
    <col min="158" max="158" width="9.42578125" bestFit="1" customWidth="1"/>
    <col min="159" max="159" width="4.42578125" bestFit="1" customWidth="1"/>
    <col min="160" max="160" width="6.42578125" bestFit="1" customWidth="1"/>
    <col min="161" max="161" width="5.5703125" bestFit="1" customWidth="1"/>
    <col min="162" max="162" width="7.140625" bestFit="1" customWidth="1"/>
    <col min="163" max="163" width="11" bestFit="1" customWidth="1"/>
    <col min="164" max="164" width="6.7109375" bestFit="1" customWidth="1"/>
    <col min="165" max="165" width="6.85546875" bestFit="1" customWidth="1"/>
    <col min="166" max="166" width="4.7109375" bestFit="1" customWidth="1"/>
    <col min="167" max="167" width="5.140625" bestFit="1" customWidth="1"/>
    <col min="168" max="169" width="5.85546875" bestFit="1" customWidth="1"/>
    <col min="170" max="170" width="6.140625" bestFit="1" customWidth="1"/>
    <col min="171" max="171" width="4.28515625" bestFit="1" customWidth="1"/>
    <col min="172" max="172" width="5.7109375" bestFit="1" customWidth="1"/>
    <col min="173" max="173" width="7" bestFit="1" customWidth="1"/>
    <col min="174" max="174" width="5.42578125" bestFit="1" customWidth="1"/>
    <col min="175" max="175" width="10.7109375" bestFit="1" customWidth="1"/>
    <col min="176" max="176" width="7.85546875" bestFit="1" customWidth="1"/>
    <col min="177" max="177" width="5" bestFit="1" customWidth="1"/>
    <col min="178" max="178" width="5.140625" bestFit="1" customWidth="1"/>
    <col min="179" max="179" width="5" bestFit="1" customWidth="1"/>
    <col min="180" max="180" width="6.28515625" bestFit="1" customWidth="1"/>
    <col min="181" max="181" width="5.85546875" bestFit="1" customWidth="1"/>
    <col min="182" max="182" width="3" bestFit="1" customWidth="1"/>
    <col min="183" max="183" width="6" bestFit="1" customWidth="1"/>
    <col min="184" max="184" width="6.42578125" bestFit="1" customWidth="1"/>
    <col min="185" max="185" width="6" bestFit="1" customWidth="1"/>
    <col min="186" max="186" width="4.140625" bestFit="1" customWidth="1"/>
    <col min="187" max="187" width="5.42578125" bestFit="1" customWidth="1"/>
    <col min="188" max="188" width="3.5703125" bestFit="1" customWidth="1"/>
    <col min="189" max="189" width="4.28515625" bestFit="1" customWidth="1"/>
    <col min="190" max="190" width="6.85546875" bestFit="1" customWidth="1"/>
    <col min="191" max="191" width="3.5703125" bestFit="1" customWidth="1"/>
    <col min="192" max="192" width="9.5703125" bestFit="1" customWidth="1"/>
    <col min="193" max="193" width="5.28515625" bestFit="1" customWidth="1"/>
    <col min="194" max="194" width="5.85546875" bestFit="1" customWidth="1"/>
    <col min="195" max="195" width="6.28515625" bestFit="1" customWidth="1"/>
    <col min="196" max="196" width="5.140625" bestFit="1" customWidth="1"/>
    <col min="197" max="197" width="3.7109375" bestFit="1" customWidth="1"/>
    <col min="198" max="198" width="7.42578125" bestFit="1" customWidth="1"/>
    <col min="199" max="199" width="3.42578125" bestFit="1" customWidth="1"/>
    <col min="200" max="201" width="4.85546875" bestFit="1" customWidth="1"/>
    <col min="202" max="202" width="7.28515625" bestFit="1" customWidth="1"/>
    <col min="203" max="203" width="8.5703125" bestFit="1" customWidth="1"/>
    <col min="204" max="204" width="7.7109375" bestFit="1" customWidth="1"/>
    <col min="205" max="205" width="6" bestFit="1" customWidth="1"/>
    <col min="206" max="206" width="5.140625" bestFit="1" customWidth="1"/>
    <col min="207" max="207" width="5.42578125" bestFit="1" customWidth="1"/>
    <col min="208" max="208" width="9.85546875" bestFit="1" customWidth="1"/>
    <col min="209" max="209" width="5.85546875" bestFit="1" customWidth="1"/>
    <col min="210" max="210" width="7.42578125" bestFit="1" customWidth="1"/>
    <col min="211" max="211" width="4.5703125" bestFit="1" customWidth="1"/>
    <col min="212" max="212" width="3" bestFit="1" customWidth="1"/>
    <col min="213" max="213" width="3.85546875" bestFit="1" customWidth="1"/>
    <col min="214" max="214" width="5.85546875" bestFit="1" customWidth="1"/>
    <col min="215" max="215" width="3.5703125" bestFit="1" customWidth="1"/>
    <col min="216" max="216" width="4" bestFit="1" customWidth="1"/>
    <col min="217" max="217" width="5.5703125" bestFit="1" customWidth="1"/>
    <col min="218" max="218" width="8.85546875" bestFit="1" customWidth="1"/>
    <col min="219" max="219" width="5.140625" bestFit="1" customWidth="1"/>
    <col min="220" max="220" width="4.42578125" bestFit="1" customWidth="1"/>
    <col min="221" max="221" width="5.140625" bestFit="1" customWidth="1"/>
    <col min="222" max="222" width="4.85546875" bestFit="1" customWidth="1"/>
    <col min="223" max="223" width="5.28515625" bestFit="1" customWidth="1"/>
    <col min="224" max="224" width="8.28515625" bestFit="1" customWidth="1"/>
    <col min="225" max="225" width="4.42578125" bestFit="1" customWidth="1"/>
    <col min="226" max="226" width="5.85546875" bestFit="1" customWidth="1"/>
    <col min="227" max="227" width="6.42578125" bestFit="1" customWidth="1"/>
    <col min="228" max="228" width="5.140625" bestFit="1" customWidth="1"/>
    <col min="229" max="229" width="5.85546875" bestFit="1" customWidth="1"/>
    <col min="230" max="230" width="5.5703125" bestFit="1" customWidth="1"/>
    <col min="231" max="231" width="4.85546875" bestFit="1" customWidth="1"/>
    <col min="232" max="232" width="6.7109375" bestFit="1" customWidth="1"/>
    <col min="233" max="233" width="9.5703125" bestFit="1" customWidth="1"/>
    <col min="234" max="234" width="6.42578125" bestFit="1" customWidth="1"/>
    <col min="235" max="235" width="5.28515625" bestFit="1" customWidth="1"/>
    <col min="236" max="236" width="7.28515625" bestFit="1" customWidth="1"/>
    <col min="237" max="237" width="5.7109375" bestFit="1" customWidth="1"/>
    <col min="238" max="238" width="6.5703125" bestFit="1" customWidth="1"/>
    <col min="239" max="239" width="7.7109375" bestFit="1" customWidth="1"/>
    <col min="240" max="240" width="4.42578125" bestFit="1" customWidth="1"/>
    <col min="241" max="241" width="6.140625" bestFit="1" customWidth="1"/>
    <col min="242" max="242" width="7.140625" bestFit="1" customWidth="1"/>
    <col min="243" max="243" width="6.42578125" bestFit="1" customWidth="1"/>
    <col min="244" max="244" width="5.7109375" bestFit="1" customWidth="1"/>
    <col min="245" max="245" width="5.5703125" bestFit="1" customWidth="1"/>
    <col min="246" max="246" width="5.140625" bestFit="1" customWidth="1"/>
    <col min="247" max="247" width="6" bestFit="1" customWidth="1"/>
    <col min="248" max="248" width="7.140625" bestFit="1" customWidth="1"/>
    <col min="249" max="249" width="11.85546875" bestFit="1" customWidth="1"/>
    <col min="250" max="250" width="6.85546875" bestFit="1" customWidth="1"/>
    <col min="251" max="251" width="11" bestFit="1" customWidth="1"/>
    <col min="252" max="252" width="6.5703125" bestFit="1" customWidth="1"/>
    <col min="253" max="253" width="6.140625" bestFit="1" customWidth="1"/>
    <col min="254" max="254" width="5.85546875" bestFit="1" customWidth="1"/>
    <col min="255" max="255" width="6" bestFit="1" customWidth="1"/>
    <col min="256" max="256" width="6.140625" bestFit="1" customWidth="1"/>
    <col min="257" max="257" width="5.140625" bestFit="1" customWidth="1"/>
    <col min="258" max="258" width="6.7109375" bestFit="1" customWidth="1"/>
    <col min="259" max="259" width="8" bestFit="1" customWidth="1"/>
    <col min="260" max="260" width="14.7109375" bestFit="1" customWidth="1"/>
    <col min="261" max="261" width="6" bestFit="1" customWidth="1"/>
    <col min="262" max="262" width="5.28515625" bestFit="1" customWidth="1"/>
    <col min="263" max="263" width="7.7109375" bestFit="1" customWidth="1"/>
    <col min="264" max="264" width="7.42578125" bestFit="1" customWidth="1"/>
    <col min="265" max="265" width="6.140625" bestFit="1" customWidth="1"/>
    <col min="266" max="266" width="6.42578125" bestFit="1" customWidth="1"/>
    <col min="267" max="267" width="6" bestFit="1" customWidth="1"/>
    <col min="268" max="268" width="5.28515625" bestFit="1" customWidth="1"/>
    <col min="269" max="269" width="6.140625" bestFit="1" customWidth="1"/>
    <col min="270" max="270" width="5" bestFit="1" customWidth="1"/>
    <col min="271" max="271" width="4.85546875" bestFit="1" customWidth="1"/>
    <col min="272" max="272" width="6.140625" bestFit="1" customWidth="1"/>
    <col min="273" max="273" width="5.85546875" bestFit="1" customWidth="1"/>
    <col min="274" max="274" width="9.28515625" bestFit="1" customWidth="1"/>
    <col min="275" max="275" width="4.28515625" bestFit="1" customWidth="1"/>
    <col min="276" max="276" width="5.85546875" bestFit="1" customWidth="1"/>
    <col min="277" max="277" width="5.42578125" bestFit="1" customWidth="1"/>
    <col min="278" max="278" width="8.28515625" bestFit="1" customWidth="1"/>
    <col min="279" max="279" width="8.5703125" bestFit="1" customWidth="1"/>
    <col min="280" max="280" width="7" bestFit="1" customWidth="1"/>
    <col min="281" max="281" width="6.85546875" bestFit="1" customWidth="1"/>
    <col min="282" max="282" width="6.42578125" bestFit="1" customWidth="1"/>
    <col min="283" max="283" width="5.85546875" bestFit="1" customWidth="1"/>
    <col min="284" max="284" width="5.140625" bestFit="1" customWidth="1"/>
    <col min="285" max="286" width="5.5703125" bestFit="1" customWidth="1"/>
    <col min="287" max="287" width="6.85546875" bestFit="1" customWidth="1"/>
    <col min="288" max="288" width="5.7109375" bestFit="1" customWidth="1"/>
    <col min="289" max="289" width="6.42578125" bestFit="1" customWidth="1"/>
    <col min="290" max="290" width="6.28515625" bestFit="1" customWidth="1"/>
    <col min="291" max="291" width="5.5703125" bestFit="1" customWidth="1"/>
    <col min="292" max="292" width="9.28515625" bestFit="1" customWidth="1"/>
    <col min="293" max="293" width="8.85546875" bestFit="1" customWidth="1"/>
    <col min="294" max="294" width="5.85546875" bestFit="1" customWidth="1"/>
    <col min="295" max="295" width="3.85546875" bestFit="1" customWidth="1"/>
    <col min="296" max="296" width="7.5703125" bestFit="1" customWidth="1"/>
    <col min="297" max="298" width="4.7109375" bestFit="1" customWidth="1"/>
    <col min="299" max="299" width="4.85546875" bestFit="1" customWidth="1"/>
    <col min="300" max="300" width="7.140625" bestFit="1" customWidth="1"/>
    <col min="301" max="301" width="6.85546875" bestFit="1" customWidth="1"/>
    <col min="302" max="302" width="15.5703125" bestFit="1" customWidth="1"/>
    <col min="303" max="303" width="7.7109375" bestFit="1" customWidth="1"/>
    <col min="304" max="304" width="5.7109375" bestFit="1" customWidth="1"/>
    <col min="305" max="305" width="5" bestFit="1" customWidth="1"/>
    <col min="306" max="306" width="6" bestFit="1" customWidth="1"/>
    <col min="307" max="307" width="4.28515625" bestFit="1" customWidth="1"/>
    <col min="308" max="308" width="5.42578125" bestFit="1" customWidth="1"/>
    <col min="309" max="309" width="4.5703125" bestFit="1" customWidth="1"/>
    <col min="310" max="310" width="8.5703125" bestFit="1" customWidth="1"/>
    <col min="311" max="311" width="6.85546875" bestFit="1" customWidth="1"/>
    <col min="312" max="312" width="7.7109375" bestFit="1" customWidth="1"/>
    <col min="313" max="313" width="3" bestFit="1" customWidth="1"/>
    <col min="314" max="314" width="5.7109375" bestFit="1" customWidth="1"/>
    <col min="315" max="315" width="8.140625" bestFit="1" customWidth="1"/>
    <col min="316" max="317" width="5.7109375" bestFit="1" customWidth="1"/>
    <col min="318" max="318" width="6.42578125" bestFit="1" customWidth="1"/>
    <col min="319" max="319" width="9.5703125" bestFit="1" customWidth="1"/>
    <col min="320" max="320" width="6.85546875" bestFit="1" customWidth="1"/>
    <col min="321" max="321" width="5.140625" bestFit="1" customWidth="1"/>
    <col min="322" max="322" width="7.28515625" bestFit="1" customWidth="1"/>
    <col min="323" max="323" width="4.85546875" bestFit="1" customWidth="1"/>
    <col min="324" max="324" width="4.7109375" bestFit="1" customWidth="1"/>
    <col min="325" max="325" width="4.5703125" bestFit="1" customWidth="1"/>
    <col min="326" max="326" width="6.5703125" bestFit="1" customWidth="1"/>
    <col min="327" max="327" width="5.28515625" bestFit="1" customWidth="1"/>
    <col min="328" max="328" width="5.140625" bestFit="1" customWidth="1"/>
    <col min="329" max="329" width="5.7109375" bestFit="1" customWidth="1"/>
    <col min="330" max="330" width="7.5703125" bestFit="1" customWidth="1"/>
    <col min="331" max="331" width="5.7109375" bestFit="1" customWidth="1"/>
    <col min="332" max="332" width="4.140625" bestFit="1" customWidth="1"/>
    <col min="333" max="333" width="4.42578125" bestFit="1" customWidth="1"/>
    <col min="334" max="334" width="7" bestFit="1" customWidth="1"/>
    <col min="335" max="335" width="7.28515625" bestFit="1" customWidth="1"/>
    <col min="336" max="336" width="4" bestFit="1" customWidth="1"/>
    <col min="337" max="337" width="5" bestFit="1" customWidth="1"/>
    <col min="338" max="338" width="5.28515625" bestFit="1" customWidth="1"/>
    <col min="339" max="339" width="4" bestFit="1" customWidth="1"/>
    <col min="340" max="340" width="8" bestFit="1" customWidth="1"/>
    <col min="341" max="341" width="8.42578125" bestFit="1" customWidth="1"/>
    <col min="342" max="342" width="6.7109375" bestFit="1" customWidth="1"/>
    <col min="343" max="343" width="7" bestFit="1" customWidth="1"/>
    <col min="344" max="344" width="5.28515625" bestFit="1" customWidth="1"/>
    <col min="345" max="345" width="7.5703125" bestFit="1" customWidth="1"/>
    <col min="346" max="346" width="5.140625" bestFit="1" customWidth="1"/>
    <col min="347" max="347" width="4.85546875" bestFit="1" customWidth="1"/>
    <col min="348" max="348" width="6.42578125" bestFit="1" customWidth="1"/>
    <col min="349" max="349" width="4.5703125" bestFit="1" customWidth="1"/>
    <col min="350" max="350" width="4.42578125" bestFit="1" customWidth="1"/>
    <col min="351" max="351" width="6.5703125" bestFit="1" customWidth="1"/>
    <col min="352" max="352" width="5" bestFit="1" customWidth="1"/>
    <col min="353" max="353" width="6.5703125" bestFit="1" customWidth="1"/>
    <col min="354" max="354" width="5.140625" bestFit="1" customWidth="1"/>
    <col min="355" max="355" width="4.7109375" bestFit="1" customWidth="1"/>
    <col min="356" max="356" width="9.42578125" bestFit="1" customWidth="1"/>
    <col min="357" max="357" width="8" bestFit="1" customWidth="1"/>
    <col min="358" max="358" width="6.5703125" bestFit="1" customWidth="1"/>
    <col min="359" max="359" width="3.7109375" bestFit="1" customWidth="1"/>
    <col min="360" max="360" width="4.85546875" bestFit="1" customWidth="1"/>
    <col min="361" max="361" width="7.140625" bestFit="1" customWidth="1"/>
    <col min="362" max="362" width="5.5703125" bestFit="1" customWidth="1"/>
    <col min="363" max="363" width="5.28515625" bestFit="1" customWidth="1"/>
    <col min="364" max="364" width="4.5703125" bestFit="1" customWidth="1"/>
    <col min="365" max="365" width="6" bestFit="1" customWidth="1"/>
    <col min="366" max="366" width="5.28515625" bestFit="1" customWidth="1"/>
    <col min="367" max="367" width="4.140625" bestFit="1" customWidth="1"/>
    <col min="368" max="368" width="11.140625" bestFit="1" customWidth="1"/>
    <col min="369" max="369" width="7.140625" bestFit="1" customWidth="1"/>
    <col min="370" max="370" width="5.28515625" bestFit="1" customWidth="1"/>
    <col min="371" max="371" width="6.28515625" bestFit="1" customWidth="1"/>
    <col min="372" max="372" width="8.7109375" bestFit="1" customWidth="1"/>
    <col min="373" max="373" width="5" bestFit="1" customWidth="1"/>
    <col min="374" max="374" width="7.28515625" bestFit="1" customWidth="1"/>
    <col min="375" max="375" width="4.28515625" bestFit="1" customWidth="1"/>
    <col min="376" max="376" width="7.85546875" bestFit="1" customWidth="1"/>
    <col min="377" max="377" width="5.7109375" bestFit="1" customWidth="1"/>
    <col min="378" max="378" width="11.28515625" bestFit="1" customWidth="1"/>
    <col min="379" max="379" width="9.85546875" bestFit="1" customWidth="1"/>
    <col min="380" max="380" width="5.42578125" bestFit="1" customWidth="1"/>
    <col min="381" max="382" width="4.7109375" bestFit="1" customWidth="1"/>
    <col min="383" max="383" width="4.85546875" bestFit="1" customWidth="1"/>
    <col min="384" max="384" width="7.5703125" bestFit="1" customWidth="1"/>
    <col min="385" max="385" width="6" bestFit="1" customWidth="1"/>
    <col min="386" max="386" width="6.42578125" bestFit="1" customWidth="1"/>
    <col min="387" max="387" width="7.140625" bestFit="1" customWidth="1"/>
    <col min="388" max="388" width="5.140625" bestFit="1" customWidth="1"/>
    <col min="389" max="389" width="9" bestFit="1" customWidth="1"/>
    <col min="390" max="390" width="3.7109375" bestFit="1" customWidth="1"/>
    <col min="391" max="391" width="5" bestFit="1" customWidth="1"/>
    <col min="392" max="392" width="12.28515625" bestFit="1" customWidth="1"/>
    <col min="393" max="393" width="5.140625" bestFit="1" customWidth="1"/>
    <col min="394" max="394" width="4.7109375" bestFit="1" customWidth="1"/>
    <col min="395" max="395" width="7.85546875" bestFit="1" customWidth="1"/>
    <col min="396" max="396" width="7.140625" bestFit="1" customWidth="1"/>
    <col min="397" max="397" width="4.5703125" bestFit="1" customWidth="1"/>
    <col min="398" max="398" width="4.42578125" bestFit="1" customWidth="1"/>
    <col min="399" max="399" width="6.42578125" bestFit="1" customWidth="1"/>
    <col min="400" max="400" width="5.42578125" bestFit="1" customWidth="1"/>
    <col min="401" max="401" width="8.42578125" bestFit="1" customWidth="1"/>
    <col min="402" max="402" width="4.28515625" bestFit="1" customWidth="1"/>
    <col min="403" max="403" width="8.140625" bestFit="1" customWidth="1"/>
    <col min="404" max="404" width="6.42578125" bestFit="1" customWidth="1"/>
    <col min="405" max="405" width="4.42578125" bestFit="1" customWidth="1"/>
    <col min="406" max="406" width="6.28515625" bestFit="1" customWidth="1"/>
    <col min="407" max="407" width="4.42578125" bestFit="1" customWidth="1"/>
    <col min="408" max="408" width="2.85546875" bestFit="1" customWidth="1"/>
    <col min="409" max="409" width="4.28515625" bestFit="1" customWidth="1"/>
    <col min="410" max="410" width="5.42578125" bestFit="1" customWidth="1"/>
    <col min="411" max="411" width="6.5703125" bestFit="1" customWidth="1"/>
    <col min="412" max="412" width="3.28515625" bestFit="1" customWidth="1"/>
    <col min="413" max="413" width="5.7109375" bestFit="1" customWidth="1"/>
    <col min="414" max="414" width="5" bestFit="1" customWidth="1"/>
    <col min="415" max="415" width="3" bestFit="1" customWidth="1"/>
    <col min="416" max="416" width="6.42578125" bestFit="1" customWidth="1"/>
    <col min="417" max="417" width="7.7109375" bestFit="1" customWidth="1"/>
    <col min="418" max="418" width="5.85546875" bestFit="1" customWidth="1"/>
    <col min="419" max="419" width="5.42578125" bestFit="1" customWidth="1"/>
    <col min="420" max="420" width="6" bestFit="1" customWidth="1"/>
    <col min="421" max="421" width="5.7109375" bestFit="1" customWidth="1"/>
    <col min="422" max="422" width="6.85546875" bestFit="1" customWidth="1"/>
    <col min="423" max="423" width="6" bestFit="1" customWidth="1"/>
    <col min="424" max="424" width="5.85546875" bestFit="1" customWidth="1"/>
    <col min="425" max="425" width="7.5703125" bestFit="1" customWidth="1"/>
    <col min="426" max="426" width="5" bestFit="1" customWidth="1"/>
    <col min="427" max="427" width="6" bestFit="1" customWidth="1"/>
    <col min="428" max="428" width="5.42578125" bestFit="1" customWidth="1"/>
    <col min="429" max="429" width="5.5703125" bestFit="1" customWidth="1"/>
    <col min="430" max="430" width="3.28515625" bestFit="1" customWidth="1"/>
    <col min="431" max="431" width="11.28515625" bestFit="1" customWidth="1"/>
    <col min="432" max="432" width="7.42578125" bestFit="1" customWidth="1"/>
    <col min="433" max="433" width="10.42578125" bestFit="1" customWidth="1"/>
    <col min="434" max="434" width="10.7109375" bestFit="1" customWidth="1"/>
    <col min="435" max="435" width="13.85546875" bestFit="1" customWidth="1"/>
    <col min="436" max="436" width="7.28515625" bestFit="1" customWidth="1"/>
    <col min="437" max="437" width="10" bestFit="1" customWidth="1"/>
    <col min="438" max="438" width="7.28515625" bestFit="1" customWidth="1"/>
    <col min="439" max="439" width="9.28515625" bestFit="1" customWidth="1"/>
    <col min="440" max="440" width="7.28515625" bestFit="1" customWidth="1"/>
    <col min="441" max="441" width="10" bestFit="1" customWidth="1"/>
    <col min="442" max="442" width="7.28515625" bestFit="1" customWidth="1"/>
    <col min="443" max="443" width="9.7109375" bestFit="1" customWidth="1"/>
    <col min="444" max="444" width="7.28515625" bestFit="1" customWidth="1"/>
    <col min="445" max="446" width="10.140625" bestFit="1" customWidth="1"/>
    <col min="447" max="447" width="13.28515625" bestFit="1" customWidth="1"/>
    <col min="448" max="448" width="6.28515625" bestFit="1" customWidth="1"/>
    <col min="449" max="449" width="9.28515625" bestFit="1" customWidth="1"/>
    <col min="450" max="450" width="7.7109375" bestFit="1" customWidth="1"/>
    <col min="451" max="451" width="10.7109375" bestFit="1" customWidth="1"/>
    <col min="452" max="452" width="8.28515625" bestFit="1" customWidth="1"/>
    <col min="453" max="453" width="11.28515625" bestFit="1" customWidth="1"/>
    <col min="454" max="454" width="7.28515625" bestFit="1" customWidth="1"/>
    <col min="455" max="455" width="10" bestFit="1" customWidth="1"/>
    <col min="456" max="456" width="7.7109375" bestFit="1" customWidth="1"/>
    <col min="457" max="457" width="10.7109375" bestFit="1" customWidth="1"/>
    <col min="458" max="458" width="7.42578125" bestFit="1" customWidth="1"/>
    <col min="459" max="459" width="10.42578125" bestFit="1" customWidth="1"/>
    <col min="460" max="460" width="7.28515625" bestFit="1" customWidth="1"/>
    <col min="461" max="461" width="9.7109375" bestFit="1" customWidth="1"/>
    <col min="462" max="462" width="8.5703125" bestFit="1" customWidth="1"/>
    <col min="463" max="463" width="11.5703125" bestFit="1" customWidth="1"/>
    <col min="464" max="464" width="11.42578125" bestFit="1" customWidth="1"/>
    <col min="465" max="465" width="14.5703125" bestFit="1" customWidth="1"/>
    <col min="466" max="466" width="8.28515625" bestFit="1" customWidth="1"/>
    <col min="467" max="467" width="11.28515625" bestFit="1" customWidth="1"/>
    <col min="468" max="468" width="7.28515625" bestFit="1" customWidth="1"/>
    <col min="469" max="469" width="10.140625" bestFit="1" customWidth="1"/>
    <col min="471" max="471" width="12.140625" bestFit="1" customWidth="1"/>
    <col min="472" max="472" width="7.5703125" bestFit="1" customWidth="1"/>
    <col min="473" max="473" width="10.5703125" bestFit="1" customWidth="1"/>
    <col min="474" max="474" width="8.42578125" bestFit="1" customWidth="1"/>
    <col min="475" max="475" width="11.42578125" bestFit="1" customWidth="1"/>
    <col min="476" max="476" width="9.5703125" bestFit="1" customWidth="1"/>
    <col min="477" max="477" width="12.5703125" bestFit="1" customWidth="1"/>
    <col min="478" max="478" width="7.28515625" bestFit="1" customWidth="1"/>
    <col min="479" max="479" width="9.28515625" bestFit="1" customWidth="1"/>
    <col min="480" max="480" width="8" bestFit="1" customWidth="1"/>
    <col min="481" max="481" width="11" bestFit="1" customWidth="1"/>
    <col min="482" max="482" width="9" bestFit="1" customWidth="1"/>
    <col min="483" max="483" width="12" bestFit="1" customWidth="1"/>
    <col min="484" max="484" width="8.28515625" bestFit="1" customWidth="1"/>
    <col min="485" max="485" width="11.28515625" bestFit="1" customWidth="1"/>
    <col min="486" max="486" width="7.5703125" bestFit="1" customWidth="1"/>
    <col min="487" max="487" width="10.5703125" bestFit="1" customWidth="1"/>
    <col min="488" max="488" width="7.42578125" bestFit="1" customWidth="1"/>
    <col min="489" max="489" width="10.42578125" bestFit="1" customWidth="1"/>
    <col min="490" max="490" width="7.28515625" bestFit="1" customWidth="1"/>
    <col min="491" max="491" width="10" bestFit="1" customWidth="1"/>
    <col min="492" max="492" width="7.85546875" bestFit="1" customWidth="1"/>
    <col min="493" max="493" width="10.85546875" bestFit="1" customWidth="1"/>
    <col min="494" max="494" width="9" bestFit="1" customWidth="1"/>
    <col min="495" max="495" width="12" bestFit="1" customWidth="1"/>
    <col min="496" max="496" width="13.7109375" bestFit="1" customWidth="1"/>
    <col min="497" max="497" width="16.85546875" bestFit="1" customWidth="1"/>
    <col min="498" max="498" width="8.7109375" bestFit="1" customWidth="1"/>
    <col min="499" max="499" width="11.7109375" bestFit="1" customWidth="1"/>
    <col min="500" max="500" width="12.85546875" bestFit="1" customWidth="1"/>
    <col min="501" max="501" width="16" bestFit="1" customWidth="1"/>
    <col min="502" max="502" width="8.42578125" bestFit="1" customWidth="1"/>
    <col min="503" max="503" width="11.42578125" bestFit="1" customWidth="1"/>
    <col min="504" max="504" width="8" bestFit="1" customWidth="1"/>
    <col min="505" max="505" width="11" bestFit="1" customWidth="1"/>
    <col min="506" max="506" width="7.7109375" bestFit="1" customWidth="1"/>
    <col min="507" max="507" width="10.7109375" bestFit="1" customWidth="1"/>
    <col min="508" max="508" width="7.85546875" bestFit="1" customWidth="1"/>
    <col min="509" max="509" width="10.85546875" bestFit="1" customWidth="1"/>
    <col min="510" max="510" width="8" bestFit="1" customWidth="1"/>
    <col min="511" max="511" width="11" bestFit="1" customWidth="1"/>
    <col min="512" max="512" width="7" bestFit="1" customWidth="1"/>
    <col min="513" max="513" width="10" bestFit="1" customWidth="1"/>
    <col min="514" max="514" width="8.5703125" bestFit="1" customWidth="1"/>
    <col min="515" max="515" width="11.5703125" bestFit="1" customWidth="1"/>
    <col min="516" max="516" width="9.85546875" bestFit="1" customWidth="1"/>
    <col min="517" max="517" width="12.85546875" bestFit="1" customWidth="1"/>
    <col min="518" max="518" width="16.5703125" bestFit="1" customWidth="1"/>
    <col min="519" max="519" width="19.7109375" bestFit="1" customWidth="1"/>
    <col min="520" max="520" width="7.85546875" bestFit="1" customWidth="1"/>
    <col min="521" max="521" width="10.85546875" bestFit="1" customWidth="1"/>
    <col min="522" max="522" width="7.28515625" bestFit="1" customWidth="1"/>
    <col min="523" max="523" width="10.140625" bestFit="1" customWidth="1"/>
    <col min="524" max="524" width="9.5703125" bestFit="1" customWidth="1"/>
    <col min="525" max="525" width="12.5703125" bestFit="1" customWidth="1"/>
    <col min="526" max="526" width="9.28515625" bestFit="1" customWidth="1"/>
    <col min="527" max="527" width="12.28515625" bestFit="1" customWidth="1"/>
    <col min="528" max="528" width="8" bestFit="1" customWidth="1"/>
    <col min="529" max="529" width="11" bestFit="1" customWidth="1"/>
    <col min="530" max="530" width="8.28515625" bestFit="1" customWidth="1"/>
    <col min="531" max="531" width="11.28515625" bestFit="1" customWidth="1"/>
    <col min="532" max="532" width="7.85546875" bestFit="1" customWidth="1"/>
    <col min="533" max="533" width="10.85546875" bestFit="1" customWidth="1"/>
    <col min="534" max="534" width="7.28515625" bestFit="1" customWidth="1"/>
    <col min="535" max="535" width="10.140625" bestFit="1" customWidth="1"/>
    <col min="536" max="536" width="8" bestFit="1" customWidth="1"/>
    <col min="537" max="537" width="11" bestFit="1" customWidth="1"/>
    <col min="538" max="538" width="7.28515625" bestFit="1" customWidth="1"/>
    <col min="539" max="539" width="9.85546875" bestFit="1" customWidth="1"/>
    <col min="540" max="540" width="7.28515625" bestFit="1" customWidth="1"/>
    <col min="541" max="541" width="9.7109375" bestFit="1" customWidth="1"/>
    <col min="542" max="542" width="8" bestFit="1" customWidth="1"/>
    <col min="543" max="543" width="11" bestFit="1" customWidth="1"/>
    <col min="544" max="544" width="7.7109375" bestFit="1" customWidth="1"/>
    <col min="545" max="545" width="10.7109375" bestFit="1" customWidth="1"/>
    <col min="546" max="546" width="11.140625" bestFit="1" customWidth="1"/>
    <col min="547" max="547" width="14.28515625" bestFit="1" customWidth="1"/>
    <col min="548" max="548" width="7.28515625" bestFit="1" customWidth="1"/>
    <col min="550" max="550" width="7.7109375" bestFit="1" customWidth="1"/>
    <col min="551" max="551" width="10.7109375" bestFit="1" customWidth="1"/>
    <col min="552" max="552" width="7.28515625" bestFit="1" customWidth="1"/>
    <col min="553" max="553" width="10.28515625" bestFit="1" customWidth="1"/>
    <col min="554" max="554" width="10.140625" bestFit="1" customWidth="1"/>
    <col min="555" max="555" width="13.28515625" bestFit="1" customWidth="1"/>
    <col min="556" max="556" width="10.42578125" bestFit="1" customWidth="1"/>
    <col min="557" max="557" width="13.5703125" bestFit="1" customWidth="1"/>
    <col min="558" max="558" width="8.85546875" bestFit="1" customWidth="1"/>
    <col min="559" max="559" width="11.85546875" bestFit="1" customWidth="1"/>
    <col min="560" max="560" width="8.7109375" bestFit="1" customWidth="1"/>
    <col min="561" max="561" width="11.7109375" bestFit="1" customWidth="1"/>
    <col min="562" max="562" width="8.28515625" bestFit="1" customWidth="1"/>
    <col min="563" max="563" width="11.28515625" bestFit="1" customWidth="1"/>
    <col min="564" max="564" width="7.7109375" bestFit="1" customWidth="1"/>
    <col min="565" max="565" width="10.7109375" bestFit="1" customWidth="1"/>
    <col min="566" max="566" width="7.28515625" bestFit="1" customWidth="1"/>
    <col min="567" max="567" width="10" bestFit="1" customWidth="1"/>
    <col min="568" max="568" width="7.42578125" bestFit="1" customWidth="1"/>
    <col min="569" max="569" width="10.42578125" bestFit="1" customWidth="1"/>
    <col min="570" max="570" width="7.42578125" bestFit="1" customWidth="1"/>
    <col min="571" max="571" width="10.42578125" bestFit="1" customWidth="1"/>
    <col min="572" max="572" width="8.7109375" bestFit="1" customWidth="1"/>
    <col min="573" max="573" width="11.7109375" bestFit="1" customWidth="1"/>
    <col min="574" max="574" width="7.5703125" bestFit="1" customWidth="1"/>
    <col min="575" max="575" width="10.5703125" bestFit="1" customWidth="1"/>
    <col min="576" max="576" width="8.28515625" bestFit="1" customWidth="1"/>
    <col min="577" max="577" width="11.28515625" bestFit="1" customWidth="1"/>
    <col min="578" max="578" width="8.140625" bestFit="1" customWidth="1"/>
    <col min="579" max="579" width="11.140625" bestFit="1" customWidth="1"/>
    <col min="580" max="580" width="7.42578125" bestFit="1" customWidth="1"/>
    <col min="581" max="581" width="10.42578125" bestFit="1" customWidth="1"/>
    <col min="582" max="582" width="11.140625" bestFit="1" customWidth="1"/>
    <col min="583" max="583" width="14.28515625" bestFit="1" customWidth="1"/>
    <col min="584" max="584" width="10.7109375" bestFit="1" customWidth="1"/>
    <col min="585" max="585" width="13.85546875" bestFit="1" customWidth="1"/>
    <col min="586" max="586" width="7.7109375" bestFit="1" customWidth="1"/>
    <col min="587" max="587" width="10.7109375" bestFit="1" customWidth="1"/>
    <col min="588" max="588" width="7.28515625" bestFit="1" customWidth="1"/>
    <col min="589" max="589" width="8.7109375" bestFit="1" customWidth="1"/>
    <col min="590" max="590" width="9.42578125" bestFit="1" customWidth="1"/>
    <col min="591" max="591" width="12.42578125" bestFit="1" customWidth="1"/>
    <col min="592" max="592" width="7.28515625" bestFit="1" customWidth="1"/>
    <col min="593" max="593" width="9.5703125" bestFit="1" customWidth="1"/>
    <col min="594" max="594" width="7.28515625" bestFit="1" customWidth="1"/>
    <col min="595" max="595" width="9.5703125" bestFit="1" customWidth="1"/>
    <col min="596" max="596" width="7.28515625" bestFit="1" customWidth="1"/>
    <col min="597" max="597" width="9.7109375" bestFit="1" customWidth="1"/>
    <col min="598" max="598" width="9" bestFit="1" customWidth="1"/>
    <col min="599" max="599" width="12" bestFit="1" customWidth="1"/>
    <col min="600" max="600" width="8.7109375" bestFit="1" customWidth="1"/>
    <col min="601" max="601" width="11.7109375" bestFit="1" customWidth="1"/>
    <col min="602" max="602" width="17.42578125" bestFit="1" customWidth="1"/>
    <col min="603" max="603" width="20.5703125" bestFit="1" customWidth="1"/>
    <col min="604" max="604" width="9.5703125" bestFit="1" customWidth="1"/>
    <col min="605" max="605" width="12.5703125" bestFit="1" customWidth="1"/>
    <col min="606" max="606" width="7.5703125" bestFit="1" customWidth="1"/>
    <col min="607" max="607" width="10.5703125" bestFit="1" customWidth="1"/>
    <col min="608" max="608" width="7.28515625" bestFit="1" customWidth="1"/>
    <col min="609" max="609" width="9.85546875" bestFit="1" customWidth="1"/>
    <col min="610" max="610" width="7.85546875" bestFit="1" customWidth="1"/>
    <col min="611" max="611" width="10.85546875" bestFit="1" customWidth="1"/>
    <col min="612" max="612" width="7.28515625" bestFit="1" customWidth="1"/>
    <col min="614" max="614" width="7.28515625" bestFit="1" customWidth="1"/>
    <col min="615" max="615" width="10.28515625" bestFit="1" customWidth="1"/>
    <col min="616" max="616" width="7.28515625" bestFit="1" customWidth="1"/>
    <col min="617" max="617" width="9.42578125" bestFit="1" customWidth="1"/>
    <col min="618" max="618" width="10.42578125" bestFit="1" customWidth="1"/>
    <col min="619" max="619" width="13.5703125" bestFit="1" customWidth="1"/>
    <col min="620" max="620" width="8.7109375" bestFit="1" customWidth="1"/>
    <col min="621" max="621" width="11.7109375" bestFit="1" customWidth="1"/>
    <col min="622" max="622" width="9.5703125" bestFit="1" customWidth="1"/>
    <col min="623" max="623" width="12.5703125" bestFit="1" customWidth="1"/>
    <col min="624" max="624" width="7.28515625" bestFit="1" customWidth="1"/>
    <col min="625" max="625" width="7.85546875" bestFit="1" customWidth="1"/>
    <col min="626" max="626" width="7.5703125" bestFit="1" customWidth="1"/>
    <col min="627" max="627" width="10.5703125" bestFit="1" customWidth="1"/>
    <col min="628" max="628" width="10" bestFit="1" customWidth="1"/>
    <col min="629" max="629" width="13.140625" bestFit="1" customWidth="1"/>
    <col min="630" max="630" width="7.5703125" bestFit="1" customWidth="1"/>
    <col min="631" max="631" width="10.5703125" bestFit="1" customWidth="1"/>
    <col min="632" max="632" width="7.5703125" bestFit="1" customWidth="1"/>
    <col min="633" max="633" width="10.5703125" bestFit="1" customWidth="1"/>
    <col min="634" max="634" width="8.28515625" bestFit="1" customWidth="1"/>
    <col min="635" max="635" width="11.28515625" bestFit="1" customWidth="1"/>
    <col min="636" max="636" width="11.42578125" bestFit="1" customWidth="1"/>
    <col min="637" max="637" width="14.5703125" bestFit="1" customWidth="1"/>
    <col min="638" max="638" width="8.7109375" bestFit="1" customWidth="1"/>
    <col min="639" max="639" width="11.7109375" bestFit="1" customWidth="1"/>
    <col min="640" max="640" width="7.28515625" bestFit="1" customWidth="1"/>
    <col min="641" max="641" width="10" bestFit="1" customWidth="1"/>
    <col min="643" max="643" width="12.140625" bestFit="1" customWidth="1"/>
    <col min="644" max="644" width="7.28515625" bestFit="1" customWidth="1"/>
    <col min="645" max="645" width="9.7109375" bestFit="1" customWidth="1"/>
    <col min="646" max="646" width="7.28515625" bestFit="1" customWidth="1"/>
    <col min="647" max="647" width="9.5703125" bestFit="1" customWidth="1"/>
    <col min="648" max="648" width="7.28515625" bestFit="1" customWidth="1"/>
    <col min="649" max="649" width="9.42578125" bestFit="1" customWidth="1"/>
    <col min="650" max="650" width="8.42578125" bestFit="1" customWidth="1"/>
    <col min="651" max="651" width="11.42578125" bestFit="1" customWidth="1"/>
    <col min="652" max="652" width="7.28515625" bestFit="1" customWidth="1"/>
    <col min="653" max="653" width="10.140625" bestFit="1" customWidth="1"/>
    <col min="654" max="654" width="7.28515625" bestFit="1" customWidth="1"/>
    <col min="655" max="655" width="10" bestFit="1" customWidth="1"/>
    <col min="656" max="656" width="7.5703125" bestFit="1" customWidth="1"/>
    <col min="657" max="657" width="10.5703125" bestFit="1" customWidth="1"/>
    <col min="658" max="658" width="9.42578125" bestFit="1" customWidth="1"/>
    <col min="659" max="659" width="12.42578125" bestFit="1" customWidth="1"/>
    <col min="660" max="660" width="7.5703125" bestFit="1" customWidth="1"/>
    <col min="661" max="661" width="10.5703125" bestFit="1" customWidth="1"/>
    <col min="662" max="662" width="7.28515625" bestFit="1" customWidth="1"/>
    <col min="663" max="663" width="9" bestFit="1" customWidth="1"/>
    <col min="664" max="664" width="7.28515625" bestFit="1" customWidth="1"/>
    <col min="665" max="665" width="9.28515625" bestFit="1" customWidth="1"/>
    <col min="666" max="666" width="8.85546875" bestFit="1" customWidth="1"/>
    <col min="667" max="667" width="11.85546875" bestFit="1" customWidth="1"/>
    <col min="669" max="669" width="12.140625" bestFit="1" customWidth="1"/>
    <col min="670" max="670" width="7.28515625" bestFit="1" customWidth="1"/>
    <col min="671" max="671" width="8.85546875" bestFit="1" customWidth="1"/>
    <col min="672" max="672" width="7.28515625" bestFit="1" customWidth="1"/>
    <col min="673" max="673" width="9.85546875" bestFit="1" customWidth="1"/>
    <col min="674" max="674" width="7.28515625" bestFit="1" customWidth="1"/>
    <col min="675" max="675" width="10.140625" bestFit="1" customWidth="1"/>
    <col min="676" max="676" width="7.28515625" bestFit="1" customWidth="1"/>
    <col min="677" max="677" width="8.85546875" bestFit="1" customWidth="1"/>
    <col min="678" max="678" width="9.85546875" bestFit="1" customWidth="1"/>
    <col min="679" max="679" width="12.85546875" bestFit="1" customWidth="1"/>
    <col min="680" max="680" width="10.28515625" bestFit="1" customWidth="1"/>
    <col min="681" max="681" width="13.42578125" bestFit="1" customWidth="1"/>
    <col min="682" max="682" width="8.5703125" bestFit="1" customWidth="1"/>
    <col min="683" max="683" width="11.5703125" bestFit="1" customWidth="1"/>
    <col min="684" max="684" width="8.85546875" bestFit="1" customWidth="1"/>
    <col min="685" max="685" width="11.85546875" bestFit="1" customWidth="1"/>
    <col min="686" max="686" width="7.28515625" bestFit="1" customWidth="1"/>
    <col min="687" max="687" width="10.140625" bestFit="1" customWidth="1"/>
    <col min="688" max="688" width="9.42578125" bestFit="1" customWidth="1"/>
    <col min="689" max="689" width="12.42578125" bestFit="1" customWidth="1"/>
    <col min="690" max="690" width="7.28515625" bestFit="1" customWidth="1"/>
    <col min="691" max="691" width="10" bestFit="1" customWidth="1"/>
    <col min="692" max="692" width="7.28515625" bestFit="1" customWidth="1"/>
    <col min="693" max="693" width="9.7109375" bestFit="1" customWidth="1"/>
    <col min="694" max="694" width="8.28515625" bestFit="1" customWidth="1"/>
    <col min="695" max="695" width="11.28515625" bestFit="1" customWidth="1"/>
    <col min="696" max="696" width="7.28515625" bestFit="1" customWidth="1"/>
    <col min="697" max="697" width="9.42578125" bestFit="1" customWidth="1"/>
    <col min="698" max="698" width="7.28515625" bestFit="1" customWidth="1"/>
    <col min="699" max="699" width="9.28515625" bestFit="1" customWidth="1"/>
    <col min="700" max="700" width="8.42578125" bestFit="1" customWidth="1"/>
    <col min="701" max="701" width="11.42578125" bestFit="1" customWidth="1"/>
    <col min="702" max="702" width="7.28515625" bestFit="1" customWidth="1"/>
    <col min="703" max="703" width="9.85546875" bestFit="1" customWidth="1"/>
    <col min="704" max="704" width="8.42578125" bestFit="1" customWidth="1"/>
    <col min="705" max="705" width="11.42578125" bestFit="1" customWidth="1"/>
    <col min="706" max="706" width="7.28515625" bestFit="1" customWidth="1"/>
    <col min="707" max="707" width="10" bestFit="1" customWidth="1"/>
    <col min="708" max="708" width="7.28515625" bestFit="1" customWidth="1"/>
    <col min="709" max="709" width="9.5703125" bestFit="1" customWidth="1"/>
    <col min="710" max="710" width="11.28515625" bestFit="1" customWidth="1"/>
    <col min="711" max="711" width="14.42578125" bestFit="1" customWidth="1"/>
    <col min="712" max="712" width="9.85546875" bestFit="1" customWidth="1"/>
    <col min="713" max="713" width="12.85546875" bestFit="1" customWidth="1"/>
    <col min="714" max="714" width="8.42578125" bestFit="1" customWidth="1"/>
    <col min="715" max="715" width="11.42578125" bestFit="1" customWidth="1"/>
    <col min="716" max="716" width="7.28515625" bestFit="1" customWidth="1"/>
    <col min="717" max="717" width="8.5703125" bestFit="1" customWidth="1"/>
    <col min="718" max="718" width="7.28515625" bestFit="1" customWidth="1"/>
    <col min="719" max="719" width="9.7109375" bestFit="1" customWidth="1"/>
    <col min="720" max="720" width="9" bestFit="1" customWidth="1"/>
    <col min="721" max="721" width="12" bestFit="1" customWidth="1"/>
    <col min="722" max="722" width="7.42578125" bestFit="1" customWidth="1"/>
    <col min="723" max="723" width="10.42578125" bestFit="1" customWidth="1"/>
    <col min="724" max="724" width="7.28515625" bestFit="1" customWidth="1"/>
    <col min="725" max="725" width="10.140625" bestFit="1" customWidth="1"/>
    <col min="726" max="726" width="7.28515625" bestFit="1" customWidth="1"/>
    <col min="727" max="727" width="9.42578125" bestFit="1" customWidth="1"/>
    <col min="728" max="728" width="7.85546875" bestFit="1" customWidth="1"/>
    <col min="729" max="729" width="10.85546875" bestFit="1" customWidth="1"/>
    <col min="730" max="730" width="7.28515625" bestFit="1" customWidth="1"/>
    <col min="731" max="731" width="10.140625" bestFit="1" customWidth="1"/>
    <col min="732" max="732" width="7.28515625" bestFit="1" customWidth="1"/>
    <col min="733" max="733" width="9" bestFit="1" customWidth="1"/>
    <col min="734" max="734" width="13" bestFit="1" customWidth="1"/>
    <col min="735" max="735" width="16.140625" bestFit="1" customWidth="1"/>
    <col min="736" max="736" width="9" bestFit="1" customWidth="1"/>
    <col min="737" max="737" width="12" bestFit="1" customWidth="1"/>
    <col min="738" max="738" width="7.28515625" bestFit="1" customWidth="1"/>
    <col min="739" max="739" width="10.140625" bestFit="1" customWidth="1"/>
    <col min="740" max="740" width="8.140625" bestFit="1" customWidth="1"/>
    <col min="741" max="741" width="11.140625" bestFit="1" customWidth="1"/>
    <col min="742" max="742" width="10.5703125" bestFit="1" customWidth="1"/>
    <col min="743" max="743" width="13.7109375" bestFit="1" customWidth="1"/>
    <col min="744" max="744" width="7.28515625" bestFit="1" customWidth="1"/>
    <col min="745" max="745" width="9.85546875" bestFit="1" customWidth="1"/>
    <col min="747" max="747" width="12.140625" bestFit="1" customWidth="1"/>
    <col min="748" max="748" width="7.28515625" bestFit="1" customWidth="1"/>
    <col min="750" max="750" width="9.7109375" bestFit="1" customWidth="1"/>
    <col min="751" max="751" width="12.7109375" bestFit="1" customWidth="1"/>
    <col min="752" max="752" width="7.5703125" bestFit="1" customWidth="1"/>
    <col min="753" max="753" width="10.5703125" bestFit="1" customWidth="1"/>
    <col min="754" max="754" width="13.140625" bestFit="1" customWidth="1"/>
    <col min="755" max="755" width="16.28515625" bestFit="1" customWidth="1"/>
    <col min="756" max="756" width="11.7109375" bestFit="1" customWidth="1"/>
    <col min="757" max="757" width="14.85546875" bestFit="1" customWidth="1"/>
    <col min="758" max="758" width="7.28515625" bestFit="1" customWidth="1"/>
    <col min="759" max="759" width="10.28515625" bestFit="1" customWidth="1"/>
    <col min="760" max="760" width="7.28515625" bestFit="1" customWidth="1"/>
    <col min="761" max="761" width="9.5703125" bestFit="1" customWidth="1"/>
    <col min="762" max="762" width="7.28515625" bestFit="1" customWidth="1"/>
    <col min="763" max="763" width="9.5703125" bestFit="1" customWidth="1"/>
    <col min="764" max="764" width="7.28515625" bestFit="1" customWidth="1"/>
    <col min="765" max="765" width="9.7109375" bestFit="1" customWidth="1"/>
    <col min="766" max="766" width="9.42578125" bestFit="1" customWidth="1"/>
    <col min="767" max="767" width="12.42578125" bestFit="1" customWidth="1"/>
    <col min="768" max="768" width="7.85546875" bestFit="1" customWidth="1"/>
    <col min="769" max="769" width="10.85546875" bestFit="1" customWidth="1"/>
    <col min="770" max="770" width="8.28515625" bestFit="1" customWidth="1"/>
    <col min="771" max="771" width="11.28515625" bestFit="1" customWidth="1"/>
    <col min="772" max="772" width="9" bestFit="1" customWidth="1"/>
    <col min="773" max="773" width="12" bestFit="1" customWidth="1"/>
    <col min="774" max="774" width="7.28515625" bestFit="1" customWidth="1"/>
    <col min="775" max="775" width="10" bestFit="1" customWidth="1"/>
    <col min="776" max="776" width="10.85546875" bestFit="1" customWidth="1"/>
    <col min="777" max="777" width="14" bestFit="1" customWidth="1"/>
    <col min="778" max="778" width="7.28515625" bestFit="1" customWidth="1"/>
    <col min="779" max="779" width="8.5703125" bestFit="1" customWidth="1"/>
    <col min="780" max="780" width="7.28515625" bestFit="1" customWidth="1"/>
    <col min="781" max="781" width="9.85546875" bestFit="1" customWidth="1"/>
    <col min="782" max="782" width="14.140625" bestFit="1" customWidth="1"/>
    <col min="783" max="783" width="17.42578125" bestFit="1" customWidth="1"/>
    <col min="784" max="784" width="7.28515625" bestFit="1" customWidth="1"/>
    <col min="785" max="785" width="10" bestFit="1" customWidth="1"/>
    <col min="786" max="786" width="7.28515625" bestFit="1" customWidth="1"/>
    <col min="787" max="787" width="9.5703125" bestFit="1" customWidth="1"/>
    <col min="788" max="788" width="9.7109375" bestFit="1" customWidth="1"/>
    <col min="789" max="789" width="12.7109375" bestFit="1" customWidth="1"/>
    <col min="790" max="790" width="9" bestFit="1" customWidth="1"/>
    <col min="791" max="791" width="12" bestFit="1" customWidth="1"/>
    <col min="792" max="792" width="7.28515625" bestFit="1" customWidth="1"/>
    <col min="793" max="793" width="9.42578125" bestFit="1" customWidth="1"/>
    <col min="794" max="794" width="7.28515625" bestFit="1" customWidth="1"/>
    <col min="795" max="795" width="9.28515625" bestFit="1" customWidth="1"/>
    <col min="796" max="796" width="8.28515625" bestFit="1" customWidth="1"/>
    <col min="797" max="797" width="11.28515625" bestFit="1" customWidth="1"/>
    <col min="798" max="798" width="7.28515625" bestFit="1" customWidth="1"/>
    <col min="799" max="800" width="10.28515625" bestFit="1" customWidth="1"/>
    <col min="801" max="801" width="13.42578125" bestFit="1" customWidth="1"/>
    <col min="802" max="802" width="7.28515625" bestFit="1" customWidth="1"/>
    <col min="804" max="804" width="10" bestFit="1" customWidth="1"/>
    <col min="805" max="805" width="13.140625" bestFit="1" customWidth="1"/>
    <col min="806" max="806" width="8.28515625" bestFit="1" customWidth="1"/>
    <col min="807" max="807" width="11.28515625" bestFit="1" customWidth="1"/>
    <col min="808" max="808" width="7.28515625" bestFit="1" customWidth="1"/>
    <col min="809" max="809" width="9.28515625" bestFit="1" customWidth="1"/>
    <col min="810" max="810" width="8.140625" bestFit="1" customWidth="1"/>
    <col min="811" max="811" width="11.140625" bestFit="1" customWidth="1"/>
    <col min="812" max="812" width="7.28515625" bestFit="1" customWidth="1"/>
    <col min="813" max="813" width="9.28515625" bestFit="1" customWidth="1"/>
    <col min="814" max="814" width="7.28515625" bestFit="1" customWidth="1"/>
    <col min="815" max="815" width="7.7109375" bestFit="1" customWidth="1"/>
    <col min="816" max="816" width="7.28515625" bestFit="1" customWidth="1"/>
    <col min="818" max="818" width="7.28515625" bestFit="1" customWidth="1"/>
    <col min="819" max="819" width="10.28515625" bestFit="1" customWidth="1"/>
    <col min="820" max="820" width="8.42578125" bestFit="1" customWidth="1"/>
    <col min="821" max="821" width="11.42578125" bestFit="1" customWidth="1"/>
    <col min="822" max="822" width="7.28515625" bestFit="1" customWidth="1"/>
    <col min="823" max="823" width="8.140625" bestFit="1" customWidth="1"/>
    <col min="824" max="824" width="7.5703125" bestFit="1" customWidth="1"/>
    <col min="825" max="825" width="10.5703125" bestFit="1" customWidth="1"/>
    <col min="826" max="826" width="7.28515625" bestFit="1" customWidth="1"/>
    <col min="827" max="827" width="9.85546875" bestFit="1" customWidth="1"/>
    <col min="828" max="828" width="7.28515625" bestFit="1" customWidth="1"/>
    <col min="829" max="829" width="7.85546875" bestFit="1" customWidth="1"/>
    <col min="830" max="830" width="8.28515625" bestFit="1" customWidth="1"/>
    <col min="831" max="831" width="11.28515625" bestFit="1" customWidth="1"/>
    <col min="832" max="832" width="9.5703125" bestFit="1" customWidth="1"/>
    <col min="833" max="833" width="12.5703125" bestFit="1" customWidth="1"/>
    <col min="834" max="834" width="7.7109375" bestFit="1" customWidth="1"/>
    <col min="835" max="835" width="10.7109375" bestFit="1" customWidth="1"/>
    <col min="836" max="836" width="7.28515625" bestFit="1" customWidth="1"/>
    <col min="837" max="837" width="10.28515625" bestFit="1" customWidth="1"/>
    <col min="838" max="838" width="7.85546875" bestFit="1" customWidth="1"/>
    <col min="839" max="839" width="10.85546875" bestFit="1" customWidth="1"/>
    <col min="840" max="840" width="7.5703125" bestFit="1" customWidth="1"/>
    <col min="841" max="841" width="10.5703125" bestFit="1" customWidth="1"/>
    <col min="842" max="842" width="8.7109375" bestFit="1" customWidth="1"/>
    <col min="843" max="843" width="11.7109375" bestFit="1" customWidth="1"/>
    <col min="844" max="844" width="7.85546875" bestFit="1" customWidth="1"/>
    <col min="845" max="845" width="10.85546875" bestFit="1" customWidth="1"/>
    <col min="846" max="846" width="7.7109375" bestFit="1" customWidth="1"/>
    <col min="847" max="847" width="10.7109375" bestFit="1" customWidth="1"/>
    <col min="848" max="848" width="9.42578125" bestFit="1" customWidth="1"/>
    <col min="849" max="849" width="12.42578125" bestFit="1" customWidth="1"/>
    <col min="850" max="850" width="7.28515625" bestFit="1" customWidth="1"/>
    <col min="851" max="851" width="9.85546875" bestFit="1" customWidth="1"/>
    <col min="852" max="852" width="7.85546875" bestFit="1" customWidth="1"/>
    <col min="853" max="853" width="10.85546875" bestFit="1" customWidth="1"/>
    <col min="854" max="854" width="7.28515625" bestFit="1" customWidth="1"/>
    <col min="855" max="855" width="10.28515625" bestFit="1" customWidth="1"/>
    <col min="856" max="856" width="7.42578125" bestFit="1" customWidth="1"/>
    <col min="857" max="857" width="10.42578125" bestFit="1" customWidth="1"/>
    <col min="858" max="858" width="7.28515625" bestFit="1" customWidth="1"/>
    <col min="859" max="859" width="8.140625" bestFit="1" customWidth="1"/>
    <col min="860" max="860" width="11.28515625" bestFit="1" customWidth="1"/>
  </cols>
  <sheetData>
    <row r="1" spans="1:13">
      <c r="A1" t="e">
        <f>GETPIVOTDATA("VaccineNeed",distPivot!$A$3,"Province","كرمانشاه","Class","EI")</f>
        <v>#REF!</v>
      </c>
    </row>
    <row r="3" spans="1:13">
      <c r="A3" s="2" t="s">
        <v>476</v>
      </c>
      <c r="B3" s="2" t="s">
        <v>475</v>
      </c>
    </row>
    <row r="4" spans="1:13">
      <c r="A4" s="2" t="s">
        <v>473</v>
      </c>
      <c r="B4" t="s">
        <v>20</v>
      </c>
      <c r="C4" t="s">
        <v>19</v>
      </c>
      <c r="D4" t="s">
        <v>22</v>
      </c>
      <c r="E4" t="s">
        <v>23</v>
      </c>
      <c r="F4" t="s">
        <v>24</v>
      </c>
      <c r="G4" t="s">
        <v>477</v>
      </c>
      <c r="H4" t="s">
        <v>478</v>
      </c>
      <c r="I4" t="s">
        <v>479</v>
      </c>
      <c r="J4" t="s">
        <v>480</v>
      </c>
      <c r="K4" t="s">
        <v>474</v>
      </c>
    </row>
    <row r="5" spans="1:13">
      <c r="A5" s="3" t="s">
        <v>39</v>
      </c>
      <c r="B5" s="13">
        <v>1</v>
      </c>
      <c r="C5" s="13">
        <v>1</v>
      </c>
      <c r="D5" s="13">
        <v>1</v>
      </c>
      <c r="E5" s="13">
        <v>1</v>
      </c>
      <c r="F5" s="13">
        <v>1</v>
      </c>
      <c r="G5" s="13">
        <v>1</v>
      </c>
      <c r="H5" s="13">
        <v>1</v>
      </c>
      <c r="I5" s="13">
        <v>1</v>
      </c>
      <c r="J5" s="13">
        <v>1</v>
      </c>
      <c r="K5" s="13">
        <v>1</v>
      </c>
      <c r="L5" t="str">
        <f>_xlfn.CONCAT(A5," ",LEFT(K5,4))</f>
        <v>گيلان 1</v>
      </c>
    </row>
    <row r="6" spans="1:13">
      <c r="A6" s="4" t="s">
        <v>41</v>
      </c>
      <c r="B6" s="13">
        <v>2.5088948098983679E-2</v>
      </c>
      <c r="C6" s="13">
        <v>2.6219579748144317E-2</v>
      </c>
      <c r="D6" s="13">
        <v>3.0165238926555964E-2</v>
      </c>
      <c r="E6" s="13">
        <v>4.1044776119402986E-2</v>
      </c>
      <c r="F6" s="13">
        <v>3.4357701851498376E-2</v>
      </c>
      <c r="G6" s="13">
        <v>2.6256023929540795E-2</v>
      </c>
      <c r="H6" s="13">
        <v>2.6584363980646942E-2</v>
      </c>
      <c r="I6" s="13">
        <v>3.5698808890313717E-2</v>
      </c>
      <c r="J6" s="13">
        <v>4.27757122880515E-2</v>
      </c>
      <c r="K6" s="13">
        <v>3.6189499533028788E-2</v>
      </c>
      <c r="L6" t="str">
        <f t="shared" ref="L6:L38" si="0">_xlfn.CONCAT(A6," ",LEFT(K6,4))</f>
        <v>آستارا 0.03</v>
      </c>
      <c r="M6" s="14"/>
    </row>
    <row r="7" spans="1:13">
      <c r="A7" s="4" t="s">
        <v>42</v>
      </c>
      <c r="B7" s="13">
        <v>5.3695933117411491E-2</v>
      </c>
      <c r="C7" s="13">
        <v>1.5694818863325823E-2</v>
      </c>
      <c r="D7" s="13">
        <v>4.5004262920709671E-2</v>
      </c>
      <c r="E7" s="13">
        <v>2.2388059701492536E-2</v>
      </c>
      <c r="F7" s="13">
        <v>1.4315709104790991E-2</v>
      </c>
      <c r="G7" s="13">
        <v>1.5676064919957901E-2</v>
      </c>
      <c r="H7" s="13">
        <v>4.8993954032757067E-2</v>
      </c>
      <c r="I7" s="13">
        <v>4.1867305106180329E-2</v>
      </c>
      <c r="J7" s="13">
        <v>3.9327408736390616E-2</v>
      </c>
      <c r="K7" s="13">
        <v>4.1857776109229722E-2</v>
      </c>
      <c r="L7" t="str">
        <f t="shared" si="0"/>
        <v>آستانه اشرفيه 0.04</v>
      </c>
      <c r="M7" s="14"/>
    </row>
    <row r="8" spans="1:13">
      <c r="A8" s="4" t="s">
        <v>53</v>
      </c>
      <c r="B8" s="13">
        <v>2.2791454600571182E-2</v>
      </c>
      <c r="C8" s="13">
        <v>1.1152553639351527E-2</v>
      </c>
      <c r="D8" s="13">
        <v>1.8417557433431739E-2</v>
      </c>
      <c r="E8" s="13">
        <v>3.7313432835820895E-3</v>
      </c>
      <c r="F8" s="13">
        <v>1.1452567283832794E-3</v>
      </c>
      <c r="G8" s="13">
        <v>1.1133883565058438E-2</v>
      </c>
      <c r="H8" s="13">
        <v>2.0225288693072111E-2</v>
      </c>
      <c r="I8" s="13">
        <v>1.6604335560975292E-2</v>
      </c>
      <c r="J8" s="13">
        <v>1.5229433783050543E-2</v>
      </c>
      <c r="K8" s="13">
        <v>1.6741725685570665E-2</v>
      </c>
      <c r="L8" t="str">
        <f t="shared" si="0"/>
        <v>املش 0.01</v>
      </c>
      <c r="M8" s="14"/>
    </row>
    <row r="9" spans="1:13">
      <c r="A9" s="4" t="s">
        <v>43</v>
      </c>
      <c r="B9" s="13">
        <v>6.0588413612648981E-2</v>
      </c>
      <c r="C9" s="13">
        <v>3.9920233391188747E-2</v>
      </c>
      <c r="D9" s="13">
        <v>6.0173880765817755E-2</v>
      </c>
      <c r="E9" s="13">
        <v>7.4626865671641784E-2</v>
      </c>
      <c r="F9" s="13">
        <v>3.2258064516129031E-2</v>
      </c>
      <c r="G9" s="13">
        <v>3.9937960449786737E-2</v>
      </c>
      <c r="H9" s="13">
        <v>6.3546023155085396E-2</v>
      </c>
      <c r="I9" s="13">
        <v>5.5243408171044131E-2</v>
      </c>
      <c r="J9" s="13">
        <v>5.0390429179576778E-2</v>
      </c>
      <c r="K9" s="13">
        <v>5.4646017358712357E-2</v>
      </c>
      <c r="L9" t="str">
        <f t="shared" si="0"/>
        <v>بندرانزلي 0.05</v>
      </c>
      <c r="M9" s="14"/>
    </row>
    <row r="10" spans="1:13">
      <c r="A10" s="4" t="s">
        <v>44</v>
      </c>
      <c r="B10" s="13">
        <v>5.3648068669527899E-2</v>
      </c>
      <c r="C10" s="13">
        <v>5.1331289929465639E-2</v>
      </c>
      <c r="D10" s="13">
        <v>6.2473537992193344E-2</v>
      </c>
      <c r="E10" s="13">
        <v>0</v>
      </c>
      <c r="F10" s="13">
        <v>5.3827066234014127E-2</v>
      </c>
      <c r="G10" s="13">
        <v>5.1348806292582948E-2</v>
      </c>
      <c r="H10" s="13">
        <v>5.755224058625754E-2</v>
      </c>
      <c r="I10" s="13">
        <v>7.5761882439775857E-2</v>
      </c>
      <c r="J10" s="13">
        <v>9.8195204265526262E-2</v>
      </c>
      <c r="K10" s="13">
        <v>7.9039685629134077E-2</v>
      </c>
      <c r="L10" t="str">
        <f t="shared" si="0"/>
        <v>تالش 0.07</v>
      </c>
      <c r="M10" s="14"/>
    </row>
    <row r="11" spans="1:13">
      <c r="A11" s="4" t="s">
        <v>45</v>
      </c>
      <c r="B11" s="13">
        <v>0.33069547042774861</v>
      </c>
      <c r="C11" s="13">
        <v>0.55190368920565747</v>
      </c>
      <c r="D11" s="13">
        <v>0.37939124332287422</v>
      </c>
      <c r="E11" s="13">
        <v>0.36567164179104478</v>
      </c>
      <c r="F11" s="13">
        <v>0.54495132658904366</v>
      </c>
      <c r="G11" s="13">
        <v>0.55187503462028475</v>
      </c>
      <c r="H11" s="13">
        <v>0.3553925405735841</v>
      </c>
      <c r="I11" s="13">
        <v>0.39283041621273529</v>
      </c>
      <c r="J11" s="13">
        <v>0.37595112264879271</v>
      </c>
      <c r="K11" s="13">
        <v>0.3835253018388049</v>
      </c>
      <c r="L11" t="str">
        <f t="shared" si="0"/>
        <v>رشت 0.38</v>
      </c>
      <c r="M11" s="14"/>
    </row>
    <row r="12" spans="1:13">
      <c r="A12" s="4" t="s">
        <v>54</v>
      </c>
      <c r="B12" s="13">
        <v>2.4203455813137195E-2</v>
      </c>
      <c r="C12" s="13">
        <v>1.2038849292809926E-2</v>
      </c>
      <c r="D12" s="13">
        <v>2.4391446319098464E-2</v>
      </c>
      <c r="E12" s="13">
        <v>3.7313432835820892E-2</v>
      </c>
      <c r="F12" s="13">
        <v>3.817522427944264E-4</v>
      </c>
      <c r="G12" s="13">
        <v>1.202016285381931E-2</v>
      </c>
      <c r="H12" s="13">
        <v>2.3609837556564459E-2</v>
      </c>
      <c r="I12" s="13">
        <v>2.6766185196541021E-2</v>
      </c>
      <c r="J12" s="13">
        <v>3.113223888507146E-2</v>
      </c>
      <c r="K12" s="13">
        <v>2.7320893076670981E-2</v>
      </c>
      <c r="L12" t="str">
        <f t="shared" si="0"/>
        <v>رضوانشهر 0.02</v>
      </c>
      <c r="M12" s="14"/>
    </row>
    <row r="13" spans="1:13">
      <c r="A13" s="4" t="s">
        <v>46</v>
      </c>
      <c r="B13" s="13">
        <v>4.2439810456786381E-2</v>
      </c>
      <c r="C13" s="13">
        <v>3.2829868163521549E-2</v>
      </c>
      <c r="D13" s="13">
        <v>3.4306361901668629E-2</v>
      </c>
      <c r="E13" s="13">
        <v>9.3283582089552244E-2</v>
      </c>
      <c r="F13" s="13">
        <v>1.603359419736591E-2</v>
      </c>
      <c r="G13" s="13">
        <v>3.2847726139699773E-2</v>
      </c>
      <c r="H13" s="13">
        <v>3.7736974332595291E-2</v>
      </c>
      <c r="I13" s="13">
        <v>3.5110756146362693E-2</v>
      </c>
      <c r="J13" s="13">
        <v>3.9352645821599044E-2</v>
      </c>
      <c r="K13" s="13">
        <v>3.6843413090272385E-2</v>
      </c>
      <c r="L13" t="str">
        <f t="shared" si="0"/>
        <v>رودبار 0.03</v>
      </c>
      <c r="M13" s="14"/>
    </row>
    <row r="14" spans="1:13">
      <c r="A14" s="4" t="s">
        <v>47</v>
      </c>
      <c r="B14" s="13">
        <v>7.4197871627550774E-2</v>
      </c>
      <c r="C14" s="13">
        <v>4.2800694264928545E-2</v>
      </c>
      <c r="D14" s="13">
        <v>6.4025009134830085E-2</v>
      </c>
      <c r="E14" s="13">
        <v>3.3582089552238806E-2</v>
      </c>
      <c r="F14" s="13">
        <v>4.6764649742317234E-2</v>
      </c>
      <c r="G14" s="13">
        <v>4.2762975682712014E-2</v>
      </c>
      <c r="H14" s="13">
        <v>6.9465256189475091E-2</v>
      </c>
      <c r="I14" s="13">
        <v>5.6903189370690367E-2</v>
      </c>
      <c r="J14" s="13">
        <v>5.2475930129982459E-2</v>
      </c>
      <c r="K14" s="13">
        <v>5.7577473370332019E-2</v>
      </c>
      <c r="L14" t="str">
        <f t="shared" si="0"/>
        <v>رودسر 0.05</v>
      </c>
      <c r="M14" s="14"/>
    </row>
    <row r="15" spans="1:13">
      <c r="A15" s="4" t="s">
        <v>55</v>
      </c>
      <c r="B15" s="13">
        <v>2.394020134977743E-2</v>
      </c>
      <c r="C15" s="13">
        <v>1.7578197126924922E-2</v>
      </c>
      <c r="D15" s="13">
        <v>1.9780532082103272E-2</v>
      </c>
      <c r="E15" s="13">
        <v>2.2388059701492536E-2</v>
      </c>
      <c r="F15" s="13">
        <v>2.9585798816568046E-2</v>
      </c>
      <c r="G15" s="13">
        <v>1.7614800864122305E-2</v>
      </c>
      <c r="H15" s="13">
        <v>2.0926054316790791E-2</v>
      </c>
      <c r="I15" s="13">
        <v>1.7596849304727814E-2</v>
      </c>
      <c r="J15" s="13">
        <v>1.7796733632889888E-2</v>
      </c>
      <c r="K15" s="13">
        <v>1.8455748515616224E-2</v>
      </c>
      <c r="L15" t="str">
        <f t="shared" si="0"/>
        <v>سياهكل 0.01</v>
      </c>
      <c r="M15" s="14"/>
    </row>
    <row r="16" spans="1:13">
      <c r="A16" s="4" t="s">
        <v>52</v>
      </c>
      <c r="B16" s="13">
        <v>2.5567592577819615E-2</v>
      </c>
      <c r="C16" s="13">
        <v>1.4734665238745892E-2</v>
      </c>
      <c r="D16" s="13">
        <v>2.3109670160135022E-2</v>
      </c>
      <c r="E16" s="13">
        <v>4.4776119402985072E-2</v>
      </c>
      <c r="F16" s="13">
        <v>1.3933956861996563E-2</v>
      </c>
      <c r="G16" s="13">
        <v>1.4734393175649476E-2</v>
      </c>
      <c r="H16" s="13">
        <v>2.4206233832069719E-2</v>
      </c>
      <c r="I16" s="13">
        <v>2.10860243813564E-2</v>
      </c>
      <c r="J16" s="13">
        <v>1.8847514089749957E-2</v>
      </c>
      <c r="K16" s="13">
        <v>2.0858688510969593E-2</v>
      </c>
      <c r="L16" t="str">
        <f t="shared" si="0"/>
        <v>شفت 0.02</v>
      </c>
      <c r="M16" s="14"/>
    </row>
    <row r="17" spans="1:13">
      <c r="A17" s="4" t="s">
        <v>48</v>
      </c>
      <c r="B17" s="13">
        <v>5.3416723838090527E-2</v>
      </c>
      <c r="C17" s="13">
        <v>2.0310942058421655E-2</v>
      </c>
      <c r="D17" s="13">
        <v>5.0264765075369595E-2</v>
      </c>
      <c r="E17" s="13">
        <v>2.6119402985074626E-2</v>
      </c>
      <c r="F17" s="13">
        <v>2.7104409238404275E-2</v>
      </c>
      <c r="G17" s="13">
        <v>2.0273638730404917E-2</v>
      </c>
      <c r="H17" s="13">
        <v>5.091733202126153E-2</v>
      </c>
      <c r="I17" s="13">
        <v>4.7736649292239849E-2</v>
      </c>
      <c r="J17" s="13">
        <v>4.8955356743406522E-2</v>
      </c>
      <c r="K17" s="13">
        <v>4.8398450301800337E-2</v>
      </c>
      <c r="L17" t="str">
        <f t="shared" si="0"/>
        <v>صومعه سرا 0.04</v>
      </c>
      <c r="M17" s="14"/>
    </row>
    <row r="18" spans="1:13">
      <c r="A18" s="4" t="s">
        <v>49</v>
      </c>
      <c r="B18" s="13">
        <v>4.3405076822438854E-2</v>
      </c>
      <c r="C18" s="13">
        <v>2.4299272498984451E-2</v>
      </c>
      <c r="D18" s="13">
        <v>3.9476965728437452E-2</v>
      </c>
      <c r="E18" s="13">
        <v>4.1044776119402986E-2</v>
      </c>
      <c r="F18" s="13">
        <v>2.2523382324871159E-2</v>
      </c>
      <c r="G18" s="13">
        <v>2.4317287985376392E-2</v>
      </c>
      <c r="H18" s="13">
        <v>4.1039518708205665E-2</v>
      </c>
      <c r="I18" s="13">
        <v>3.4974693229378781E-2</v>
      </c>
      <c r="J18" s="13">
        <v>3.4234106085234813E-2</v>
      </c>
      <c r="K18" s="13">
        <v>3.5833308971847867E-2</v>
      </c>
      <c r="L18" t="str">
        <f t="shared" si="0"/>
        <v>فومن 0.03</v>
      </c>
      <c r="M18" s="14"/>
    </row>
    <row r="19" spans="1:13">
      <c r="A19" s="4" t="s">
        <v>51</v>
      </c>
      <c r="B19" s="13">
        <v>8.3675032308502317E-2</v>
      </c>
      <c r="C19" s="13">
        <v>8.9515860999298355E-2</v>
      </c>
      <c r="D19" s="13">
        <v>7.1109577361861076E-2</v>
      </c>
      <c r="E19" s="13">
        <v>4.4776119402985072E-2</v>
      </c>
      <c r="F19" s="13">
        <v>0.13857606413437679</v>
      </c>
      <c r="G19" s="13">
        <v>8.9514208164847953E-2</v>
      </c>
      <c r="H19" s="13">
        <v>7.8478294903048335E-2</v>
      </c>
      <c r="I19" s="13">
        <v>6.6011949306312101E-2</v>
      </c>
      <c r="J19" s="13">
        <v>6.017668253926374E-2</v>
      </c>
      <c r="K19" s="13">
        <v>6.677842177578304E-2</v>
      </c>
      <c r="L19" t="str">
        <f t="shared" si="0"/>
        <v>لاهيجان 0.06</v>
      </c>
      <c r="M19" s="14"/>
    </row>
    <row r="20" spans="1:13">
      <c r="A20" s="4" t="s">
        <v>50</v>
      </c>
      <c r="B20" s="13">
        <v>6.3962857188442329E-2</v>
      </c>
      <c r="C20" s="13">
        <v>3.8590789911001143E-2</v>
      </c>
      <c r="D20" s="13">
        <v>5.9077701154758522E-2</v>
      </c>
      <c r="E20" s="13">
        <v>0.12313432835820895</v>
      </c>
      <c r="F20" s="13">
        <v>1.3170452376407711E-2</v>
      </c>
      <c r="G20" s="13">
        <v>3.8608541516645431E-2</v>
      </c>
      <c r="H20" s="13">
        <v>6.236068555751869E-2</v>
      </c>
      <c r="I20" s="13">
        <v>5.560500003261782E-2</v>
      </c>
      <c r="J20" s="13">
        <v>5.1773880305093417E-2</v>
      </c>
      <c r="K20" s="13">
        <v>5.5158762518598074E-2</v>
      </c>
      <c r="L20" t="str">
        <f t="shared" si="0"/>
        <v>لنگرود 0.05</v>
      </c>
      <c r="M20" s="14"/>
    </row>
    <row r="21" spans="1:13">
      <c r="A21" s="4" t="s">
        <v>57</v>
      </c>
      <c r="B21" s="13">
        <v>1.8683089490562726E-2</v>
      </c>
      <c r="C21" s="13">
        <v>1.1078695668229993E-2</v>
      </c>
      <c r="D21" s="13">
        <v>1.8832249720155205E-2</v>
      </c>
      <c r="E21" s="13">
        <v>2.6119402985074626E-2</v>
      </c>
      <c r="F21" s="13">
        <v>1.1070815041038367E-2</v>
      </c>
      <c r="G21" s="13">
        <v>1.1078491109510884E-2</v>
      </c>
      <c r="H21" s="13">
        <v>1.8965401561067251E-2</v>
      </c>
      <c r="I21" s="13">
        <v>2.0202547358748518E-2</v>
      </c>
      <c r="J21" s="13">
        <v>2.3385600866320307E-2</v>
      </c>
      <c r="K21" s="13">
        <v>2.0774833713628944E-2</v>
      </c>
      <c r="L21" t="str">
        <f t="shared" si="0"/>
        <v>ماسال 0.02</v>
      </c>
      <c r="M21" s="14"/>
    </row>
    <row r="22" spans="1:13">
      <c r="A22" s="3" t="s">
        <v>474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t="str">
        <f t="shared" si="0"/>
        <v xml:space="preserve">Grand Total </v>
      </c>
      <c r="M22" s="14"/>
    </row>
    <row r="23" spans="1:13">
      <c r="L23" t="str">
        <f t="shared" si="0"/>
        <v xml:space="preserve"> </v>
      </c>
      <c r="M23" s="14"/>
    </row>
    <row r="24" spans="1:13">
      <c r="L24" t="str">
        <f t="shared" si="0"/>
        <v xml:space="preserve"> </v>
      </c>
      <c r="M24" s="14"/>
    </row>
    <row r="25" spans="1:13">
      <c r="L25" t="str">
        <f t="shared" si="0"/>
        <v xml:space="preserve"> </v>
      </c>
      <c r="M25" s="14"/>
    </row>
    <row r="26" spans="1:13">
      <c r="L26" t="str">
        <f t="shared" si="0"/>
        <v xml:space="preserve"> </v>
      </c>
    </row>
    <row r="27" spans="1:13">
      <c r="L27" t="str">
        <f t="shared" si="0"/>
        <v xml:space="preserve"> </v>
      </c>
    </row>
    <row r="28" spans="1:13">
      <c r="L28" t="str">
        <f t="shared" si="0"/>
        <v xml:space="preserve"> </v>
      </c>
    </row>
    <row r="29" spans="1:13">
      <c r="L29" t="str">
        <f t="shared" si="0"/>
        <v xml:space="preserve"> </v>
      </c>
    </row>
    <row r="30" spans="1:13">
      <c r="L30" t="str">
        <f t="shared" si="0"/>
        <v xml:space="preserve"> </v>
      </c>
    </row>
    <row r="31" spans="1:13">
      <c r="L31" t="str">
        <f t="shared" si="0"/>
        <v xml:space="preserve"> </v>
      </c>
    </row>
    <row r="32" spans="1:13">
      <c r="L32" t="str">
        <f t="shared" si="0"/>
        <v xml:space="preserve"> </v>
      </c>
    </row>
    <row r="33" spans="12:12">
      <c r="L33" t="str">
        <f t="shared" si="0"/>
        <v xml:space="preserve"> </v>
      </c>
    </row>
    <row r="34" spans="12:12">
      <c r="L34" t="str">
        <f t="shared" si="0"/>
        <v xml:space="preserve"> </v>
      </c>
    </row>
    <row r="35" spans="12:12">
      <c r="L35" t="str">
        <f t="shared" si="0"/>
        <v xml:space="preserve"> </v>
      </c>
    </row>
    <row r="36" spans="12:12">
      <c r="L36" t="str">
        <f t="shared" si="0"/>
        <v xml:space="preserve"> </v>
      </c>
    </row>
    <row r="37" spans="12:12">
      <c r="L37" t="str">
        <f t="shared" si="0"/>
        <v xml:space="preserve"> </v>
      </c>
    </row>
    <row r="38" spans="12:12">
      <c r="L38" t="str">
        <f t="shared" si="0"/>
        <v xml:space="preserve"> </v>
      </c>
    </row>
    <row r="821" spans="4:4">
      <c r="D821" t="e">
        <f>GETPIVOTDATA("VaccineNeed",distPivot!$A$3,"Province","مركزئ","District","فراهان","Class","AP")</f>
        <v>#REF!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I5"/>
  <sheetViews>
    <sheetView workbookViewId="0">
      <selection activeCell="J4" sqref="J4"/>
    </sheetView>
  </sheetViews>
  <sheetFormatPr defaultRowHeight="15"/>
  <cols>
    <col min="1" max="1" width="14" customWidth="1"/>
    <col min="2" max="2" width="13.140625" customWidth="1"/>
  </cols>
  <sheetData>
    <row r="1" spans="1:9">
      <c r="A1">
        <f>GETPIVOTDATA("VaccineNeed",pivot!$A$3,"Class","EI")</f>
        <v>34305540</v>
      </c>
      <c r="B1" t="s">
        <v>0</v>
      </c>
      <c r="F1" t="s">
        <v>0</v>
      </c>
      <c r="G1" t="s">
        <v>1</v>
      </c>
      <c r="H1" t="s">
        <v>2</v>
      </c>
      <c r="I1" t="s">
        <v>3</v>
      </c>
    </row>
    <row r="2" spans="1:9">
      <c r="A2" t="s">
        <v>5</v>
      </c>
      <c r="B2" t="s">
        <v>1</v>
      </c>
      <c r="F2" t="s">
        <v>7</v>
      </c>
      <c r="G2" t="s">
        <v>11</v>
      </c>
      <c r="H2" t="s">
        <v>13</v>
      </c>
      <c r="I2" t="s">
        <v>14</v>
      </c>
    </row>
    <row r="3" spans="1:9">
      <c r="A3" t="s">
        <v>6</v>
      </c>
      <c r="B3" t="s">
        <v>2</v>
      </c>
      <c r="F3" t="s">
        <v>8</v>
      </c>
      <c r="G3" t="s">
        <v>12</v>
      </c>
      <c r="I3" t="s">
        <v>15</v>
      </c>
    </row>
    <row r="4" spans="1:9">
      <c r="B4" t="s">
        <v>3</v>
      </c>
      <c r="F4" t="s">
        <v>9</v>
      </c>
      <c r="I4" t="s">
        <v>16</v>
      </c>
    </row>
    <row r="5" spans="1:9">
      <c r="F5" t="s">
        <v>10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I430"/>
  <sheetViews>
    <sheetView topLeftCell="A424" workbookViewId="0">
      <selection activeCell="G440" sqref="G440"/>
    </sheetView>
  </sheetViews>
  <sheetFormatPr defaultRowHeight="15"/>
  <cols>
    <col min="3" max="3" width="14.42578125" customWidth="1"/>
  </cols>
  <sheetData>
    <row r="1" spans="1:9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t="s">
        <v>518</v>
      </c>
      <c r="I1" t="s">
        <v>519</v>
      </c>
    </row>
    <row r="2" spans="1:9">
      <c r="A2" t="s">
        <v>520</v>
      </c>
      <c r="B2" t="s">
        <v>88</v>
      </c>
      <c r="C2" t="s">
        <v>521</v>
      </c>
      <c r="D2">
        <v>43.927230834960938</v>
      </c>
      <c r="E2">
        <v>67.529922485351563</v>
      </c>
      <c r="F2">
        <v>57</v>
      </c>
      <c r="G2">
        <f>SUM(D2:F2)*3</f>
        <v>505.3714599609375</v>
      </c>
      <c r="H2">
        <f>IFERROR(3*VLOOKUP(B2,[1]beds_provinces_district!$B$2:$C$373,2,0),0)</f>
        <v>504</v>
      </c>
      <c r="I2">
        <f>ROUND(SUM(G2:H2)*2,0)</f>
        <v>2019</v>
      </c>
    </row>
    <row r="3" spans="1:9">
      <c r="A3" t="s">
        <v>522</v>
      </c>
      <c r="B3" t="s">
        <v>83</v>
      </c>
      <c r="C3" t="s">
        <v>521</v>
      </c>
      <c r="D3">
        <v>43</v>
      </c>
      <c r="E3">
        <v>68</v>
      </c>
      <c r="F3">
        <v>141</v>
      </c>
      <c r="G3">
        <f t="shared" ref="G3:G66" si="0">SUM(D3:F3)*2</f>
        <v>504</v>
      </c>
      <c r="H3">
        <f>IFERROR(3*VLOOKUP(B3,[1]beds_provinces_district!$B$2:$C$373,2,0),0)</f>
        <v>549</v>
      </c>
      <c r="I3">
        <f t="shared" ref="I3:I66" si="1">ROUND(SUM(G3:H3)*2,0)</f>
        <v>2106</v>
      </c>
    </row>
    <row r="4" spans="1:9">
      <c r="A4" t="s">
        <v>523</v>
      </c>
      <c r="B4" t="s">
        <v>87</v>
      </c>
      <c r="C4" t="s">
        <v>521</v>
      </c>
      <c r="D4">
        <v>46.292224884033203</v>
      </c>
      <c r="E4">
        <v>67.023460388183594</v>
      </c>
      <c r="F4">
        <v>126</v>
      </c>
      <c r="G4">
        <f t="shared" si="0"/>
        <v>478.63137054443359</v>
      </c>
      <c r="H4">
        <f>IFERROR(3*VLOOKUP(B4,[1]beds_provinces_district!$B$2:$C$373,2,0),0)</f>
        <v>264</v>
      </c>
      <c r="I4">
        <f t="shared" si="1"/>
        <v>1485</v>
      </c>
    </row>
    <row r="5" spans="1:9">
      <c r="A5" t="s">
        <v>524</v>
      </c>
      <c r="B5" t="s">
        <v>82</v>
      </c>
      <c r="C5" t="s">
        <v>521</v>
      </c>
      <c r="D5">
        <v>1434.9488525390625</v>
      </c>
      <c r="E5">
        <v>2077.56787109375</v>
      </c>
      <c r="F5">
        <v>104</v>
      </c>
      <c r="G5">
        <f t="shared" si="0"/>
        <v>7233.033447265625</v>
      </c>
      <c r="H5">
        <f>IFERROR(3*VLOOKUP(B5,[1]beds_provinces_district!$B$2:$C$373,2,0),0)</f>
        <v>14349</v>
      </c>
      <c r="I5">
        <f t="shared" si="1"/>
        <v>43164</v>
      </c>
    </row>
    <row r="6" spans="1:9">
      <c r="A6" t="s">
        <v>525</v>
      </c>
      <c r="B6" t="s">
        <v>99</v>
      </c>
      <c r="C6" t="s">
        <v>521</v>
      </c>
      <c r="D6">
        <v>23.072769165039063</v>
      </c>
      <c r="E6">
        <v>35.470077514648438</v>
      </c>
      <c r="F6">
        <v>56</v>
      </c>
      <c r="G6">
        <f t="shared" si="0"/>
        <v>229.085693359375</v>
      </c>
      <c r="H6">
        <f>IFERROR(3*VLOOKUP(B6,[1]beds_provinces_district!$B$2:$C$373,2,0),0)</f>
        <v>144</v>
      </c>
      <c r="I6">
        <f t="shared" si="1"/>
        <v>746</v>
      </c>
    </row>
    <row r="7" spans="1:9">
      <c r="A7" t="s">
        <v>526</v>
      </c>
      <c r="B7" t="s">
        <v>94</v>
      </c>
      <c r="C7" t="s">
        <v>521</v>
      </c>
      <c r="D7">
        <v>32.449920654296875</v>
      </c>
      <c r="E7">
        <v>55.670963287353516</v>
      </c>
      <c r="F7">
        <v>95</v>
      </c>
      <c r="G7">
        <f t="shared" si="0"/>
        <v>366.24176788330078</v>
      </c>
      <c r="H7">
        <f>IFERROR(3*VLOOKUP(B7,[1]beds_provinces_district!$B$2:$C$373,2,0),0)</f>
        <v>222</v>
      </c>
      <c r="I7">
        <f t="shared" si="1"/>
        <v>1176</v>
      </c>
    </row>
    <row r="8" spans="1:9">
      <c r="A8" t="s">
        <v>527</v>
      </c>
      <c r="B8" t="s">
        <v>90</v>
      </c>
      <c r="C8" t="s">
        <v>521</v>
      </c>
      <c r="D8">
        <v>31</v>
      </c>
      <c r="E8">
        <v>77</v>
      </c>
      <c r="F8">
        <v>108</v>
      </c>
      <c r="G8">
        <f t="shared" si="0"/>
        <v>432</v>
      </c>
      <c r="H8">
        <f>IFERROR(3*VLOOKUP(B8,[1]beds_provinces_district!$B$2:$C$373,2,0),0)</f>
        <v>282</v>
      </c>
      <c r="I8">
        <f t="shared" si="1"/>
        <v>1428</v>
      </c>
    </row>
    <row r="9" spans="1:9">
      <c r="A9" t="s">
        <v>528</v>
      </c>
      <c r="B9" t="s">
        <v>84</v>
      </c>
      <c r="C9" t="s">
        <v>521</v>
      </c>
      <c r="D9">
        <v>76.550079345703125</v>
      </c>
      <c r="E9">
        <v>131.32904052734375</v>
      </c>
      <c r="F9">
        <v>114</v>
      </c>
      <c r="G9">
        <f t="shared" si="0"/>
        <v>643.75823974609375</v>
      </c>
      <c r="H9">
        <f>IFERROR(3*VLOOKUP(B9,[1]beds_provinces_district!$B$2:$C$373,2,0),0)</f>
        <v>1128</v>
      </c>
      <c r="I9">
        <f t="shared" si="1"/>
        <v>3544</v>
      </c>
    </row>
    <row r="10" spans="1:9">
      <c r="A10" t="s">
        <v>529</v>
      </c>
      <c r="B10" t="s">
        <v>86</v>
      </c>
      <c r="C10" t="s">
        <v>521</v>
      </c>
      <c r="D10">
        <v>75</v>
      </c>
      <c r="E10">
        <v>123</v>
      </c>
      <c r="F10">
        <v>208</v>
      </c>
      <c r="G10">
        <f t="shared" si="0"/>
        <v>812</v>
      </c>
      <c r="H10">
        <f>IFERROR(3*VLOOKUP(B10,[1]beds_provinces_district!$B$2:$C$373,2,0),0)</f>
        <v>480</v>
      </c>
      <c r="I10">
        <f t="shared" si="1"/>
        <v>2584</v>
      </c>
    </row>
    <row r="11" spans="1:9">
      <c r="A11" t="s">
        <v>530</v>
      </c>
      <c r="B11" t="s">
        <v>93</v>
      </c>
      <c r="C11" t="s">
        <v>521</v>
      </c>
      <c r="D11">
        <v>15.623476982116699</v>
      </c>
      <c r="E11">
        <v>29.644546508789063</v>
      </c>
      <c r="F11">
        <v>33</v>
      </c>
      <c r="G11">
        <f t="shared" si="0"/>
        <v>156.53604698181152</v>
      </c>
      <c r="H11">
        <f>IFERROR(3*VLOOKUP(B11,[1]beds_provinces_district!$B$2:$C$373,2,0),0)</f>
        <v>144</v>
      </c>
      <c r="I11">
        <f t="shared" si="1"/>
        <v>601</v>
      </c>
    </row>
    <row r="12" spans="1:9">
      <c r="A12" t="s">
        <v>531</v>
      </c>
      <c r="B12" t="s">
        <v>81</v>
      </c>
      <c r="C12" t="s">
        <v>521</v>
      </c>
      <c r="D12">
        <v>46.964683532714844</v>
      </c>
      <c r="E12">
        <v>95.009010314941406</v>
      </c>
      <c r="F12">
        <v>115</v>
      </c>
      <c r="G12">
        <f t="shared" si="0"/>
        <v>513.9473876953125</v>
      </c>
      <c r="H12">
        <f>IFERROR(3*VLOOKUP(B12,[1]beds_provinces_district!$B$2:$C$373,2,0),0)</f>
        <v>492</v>
      </c>
      <c r="I12">
        <f t="shared" si="1"/>
        <v>2012</v>
      </c>
    </row>
    <row r="13" spans="1:9">
      <c r="A13" t="s">
        <v>532</v>
      </c>
      <c r="B13" t="s">
        <v>89</v>
      </c>
      <c r="C13" t="s">
        <v>521</v>
      </c>
      <c r="D13">
        <v>76.698333740234375</v>
      </c>
      <c r="E13">
        <v>111.04645538330078</v>
      </c>
      <c r="F13">
        <v>109</v>
      </c>
      <c r="G13">
        <f t="shared" si="0"/>
        <v>593.48957824707031</v>
      </c>
      <c r="H13">
        <f>IFERROR(3*VLOOKUP(B13,[1]beds_provinces_district!$B$2:$C$373,2,0),0)</f>
        <v>180</v>
      </c>
      <c r="I13">
        <f t="shared" si="1"/>
        <v>1547</v>
      </c>
    </row>
    <row r="14" spans="1:9">
      <c r="A14" t="s">
        <v>533</v>
      </c>
      <c r="B14" t="s">
        <v>92</v>
      </c>
      <c r="C14" t="s">
        <v>521</v>
      </c>
      <c r="D14">
        <v>55.918262481689453</v>
      </c>
      <c r="E14">
        <v>80.960365295410156</v>
      </c>
      <c r="F14">
        <v>69</v>
      </c>
      <c r="G14">
        <f t="shared" si="0"/>
        <v>411.75725555419922</v>
      </c>
      <c r="H14">
        <f>IFERROR(3*VLOOKUP(B14,[1]beds_provinces_district!$B$2:$C$373,2,0),0)</f>
        <v>105</v>
      </c>
      <c r="I14">
        <f t="shared" si="1"/>
        <v>1034</v>
      </c>
    </row>
    <row r="15" spans="1:9">
      <c r="A15" t="s">
        <v>534</v>
      </c>
      <c r="B15" t="s">
        <v>91</v>
      </c>
      <c r="C15" t="s">
        <v>521</v>
      </c>
      <c r="D15">
        <v>14.018287658691406</v>
      </c>
      <c r="E15">
        <v>28.358835220336914</v>
      </c>
      <c r="F15">
        <v>81</v>
      </c>
      <c r="G15">
        <f t="shared" si="0"/>
        <v>246.75424575805664</v>
      </c>
      <c r="H15">
        <f>IFERROR(3*VLOOKUP(B15,[1]beds_provinces_district!$B$2:$C$373,2,0),0)</f>
        <v>135</v>
      </c>
      <c r="I15">
        <f t="shared" si="1"/>
        <v>764</v>
      </c>
    </row>
    <row r="16" spans="1:9">
      <c r="A16" t="s">
        <v>535</v>
      </c>
      <c r="B16" t="s">
        <v>85</v>
      </c>
      <c r="C16" t="s">
        <v>521</v>
      </c>
      <c r="D16">
        <v>62.376522064208984</v>
      </c>
      <c r="E16">
        <v>118.35545349121094</v>
      </c>
      <c r="F16">
        <v>137</v>
      </c>
      <c r="G16">
        <f t="shared" si="0"/>
        <v>635.46395111083984</v>
      </c>
      <c r="H16">
        <f>IFERROR(3*VLOOKUP(B16,[1]beds_provinces_district!$B$2:$C$373,2,0),0)</f>
        <v>441</v>
      </c>
      <c r="I16">
        <f t="shared" si="1"/>
        <v>2153</v>
      </c>
    </row>
    <row r="17" spans="1:9">
      <c r="A17" t="s">
        <v>536</v>
      </c>
      <c r="B17" t="s">
        <v>96</v>
      </c>
      <c r="C17" t="s">
        <v>521</v>
      </c>
      <c r="D17">
        <v>13</v>
      </c>
      <c r="E17">
        <v>47</v>
      </c>
      <c r="F17">
        <v>46</v>
      </c>
      <c r="G17">
        <f t="shared" si="0"/>
        <v>212</v>
      </c>
      <c r="H17">
        <f>IFERROR(3*VLOOKUP(B17,[1]beds_provinces_district!$B$2:$C$373,2,0),0)</f>
        <v>201</v>
      </c>
      <c r="I17">
        <f t="shared" si="1"/>
        <v>826</v>
      </c>
    </row>
    <row r="18" spans="1:9">
      <c r="A18" t="s">
        <v>537</v>
      </c>
      <c r="B18" t="s">
        <v>538</v>
      </c>
      <c r="C18" t="s">
        <v>521</v>
      </c>
      <c r="D18">
        <v>10.015667915344238</v>
      </c>
      <c r="E18">
        <v>20.261579513549805</v>
      </c>
      <c r="F18">
        <v>67</v>
      </c>
      <c r="G18">
        <f t="shared" si="0"/>
        <v>194.55449485778809</v>
      </c>
      <c r="H18">
        <f>IFERROR(3*VLOOKUP(B18,[1]beds_provinces_district!$B$2:$C$373,2,0),0)</f>
        <v>0</v>
      </c>
      <c r="I18">
        <f t="shared" si="1"/>
        <v>389</v>
      </c>
    </row>
    <row r="19" spans="1:9">
      <c r="A19" t="s">
        <v>539</v>
      </c>
      <c r="B19" t="s">
        <v>98</v>
      </c>
      <c r="C19" t="s">
        <v>521</v>
      </c>
      <c r="D19">
        <v>16.001361846923828</v>
      </c>
      <c r="E19">
        <v>32.370571136474609</v>
      </c>
      <c r="F19">
        <v>69</v>
      </c>
      <c r="G19">
        <f t="shared" si="0"/>
        <v>234.74386596679688</v>
      </c>
      <c r="H19">
        <f>IFERROR(3*VLOOKUP(B19,[1]beds_provinces_district!$B$2:$C$373,2,0),0)</f>
        <v>78</v>
      </c>
      <c r="I19">
        <f t="shared" si="1"/>
        <v>625</v>
      </c>
    </row>
    <row r="20" spans="1:9">
      <c r="A20" t="s">
        <v>540</v>
      </c>
      <c r="B20" t="s">
        <v>97</v>
      </c>
      <c r="C20" t="s">
        <v>521</v>
      </c>
      <c r="D20">
        <v>25.142297744750977</v>
      </c>
      <c r="E20">
        <v>36.401874542236328</v>
      </c>
      <c r="F20">
        <v>48</v>
      </c>
      <c r="G20">
        <f t="shared" si="0"/>
        <v>219.08834457397461</v>
      </c>
      <c r="H20">
        <f>IFERROR(3*VLOOKUP(B20,[1]beds_provinces_district!$B$2:$C$373,2,0),0)</f>
        <v>114</v>
      </c>
      <c r="I20">
        <f t="shared" si="1"/>
        <v>666</v>
      </c>
    </row>
    <row r="21" spans="1:9">
      <c r="A21" t="s">
        <v>541</v>
      </c>
      <c r="B21" t="s">
        <v>95</v>
      </c>
      <c r="C21" t="s">
        <v>521</v>
      </c>
      <c r="D21">
        <v>12</v>
      </c>
      <c r="E21">
        <v>47</v>
      </c>
      <c r="F21">
        <v>52</v>
      </c>
      <c r="G21">
        <f t="shared" si="0"/>
        <v>222</v>
      </c>
      <c r="H21">
        <f>IFERROR(3*VLOOKUP(B21,[1]beds_provinces_district!$B$2:$C$373,2,0),0)</f>
        <v>201</v>
      </c>
      <c r="I21">
        <f t="shared" si="1"/>
        <v>846</v>
      </c>
    </row>
    <row r="22" spans="1:9">
      <c r="A22" t="s">
        <v>542</v>
      </c>
      <c r="B22" t="s">
        <v>103</v>
      </c>
      <c r="C22" t="s">
        <v>543</v>
      </c>
      <c r="D22">
        <v>24.883024215698242</v>
      </c>
      <c r="E22">
        <v>39.160167694091797</v>
      </c>
      <c r="F22">
        <v>82</v>
      </c>
      <c r="G22">
        <f t="shared" si="0"/>
        <v>292.08638381958008</v>
      </c>
      <c r="H22">
        <f>IFERROR(3*VLOOKUP(B22,[1]beds_provinces_district!$B$2:$C$373,2,0),0)</f>
        <v>303</v>
      </c>
      <c r="I22">
        <f t="shared" si="1"/>
        <v>1190</v>
      </c>
    </row>
    <row r="23" spans="1:9">
      <c r="A23" t="s">
        <v>544</v>
      </c>
      <c r="B23" t="s">
        <v>119</v>
      </c>
      <c r="C23" t="s">
        <v>543</v>
      </c>
      <c r="D23">
        <v>10.308748245239258</v>
      </c>
      <c r="E23">
        <v>14.05738353729248</v>
      </c>
      <c r="F23">
        <v>63</v>
      </c>
      <c r="G23">
        <f t="shared" si="0"/>
        <v>174.73226356506348</v>
      </c>
      <c r="H23">
        <f>IFERROR(3*VLOOKUP(B23,[1]beds_provinces_district!$B$2:$C$373,2,0),0)</f>
        <v>93</v>
      </c>
      <c r="I23">
        <f t="shared" si="1"/>
        <v>535</v>
      </c>
    </row>
    <row r="24" spans="1:9">
      <c r="A24" t="s">
        <v>545</v>
      </c>
      <c r="B24" t="s">
        <v>117</v>
      </c>
      <c r="C24" t="s">
        <v>543</v>
      </c>
      <c r="D24">
        <v>14.690814018249512</v>
      </c>
      <c r="E24">
        <v>21.259878158569336</v>
      </c>
      <c r="F24">
        <v>30</v>
      </c>
      <c r="G24">
        <f t="shared" si="0"/>
        <v>131.9013843536377</v>
      </c>
      <c r="H24">
        <f>IFERROR(3*VLOOKUP(B24,[1]beds_provinces_district!$B$2:$C$373,2,0),0)</f>
        <v>168</v>
      </c>
      <c r="I24">
        <f t="shared" si="1"/>
        <v>600</v>
      </c>
    </row>
    <row r="25" spans="1:9">
      <c r="A25" t="s">
        <v>546</v>
      </c>
      <c r="B25" t="s">
        <v>113</v>
      </c>
      <c r="C25" t="s">
        <v>543</v>
      </c>
      <c r="D25">
        <v>143.3184108842151</v>
      </c>
      <c r="E25">
        <v>214.45904244802693</v>
      </c>
      <c r="F25">
        <v>71</v>
      </c>
      <c r="G25">
        <f t="shared" si="0"/>
        <v>857.55490666448407</v>
      </c>
      <c r="H25">
        <f>IFERROR(3*VLOOKUP(B25,[1]beds_provinces_district!$B$2:$C$373,2,0),0)</f>
        <v>288</v>
      </c>
      <c r="I25">
        <f t="shared" si="1"/>
        <v>2291</v>
      </c>
    </row>
    <row r="26" spans="1:9">
      <c r="A26" t="s">
        <v>547</v>
      </c>
      <c r="B26" t="s">
        <v>104</v>
      </c>
      <c r="C26" t="s">
        <v>543</v>
      </c>
      <c r="D26">
        <v>108.30918884277344</v>
      </c>
      <c r="E26">
        <v>156.74012756347656</v>
      </c>
      <c r="F26">
        <v>169</v>
      </c>
      <c r="G26">
        <f t="shared" si="0"/>
        <v>868.0986328125</v>
      </c>
      <c r="H26">
        <f>IFERROR(3*VLOOKUP(B26,[1]beds_provinces_district!$B$2:$C$373,2,0),0)</f>
        <v>0</v>
      </c>
      <c r="I26">
        <f t="shared" si="1"/>
        <v>1736</v>
      </c>
    </row>
    <row r="27" spans="1:9">
      <c r="A27" t="s">
        <v>548</v>
      </c>
      <c r="B27" t="s">
        <v>109</v>
      </c>
      <c r="C27" t="s">
        <v>543</v>
      </c>
      <c r="D27">
        <v>96</v>
      </c>
      <c r="E27">
        <v>140</v>
      </c>
      <c r="F27">
        <v>189</v>
      </c>
      <c r="G27">
        <f t="shared" si="0"/>
        <v>850</v>
      </c>
      <c r="H27">
        <f>IFERROR(3*VLOOKUP(B27,[1]beds_provinces_district!$B$2:$C$373,2,0),0)</f>
        <v>882</v>
      </c>
      <c r="I27">
        <f t="shared" si="1"/>
        <v>3464</v>
      </c>
    </row>
    <row r="28" spans="1:9">
      <c r="A28" t="s">
        <v>549</v>
      </c>
      <c r="B28" t="s">
        <v>106</v>
      </c>
      <c r="C28" t="s">
        <v>543</v>
      </c>
      <c r="D28">
        <v>35</v>
      </c>
      <c r="E28">
        <v>92</v>
      </c>
      <c r="F28">
        <v>115</v>
      </c>
      <c r="G28">
        <f t="shared" si="0"/>
        <v>484</v>
      </c>
      <c r="H28">
        <f>IFERROR(3*VLOOKUP(B28,[1]beds_provinces_district!$B$2:$C$373,2,0),0)</f>
        <v>546</v>
      </c>
      <c r="I28">
        <f t="shared" si="1"/>
        <v>2060</v>
      </c>
    </row>
    <row r="29" spans="1:9">
      <c r="A29" t="s">
        <v>550</v>
      </c>
      <c r="B29" t="s">
        <v>110</v>
      </c>
      <c r="C29" t="s">
        <v>543</v>
      </c>
      <c r="D29">
        <v>22.877351760864258</v>
      </c>
      <c r="E29">
        <v>36.003700256347656</v>
      </c>
      <c r="F29">
        <v>67</v>
      </c>
      <c r="G29">
        <f t="shared" si="0"/>
        <v>251.76210403442383</v>
      </c>
      <c r="H29">
        <f>IFERROR(3*VLOOKUP(B29,[1]beds_provinces_district!$B$2:$C$373,2,0),0)</f>
        <v>522</v>
      </c>
      <c r="I29">
        <f t="shared" si="1"/>
        <v>1548</v>
      </c>
    </row>
    <row r="30" spans="1:9">
      <c r="A30" t="s">
        <v>551</v>
      </c>
      <c r="B30" t="s">
        <v>108</v>
      </c>
      <c r="C30" t="s">
        <v>543</v>
      </c>
      <c r="D30">
        <v>60.594264984130859</v>
      </c>
      <c r="E30">
        <v>77.906913757324219</v>
      </c>
      <c r="F30">
        <v>122</v>
      </c>
      <c r="G30">
        <f t="shared" si="0"/>
        <v>521.00235748291016</v>
      </c>
      <c r="H30">
        <f>IFERROR(3*VLOOKUP(B30,[1]beds_provinces_district!$B$2:$C$373,2,0),0)</f>
        <v>837</v>
      </c>
      <c r="I30">
        <f t="shared" si="1"/>
        <v>2716</v>
      </c>
    </row>
    <row r="31" spans="1:9">
      <c r="A31" t="s">
        <v>552</v>
      </c>
      <c r="B31" t="s">
        <v>107</v>
      </c>
      <c r="C31" t="s">
        <v>543</v>
      </c>
      <c r="D31">
        <v>17.541830062866211</v>
      </c>
      <c r="E31">
        <v>23.920677185058594</v>
      </c>
      <c r="F31">
        <v>59</v>
      </c>
      <c r="G31">
        <f t="shared" si="0"/>
        <v>200.92501449584961</v>
      </c>
      <c r="H31">
        <f>IFERROR(3*VLOOKUP(B31,[1]beds_provinces_district!$B$2:$C$373,2,0),0)</f>
        <v>441</v>
      </c>
      <c r="I31">
        <f t="shared" si="1"/>
        <v>1284</v>
      </c>
    </row>
    <row r="32" spans="1:9">
      <c r="A32" t="s">
        <v>553</v>
      </c>
      <c r="B32" t="s">
        <v>112</v>
      </c>
      <c r="C32" t="s">
        <v>543</v>
      </c>
      <c r="D32">
        <v>46.935961662091287</v>
      </c>
      <c r="E32">
        <v>66.912172782180022</v>
      </c>
      <c r="F32">
        <v>93</v>
      </c>
      <c r="G32">
        <f t="shared" si="0"/>
        <v>413.69626888854259</v>
      </c>
      <c r="H32">
        <f>IFERROR(3*VLOOKUP(B32,[1]beds_provinces_district!$B$2:$C$373,2,0),0)</f>
        <v>0</v>
      </c>
      <c r="I32">
        <f t="shared" si="1"/>
        <v>827</v>
      </c>
    </row>
    <row r="33" spans="1:9">
      <c r="A33" t="s">
        <v>554</v>
      </c>
      <c r="B33" t="s">
        <v>115</v>
      </c>
      <c r="C33" t="s">
        <v>543</v>
      </c>
      <c r="D33">
        <v>8.3422327041625977</v>
      </c>
      <c r="E33">
        <v>11.375771522521973</v>
      </c>
      <c r="F33">
        <v>66</v>
      </c>
      <c r="G33">
        <f t="shared" si="0"/>
        <v>171.43600845336914</v>
      </c>
      <c r="H33">
        <f>IFERROR(3*VLOOKUP(B33,[1]beds_provinces_district!$B$2:$C$373,2,0),0)</f>
        <v>129</v>
      </c>
      <c r="I33">
        <f t="shared" si="1"/>
        <v>601</v>
      </c>
    </row>
    <row r="34" spans="1:9">
      <c r="A34" t="s">
        <v>555</v>
      </c>
      <c r="B34" t="s">
        <v>102</v>
      </c>
      <c r="C34" t="s">
        <v>543</v>
      </c>
      <c r="D34">
        <v>632</v>
      </c>
      <c r="E34">
        <v>1030</v>
      </c>
      <c r="F34">
        <v>354</v>
      </c>
      <c r="G34">
        <f t="shared" si="0"/>
        <v>4032</v>
      </c>
      <c r="H34">
        <f>IFERROR(3*VLOOKUP(B34,[1]beds_provinces_district!$B$2:$C$373,2,0),0)</f>
        <v>6237</v>
      </c>
      <c r="I34">
        <f t="shared" si="1"/>
        <v>20538</v>
      </c>
    </row>
    <row r="35" spans="1:9">
      <c r="A35" t="s">
        <v>556</v>
      </c>
      <c r="B35" t="s">
        <v>111</v>
      </c>
      <c r="C35" t="s">
        <v>543</v>
      </c>
      <c r="D35">
        <v>56</v>
      </c>
      <c r="E35">
        <v>72</v>
      </c>
      <c r="F35">
        <v>107</v>
      </c>
      <c r="G35">
        <f t="shared" si="0"/>
        <v>470</v>
      </c>
      <c r="H35">
        <f>IFERROR(3*VLOOKUP(B35,[1]beds_provinces_district!$B$2:$C$373,2,0),0)</f>
        <v>789</v>
      </c>
      <c r="I35">
        <f t="shared" si="1"/>
        <v>2518</v>
      </c>
    </row>
    <row r="36" spans="1:9">
      <c r="A36" t="s">
        <v>557</v>
      </c>
      <c r="B36" t="s">
        <v>114</v>
      </c>
      <c r="C36" t="s">
        <v>543</v>
      </c>
      <c r="D36">
        <v>13.2396240234375</v>
      </c>
      <c r="E36">
        <v>20.836130142211914</v>
      </c>
      <c r="F36">
        <v>50</v>
      </c>
      <c r="G36">
        <f t="shared" si="0"/>
        <v>168.15150833129883</v>
      </c>
      <c r="H36">
        <f>IFERROR(3*VLOOKUP(B36,[1]beds_provinces_district!$B$2:$C$373,2,0),0)</f>
        <v>195</v>
      </c>
      <c r="I36">
        <f t="shared" si="1"/>
        <v>726</v>
      </c>
    </row>
    <row r="37" spans="1:9">
      <c r="A37" t="s">
        <v>558</v>
      </c>
      <c r="B37" t="s">
        <v>105</v>
      </c>
      <c r="C37" t="s">
        <v>543</v>
      </c>
      <c r="D37">
        <v>30.405735015869141</v>
      </c>
      <c r="E37">
        <v>39.093086242675781</v>
      </c>
      <c r="F37">
        <v>108</v>
      </c>
      <c r="G37">
        <f t="shared" si="0"/>
        <v>354.99764251708984</v>
      </c>
      <c r="H37">
        <f>IFERROR(3*VLOOKUP(B37,[1]beds_provinces_district!$B$2:$C$373,2,0),0)</f>
        <v>378</v>
      </c>
      <c r="I37">
        <f t="shared" si="1"/>
        <v>1466</v>
      </c>
    </row>
    <row r="38" spans="1:9">
      <c r="A38" t="s">
        <v>559</v>
      </c>
      <c r="B38" t="s">
        <v>116</v>
      </c>
      <c r="C38" t="s">
        <v>543</v>
      </c>
      <c r="D38">
        <v>7.8071889877319336</v>
      </c>
      <c r="E38">
        <v>10.646166801452637</v>
      </c>
      <c r="F38">
        <v>53</v>
      </c>
      <c r="G38">
        <f t="shared" si="0"/>
        <v>142.90671157836914</v>
      </c>
      <c r="H38">
        <f>IFERROR(3*VLOOKUP(B38,[1]beds_provinces_district!$B$2:$C$373,2,0),0)</f>
        <v>105</v>
      </c>
      <c r="I38">
        <f t="shared" si="1"/>
        <v>496</v>
      </c>
    </row>
    <row r="39" spans="1:9">
      <c r="A39" t="s">
        <v>560</v>
      </c>
      <c r="B39" t="s">
        <v>415</v>
      </c>
      <c r="C39" t="s">
        <v>561</v>
      </c>
      <c r="D39">
        <v>18.406270980834961</v>
      </c>
      <c r="E39">
        <v>17.508403778076172</v>
      </c>
      <c r="F39">
        <v>53</v>
      </c>
      <c r="G39">
        <f t="shared" si="0"/>
        <v>177.82934951782227</v>
      </c>
      <c r="H39">
        <f>IFERROR(3*VLOOKUP(B39,[1]beds_provinces_district!$B$2:$C$373,2,0),0)</f>
        <v>0</v>
      </c>
      <c r="I39">
        <f t="shared" si="1"/>
        <v>356</v>
      </c>
    </row>
    <row r="40" spans="1:9">
      <c r="A40" t="s">
        <v>562</v>
      </c>
      <c r="B40" t="s">
        <v>421</v>
      </c>
      <c r="C40" t="s">
        <v>561</v>
      </c>
      <c r="D40">
        <v>28.966485977172852</v>
      </c>
      <c r="E40">
        <v>64.637382507324219</v>
      </c>
      <c r="F40">
        <v>64</v>
      </c>
      <c r="G40">
        <f t="shared" si="0"/>
        <v>315.20773696899414</v>
      </c>
      <c r="H40">
        <f>IFERROR(3*VLOOKUP(B40,[1]beds_provinces_district!$B$2:$C$373,2,0),0)</f>
        <v>84</v>
      </c>
      <c r="I40">
        <f t="shared" si="1"/>
        <v>798</v>
      </c>
    </row>
    <row r="41" spans="1:9">
      <c r="A41" t="s">
        <v>563</v>
      </c>
      <c r="B41" t="s">
        <v>413</v>
      </c>
      <c r="C41" t="s">
        <v>561</v>
      </c>
      <c r="D41">
        <v>289.3792724609375</v>
      </c>
      <c r="E41">
        <v>645.736572265625</v>
      </c>
      <c r="F41">
        <v>138</v>
      </c>
      <c r="G41">
        <f t="shared" si="0"/>
        <v>2146.231689453125</v>
      </c>
      <c r="H41">
        <f>IFERROR(3*VLOOKUP(B41,[1]beds_provinces_district!$B$2:$C$373,2,0),0)</f>
        <v>4101</v>
      </c>
      <c r="I41">
        <f t="shared" si="1"/>
        <v>12494</v>
      </c>
    </row>
    <row r="42" spans="1:9">
      <c r="A42" t="s">
        <v>564</v>
      </c>
      <c r="B42" t="s">
        <v>416</v>
      </c>
      <c r="C42" t="s">
        <v>561</v>
      </c>
      <c r="D42">
        <v>18.324909210205078</v>
      </c>
      <c r="E42">
        <v>42.226966857910156</v>
      </c>
      <c r="F42">
        <v>96</v>
      </c>
      <c r="G42">
        <f t="shared" si="0"/>
        <v>313.10375213623047</v>
      </c>
      <c r="H42">
        <f>IFERROR(3*VLOOKUP(B42,[1]beds_provinces_district!$B$2:$C$373,2,0),0)</f>
        <v>372</v>
      </c>
      <c r="I42">
        <f t="shared" si="1"/>
        <v>1370</v>
      </c>
    </row>
    <row r="43" spans="1:9">
      <c r="A43" t="s">
        <v>565</v>
      </c>
      <c r="B43" t="s">
        <v>417</v>
      </c>
      <c r="C43" t="s">
        <v>561</v>
      </c>
      <c r="D43">
        <v>34</v>
      </c>
      <c r="E43">
        <v>93</v>
      </c>
      <c r="F43">
        <v>166</v>
      </c>
      <c r="G43">
        <f t="shared" si="0"/>
        <v>586</v>
      </c>
      <c r="H43">
        <f>IFERROR(3*VLOOKUP(B43,[1]beds_provinces_district!$B$2:$C$373,2,0),0)</f>
        <v>0</v>
      </c>
      <c r="I43">
        <f t="shared" si="1"/>
        <v>1172</v>
      </c>
    </row>
    <row r="44" spans="1:9">
      <c r="A44" t="s">
        <v>566</v>
      </c>
      <c r="B44" t="s">
        <v>424</v>
      </c>
      <c r="C44" t="s">
        <v>561</v>
      </c>
      <c r="D44">
        <v>8.6910438537597656</v>
      </c>
      <c r="E44">
        <v>19.393665313720703</v>
      </c>
      <c r="F44">
        <v>23</v>
      </c>
      <c r="G44">
        <f t="shared" si="0"/>
        <v>102.16941833496094</v>
      </c>
      <c r="H44">
        <f>IFERROR(3*VLOOKUP(B44,[1]beds_provinces_district!$B$2:$C$373,2,0),0)</f>
        <v>0</v>
      </c>
      <c r="I44">
        <f t="shared" si="1"/>
        <v>204</v>
      </c>
    </row>
    <row r="45" spans="1:9">
      <c r="A45" t="s">
        <v>567</v>
      </c>
      <c r="B45" t="s">
        <v>418</v>
      </c>
      <c r="C45" t="s">
        <v>561</v>
      </c>
      <c r="D45">
        <v>16</v>
      </c>
      <c r="E45">
        <v>27</v>
      </c>
      <c r="F45">
        <v>115</v>
      </c>
      <c r="G45">
        <f t="shared" si="0"/>
        <v>316</v>
      </c>
      <c r="H45">
        <f>IFERROR(3*VLOOKUP(B45,[1]beds_provinces_district!$B$2:$C$373,2,0),0)</f>
        <v>267</v>
      </c>
      <c r="I45">
        <f t="shared" si="1"/>
        <v>1166</v>
      </c>
    </row>
    <row r="46" spans="1:9">
      <c r="A46" t="s">
        <v>568</v>
      </c>
      <c r="B46" t="s">
        <v>419</v>
      </c>
      <c r="C46" t="s">
        <v>561</v>
      </c>
      <c r="D46">
        <v>63.593730926513672</v>
      </c>
      <c r="E46">
        <v>60.491596221923828</v>
      </c>
      <c r="F46">
        <v>92</v>
      </c>
      <c r="G46">
        <f t="shared" si="0"/>
        <v>432.170654296875</v>
      </c>
      <c r="H46">
        <f>IFERROR(3*VLOOKUP(B46,[1]beds_provinces_district!$B$2:$C$373,2,0),0)</f>
        <v>0</v>
      </c>
      <c r="I46">
        <f t="shared" si="1"/>
        <v>864</v>
      </c>
    </row>
    <row r="47" spans="1:9">
      <c r="A47" t="s">
        <v>569</v>
      </c>
      <c r="B47" t="s">
        <v>422</v>
      </c>
      <c r="C47" t="s">
        <v>561</v>
      </c>
      <c r="D47">
        <v>9.9631834030151367</v>
      </c>
      <c r="E47">
        <v>22.232385635375977</v>
      </c>
      <c r="F47">
        <v>34</v>
      </c>
      <c r="G47">
        <f t="shared" si="0"/>
        <v>132.39113807678223</v>
      </c>
      <c r="H47">
        <f>IFERROR(3*VLOOKUP(B47,[1]beds_provinces_district!$B$2:$C$373,2,0),0)</f>
        <v>0</v>
      </c>
      <c r="I47">
        <f t="shared" si="1"/>
        <v>265</v>
      </c>
    </row>
    <row r="48" spans="1:9">
      <c r="A48" t="s">
        <v>570</v>
      </c>
      <c r="B48" t="s">
        <v>420</v>
      </c>
      <c r="C48" t="s">
        <v>561</v>
      </c>
      <c r="D48">
        <v>4.6750903129577637</v>
      </c>
      <c r="E48">
        <v>10.773035049438477</v>
      </c>
      <c r="F48">
        <v>47</v>
      </c>
      <c r="G48">
        <f t="shared" si="0"/>
        <v>124.89625072479248</v>
      </c>
      <c r="H48">
        <f>IFERROR(3*VLOOKUP(B48,[1]beds_provinces_district!$B$2:$C$373,2,0),0)</f>
        <v>54</v>
      </c>
      <c r="I48">
        <f t="shared" si="1"/>
        <v>358</v>
      </c>
    </row>
    <row r="49" spans="1:9">
      <c r="A49" t="s">
        <v>571</v>
      </c>
      <c r="B49" t="s">
        <v>250</v>
      </c>
      <c r="C49" t="s">
        <v>242</v>
      </c>
      <c r="D49">
        <v>58</v>
      </c>
      <c r="E49">
        <v>164</v>
      </c>
      <c r="F49">
        <v>88.715962922808416</v>
      </c>
      <c r="G49">
        <f t="shared" si="0"/>
        <v>621.43192584561689</v>
      </c>
      <c r="H49">
        <f>IFERROR(3*VLOOKUP(B49,[1]beds_provinces_district!$B$2:$C$373,2,0),0)</f>
        <v>615</v>
      </c>
      <c r="I49">
        <f t="shared" si="1"/>
        <v>2473</v>
      </c>
    </row>
    <row r="50" spans="1:9">
      <c r="A50" t="s">
        <v>572</v>
      </c>
      <c r="B50" t="s">
        <v>246</v>
      </c>
      <c r="C50" t="s">
        <v>242</v>
      </c>
      <c r="D50">
        <v>15.566995620727539</v>
      </c>
      <c r="E50">
        <v>20.129735946655273</v>
      </c>
      <c r="F50">
        <v>94.402606513200013</v>
      </c>
      <c r="G50">
        <f t="shared" si="0"/>
        <v>260.19867616116562</v>
      </c>
      <c r="H50">
        <f>IFERROR(3*VLOOKUP(B50,[1]beds_provinces_district!$B$2:$C$373,2,0),0)</f>
        <v>183</v>
      </c>
      <c r="I50">
        <f t="shared" si="1"/>
        <v>886</v>
      </c>
    </row>
    <row r="51" spans="1:9">
      <c r="A51" t="s">
        <v>573</v>
      </c>
      <c r="B51" t="s">
        <v>574</v>
      </c>
      <c r="C51" t="s">
        <v>242</v>
      </c>
      <c r="D51">
        <v>5</v>
      </c>
      <c r="E51">
        <v>45</v>
      </c>
      <c r="F51">
        <v>17</v>
      </c>
      <c r="G51">
        <f t="shared" si="0"/>
        <v>134</v>
      </c>
      <c r="H51">
        <f>IFERROR(3*VLOOKUP(B51,[1]beds_provinces_district!$B$2:$C$373,2,0),0)</f>
        <v>0</v>
      </c>
      <c r="I51">
        <f t="shared" si="1"/>
        <v>268</v>
      </c>
    </row>
    <row r="52" spans="1:9">
      <c r="A52" t="s">
        <v>575</v>
      </c>
      <c r="B52" t="s">
        <v>257</v>
      </c>
      <c r="C52" t="s">
        <v>242</v>
      </c>
      <c r="D52">
        <v>24.440099716186523</v>
      </c>
      <c r="E52">
        <v>48.126541137695313</v>
      </c>
      <c r="F52">
        <v>86.622464058082073</v>
      </c>
      <c r="G52">
        <f t="shared" si="0"/>
        <v>318.37820982392782</v>
      </c>
      <c r="H52">
        <f>IFERROR(3*VLOOKUP(B52,[1]beds_provinces_district!$B$2:$C$373,2,0),0)</f>
        <v>105</v>
      </c>
      <c r="I52">
        <f t="shared" si="1"/>
        <v>847</v>
      </c>
    </row>
    <row r="53" spans="1:9">
      <c r="A53" t="s">
        <v>576</v>
      </c>
      <c r="B53" t="s">
        <v>248</v>
      </c>
      <c r="C53" t="s">
        <v>242</v>
      </c>
      <c r="D53">
        <v>10.526352882385254</v>
      </c>
      <c r="E53">
        <v>20.701828002929688</v>
      </c>
      <c r="F53">
        <v>72.878365373660543</v>
      </c>
      <c r="G53">
        <f t="shared" si="0"/>
        <v>208.21309251795097</v>
      </c>
      <c r="H53">
        <f>IFERROR(3*VLOOKUP(B53,[1]beds_provinces_district!$B$2:$C$373,2,0),0)</f>
        <v>261</v>
      </c>
      <c r="I53">
        <f t="shared" si="1"/>
        <v>938</v>
      </c>
    </row>
    <row r="54" spans="1:9">
      <c r="A54" t="s">
        <v>577</v>
      </c>
      <c r="B54" t="s">
        <v>578</v>
      </c>
      <c r="C54" t="s">
        <v>242</v>
      </c>
      <c r="D54">
        <v>44</v>
      </c>
      <c r="E54">
        <v>90</v>
      </c>
      <c r="F54">
        <v>51.9058013886685</v>
      </c>
      <c r="G54">
        <f t="shared" si="0"/>
        <v>371.81160277733699</v>
      </c>
      <c r="H54">
        <f>IFERROR(3*VLOOKUP(B54,[1]beds_provinces_district!$B$2:$C$373,2,0),0)</f>
        <v>318</v>
      </c>
      <c r="I54">
        <f t="shared" si="1"/>
        <v>1380</v>
      </c>
    </row>
    <row r="55" spans="1:9">
      <c r="A55" t="s">
        <v>579</v>
      </c>
      <c r="B55" t="s">
        <v>580</v>
      </c>
      <c r="C55" t="s">
        <v>242</v>
      </c>
      <c r="D55">
        <v>202.55990600585938</v>
      </c>
      <c r="E55">
        <v>398.87344360351563</v>
      </c>
      <c r="F55">
        <v>53</v>
      </c>
      <c r="G55">
        <f t="shared" si="0"/>
        <v>1308.86669921875</v>
      </c>
      <c r="H55">
        <f>IFERROR(3*VLOOKUP(B55,[1]beds_provinces_district!$B$2:$C$373,2,0),0)</f>
        <v>3057</v>
      </c>
      <c r="I55">
        <f t="shared" si="1"/>
        <v>8732</v>
      </c>
    </row>
    <row r="56" spans="1:9">
      <c r="A56" t="s">
        <v>581</v>
      </c>
      <c r="B56" t="s">
        <v>251</v>
      </c>
      <c r="C56" t="s">
        <v>242</v>
      </c>
      <c r="D56">
        <v>59.533115386962891</v>
      </c>
      <c r="E56">
        <v>116.68490600585938</v>
      </c>
      <c r="F56">
        <v>71.762141144826302</v>
      </c>
      <c r="G56">
        <f t="shared" si="0"/>
        <v>495.96032507529713</v>
      </c>
      <c r="H56">
        <f>IFERROR(3*VLOOKUP(B56,[1]beds_provinces_district!$B$2:$C$373,2,0),0)</f>
        <v>465</v>
      </c>
      <c r="I56">
        <f t="shared" si="1"/>
        <v>1922</v>
      </c>
    </row>
    <row r="57" spans="1:9">
      <c r="A57" t="s">
        <v>582</v>
      </c>
      <c r="B57" t="s">
        <v>249</v>
      </c>
      <c r="C57" t="s">
        <v>242</v>
      </c>
      <c r="D57">
        <v>7.522681713104248</v>
      </c>
      <c r="E57">
        <v>14.794607162475586</v>
      </c>
      <c r="F57">
        <v>93.535365786175888</v>
      </c>
      <c r="G57">
        <f t="shared" si="0"/>
        <v>231.70530932351144</v>
      </c>
      <c r="H57">
        <f>IFERROR(3*VLOOKUP(B57,[1]beds_provinces_district!$B$2:$C$373,2,0),0)</f>
        <v>123</v>
      </c>
      <c r="I57">
        <f t="shared" si="1"/>
        <v>709</v>
      </c>
    </row>
    <row r="58" spans="1:9">
      <c r="A58" t="s">
        <v>583</v>
      </c>
      <c r="B58" t="s">
        <v>584</v>
      </c>
      <c r="C58" t="s">
        <v>242</v>
      </c>
      <c r="D58">
        <v>8.3701839447021484</v>
      </c>
      <c r="E58">
        <v>12.053065299987793</v>
      </c>
      <c r="F58">
        <v>36.272932539602138</v>
      </c>
      <c r="G58">
        <f t="shared" si="0"/>
        <v>113.39236356858416</v>
      </c>
      <c r="H58">
        <f>IFERROR(3*VLOOKUP(B58,[1]beds_provinces_district!$B$2:$C$373,2,0),0)</f>
        <v>0</v>
      </c>
      <c r="I58">
        <f t="shared" si="1"/>
        <v>227</v>
      </c>
    </row>
    <row r="59" spans="1:9">
      <c r="A59" t="s">
        <v>585</v>
      </c>
      <c r="B59" t="s">
        <v>244</v>
      </c>
      <c r="C59" t="s">
        <v>242</v>
      </c>
      <c r="D59">
        <v>11</v>
      </c>
      <c r="E59">
        <v>33</v>
      </c>
      <c r="F59">
        <v>44.373627749267342</v>
      </c>
      <c r="G59">
        <f t="shared" si="0"/>
        <v>176.74725549853468</v>
      </c>
      <c r="H59">
        <f>IFERROR(3*VLOOKUP(B59,[1]beds_provinces_district!$B$2:$C$373,2,0),0)</f>
        <v>207</v>
      </c>
      <c r="I59">
        <f t="shared" si="1"/>
        <v>767</v>
      </c>
    </row>
    <row r="60" spans="1:9">
      <c r="A60" t="s">
        <v>586</v>
      </c>
      <c r="B60" t="s">
        <v>587</v>
      </c>
      <c r="C60" t="s">
        <v>242</v>
      </c>
      <c r="D60">
        <v>4</v>
      </c>
      <c r="E60">
        <v>53</v>
      </c>
      <c r="F60">
        <v>67.923788938742376</v>
      </c>
      <c r="G60">
        <f t="shared" si="0"/>
        <v>249.84757787748475</v>
      </c>
      <c r="H60">
        <f>IFERROR(3*VLOOKUP(B60,[1]beds_provinces_district!$B$2:$C$373,2,0),0)</f>
        <v>30</v>
      </c>
      <c r="I60">
        <f t="shared" si="1"/>
        <v>560</v>
      </c>
    </row>
    <row r="61" spans="1:9">
      <c r="A61" t="s">
        <v>588</v>
      </c>
      <c r="B61" t="s">
        <v>245</v>
      </c>
      <c r="C61" t="s">
        <v>242</v>
      </c>
      <c r="D61">
        <v>96</v>
      </c>
      <c r="E61">
        <v>199</v>
      </c>
      <c r="F61">
        <v>82.447675670191686</v>
      </c>
      <c r="G61">
        <f t="shared" si="0"/>
        <v>754.8953513403834</v>
      </c>
      <c r="H61">
        <f>IFERROR(3*VLOOKUP(B61,[1]beds_provinces_district!$B$2:$C$373,2,0),0)</f>
        <v>0</v>
      </c>
      <c r="I61">
        <f t="shared" si="1"/>
        <v>1510</v>
      </c>
    </row>
    <row r="62" spans="1:9">
      <c r="A62" t="s">
        <v>589</v>
      </c>
      <c r="B62" t="s">
        <v>255</v>
      </c>
      <c r="C62" t="s">
        <v>242</v>
      </c>
      <c r="D62">
        <v>16.629816055297852</v>
      </c>
      <c r="E62">
        <v>23.946935653686523</v>
      </c>
      <c r="F62">
        <v>44.602839964200591</v>
      </c>
      <c r="G62">
        <f t="shared" si="0"/>
        <v>170.35918334636995</v>
      </c>
      <c r="H62">
        <f>IFERROR(3*VLOOKUP(B62,[1]beds_provinces_district!$B$2:$C$373,2,0),0)</f>
        <v>0</v>
      </c>
      <c r="I62">
        <f t="shared" si="1"/>
        <v>341</v>
      </c>
    </row>
    <row r="63" spans="1:9">
      <c r="A63" t="s">
        <v>590</v>
      </c>
      <c r="B63" t="s">
        <v>264</v>
      </c>
      <c r="C63" t="s">
        <v>242</v>
      </c>
      <c r="D63">
        <v>8</v>
      </c>
      <c r="E63">
        <v>55</v>
      </c>
      <c r="F63">
        <v>68.110919007851678</v>
      </c>
      <c r="G63">
        <f t="shared" si="0"/>
        <v>262.22183801570338</v>
      </c>
      <c r="H63">
        <f>IFERROR(3*VLOOKUP(B63,[1]beds_provinces_district!$B$2:$C$373,2,0),0)</f>
        <v>0</v>
      </c>
      <c r="I63">
        <f t="shared" si="1"/>
        <v>524</v>
      </c>
    </row>
    <row r="64" spans="1:9">
      <c r="A64" t="s">
        <v>591</v>
      </c>
      <c r="B64" t="s">
        <v>262</v>
      </c>
      <c r="C64" t="s">
        <v>242</v>
      </c>
      <c r="D64">
        <v>6.8527841567993164</v>
      </c>
      <c r="E64">
        <v>13.477142333984375</v>
      </c>
      <c r="F64">
        <v>82.144315348165932</v>
      </c>
      <c r="G64">
        <f t="shared" si="0"/>
        <v>204.94848367789925</v>
      </c>
      <c r="H64">
        <f>IFERROR(3*VLOOKUP(B64,[1]beds_provinces_district!$B$2:$C$373,2,0),0)</f>
        <v>57</v>
      </c>
      <c r="I64">
        <f t="shared" si="1"/>
        <v>524</v>
      </c>
    </row>
    <row r="65" spans="1:9">
      <c r="A65" t="s">
        <v>592</v>
      </c>
      <c r="B65" t="s">
        <v>253</v>
      </c>
      <c r="C65" t="s">
        <v>242</v>
      </c>
      <c r="D65">
        <v>42.433006286621094</v>
      </c>
      <c r="E65">
        <v>54.870265960693359</v>
      </c>
      <c r="F65">
        <v>64.736614997620606</v>
      </c>
      <c r="G65">
        <f t="shared" si="0"/>
        <v>324.07977448987015</v>
      </c>
      <c r="H65">
        <f>IFERROR(3*VLOOKUP(B65,[1]beds_provinces_district!$B$2:$C$373,2,0),0)</f>
        <v>255</v>
      </c>
      <c r="I65">
        <f t="shared" si="1"/>
        <v>1158</v>
      </c>
    </row>
    <row r="66" spans="1:9">
      <c r="A66" t="s">
        <v>593</v>
      </c>
      <c r="B66" t="s">
        <v>594</v>
      </c>
      <c r="C66" t="s">
        <v>242</v>
      </c>
      <c r="D66">
        <v>82</v>
      </c>
      <c r="E66">
        <v>178</v>
      </c>
      <c r="F66">
        <v>70.44308425251657</v>
      </c>
      <c r="G66">
        <f t="shared" si="0"/>
        <v>660.88616850503308</v>
      </c>
      <c r="H66">
        <f>IFERROR(3*VLOOKUP(B66,[1]beds_provinces_district!$B$2:$C$373,2,0),0)</f>
        <v>0</v>
      </c>
      <c r="I66">
        <f t="shared" si="1"/>
        <v>1322</v>
      </c>
    </row>
    <row r="67" spans="1:9">
      <c r="A67" t="s">
        <v>595</v>
      </c>
      <c r="B67" t="s">
        <v>596</v>
      </c>
      <c r="C67" t="s">
        <v>242</v>
      </c>
      <c r="D67">
        <v>5.0981812477111816</v>
      </c>
      <c r="E67">
        <v>10.026423454284668</v>
      </c>
      <c r="F67">
        <v>108.3353905398678</v>
      </c>
      <c r="G67">
        <f t="shared" ref="G67:G130" si="2">SUM(D67:F67)*2</f>
        <v>246.9199904837273</v>
      </c>
      <c r="H67">
        <f>IFERROR(3*VLOOKUP(B67,[1]beds_provinces_district!$B$2:$C$373,2,0),0)</f>
        <v>0</v>
      </c>
      <c r="I67">
        <f t="shared" ref="I67:I130" si="3">ROUND(SUM(G67:H67)*2,0)</f>
        <v>494</v>
      </c>
    </row>
    <row r="68" spans="1:9">
      <c r="A68" t="s">
        <v>597</v>
      </c>
      <c r="B68" t="s">
        <v>242</v>
      </c>
      <c r="C68" t="s">
        <v>242</v>
      </c>
      <c r="D68">
        <v>2346</v>
      </c>
      <c r="E68">
        <v>3787</v>
      </c>
      <c r="F68">
        <v>193.78900660582693</v>
      </c>
      <c r="G68">
        <f t="shared" si="2"/>
        <v>12653.578013211654</v>
      </c>
      <c r="H68">
        <f>IFERROR(3*VLOOKUP(B68,[1]beds_provinces_district!$B$2:$C$373,2,0),0)</f>
        <v>15138</v>
      </c>
      <c r="I68">
        <f t="shared" si="3"/>
        <v>55583</v>
      </c>
    </row>
    <row r="69" spans="1:9">
      <c r="A69" t="s">
        <v>598</v>
      </c>
      <c r="B69" t="s">
        <v>247</v>
      </c>
      <c r="C69" t="s">
        <v>242</v>
      </c>
      <c r="D69">
        <v>27.609651565551758</v>
      </c>
      <c r="E69">
        <v>54.114917755126953</v>
      </c>
      <c r="F69">
        <v>64.985535956974218</v>
      </c>
      <c r="G69">
        <f t="shared" si="2"/>
        <v>293.42021055530586</v>
      </c>
      <c r="H69">
        <f>IFERROR(3*VLOOKUP(B69,[1]beds_provinces_district!$B$2:$C$373,2,0),0)</f>
        <v>225</v>
      </c>
      <c r="I69">
        <f t="shared" si="3"/>
        <v>1037</v>
      </c>
    </row>
    <row r="70" spans="1:9">
      <c r="A70" t="s">
        <v>599</v>
      </c>
      <c r="B70" t="s">
        <v>263</v>
      </c>
      <c r="C70" t="s">
        <v>242</v>
      </c>
      <c r="D70">
        <v>12.857233047485352</v>
      </c>
      <c r="E70">
        <v>25.200178146362305</v>
      </c>
      <c r="F70">
        <v>71.679002683931287</v>
      </c>
      <c r="G70">
        <f t="shared" si="2"/>
        <v>219.47282775555789</v>
      </c>
      <c r="H70">
        <f>IFERROR(3*VLOOKUP(B70,[1]beds_provinces_district!$B$2:$C$373,2,0),0)</f>
        <v>42</v>
      </c>
      <c r="I70">
        <f t="shared" si="3"/>
        <v>523</v>
      </c>
    </row>
    <row r="71" spans="1:9">
      <c r="A71" t="s">
        <v>600</v>
      </c>
      <c r="B71" t="s">
        <v>256</v>
      </c>
      <c r="C71" t="s">
        <v>242</v>
      </c>
      <c r="D71">
        <v>114</v>
      </c>
      <c r="E71">
        <v>287</v>
      </c>
      <c r="F71">
        <v>87.369058260426627</v>
      </c>
      <c r="G71">
        <f t="shared" si="2"/>
        <v>976.73811652085328</v>
      </c>
      <c r="H71">
        <f>IFERROR(3*VLOOKUP(B71,[1]beds_provinces_district!$B$2:$C$373,2,0),0)</f>
        <v>0</v>
      </c>
      <c r="I71">
        <f t="shared" si="3"/>
        <v>1953</v>
      </c>
    </row>
    <row r="72" spans="1:9">
      <c r="A72" t="s">
        <v>601</v>
      </c>
      <c r="B72" t="s">
        <v>254</v>
      </c>
      <c r="C72" t="s">
        <v>242</v>
      </c>
      <c r="D72">
        <v>85</v>
      </c>
      <c r="E72">
        <v>162</v>
      </c>
      <c r="F72">
        <v>105.95050652453425</v>
      </c>
      <c r="G72">
        <f t="shared" si="2"/>
        <v>705.90101304906852</v>
      </c>
      <c r="H72">
        <f>IFERROR(3*VLOOKUP(B72,[1]beds_provinces_district!$B$2:$C$373,2,0),0)</f>
        <v>762</v>
      </c>
      <c r="I72">
        <f t="shared" si="3"/>
        <v>2936</v>
      </c>
    </row>
    <row r="73" spans="1:9">
      <c r="A73" t="s">
        <v>602</v>
      </c>
      <c r="B73" t="s">
        <v>468</v>
      </c>
      <c r="C73" t="s">
        <v>429</v>
      </c>
      <c r="D73">
        <v>49.781124114990234</v>
      </c>
      <c r="E73">
        <v>145.5863037109375</v>
      </c>
      <c r="F73">
        <v>62</v>
      </c>
      <c r="G73">
        <f t="shared" si="2"/>
        <v>514.73485565185547</v>
      </c>
      <c r="H73">
        <f>IFERROR(3*VLOOKUP(B73,[1]beds_provinces_district!$B$2:$C$373,2,0),0)</f>
        <v>297</v>
      </c>
      <c r="I73">
        <f t="shared" si="3"/>
        <v>1623</v>
      </c>
    </row>
    <row r="74" spans="1:9">
      <c r="A74" t="s">
        <v>603</v>
      </c>
      <c r="B74" t="s">
        <v>604</v>
      </c>
      <c r="C74" t="s">
        <v>429</v>
      </c>
      <c r="D74">
        <v>138.98332941786481</v>
      </c>
      <c r="E74">
        <v>258.62665490188976</v>
      </c>
      <c r="F74">
        <v>99.262870337573133</v>
      </c>
      <c r="G74">
        <f t="shared" si="2"/>
        <v>993.74570931465541</v>
      </c>
      <c r="H74">
        <f>IFERROR(3*VLOOKUP(B74,[1]beds_provinces_district!$B$2:$C$373,2,0),0)</f>
        <v>0</v>
      </c>
      <c r="I74">
        <f t="shared" si="3"/>
        <v>1987</v>
      </c>
    </row>
    <row r="75" spans="1:9">
      <c r="A75" t="s">
        <v>605</v>
      </c>
      <c r="B75" t="s">
        <v>606</v>
      </c>
      <c r="C75" t="s">
        <v>429</v>
      </c>
      <c r="D75">
        <v>1180.3460693359375</v>
      </c>
      <c r="E75">
        <v>2023.170166015625</v>
      </c>
      <c r="F75">
        <v>16</v>
      </c>
      <c r="G75">
        <f t="shared" si="2"/>
        <v>6439.032470703125</v>
      </c>
      <c r="H75">
        <f>IFERROR(3*VLOOKUP(B75,[1]beds_provinces_district!$B$2:$C$373,2,0),0)</f>
        <v>8151</v>
      </c>
      <c r="I75">
        <f t="shared" si="3"/>
        <v>29180</v>
      </c>
    </row>
    <row r="76" spans="1:9">
      <c r="A76" t="s">
        <v>607</v>
      </c>
      <c r="B76" t="s">
        <v>470</v>
      </c>
      <c r="C76" t="s">
        <v>429</v>
      </c>
      <c r="D76">
        <v>3.2188754081726074</v>
      </c>
      <c r="E76">
        <v>9.4136924743652344</v>
      </c>
      <c r="F76">
        <v>23</v>
      </c>
      <c r="G76">
        <f t="shared" si="2"/>
        <v>71.265135765075684</v>
      </c>
      <c r="H76">
        <f>IFERROR(3*VLOOKUP(B76,[1]beds_provinces_district!$B$2:$C$373,2,0),0)</f>
        <v>0</v>
      </c>
      <c r="I76">
        <f t="shared" si="3"/>
        <v>143</v>
      </c>
    </row>
    <row r="77" spans="1:9">
      <c r="A77" t="s">
        <v>608</v>
      </c>
      <c r="B77" t="s">
        <v>471</v>
      </c>
      <c r="C77" t="s">
        <v>429</v>
      </c>
      <c r="D77">
        <v>22.653898239135742</v>
      </c>
      <c r="E77">
        <v>38.829875946044922</v>
      </c>
      <c r="F77">
        <v>9</v>
      </c>
      <c r="G77">
        <f t="shared" si="2"/>
        <v>140.96754837036133</v>
      </c>
      <c r="H77">
        <f>IFERROR(3*VLOOKUP(B77,[1]beds_provinces_district!$B$2:$C$373,2,0),0)</f>
        <v>81</v>
      </c>
      <c r="I77">
        <f t="shared" si="3"/>
        <v>444</v>
      </c>
    </row>
    <row r="78" spans="1:9">
      <c r="A78" t="s">
        <v>609</v>
      </c>
      <c r="B78" t="s">
        <v>469</v>
      </c>
      <c r="C78" t="s">
        <v>429</v>
      </c>
      <c r="D78">
        <v>24</v>
      </c>
      <c r="E78">
        <v>73</v>
      </c>
      <c r="F78">
        <v>27</v>
      </c>
      <c r="G78">
        <f t="shared" si="2"/>
        <v>248</v>
      </c>
      <c r="H78">
        <f>IFERROR(3*VLOOKUP(B78,[1]beds_provinces_district!$B$2:$C$373,2,0),0)</f>
        <v>210</v>
      </c>
      <c r="I78">
        <f t="shared" si="3"/>
        <v>916</v>
      </c>
    </row>
    <row r="79" spans="1:9">
      <c r="A79" t="s">
        <v>610</v>
      </c>
      <c r="B79" t="s">
        <v>331</v>
      </c>
      <c r="C79" t="s">
        <v>611</v>
      </c>
      <c r="D79">
        <v>27.489360809326172</v>
      </c>
      <c r="E79">
        <v>47.625598907470703</v>
      </c>
      <c r="F79">
        <v>47</v>
      </c>
      <c r="G79">
        <f t="shared" si="2"/>
        <v>244.22991943359375</v>
      </c>
      <c r="H79">
        <f>IFERROR(3*VLOOKUP(B79,[1]beds_provinces_district!$B$2:$C$373,2,0),0)</f>
        <v>177</v>
      </c>
      <c r="I79">
        <f t="shared" si="3"/>
        <v>842</v>
      </c>
    </row>
    <row r="80" spans="1:9">
      <c r="A80" t="s">
        <v>612</v>
      </c>
      <c r="B80" t="s">
        <v>332</v>
      </c>
      <c r="C80" t="s">
        <v>611</v>
      </c>
      <c r="D80">
        <v>24.034236907958984</v>
      </c>
      <c r="E80">
        <v>41.639564514160156</v>
      </c>
      <c r="F80">
        <v>72</v>
      </c>
      <c r="G80">
        <f t="shared" si="2"/>
        <v>275.34760284423828</v>
      </c>
      <c r="H80">
        <f>IFERROR(3*VLOOKUP(B80,[1]beds_provinces_district!$B$2:$C$373,2,0),0)</f>
        <v>159</v>
      </c>
      <c r="I80">
        <f t="shared" si="3"/>
        <v>869</v>
      </c>
    </row>
    <row r="81" spans="1:9">
      <c r="A81" t="s">
        <v>613</v>
      </c>
      <c r="B81" t="s">
        <v>330</v>
      </c>
      <c r="C81" t="s">
        <v>611</v>
      </c>
      <c r="D81">
        <v>18.307252883911133</v>
      </c>
      <c r="E81">
        <v>31.717502593994141</v>
      </c>
      <c r="F81">
        <v>23</v>
      </c>
      <c r="G81">
        <f t="shared" si="2"/>
        <v>146.04951095581055</v>
      </c>
      <c r="H81">
        <f>IFERROR(3*VLOOKUP(B81,[1]beds_provinces_district!$B$2:$C$373,2,0),0)</f>
        <v>0</v>
      </c>
      <c r="I81">
        <f t="shared" si="3"/>
        <v>292</v>
      </c>
    </row>
    <row r="82" spans="1:9">
      <c r="A82" t="s">
        <v>614</v>
      </c>
      <c r="B82" t="s">
        <v>615</v>
      </c>
      <c r="C82" t="s">
        <v>611</v>
      </c>
      <c r="D82">
        <v>6.5399799346923828</v>
      </c>
      <c r="E82">
        <v>11.330582618713379</v>
      </c>
      <c r="F82">
        <v>19</v>
      </c>
      <c r="G82">
        <f t="shared" si="2"/>
        <v>73.741125106811523</v>
      </c>
      <c r="H82">
        <f>IFERROR(3*VLOOKUP(B82,[1]beds_provinces_district!$B$2:$C$373,2,0),0)</f>
        <v>0</v>
      </c>
      <c r="I82">
        <f t="shared" si="3"/>
        <v>147</v>
      </c>
    </row>
    <row r="83" spans="1:9">
      <c r="A83" t="s">
        <v>616</v>
      </c>
      <c r="B83" t="s">
        <v>334</v>
      </c>
      <c r="C83" t="s">
        <v>611</v>
      </c>
      <c r="D83">
        <v>20.042562484741211</v>
      </c>
      <c r="E83">
        <v>34.723945617675781</v>
      </c>
      <c r="F83">
        <v>29</v>
      </c>
      <c r="G83">
        <f t="shared" si="2"/>
        <v>167.53301620483398</v>
      </c>
      <c r="H83">
        <f>IFERROR(3*VLOOKUP(B83,[1]beds_provinces_district!$B$2:$C$373,2,0),0)</f>
        <v>165</v>
      </c>
      <c r="I83">
        <f t="shared" si="3"/>
        <v>665</v>
      </c>
    </row>
    <row r="84" spans="1:9">
      <c r="A84" t="s">
        <v>617</v>
      </c>
      <c r="B84" t="s">
        <v>336</v>
      </c>
      <c r="C84" t="s">
        <v>611</v>
      </c>
      <c r="D84">
        <v>8.8524703979492188</v>
      </c>
      <c r="E84">
        <v>15.336996078491211</v>
      </c>
      <c r="F84">
        <v>22</v>
      </c>
      <c r="G84">
        <f t="shared" si="2"/>
        <v>92.378932952880859</v>
      </c>
      <c r="H84">
        <f>IFERROR(3*VLOOKUP(B84,[1]beds_provinces_district!$B$2:$C$373,2,0),0)</f>
        <v>0</v>
      </c>
      <c r="I84">
        <f t="shared" si="3"/>
        <v>185</v>
      </c>
    </row>
    <row r="85" spans="1:9">
      <c r="A85" t="s">
        <v>618</v>
      </c>
      <c r="B85" t="s">
        <v>335</v>
      </c>
      <c r="C85" t="s">
        <v>611</v>
      </c>
      <c r="D85">
        <v>20.729482650756836</v>
      </c>
      <c r="E85">
        <v>35.914043426513672</v>
      </c>
      <c r="F85">
        <v>28</v>
      </c>
      <c r="G85">
        <f t="shared" si="2"/>
        <v>169.28705215454102</v>
      </c>
      <c r="H85">
        <f>IFERROR(3*VLOOKUP(B85,[1]beds_provinces_district!$B$2:$C$373,2,0),0)</f>
        <v>159</v>
      </c>
      <c r="I85">
        <f t="shared" si="3"/>
        <v>657</v>
      </c>
    </row>
    <row r="86" spans="1:9">
      <c r="A86" t="s">
        <v>619</v>
      </c>
      <c r="B86" t="s">
        <v>337</v>
      </c>
      <c r="C86" t="s">
        <v>611</v>
      </c>
      <c r="D86">
        <v>6.0331668853759766</v>
      </c>
      <c r="E86">
        <v>10.452524185180664</v>
      </c>
      <c r="F86">
        <v>31</v>
      </c>
      <c r="G86">
        <f t="shared" si="2"/>
        <v>94.971382141113281</v>
      </c>
      <c r="H86">
        <f>IFERROR(3*VLOOKUP(B86,[1]beds_provinces_district!$B$2:$C$373,2,0),0)</f>
        <v>0</v>
      </c>
      <c r="I86">
        <f t="shared" si="3"/>
        <v>190</v>
      </c>
    </row>
    <row r="87" spans="1:9">
      <c r="A87" t="s">
        <v>620</v>
      </c>
      <c r="B87" t="s">
        <v>333</v>
      </c>
      <c r="C87" t="s">
        <v>611</v>
      </c>
      <c r="D87">
        <v>12.48058032989502</v>
      </c>
      <c r="E87">
        <v>21.622734069824219</v>
      </c>
      <c r="F87">
        <v>14</v>
      </c>
      <c r="G87">
        <f t="shared" si="2"/>
        <v>96.206628799438477</v>
      </c>
      <c r="H87">
        <f>IFERROR(3*VLOOKUP(B87,[1]beds_provinces_district!$B$2:$C$373,2,0),0)</f>
        <v>165</v>
      </c>
      <c r="I87">
        <f t="shared" si="3"/>
        <v>522</v>
      </c>
    </row>
    <row r="88" spans="1:9">
      <c r="A88" t="s">
        <v>621</v>
      </c>
      <c r="B88" t="s">
        <v>328</v>
      </c>
      <c r="C88" t="s">
        <v>611</v>
      </c>
      <c r="D88">
        <v>98.49090576171875</v>
      </c>
      <c r="E88">
        <v>170.63650512695313</v>
      </c>
      <c r="F88">
        <v>53</v>
      </c>
      <c r="G88">
        <f t="shared" si="2"/>
        <v>644.25482177734375</v>
      </c>
      <c r="H88">
        <f>IFERROR(3*VLOOKUP(B88,[1]beds_provinces_district!$B$2:$C$373,2,0),0)</f>
        <v>1755</v>
      </c>
      <c r="I88">
        <f t="shared" si="3"/>
        <v>4799</v>
      </c>
    </row>
    <row r="89" spans="1:9">
      <c r="A89" t="s">
        <v>622</v>
      </c>
      <c r="B89" t="s">
        <v>353</v>
      </c>
      <c r="C89" t="s">
        <v>623</v>
      </c>
      <c r="D89">
        <v>22.773256301879883</v>
      </c>
      <c r="E89">
        <v>45.201461791992188</v>
      </c>
      <c r="F89">
        <v>45</v>
      </c>
      <c r="G89">
        <f t="shared" si="2"/>
        <v>225.94943618774414</v>
      </c>
      <c r="H89">
        <f>IFERROR(3*VLOOKUP(B89,[1]beds_provinces_district!$B$2:$C$373,2,0),0)</f>
        <v>420</v>
      </c>
      <c r="I89">
        <f t="shared" si="3"/>
        <v>1292</v>
      </c>
    </row>
    <row r="90" spans="1:9">
      <c r="A90" t="s">
        <v>624</v>
      </c>
      <c r="B90" t="s">
        <v>351</v>
      </c>
      <c r="C90" t="s">
        <v>623</v>
      </c>
      <c r="D90">
        <v>45.252033233642578</v>
      </c>
      <c r="E90">
        <v>77.0406494140625</v>
      </c>
      <c r="F90">
        <v>69</v>
      </c>
      <c r="G90">
        <f t="shared" si="2"/>
        <v>382.58536529541016</v>
      </c>
      <c r="H90">
        <f>IFERROR(3*VLOOKUP(B90,[1]beds_provinces_district!$B$2:$C$373,2,0),0)</f>
        <v>213</v>
      </c>
      <c r="I90">
        <f t="shared" si="3"/>
        <v>1191</v>
      </c>
    </row>
    <row r="91" spans="1:9">
      <c r="A91" t="s">
        <v>625</v>
      </c>
      <c r="B91" t="s">
        <v>349</v>
      </c>
      <c r="C91" t="s">
        <v>623</v>
      </c>
      <c r="D91">
        <v>40.212493896484375</v>
      </c>
      <c r="E91">
        <v>68.460945129394531</v>
      </c>
      <c r="F91">
        <v>74</v>
      </c>
      <c r="G91">
        <f t="shared" si="2"/>
        <v>365.34687805175781</v>
      </c>
      <c r="H91">
        <f>IFERROR(3*VLOOKUP(B91,[1]beds_provinces_district!$B$2:$C$373,2,0),0)</f>
        <v>102</v>
      </c>
      <c r="I91">
        <f t="shared" si="3"/>
        <v>935</v>
      </c>
    </row>
    <row r="92" spans="1:9">
      <c r="A92" t="s">
        <v>626</v>
      </c>
      <c r="B92" t="s">
        <v>355</v>
      </c>
      <c r="C92" t="s">
        <v>623</v>
      </c>
      <c r="D92">
        <v>11.921143531799316</v>
      </c>
      <c r="E92">
        <v>24.856851577758789</v>
      </c>
      <c r="F92">
        <v>19</v>
      </c>
      <c r="G92">
        <f t="shared" si="2"/>
        <v>111.55599021911621</v>
      </c>
      <c r="H92">
        <f>IFERROR(3*VLOOKUP(B92,[1]beds_provinces_district!$B$2:$C$373,2,0),0)</f>
        <v>132</v>
      </c>
      <c r="I92">
        <f t="shared" si="3"/>
        <v>487</v>
      </c>
    </row>
    <row r="93" spans="1:9">
      <c r="A93" t="s">
        <v>627</v>
      </c>
      <c r="B93" t="s">
        <v>628</v>
      </c>
      <c r="C93" t="s">
        <v>623</v>
      </c>
      <c r="D93">
        <v>15.623828887939453</v>
      </c>
      <c r="E93">
        <v>31.010934829711914</v>
      </c>
      <c r="F93">
        <v>47.775724830839884</v>
      </c>
      <c r="G93">
        <f t="shared" si="2"/>
        <v>188.82097709698252</v>
      </c>
      <c r="H93">
        <f>IFERROR(3*VLOOKUP(B93,[1]beds_provinces_district!$B$2:$C$373,2,0),0)</f>
        <v>108</v>
      </c>
      <c r="I93">
        <f t="shared" si="3"/>
        <v>594</v>
      </c>
    </row>
    <row r="94" spans="1:9">
      <c r="A94" t="s">
        <v>629</v>
      </c>
      <c r="B94" t="s">
        <v>350</v>
      </c>
      <c r="C94" t="s">
        <v>623</v>
      </c>
      <c r="D94">
        <v>65</v>
      </c>
      <c r="E94">
        <v>139</v>
      </c>
      <c r="F94">
        <v>121</v>
      </c>
      <c r="G94">
        <f t="shared" si="2"/>
        <v>650</v>
      </c>
      <c r="H94">
        <f>IFERROR(3*VLOOKUP(B94,[1]beds_provinces_district!$B$2:$C$373,2,0),0)</f>
        <v>831</v>
      </c>
      <c r="I94">
        <f t="shared" si="3"/>
        <v>2962</v>
      </c>
    </row>
    <row r="95" spans="1:9">
      <c r="A95" t="s">
        <v>630</v>
      </c>
      <c r="B95" t="s">
        <v>356</v>
      </c>
      <c r="C95" t="s">
        <v>623</v>
      </c>
      <c r="D95">
        <v>14.798464775085449</v>
      </c>
      <c r="E95">
        <v>29.372711181640625</v>
      </c>
      <c r="F95">
        <v>52</v>
      </c>
      <c r="G95">
        <f t="shared" si="2"/>
        <v>192.34235191345215</v>
      </c>
      <c r="H95">
        <f>IFERROR(3*VLOOKUP(B95,[1]beds_provinces_district!$B$2:$C$373,2,0),0)</f>
        <v>147</v>
      </c>
      <c r="I95">
        <f t="shared" si="3"/>
        <v>679</v>
      </c>
    </row>
    <row r="96" spans="1:9">
      <c r="A96" t="s">
        <v>631</v>
      </c>
      <c r="B96" t="s">
        <v>354</v>
      </c>
      <c r="C96" t="s">
        <v>623</v>
      </c>
      <c r="D96">
        <v>35.078857421875</v>
      </c>
      <c r="E96">
        <v>73.143150329589844</v>
      </c>
      <c r="F96">
        <v>33</v>
      </c>
      <c r="G96">
        <f t="shared" si="2"/>
        <v>282.44401550292969</v>
      </c>
      <c r="H96">
        <f>IFERROR(3*VLOOKUP(B96,[1]beds_provinces_district!$B$2:$C$373,2,0),0)</f>
        <v>414</v>
      </c>
      <c r="I96">
        <f t="shared" si="3"/>
        <v>1393</v>
      </c>
    </row>
    <row r="97" spans="1:9">
      <c r="A97" t="s">
        <v>632</v>
      </c>
      <c r="B97" t="s">
        <v>352</v>
      </c>
      <c r="C97" t="s">
        <v>623</v>
      </c>
      <c r="D97">
        <v>12.804450035095215</v>
      </c>
      <c r="E97">
        <v>25.414894104003906</v>
      </c>
      <c r="F97">
        <v>23</v>
      </c>
      <c r="G97">
        <f t="shared" si="2"/>
        <v>122.43868827819824</v>
      </c>
      <c r="H97">
        <f>IFERROR(3*VLOOKUP(B97,[1]beds_provinces_district!$B$2:$C$373,2,0),0)</f>
        <v>57</v>
      </c>
      <c r="I97">
        <f t="shared" si="3"/>
        <v>359</v>
      </c>
    </row>
    <row r="98" spans="1:9">
      <c r="A98" t="s">
        <v>633</v>
      </c>
      <c r="B98" t="s">
        <v>347</v>
      </c>
      <c r="C98" t="s">
        <v>623</v>
      </c>
      <c r="D98">
        <v>156.53547668457031</v>
      </c>
      <c r="E98">
        <v>266.4984130859375</v>
      </c>
      <c r="F98">
        <v>39</v>
      </c>
      <c r="G98">
        <f t="shared" si="2"/>
        <v>924.06777954101563</v>
      </c>
      <c r="H98">
        <f>IFERROR(3*VLOOKUP(B98,[1]beds_provinces_district!$B$2:$C$373,2,0),0)</f>
        <v>2151</v>
      </c>
      <c r="I98">
        <f t="shared" si="3"/>
        <v>6150</v>
      </c>
    </row>
    <row r="99" spans="1:9">
      <c r="A99" t="s">
        <v>634</v>
      </c>
      <c r="B99" t="s">
        <v>405</v>
      </c>
      <c r="C99" t="s">
        <v>397</v>
      </c>
      <c r="D99">
        <v>59</v>
      </c>
      <c r="E99">
        <v>152</v>
      </c>
      <c r="F99">
        <v>31</v>
      </c>
      <c r="G99">
        <f t="shared" si="2"/>
        <v>484</v>
      </c>
      <c r="H99">
        <f>IFERROR(3*VLOOKUP(B99,[1]beds_provinces_district!$B$2:$C$373,2,0),0)</f>
        <v>0</v>
      </c>
      <c r="I99">
        <f t="shared" si="3"/>
        <v>968</v>
      </c>
    </row>
    <row r="100" spans="1:9">
      <c r="A100" t="s">
        <v>635</v>
      </c>
      <c r="B100" t="s">
        <v>401</v>
      </c>
      <c r="C100" t="s">
        <v>397</v>
      </c>
      <c r="D100">
        <v>79.698165893554688</v>
      </c>
      <c r="E100">
        <v>116.30197906494141</v>
      </c>
      <c r="F100">
        <v>37</v>
      </c>
      <c r="G100">
        <f t="shared" si="2"/>
        <v>466.00028991699219</v>
      </c>
      <c r="H100">
        <f>IFERROR(3*VLOOKUP(B100,[1]beds_provinces_district!$B$2:$C$373,2,0),0)</f>
        <v>54</v>
      </c>
      <c r="I100">
        <f t="shared" si="3"/>
        <v>1040</v>
      </c>
    </row>
    <row r="101" spans="1:9">
      <c r="A101" t="s">
        <v>636</v>
      </c>
      <c r="B101" t="s">
        <v>412</v>
      </c>
      <c r="C101" t="s">
        <v>397</v>
      </c>
      <c r="D101">
        <v>179.44190494492329</v>
      </c>
      <c r="E101">
        <v>292.41929488527478</v>
      </c>
      <c r="F101">
        <v>39.529404869475378</v>
      </c>
      <c r="G101">
        <f t="shared" si="2"/>
        <v>1022.7812093993469</v>
      </c>
      <c r="H101">
        <f>IFERROR(3*VLOOKUP(B101,[1]beds_provinces_district!$B$2:$C$373,2,0),0)</f>
        <v>0</v>
      </c>
      <c r="I101">
        <f t="shared" si="3"/>
        <v>2046</v>
      </c>
    </row>
    <row r="102" spans="1:9">
      <c r="A102" t="s">
        <v>637</v>
      </c>
      <c r="B102" t="s">
        <v>408</v>
      </c>
      <c r="C102" t="s">
        <v>397</v>
      </c>
      <c r="D102">
        <v>55.482086181640625</v>
      </c>
      <c r="E102">
        <v>179.2159423828125</v>
      </c>
      <c r="F102">
        <v>4</v>
      </c>
      <c r="G102">
        <f t="shared" si="2"/>
        <v>477.39605712890625</v>
      </c>
      <c r="H102">
        <f>IFERROR(3*VLOOKUP(B102,[1]beds_provinces_district!$B$2:$C$373,2,0),0)</f>
        <v>0</v>
      </c>
      <c r="I102">
        <f t="shared" si="3"/>
        <v>955</v>
      </c>
    </row>
    <row r="103" spans="1:9">
      <c r="A103" t="s">
        <v>638</v>
      </c>
      <c r="B103" t="s">
        <v>407</v>
      </c>
      <c r="C103" t="s">
        <v>397</v>
      </c>
      <c r="D103">
        <v>15.614457130432129</v>
      </c>
      <c r="E103">
        <v>30.384889602661133</v>
      </c>
      <c r="F103">
        <v>30</v>
      </c>
      <c r="G103">
        <f t="shared" si="2"/>
        <v>151.99869346618652</v>
      </c>
      <c r="H103">
        <f>IFERROR(3*VLOOKUP(B103,[1]beds_provinces_district!$B$2:$C$373,2,0),0)</f>
        <v>96</v>
      </c>
      <c r="I103">
        <f t="shared" si="3"/>
        <v>496</v>
      </c>
    </row>
    <row r="104" spans="1:9">
      <c r="A104" t="s">
        <v>639</v>
      </c>
      <c r="B104" t="s">
        <v>400</v>
      </c>
      <c r="C104" t="s">
        <v>397</v>
      </c>
      <c r="D104">
        <v>589.48895263671875</v>
      </c>
      <c r="E104">
        <v>860.229736328125</v>
      </c>
      <c r="F104">
        <v>50</v>
      </c>
      <c r="G104">
        <f t="shared" si="2"/>
        <v>2999.4373779296875</v>
      </c>
      <c r="H104">
        <f>IFERROR(3*VLOOKUP(B104,[1]beds_provinces_district!$B$2:$C$373,2,0),0)</f>
        <v>0</v>
      </c>
      <c r="I104">
        <f t="shared" si="3"/>
        <v>5999</v>
      </c>
    </row>
    <row r="105" spans="1:9">
      <c r="A105" t="s">
        <v>640</v>
      </c>
      <c r="B105" t="s">
        <v>410</v>
      </c>
      <c r="C105" t="s">
        <v>397</v>
      </c>
      <c r="D105">
        <v>31.334556579589844</v>
      </c>
      <c r="E105">
        <v>80.674797058105469</v>
      </c>
      <c r="F105">
        <v>23</v>
      </c>
      <c r="G105">
        <f t="shared" si="2"/>
        <v>270.01870727539063</v>
      </c>
      <c r="H105">
        <f>IFERROR(3*VLOOKUP(B105,[1]beds_provinces_district!$B$2:$C$373,2,0),0)</f>
        <v>0</v>
      </c>
      <c r="I105">
        <f t="shared" si="3"/>
        <v>540</v>
      </c>
    </row>
    <row r="106" spans="1:9">
      <c r="A106" t="s">
        <v>641</v>
      </c>
      <c r="B106" t="s">
        <v>397</v>
      </c>
      <c r="C106" t="s">
        <v>397</v>
      </c>
      <c r="D106">
        <v>14728.8125</v>
      </c>
      <c r="E106">
        <v>21493.46875</v>
      </c>
      <c r="F106">
        <v>11</v>
      </c>
      <c r="G106">
        <f t="shared" si="2"/>
        <v>72466.5625</v>
      </c>
      <c r="H106">
        <f>IFERROR(3*VLOOKUP(B106,[1]beds_provinces_district!$B$2:$C$373,2,0),0)</f>
        <v>0</v>
      </c>
      <c r="I106">
        <f t="shared" si="3"/>
        <v>144933</v>
      </c>
    </row>
    <row r="107" spans="1:9">
      <c r="A107" t="s">
        <v>642</v>
      </c>
      <c r="B107" t="s">
        <v>406</v>
      </c>
      <c r="C107" t="s">
        <v>397</v>
      </c>
      <c r="D107">
        <v>116</v>
      </c>
      <c r="E107">
        <v>153</v>
      </c>
      <c r="F107">
        <v>41</v>
      </c>
      <c r="G107">
        <f t="shared" si="2"/>
        <v>620</v>
      </c>
      <c r="H107">
        <f>IFERROR(3*VLOOKUP(B107,[1]beds_provinces_district!$B$2:$C$373,2,0),0)</f>
        <v>483</v>
      </c>
      <c r="I107">
        <f t="shared" si="3"/>
        <v>2206</v>
      </c>
    </row>
    <row r="108" spans="1:9">
      <c r="A108" t="s">
        <v>643</v>
      </c>
      <c r="B108" t="s">
        <v>399</v>
      </c>
      <c r="C108" t="s">
        <v>397</v>
      </c>
      <c r="D108">
        <v>58.385543823242188</v>
      </c>
      <c r="E108">
        <v>113.6151123046875</v>
      </c>
      <c r="F108">
        <v>39</v>
      </c>
      <c r="G108">
        <f t="shared" si="2"/>
        <v>422.00131225585938</v>
      </c>
      <c r="H108">
        <f>IFERROR(3*VLOOKUP(B108,[1]beds_provinces_district!$B$2:$C$373,2,0),0)</f>
        <v>261</v>
      </c>
      <c r="I108">
        <f t="shared" si="3"/>
        <v>1366</v>
      </c>
    </row>
    <row r="109" spans="1:9">
      <c r="A109" t="s">
        <v>644</v>
      </c>
      <c r="B109" t="s">
        <v>411</v>
      </c>
      <c r="C109" t="s">
        <v>397</v>
      </c>
      <c r="D109">
        <v>69</v>
      </c>
      <c r="E109">
        <v>240</v>
      </c>
      <c r="F109">
        <v>4</v>
      </c>
      <c r="G109">
        <f t="shared" si="2"/>
        <v>626</v>
      </c>
      <c r="H109">
        <f>IFERROR(3*VLOOKUP(B109,[1]beds_provinces_district!$B$2:$C$373,2,0),0)</f>
        <v>309</v>
      </c>
      <c r="I109">
        <f t="shared" si="3"/>
        <v>1870</v>
      </c>
    </row>
    <row r="110" spans="1:9">
      <c r="A110" t="s">
        <v>645</v>
      </c>
      <c r="B110" t="s">
        <v>402</v>
      </c>
      <c r="C110" t="s">
        <v>397</v>
      </c>
      <c r="D110">
        <v>102.66544342041016</v>
      </c>
      <c r="E110">
        <v>264.3251953125</v>
      </c>
      <c r="F110">
        <v>39</v>
      </c>
      <c r="G110">
        <f t="shared" si="2"/>
        <v>811.98127746582031</v>
      </c>
      <c r="H110">
        <f>IFERROR(3*VLOOKUP(B110,[1]beds_provinces_district!$B$2:$C$373,2,0),0)</f>
        <v>924</v>
      </c>
      <c r="I110">
        <f t="shared" si="3"/>
        <v>3472</v>
      </c>
    </row>
    <row r="111" spans="1:9">
      <c r="A111" t="s">
        <v>646</v>
      </c>
      <c r="B111" t="s">
        <v>403</v>
      </c>
      <c r="C111" t="s">
        <v>397</v>
      </c>
      <c r="D111">
        <v>130.406005859375</v>
      </c>
      <c r="E111">
        <v>421.23208618164063</v>
      </c>
      <c r="F111">
        <v>41</v>
      </c>
      <c r="G111">
        <f t="shared" si="2"/>
        <v>1185.2761840820313</v>
      </c>
      <c r="H111">
        <f>IFERROR(3*VLOOKUP(B111,[1]beds_provinces_district!$B$2:$C$373,2,0),0)</f>
        <v>1455</v>
      </c>
      <c r="I111">
        <f t="shared" si="3"/>
        <v>5281</v>
      </c>
    </row>
    <row r="112" spans="1:9">
      <c r="A112" t="s">
        <v>647</v>
      </c>
      <c r="B112" t="s">
        <v>409</v>
      </c>
      <c r="C112" t="s">
        <v>397</v>
      </c>
      <c r="D112">
        <v>66.111907958984375</v>
      </c>
      <c r="E112">
        <v>213.55195617675781</v>
      </c>
      <c r="F112">
        <v>48</v>
      </c>
      <c r="G112">
        <f t="shared" si="2"/>
        <v>655.32772827148438</v>
      </c>
      <c r="H112">
        <f>IFERROR(3*VLOOKUP(B112,[1]beds_provinces_district!$B$2:$C$373,2,0),0)</f>
        <v>0</v>
      </c>
      <c r="I112">
        <f t="shared" si="3"/>
        <v>1311</v>
      </c>
    </row>
    <row r="113" spans="1:9">
      <c r="A113" t="s">
        <v>648</v>
      </c>
      <c r="B113" t="s">
        <v>404</v>
      </c>
      <c r="C113" t="s">
        <v>397</v>
      </c>
      <c r="D113">
        <v>136</v>
      </c>
      <c r="E113">
        <v>261</v>
      </c>
      <c r="F113">
        <v>34</v>
      </c>
      <c r="G113">
        <f t="shared" si="2"/>
        <v>862</v>
      </c>
      <c r="H113">
        <f>IFERROR(3*VLOOKUP(B113,[1]beds_provinces_district!$B$2:$C$373,2,0),0)</f>
        <v>732</v>
      </c>
      <c r="I113">
        <f t="shared" si="3"/>
        <v>3188</v>
      </c>
    </row>
    <row r="114" spans="1:9">
      <c r="A114" t="s">
        <v>649</v>
      </c>
      <c r="B114" t="s">
        <v>650</v>
      </c>
      <c r="C114" t="s">
        <v>397</v>
      </c>
      <c r="D114">
        <v>145.30894423403564</v>
      </c>
      <c r="E114">
        <v>232.78810022933038</v>
      </c>
      <c r="F114">
        <v>97.204414557112727</v>
      </c>
      <c r="G114">
        <f t="shared" si="2"/>
        <v>950.60291804095755</v>
      </c>
      <c r="H114">
        <f>IFERROR(3*VLOOKUP(B114,[1]beds_provinces_district!$B$2:$C$373,2,0),0)</f>
        <v>168</v>
      </c>
      <c r="I114">
        <f t="shared" si="3"/>
        <v>2237</v>
      </c>
    </row>
    <row r="115" spans="1:9">
      <c r="A115" t="s">
        <v>651</v>
      </c>
      <c r="B115" t="s">
        <v>652</v>
      </c>
      <c r="C115" t="s">
        <v>653</v>
      </c>
      <c r="D115">
        <v>9.5034732818603516</v>
      </c>
      <c r="E115">
        <v>15.667888641357422</v>
      </c>
      <c r="F115">
        <v>82.68010855912668</v>
      </c>
      <c r="G115">
        <f t="shared" si="2"/>
        <v>215.70294096468891</v>
      </c>
      <c r="H115">
        <f>IFERROR(3*VLOOKUP(B115,[1]beds_provinces_district!$B$2:$C$373,2,0),0)</f>
        <v>72</v>
      </c>
      <c r="I115">
        <f t="shared" si="3"/>
        <v>575</v>
      </c>
    </row>
    <row r="116" spans="1:9">
      <c r="A116" t="s">
        <v>654</v>
      </c>
      <c r="B116" t="s">
        <v>460</v>
      </c>
      <c r="C116" t="s">
        <v>653</v>
      </c>
      <c r="D116">
        <v>19.394813537597656</v>
      </c>
      <c r="E116">
        <v>31.812225341796875</v>
      </c>
      <c r="F116">
        <v>49</v>
      </c>
      <c r="G116">
        <f t="shared" si="2"/>
        <v>200.41407775878906</v>
      </c>
      <c r="H116">
        <f>IFERROR(3*VLOOKUP(B116,[1]beds_provinces_district!$B$2:$C$373,2,0),0)</f>
        <v>129</v>
      </c>
      <c r="I116">
        <f t="shared" si="3"/>
        <v>659</v>
      </c>
    </row>
    <row r="117" spans="1:9">
      <c r="A117" t="s">
        <v>655</v>
      </c>
      <c r="B117" t="s">
        <v>465</v>
      </c>
      <c r="C117" t="s">
        <v>653</v>
      </c>
      <c r="D117">
        <v>10.404417037963867</v>
      </c>
      <c r="E117">
        <v>17.065780639648438</v>
      </c>
      <c r="F117">
        <v>24.557200701585664</v>
      </c>
      <c r="G117">
        <f t="shared" si="2"/>
        <v>104.05479675839594</v>
      </c>
      <c r="H117">
        <f>IFERROR(3*VLOOKUP(B117,[1]beds_provinces_district!$B$2:$C$373,2,0),0)</f>
        <v>0</v>
      </c>
      <c r="I117">
        <f t="shared" si="3"/>
        <v>208</v>
      </c>
    </row>
    <row r="118" spans="1:9">
      <c r="A118" t="s">
        <v>656</v>
      </c>
      <c r="B118" t="s">
        <v>456</v>
      </c>
      <c r="C118" t="s">
        <v>653</v>
      </c>
      <c r="D118">
        <v>98.511734008789063</v>
      </c>
      <c r="E118">
        <v>161.58326721191406</v>
      </c>
      <c r="F118">
        <v>91</v>
      </c>
      <c r="G118">
        <f t="shared" si="2"/>
        <v>702.19000244140625</v>
      </c>
      <c r="H118">
        <f>IFERROR(3*VLOOKUP(B118,[1]beds_provinces_district!$B$2:$C$373,2,0),0)</f>
        <v>2508</v>
      </c>
      <c r="I118">
        <f t="shared" si="3"/>
        <v>6420</v>
      </c>
    </row>
    <row r="119" spans="1:9">
      <c r="A119" t="s">
        <v>657</v>
      </c>
      <c r="B119" t="s">
        <v>462</v>
      </c>
      <c r="C119" t="s">
        <v>653</v>
      </c>
      <c r="D119">
        <v>14.321003913879395</v>
      </c>
      <c r="E119">
        <v>26.038188934326172</v>
      </c>
      <c r="F119">
        <v>25</v>
      </c>
      <c r="G119">
        <f t="shared" si="2"/>
        <v>130.71838569641113</v>
      </c>
      <c r="H119">
        <f>IFERROR(3*VLOOKUP(B119,[1]beds_provinces_district!$B$2:$C$373,2,0),0)</f>
        <v>495</v>
      </c>
      <c r="I119">
        <f t="shared" si="3"/>
        <v>1251</v>
      </c>
    </row>
    <row r="120" spans="1:9">
      <c r="A120" t="s">
        <v>658</v>
      </c>
      <c r="B120" t="s">
        <v>459</v>
      </c>
      <c r="C120" t="s">
        <v>653</v>
      </c>
      <c r="D120">
        <v>27.496526718139648</v>
      </c>
      <c r="E120">
        <v>45.332111358642578</v>
      </c>
      <c r="F120">
        <v>136</v>
      </c>
      <c r="G120">
        <f t="shared" si="2"/>
        <v>417.65727615356445</v>
      </c>
      <c r="H120">
        <f>IFERROR(3*VLOOKUP(B120,[1]beds_provinces_district!$B$2:$C$373,2,0),0)</f>
        <v>390</v>
      </c>
      <c r="I120">
        <f t="shared" si="3"/>
        <v>1615</v>
      </c>
    </row>
    <row r="121" spans="1:9">
      <c r="A121" t="s">
        <v>659</v>
      </c>
      <c r="B121" t="s">
        <v>458</v>
      </c>
      <c r="C121" t="s">
        <v>653</v>
      </c>
      <c r="D121">
        <v>15.440381050109863</v>
      </c>
      <c r="E121">
        <v>25.325990676879883</v>
      </c>
      <c r="F121">
        <v>42</v>
      </c>
      <c r="G121">
        <f t="shared" si="2"/>
        <v>165.53274345397949</v>
      </c>
      <c r="H121">
        <f>IFERROR(3*VLOOKUP(B121,[1]beds_provinces_district!$B$2:$C$373,2,0),0)</f>
        <v>69</v>
      </c>
      <c r="I121">
        <f t="shared" si="3"/>
        <v>469</v>
      </c>
    </row>
    <row r="122" spans="1:9">
      <c r="A122" t="s">
        <v>660</v>
      </c>
      <c r="B122" t="s">
        <v>463</v>
      </c>
      <c r="C122" t="s">
        <v>653</v>
      </c>
      <c r="D122">
        <v>8.1994295120239258</v>
      </c>
      <c r="E122">
        <v>14.908054351806641</v>
      </c>
      <c r="F122">
        <v>18</v>
      </c>
      <c r="G122">
        <f t="shared" si="2"/>
        <v>82.214967727661133</v>
      </c>
      <c r="H122">
        <f>IFERROR(3*VLOOKUP(B122,[1]beds_provinces_district!$B$2:$C$373,2,0),0)</f>
        <v>99</v>
      </c>
      <c r="I122">
        <f t="shared" si="3"/>
        <v>362</v>
      </c>
    </row>
    <row r="123" spans="1:9">
      <c r="A123" t="s">
        <v>661</v>
      </c>
      <c r="B123" t="s">
        <v>461</v>
      </c>
      <c r="C123" t="s">
        <v>653</v>
      </c>
      <c r="D123">
        <v>10.479565620422363</v>
      </c>
      <c r="E123">
        <v>19.053756713867188</v>
      </c>
      <c r="F123">
        <v>22</v>
      </c>
      <c r="G123">
        <f t="shared" si="2"/>
        <v>103.0666446685791</v>
      </c>
      <c r="H123">
        <f>IFERROR(3*VLOOKUP(B123,[1]beds_provinces_district!$B$2:$C$373,2,0),0)</f>
        <v>96</v>
      </c>
      <c r="I123">
        <f t="shared" si="3"/>
        <v>398</v>
      </c>
    </row>
    <row r="124" spans="1:9">
      <c r="A124" t="s">
        <v>662</v>
      </c>
      <c r="B124" t="s">
        <v>663</v>
      </c>
      <c r="C124" t="s">
        <v>653</v>
      </c>
      <c r="D124">
        <v>31</v>
      </c>
      <c r="E124">
        <v>57</v>
      </c>
      <c r="F124">
        <v>61.947678593214611</v>
      </c>
      <c r="G124">
        <f t="shared" si="2"/>
        <v>299.89535718642924</v>
      </c>
      <c r="H124">
        <f>IFERROR(3*VLOOKUP(B124,[1]beds_provinces_district!$B$2:$C$373,2,0),0)</f>
        <v>387</v>
      </c>
      <c r="I124">
        <f t="shared" si="3"/>
        <v>1374</v>
      </c>
    </row>
    <row r="125" spans="1:9">
      <c r="A125" t="s">
        <v>664</v>
      </c>
      <c r="B125" t="s">
        <v>457</v>
      </c>
      <c r="C125" t="s">
        <v>653</v>
      </c>
      <c r="D125">
        <v>20.248653411865234</v>
      </c>
      <c r="E125">
        <v>33.212730407714844</v>
      </c>
      <c r="F125">
        <v>58</v>
      </c>
      <c r="G125">
        <f t="shared" si="2"/>
        <v>222.92276763916016</v>
      </c>
      <c r="H125">
        <f>IFERROR(3*VLOOKUP(B125,[1]beds_provinces_district!$B$2:$C$373,2,0),0)</f>
        <v>93</v>
      </c>
      <c r="I125">
        <f t="shared" si="3"/>
        <v>632</v>
      </c>
    </row>
    <row r="126" spans="1:9">
      <c r="A126" t="s">
        <v>665</v>
      </c>
      <c r="B126" t="s">
        <v>223</v>
      </c>
      <c r="C126" t="s">
        <v>666</v>
      </c>
      <c r="D126">
        <v>2293.895263671875</v>
      </c>
      <c r="E126">
        <v>3843.705322265625</v>
      </c>
      <c r="F126">
        <v>215</v>
      </c>
      <c r="G126">
        <f t="shared" si="2"/>
        <v>12705.201171875</v>
      </c>
      <c r="H126">
        <f>IFERROR(3*VLOOKUP(B126,[1]beds_provinces_district!$B$2:$C$373,2,0),0)</f>
        <v>19674</v>
      </c>
      <c r="I126">
        <f t="shared" si="3"/>
        <v>64758</v>
      </c>
    </row>
    <row r="127" spans="1:9">
      <c r="A127" t="s">
        <v>667</v>
      </c>
      <c r="B127" t="s">
        <v>228</v>
      </c>
      <c r="C127" t="s">
        <v>666</v>
      </c>
      <c r="D127">
        <v>67.3349609375</v>
      </c>
      <c r="E127">
        <v>112.82805633544922</v>
      </c>
      <c r="F127">
        <v>51</v>
      </c>
      <c r="G127">
        <f t="shared" si="2"/>
        <v>462.32603454589844</v>
      </c>
      <c r="H127">
        <f>IFERROR(3*VLOOKUP(B127,[1]beds_provinces_district!$B$2:$C$373,2,0),0)</f>
        <v>267</v>
      </c>
      <c r="I127">
        <f t="shared" si="3"/>
        <v>1459</v>
      </c>
    </row>
    <row r="128" spans="1:9">
      <c r="A128" t="s">
        <v>668</v>
      </c>
      <c r="B128" t="s">
        <v>235</v>
      </c>
      <c r="C128" t="s">
        <v>666</v>
      </c>
      <c r="D128">
        <v>47.365245819091797</v>
      </c>
      <c r="E128">
        <v>79.3663330078125</v>
      </c>
      <c r="F128">
        <v>29</v>
      </c>
      <c r="G128">
        <f t="shared" si="2"/>
        <v>311.46315765380859</v>
      </c>
      <c r="H128">
        <f>IFERROR(3*VLOOKUP(B128,[1]beds_provinces_district!$B$2:$C$373,2,0),0)</f>
        <v>0</v>
      </c>
      <c r="I128">
        <f t="shared" si="3"/>
        <v>623</v>
      </c>
    </row>
    <row r="129" spans="1:9">
      <c r="A129" t="s">
        <v>669</v>
      </c>
      <c r="B129" t="s">
        <v>234</v>
      </c>
      <c r="C129" t="s">
        <v>666</v>
      </c>
      <c r="D129">
        <v>14.047832489013672</v>
      </c>
      <c r="E129">
        <v>23.152910232543945</v>
      </c>
      <c r="F129">
        <v>24</v>
      </c>
      <c r="G129">
        <f t="shared" si="2"/>
        <v>122.40148544311523</v>
      </c>
      <c r="H129">
        <f>IFERROR(3*VLOOKUP(B129,[1]beds_provinces_district!$B$2:$C$373,2,0),0)</f>
        <v>84</v>
      </c>
      <c r="I129">
        <f t="shared" si="3"/>
        <v>413</v>
      </c>
    </row>
    <row r="130" spans="1:9">
      <c r="A130" t="s">
        <v>670</v>
      </c>
      <c r="B130" t="s">
        <v>217</v>
      </c>
      <c r="C130" t="s">
        <v>666</v>
      </c>
      <c r="D130">
        <v>92</v>
      </c>
      <c r="E130">
        <v>147</v>
      </c>
      <c r="F130">
        <v>137</v>
      </c>
      <c r="G130">
        <f t="shared" si="2"/>
        <v>752</v>
      </c>
      <c r="H130">
        <f>IFERROR(3*VLOOKUP(B130,[1]beds_provinces_district!$B$2:$C$373,2,0),0)</f>
        <v>0</v>
      </c>
      <c r="I130">
        <f t="shared" si="3"/>
        <v>1504</v>
      </c>
    </row>
    <row r="131" spans="1:9">
      <c r="A131" t="s">
        <v>671</v>
      </c>
      <c r="B131" t="s">
        <v>241</v>
      </c>
      <c r="C131" t="s">
        <v>666</v>
      </c>
      <c r="D131">
        <v>18.310491561889648</v>
      </c>
      <c r="E131">
        <v>24.810319900512695</v>
      </c>
      <c r="F131">
        <v>55</v>
      </c>
      <c r="G131">
        <f t="shared" ref="G131:G194" si="4">SUM(D131:F131)*2</f>
        <v>196.24162292480469</v>
      </c>
      <c r="H131">
        <f>IFERROR(3*VLOOKUP(B131,[1]beds_provinces_district!$B$2:$C$373,2,0),0)</f>
        <v>0</v>
      </c>
      <c r="I131">
        <f t="shared" ref="I131:I194" si="5">ROUND(SUM(G131:H131)*2,0)</f>
        <v>392</v>
      </c>
    </row>
    <row r="132" spans="1:9">
      <c r="A132" t="s">
        <v>672</v>
      </c>
      <c r="B132" t="s">
        <v>227</v>
      </c>
      <c r="C132" t="s">
        <v>666</v>
      </c>
      <c r="D132">
        <v>66.326988220214844</v>
      </c>
      <c r="E132">
        <v>111.13907623291016</v>
      </c>
      <c r="F132">
        <v>58</v>
      </c>
      <c r="G132">
        <f t="shared" si="4"/>
        <v>470.93212890625</v>
      </c>
      <c r="H132">
        <f>IFERROR(3*VLOOKUP(B132,[1]beds_provinces_district!$B$2:$C$373,2,0),0)</f>
        <v>192</v>
      </c>
      <c r="I132">
        <f t="shared" si="5"/>
        <v>1326</v>
      </c>
    </row>
    <row r="133" spans="1:9">
      <c r="A133" t="s">
        <v>673</v>
      </c>
      <c r="B133" t="s">
        <v>232</v>
      </c>
      <c r="C133" t="s">
        <v>666</v>
      </c>
      <c r="D133">
        <v>17.990793228149414</v>
      </c>
      <c r="E133">
        <v>26.374853134155273</v>
      </c>
      <c r="F133">
        <v>39</v>
      </c>
      <c r="G133">
        <f t="shared" si="4"/>
        <v>166.73129272460938</v>
      </c>
      <c r="H133">
        <f>IFERROR(3*VLOOKUP(B133,[1]beds_provinces_district!$B$2:$C$373,2,0),0)</f>
        <v>18</v>
      </c>
      <c r="I133">
        <f t="shared" si="5"/>
        <v>369</v>
      </c>
    </row>
    <row r="134" spans="1:9">
      <c r="A134" t="s">
        <v>674</v>
      </c>
      <c r="B134" t="s">
        <v>215</v>
      </c>
      <c r="C134" t="s">
        <v>666</v>
      </c>
      <c r="D134">
        <v>137.14064388398424</v>
      </c>
      <c r="E134">
        <v>193.62586411172373</v>
      </c>
      <c r="F134">
        <v>29</v>
      </c>
      <c r="G134">
        <f t="shared" si="4"/>
        <v>719.53301599141594</v>
      </c>
      <c r="H134">
        <f>IFERROR(3*VLOOKUP(B134,[1]beds_provinces_district!$B$2:$C$373,2,0),0)</f>
        <v>387</v>
      </c>
      <c r="I134">
        <f t="shared" si="5"/>
        <v>2213</v>
      </c>
    </row>
    <row r="135" spans="1:9">
      <c r="A135" t="s">
        <v>675</v>
      </c>
      <c r="B135" t="s">
        <v>221</v>
      </c>
      <c r="C135" t="s">
        <v>666</v>
      </c>
      <c r="D135">
        <v>58.691307067871094</v>
      </c>
      <c r="E135">
        <v>86.042594909667969</v>
      </c>
      <c r="F135">
        <v>76</v>
      </c>
      <c r="G135">
        <f t="shared" si="4"/>
        <v>441.46780395507813</v>
      </c>
      <c r="H135">
        <f>IFERROR(3*VLOOKUP(B135,[1]beds_provinces_district!$B$2:$C$373,2,0),0)</f>
        <v>723</v>
      </c>
      <c r="I135">
        <f t="shared" si="5"/>
        <v>2329</v>
      </c>
    </row>
    <row r="136" spans="1:9">
      <c r="A136" t="s">
        <v>676</v>
      </c>
      <c r="B136" t="s">
        <v>225</v>
      </c>
      <c r="C136" t="s">
        <v>666</v>
      </c>
      <c r="D136">
        <v>105.43119812011719</v>
      </c>
      <c r="E136">
        <v>176.66302490234375</v>
      </c>
      <c r="F136">
        <v>80</v>
      </c>
      <c r="G136">
        <f t="shared" si="4"/>
        <v>724.18844604492188</v>
      </c>
      <c r="H136">
        <f>IFERROR(3*VLOOKUP(B136,[1]beds_provinces_district!$B$2:$C$373,2,0),0)</f>
        <v>168</v>
      </c>
      <c r="I136">
        <f t="shared" si="5"/>
        <v>1784</v>
      </c>
    </row>
    <row r="137" spans="1:9">
      <c r="A137" t="s">
        <v>677</v>
      </c>
      <c r="B137" t="s">
        <v>678</v>
      </c>
      <c r="C137" t="s">
        <v>666</v>
      </c>
      <c r="D137">
        <v>47.211456298828125</v>
      </c>
      <c r="E137">
        <v>93.867485046386719</v>
      </c>
      <c r="F137">
        <v>95</v>
      </c>
      <c r="G137">
        <f t="shared" si="4"/>
        <v>472.15788269042969</v>
      </c>
      <c r="H137">
        <f>IFERROR(3*VLOOKUP(B137,[1]beds_provinces_district!$B$2:$C$373,2,0),0)</f>
        <v>0</v>
      </c>
      <c r="I137">
        <f t="shared" si="5"/>
        <v>944</v>
      </c>
    </row>
    <row r="138" spans="1:9">
      <c r="A138" t="s">
        <v>679</v>
      </c>
      <c r="B138" t="s">
        <v>231</v>
      </c>
      <c r="C138" t="s">
        <v>666</v>
      </c>
      <c r="D138">
        <v>24.646387100219727</v>
      </c>
      <c r="E138">
        <v>41.298072814941406</v>
      </c>
      <c r="F138">
        <v>41</v>
      </c>
      <c r="G138">
        <f t="shared" si="4"/>
        <v>213.88891983032227</v>
      </c>
      <c r="H138">
        <f>IFERROR(3*VLOOKUP(B138,[1]beds_provinces_district!$B$2:$C$373,2,0),0)</f>
        <v>45</v>
      </c>
      <c r="I138">
        <f t="shared" si="5"/>
        <v>518</v>
      </c>
    </row>
    <row r="139" spans="1:9">
      <c r="A139" t="s">
        <v>680</v>
      </c>
      <c r="B139" t="s">
        <v>681</v>
      </c>
      <c r="C139" t="s">
        <v>666</v>
      </c>
      <c r="D139">
        <v>16.854297637939453</v>
      </c>
      <c r="E139">
        <v>26.829290390014648</v>
      </c>
      <c r="F139">
        <v>86.580975505322044</v>
      </c>
      <c r="G139">
        <f t="shared" si="4"/>
        <v>260.52912706655229</v>
      </c>
      <c r="H139">
        <f>IFERROR(3*VLOOKUP(B139,[1]beds_provinces_district!$B$2:$C$373,2,0),0)</f>
        <v>0</v>
      </c>
      <c r="I139">
        <f t="shared" si="5"/>
        <v>521</v>
      </c>
    </row>
    <row r="140" spans="1:9">
      <c r="A140" t="s">
        <v>682</v>
      </c>
      <c r="B140" t="s">
        <v>218</v>
      </c>
      <c r="C140" t="s">
        <v>666</v>
      </c>
      <c r="D140">
        <v>33</v>
      </c>
      <c r="E140">
        <v>31</v>
      </c>
      <c r="F140">
        <v>61</v>
      </c>
      <c r="G140">
        <f t="shared" si="4"/>
        <v>250</v>
      </c>
      <c r="H140">
        <f>IFERROR(3*VLOOKUP(B140,[1]beds_provinces_district!$B$2:$C$373,2,0),0)</f>
        <v>279</v>
      </c>
      <c r="I140">
        <f t="shared" si="5"/>
        <v>1058</v>
      </c>
    </row>
    <row r="141" spans="1:9">
      <c r="A141" t="s">
        <v>683</v>
      </c>
      <c r="B141" t="s">
        <v>220</v>
      </c>
      <c r="C141" t="s">
        <v>666</v>
      </c>
      <c r="D141">
        <v>61</v>
      </c>
      <c r="E141">
        <v>98</v>
      </c>
      <c r="F141">
        <v>125</v>
      </c>
      <c r="G141">
        <f t="shared" si="4"/>
        <v>568</v>
      </c>
      <c r="H141">
        <f>IFERROR(3*VLOOKUP(B141,[1]beds_provinces_district!$B$2:$C$373,2,0),0)</f>
        <v>603</v>
      </c>
      <c r="I141">
        <f t="shared" si="5"/>
        <v>2342</v>
      </c>
    </row>
    <row r="142" spans="1:9">
      <c r="A142" t="s">
        <v>684</v>
      </c>
      <c r="B142" t="s">
        <v>230</v>
      </c>
      <c r="C142" t="s">
        <v>666</v>
      </c>
      <c r="D142">
        <v>12.755496025085449</v>
      </c>
      <c r="E142">
        <v>25.360927581787109</v>
      </c>
      <c r="F142">
        <v>55</v>
      </c>
      <c r="G142">
        <f t="shared" si="4"/>
        <v>186.23284721374512</v>
      </c>
      <c r="H142">
        <f>IFERROR(3*VLOOKUP(B142,[1]beds_provinces_district!$B$2:$C$373,2,0),0)</f>
        <v>63</v>
      </c>
      <c r="I142">
        <f t="shared" si="5"/>
        <v>498</v>
      </c>
    </row>
    <row r="143" spans="1:9">
      <c r="A143" t="s">
        <v>685</v>
      </c>
      <c r="B143" t="s">
        <v>237</v>
      </c>
      <c r="C143" t="s">
        <v>666</v>
      </c>
      <c r="D143">
        <v>24.217166900634766</v>
      </c>
      <c r="E143">
        <v>32.813735961914063</v>
      </c>
      <c r="F143">
        <v>57</v>
      </c>
      <c r="G143">
        <f t="shared" si="4"/>
        <v>228.06180572509766</v>
      </c>
      <c r="H143">
        <f>IFERROR(3*VLOOKUP(B143,[1]beds_provinces_district!$B$2:$C$373,2,0),0)</f>
        <v>141</v>
      </c>
      <c r="I143">
        <f t="shared" si="5"/>
        <v>738</v>
      </c>
    </row>
    <row r="144" spans="1:9">
      <c r="A144" t="s">
        <v>686</v>
      </c>
      <c r="B144" t="s">
        <v>226</v>
      </c>
      <c r="C144" t="s">
        <v>666</v>
      </c>
      <c r="D144">
        <v>194.36176193294273</v>
      </c>
      <c r="E144">
        <v>282.97876122126445</v>
      </c>
      <c r="F144">
        <v>72</v>
      </c>
      <c r="G144">
        <f t="shared" si="4"/>
        <v>1098.6810463084144</v>
      </c>
      <c r="H144">
        <f>IFERROR(3*VLOOKUP(B144,[1]beds_provinces_district!$B$2:$C$373,2,0),0)</f>
        <v>372</v>
      </c>
      <c r="I144">
        <f t="shared" si="5"/>
        <v>2941</v>
      </c>
    </row>
    <row r="145" spans="1:9">
      <c r="A145" t="s">
        <v>687</v>
      </c>
      <c r="B145" t="s">
        <v>238</v>
      </c>
      <c r="C145" t="s">
        <v>666</v>
      </c>
      <c r="D145">
        <v>14.22800350189209</v>
      </c>
      <c r="E145">
        <v>28.288618087768555</v>
      </c>
      <c r="F145">
        <v>74</v>
      </c>
      <c r="G145">
        <f t="shared" si="4"/>
        <v>233.03324317932129</v>
      </c>
      <c r="H145">
        <f>IFERROR(3*VLOOKUP(B145,[1]beds_provinces_district!$B$2:$C$373,2,0),0)</f>
        <v>0</v>
      </c>
      <c r="I145">
        <f t="shared" si="5"/>
        <v>466</v>
      </c>
    </row>
    <row r="146" spans="1:9">
      <c r="A146" t="s">
        <v>688</v>
      </c>
      <c r="B146" t="s">
        <v>219</v>
      </c>
      <c r="C146" t="s">
        <v>666</v>
      </c>
      <c r="D146">
        <v>150.84819030761719</v>
      </c>
      <c r="E146">
        <v>204.39604187011719</v>
      </c>
      <c r="F146">
        <v>114</v>
      </c>
      <c r="G146">
        <f t="shared" si="4"/>
        <v>938.48846435546875</v>
      </c>
      <c r="H146">
        <f>IFERROR(3*VLOOKUP(B146,[1]beds_provinces_district!$B$2:$C$373,2,0),0)</f>
        <v>1785</v>
      </c>
      <c r="I146">
        <f t="shared" si="5"/>
        <v>5447</v>
      </c>
    </row>
    <row r="147" spans="1:9">
      <c r="A147" t="s">
        <v>689</v>
      </c>
      <c r="B147" t="s">
        <v>229</v>
      </c>
      <c r="C147" t="s">
        <v>666</v>
      </c>
      <c r="D147">
        <v>26.317899703979492</v>
      </c>
      <c r="E147">
        <v>38.582550048828125</v>
      </c>
      <c r="F147">
        <v>54</v>
      </c>
      <c r="G147">
        <f t="shared" si="4"/>
        <v>237.80089950561523</v>
      </c>
      <c r="H147">
        <f>IFERROR(3*VLOOKUP(B147,[1]beds_provinces_district!$B$2:$C$373,2,0),0)</f>
        <v>327</v>
      </c>
      <c r="I147">
        <f t="shared" si="5"/>
        <v>1130</v>
      </c>
    </row>
    <row r="148" spans="1:9">
      <c r="A148" t="s">
        <v>690</v>
      </c>
      <c r="B148" t="s">
        <v>222</v>
      </c>
      <c r="C148" t="s">
        <v>666</v>
      </c>
      <c r="D148">
        <v>39.952167510986328</v>
      </c>
      <c r="E148">
        <v>65.847091674804688</v>
      </c>
      <c r="F148">
        <v>47</v>
      </c>
      <c r="G148">
        <f t="shared" si="4"/>
        <v>305.59851837158203</v>
      </c>
      <c r="H148">
        <f>IFERROR(3*VLOOKUP(B148,[1]beds_provinces_district!$B$2:$C$373,2,0),0)</f>
        <v>654</v>
      </c>
      <c r="I148">
        <f t="shared" si="5"/>
        <v>1919</v>
      </c>
    </row>
    <row r="149" spans="1:9">
      <c r="A149" t="s">
        <v>691</v>
      </c>
      <c r="B149" t="s">
        <v>240</v>
      </c>
      <c r="C149" t="s">
        <v>666</v>
      </c>
      <c r="D149">
        <v>220.32603244804073</v>
      </c>
      <c r="E149">
        <v>318.96632453593355</v>
      </c>
      <c r="F149">
        <v>55</v>
      </c>
      <c r="G149">
        <f t="shared" si="4"/>
        <v>1188.5847139679486</v>
      </c>
      <c r="H149">
        <f>IFERROR(3*VLOOKUP(B149,[1]beds_provinces_district!$B$2:$C$373,2,0),0)</f>
        <v>30</v>
      </c>
      <c r="I149">
        <f t="shared" si="5"/>
        <v>2437</v>
      </c>
    </row>
    <row r="150" spans="1:9">
      <c r="A150" t="s">
        <v>692</v>
      </c>
      <c r="B150" t="s">
        <v>239</v>
      </c>
      <c r="C150" t="s">
        <v>666</v>
      </c>
      <c r="D150">
        <v>26.833652496337891</v>
      </c>
      <c r="E150">
        <v>36.359020233154297</v>
      </c>
      <c r="F150">
        <v>58</v>
      </c>
      <c r="G150">
        <f t="shared" si="4"/>
        <v>242.38534545898438</v>
      </c>
      <c r="H150">
        <f>IFERROR(3*VLOOKUP(B150,[1]beds_provinces_district!$B$2:$C$373,2,0),0)</f>
        <v>177</v>
      </c>
      <c r="I150">
        <f t="shared" si="5"/>
        <v>839</v>
      </c>
    </row>
    <row r="151" spans="1:9">
      <c r="A151" t="s">
        <v>693</v>
      </c>
      <c r="B151" t="s">
        <v>694</v>
      </c>
      <c r="C151" t="s">
        <v>666</v>
      </c>
      <c r="D151">
        <v>10.790489196777344</v>
      </c>
      <c r="E151">
        <v>14.620879173278809</v>
      </c>
      <c r="F151">
        <v>31</v>
      </c>
      <c r="G151">
        <f t="shared" si="4"/>
        <v>112.8227367401123</v>
      </c>
      <c r="H151">
        <f>IFERROR(3*VLOOKUP(B151,[1]beds_provinces_district!$B$2:$C$373,2,0),0)</f>
        <v>0</v>
      </c>
      <c r="I151">
        <f t="shared" si="5"/>
        <v>226</v>
      </c>
    </row>
    <row r="152" spans="1:9">
      <c r="A152" t="s">
        <v>695</v>
      </c>
      <c r="B152" t="s">
        <v>224</v>
      </c>
      <c r="C152" t="s">
        <v>666</v>
      </c>
      <c r="D152">
        <v>130.14570617675781</v>
      </c>
      <c r="E152">
        <v>207.17071533203125</v>
      </c>
      <c r="F152">
        <v>262</v>
      </c>
      <c r="G152">
        <f t="shared" si="4"/>
        <v>1198.6328430175781</v>
      </c>
      <c r="H152">
        <f>IFERROR(3*VLOOKUP(B152,[1]beds_provinces_district!$B$2:$C$373,2,0),0)</f>
        <v>1536</v>
      </c>
      <c r="I152">
        <f t="shared" si="5"/>
        <v>5469</v>
      </c>
    </row>
    <row r="153" spans="1:9">
      <c r="A153" t="s">
        <v>696</v>
      </c>
      <c r="B153" t="s">
        <v>233</v>
      </c>
      <c r="C153" t="s">
        <v>666</v>
      </c>
      <c r="D153">
        <v>10.805044174194336</v>
      </c>
      <c r="E153">
        <v>21.482969284057617</v>
      </c>
      <c r="F153">
        <v>39</v>
      </c>
      <c r="G153">
        <f t="shared" si="4"/>
        <v>142.57602691650391</v>
      </c>
      <c r="H153">
        <f>IFERROR(3*VLOOKUP(B153,[1]beds_provinces_district!$B$2:$C$373,2,0),0)</f>
        <v>69</v>
      </c>
      <c r="I153">
        <f t="shared" si="5"/>
        <v>423</v>
      </c>
    </row>
    <row r="154" spans="1:9">
      <c r="A154" t="s">
        <v>697</v>
      </c>
      <c r="B154" t="s">
        <v>450</v>
      </c>
      <c r="C154" t="s">
        <v>698</v>
      </c>
      <c r="D154">
        <v>28.418666839599609</v>
      </c>
      <c r="E154">
        <v>59.828769683837891</v>
      </c>
      <c r="F154">
        <v>116</v>
      </c>
      <c r="G154">
        <f t="shared" si="4"/>
        <v>408.494873046875</v>
      </c>
      <c r="H154">
        <f>IFERROR(3*VLOOKUP(B154,[1]beds_provinces_district!$B$2:$C$373,2,0),0)</f>
        <v>693</v>
      </c>
      <c r="I154">
        <f t="shared" si="5"/>
        <v>2203</v>
      </c>
    </row>
    <row r="155" spans="1:9">
      <c r="A155" t="s">
        <v>699</v>
      </c>
      <c r="B155" t="s">
        <v>455</v>
      </c>
      <c r="C155" t="s">
        <v>698</v>
      </c>
      <c r="D155">
        <v>21.858770370483398</v>
      </c>
      <c r="E155">
        <v>31.706039428710938</v>
      </c>
      <c r="F155">
        <v>84.629904603211614</v>
      </c>
      <c r="G155">
        <f t="shared" si="4"/>
        <v>276.38942880481193</v>
      </c>
      <c r="H155">
        <f>IFERROR(3*VLOOKUP(B155,[1]beds_provinces_district!$B$2:$C$373,2,0),0)</f>
        <v>0</v>
      </c>
      <c r="I155">
        <f t="shared" si="5"/>
        <v>553</v>
      </c>
    </row>
    <row r="156" spans="1:9">
      <c r="A156" t="s">
        <v>700</v>
      </c>
      <c r="B156" t="s">
        <v>453</v>
      </c>
      <c r="C156" t="s">
        <v>698</v>
      </c>
      <c r="D156">
        <v>9.404698371887207</v>
      </c>
      <c r="E156">
        <v>13.641468048095703</v>
      </c>
      <c r="F156">
        <v>16</v>
      </c>
      <c r="G156">
        <f t="shared" si="4"/>
        <v>78.09233283996582</v>
      </c>
      <c r="H156">
        <f>IFERROR(3*VLOOKUP(B156,[1]beds_provinces_district!$B$2:$C$373,2,0),0)</f>
        <v>0</v>
      </c>
      <c r="I156">
        <f t="shared" si="5"/>
        <v>156</v>
      </c>
    </row>
    <row r="157" spans="1:9">
      <c r="A157" t="s">
        <v>701</v>
      </c>
      <c r="B157" t="s">
        <v>447</v>
      </c>
      <c r="C157" t="s">
        <v>698</v>
      </c>
      <c r="D157">
        <v>26</v>
      </c>
      <c r="E157">
        <v>52</v>
      </c>
      <c r="F157">
        <v>101</v>
      </c>
      <c r="G157">
        <f t="shared" si="4"/>
        <v>358</v>
      </c>
      <c r="H157">
        <f>IFERROR(3*VLOOKUP(B157,[1]beds_provinces_district!$B$2:$C$373,2,0),0)</f>
        <v>411</v>
      </c>
      <c r="I157">
        <f t="shared" si="5"/>
        <v>1538</v>
      </c>
    </row>
    <row r="158" spans="1:9">
      <c r="A158" t="s">
        <v>702</v>
      </c>
      <c r="B158" t="s">
        <v>449</v>
      </c>
      <c r="C158" t="s">
        <v>698</v>
      </c>
      <c r="D158">
        <v>13.538704872131348</v>
      </c>
      <c r="E158">
        <v>19.637825012207031</v>
      </c>
      <c r="F158">
        <v>34</v>
      </c>
      <c r="G158">
        <f t="shared" si="4"/>
        <v>134.35305976867676</v>
      </c>
      <c r="H158">
        <f>IFERROR(3*VLOOKUP(B158,[1]beds_provinces_district!$B$2:$C$373,2,0),0)</f>
        <v>120</v>
      </c>
      <c r="I158">
        <f t="shared" si="5"/>
        <v>509</v>
      </c>
    </row>
    <row r="159" spans="1:9">
      <c r="A159" t="s">
        <v>703</v>
      </c>
      <c r="B159" t="s">
        <v>448</v>
      </c>
      <c r="C159" t="s">
        <v>698</v>
      </c>
      <c r="D159">
        <v>119.64289855957031</v>
      </c>
      <c r="E159">
        <v>173.54142761230469</v>
      </c>
      <c r="F159">
        <v>170</v>
      </c>
      <c r="G159">
        <f t="shared" si="4"/>
        <v>926.36865234375</v>
      </c>
      <c r="H159">
        <f>IFERROR(3*VLOOKUP(B159,[1]beds_provinces_district!$B$2:$C$373,2,0),0)</f>
        <v>2238</v>
      </c>
      <c r="I159">
        <f t="shared" si="5"/>
        <v>6329</v>
      </c>
    </row>
    <row r="160" spans="1:9">
      <c r="A160" t="s">
        <v>704</v>
      </c>
      <c r="B160" t="s">
        <v>451</v>
      </c>
      <c r="C160" t="s">
        <v>698</v>
      </c>
      <c r="D160">
        <v>9.581334114074707</v>
      </c>
      <c r="E160">
        <v>20.171228408813477</v>
      </c>
      <c r="F160">
        <v>57</v>
      </c>
      <c r="G160">
        <f t="shared" si="4"/>
        <v>173.50512504577637</v>
      </c>
      <c r="H160">
        <f>IFERROR(3*VLOOKUP(B160,[1]beds_provinces_district!$B$2:$C$373,2,0),0)</f>
        <v>96</v>
      </c>
      <c r="I160">
        <f t="shared" si="5"/>
        <v>539</v>
      </c>
    </row>
    <row r="161" spans="1:9">
      <c r="A161" t="s">
        <v>705</v>
      </c>
      <c r="B161" t="s">
        <v>706</v>
      </c>
      <c r="C161" t="s">
        <v>698</v>
      </c>
      <c r="D161">
        <v>37.554927825927734</v>
      </c>
      <c r="E161">
        <v>54.473236083984375</v>
      </c>
      <c r="F161">
        <v>81</v>
      </c>
      <c r="G161">
        <f t="shared" si="4"/>
        <v>346.05632781982422</v>
      </c>
      <c r="H161">
        <f>IFERROR(3*VLOOKUP(B161,[1]beds_provinces_district!$B$2:$C$373,2,0),0)</f>
        <v>0</v>
      </c>
      <c r="I161">
        <f t="shared" si="5"/>
        <v>692</v>
      </c>
    </row>
    <row r="162" spans="1:9">
      <c r="A162" t="s">
        <v>707</v>
      </c>
      <c r="B162" t="s">
        <v>139</v>
      </c>
      <c r="C162" t="s">
        <v>132</v>
      </c>
      <c r="D162">
        <v>89.273048400878906</v>
      </c>
      <c r="E162">
        <v>173.99134826660156</v>
      </c>
      <c r="F162">
        <v>93</v>
      </c>
      <c r="G162">
        <f t="shared" si="4"/>
        <v>712.52879333496094</v>
      </c>
      <c r="H162">
        <f>IFERROR(3*VLOOKUP(B162,[1]beds_provinces_district!$B$2:$C$373,2,0),0)</f>
        <v>909</v>
      </c>
      <c r="I162">
        <f t="shared" si="5"/>
        <v>3243</v>
      </c>
    </row>
    <row r="163" spans="1:9">
      <c r="A163" t="s">
        <v>708</v>
      </c>
      <c r="B163" t="s">
        <v>140</v>
      </c>
      <c r="C163" t="s">
        <v>132</v>
      </c>
      <c r="D163">
        <v>27</v>
      </c>
      <c r="E163">
        <v>60</v>
      </c>
      <c r="F163">
        <v>43</v>
      </c>
      <c r="G163">
        <f t="shared" si="4"/>
        <v>260</v>
      </c>
      <c r="H163">
        <f>IFERROR(3*VLOOKUP(B163,[1]beds_provinces_district!$B$2:$C$373,2,0),0)</f>
        <v>540</v>
      </c>
      <c r="I163">
        <f t="shared" si="5"/>
        <v>1600</v>
      </c>
    </row>
    <row r="164" spans="1:9">
      <c r="A164" t="s">
        <v>709</v>
      </c>
      <c r="B164" t="s">
        <v>156</v>
      </c>
      <c r="C164" t="s">
        <v>132</v>
      </c>
      <c r="D164">
        <v>5.2951149940490723</v>
      </c>
      <c r="E164">
        <v>5.8246264457702637</v>
      </c>
      <c r="F164">
        <v>30</v>
      </c>
      <c r="G164">
        <f t="shared" si="4"/>
        <v>82.239482879638672</v>
      </c>
      <c r="H164">
        <f>IFERROR(3*VLOOKUP(B164,[1]beds_provinces_district!$B$2:$C$373,2,0),0)</f>
        <v>0</v>
      </c>
      <c r="I164">
        <f t="shared" si="5"/>
        <v>164</v>
      </c>
    </row>
    <row r="165" spans="1:9">
      <c r="A165" t="s">
        <v>710</v>
      </c>
      <c r="B165" t="s">
        <v>157</v>
      </c>
      <c r="C165" t="s">
        <v>132</v>
      </c>
      <c r="D165">
        <v>59.052547454833984</v>
      </c>
      <c r="E165">
        <v>101.51590728759766</v>
      </c>
      <c r="F165">
        <v>50</v>
      </c>
      <c r="G165">
        <f t="shared" si="4"/>
        <v>421.13690948486328</v>
      </c>
      <c r="H165">
        <f>IFERROR(3*VLOOKUP(B165,[1]beds_provinces_district!$B$2:$C$373,2,0),0)</f>
        <v>0</v>
      </c>
      <c r="I165">
        <f t="shared" si="5"/>
        <v>842</v>
      </c>
    </row>
    <row r="166" spans="1:9">
      <c r="A166" t="s">
        <v>711</v>
      </c>
      <c r="B166" t="s">
        <v>136</v>
      </c>
      <c r="C166" t="s">
        <v>132</v>
      </c>
      <c r="D166">
        <v>797.2442626953125</v>
      </c>
      <c r="E166">
        <v>1370.5247802734375</v>
      </c>
      <c r="F166">
        <v>68</v>
      </c>
      <c r="G166">
        <f t="shared" si="4"/>
        <v>4471.5380859375</v>
      </c>
      <c r="H166">
        <f>IFERROR(3*VLOOKUP(B166,[1]beds_provinces_district!$B$2:$C$373,2,0),0)</f>
        <v>12156</v>
      </c>
      <c r="I166">
        <f t="shared" si="5"/>
        <v>33255</v>
      </c>
    </row>
    <row r="167" spans="1:9">
      <c r="A167" t="s">
        <v>712</v>
      </c>
      <c r="B167" t="s">
        <v>152</v>
      </c>
      <c r="C167" t="s">
        <v>132</v>
      </c>
      <c r="D167">
        <v>9.6690139770507813</v>
      </c>
      <c r="E167">
        <v>16.778581619262695</v>
      </c>
      <c r="F167">
        <v>40</v>
      </c>
      <c r="G167">
        <f t="shared" si="4"/>
        <v>132.89519119262695</v>
      </c>
      <c r="H167">
        <f>IFERROR(3*VLOOKUP(B167,[1]beds_provinces_district!$B$2:$C$373,2,0),0)</f>
        <v>78</v>
      </c>
      <c r="I167">
        <f t="shared" si="5"/>
        <v>422</v>
      </c>
    </row>
    <row r="168" spans="1:9">
      <c r="A168" t="s">
        <v>713</v>
      </c>
      <c r="B168" t="s">
        <v>159</v>
      </c>
      <c r="C168" t="s">
        <v>132</v>
      </c>
      <c r="D168">
        <v>8.7269515991210938</v>
      </c>
      <c r="E168">
        <v>17.008651733398438</v>
      </c>
      <c r="F168">
        <v>64.709595899451159</v>
      </c>
      <c r="G168">
        <f t="shared" si="4"/>
        <v>180.89039846394138</v>
      </c>
      <c r="H168">
        <f>IFERROR(3*VLOOKUP(B168,[1]beds_provinces_district!$B$2:$C$373,2,0),0)</f>
        <v>78</v>
      </c>
      <c r="I168">
        <f t="shared" si="5"/>
        <v>518</v>
      </c>
    </row>
    <row r="169" spans="1:9">
      <c r="A169" t="s">
        <v>714</v>
      </c>
      <c r="B169" t="s">
        <v>147</v>
      </c>
      <c r="C169" t="s">
        <v>132</v>
      </c>
      <c r="D169">
        <v>34</v>
      </c>
      <c r="E169">
        <v>75</v>
      </c>
      <c r="F169">
        <v>130</v>
      </c>
      <c r="G169">
        <f t="shared" si="4"/>
        <v>478</v>
      </c>
      <c r="H169">
        <f>IFERROR(3*VLOOKUP(B169,[1]beds_provinces_district!$B$2:$C$373,2,0),0)</f>
        <v>402</v>
      </c>
      <c r="I169">
        <f t="shared" si="5"/>
        <v>1760</v>
      </c>
    </row>
    <row r="170" spans="1:9">
      <c r="A170" t="s">
        <v>715</v>
      </c>
      <c r="B170" t="s">
        <v>142</v>
      </c>
      <c r="C170" t="s">
        <v>132</v>
      </c>
      <c r="D170">
        <v>14.704885482788086</v>
      </c>
      <c r="E170">
        <v>16.175373077392578</v>
      </c>
      <c r="F170">
        <v>58</v>
      </c>
      <c r="G170">
        <f t="shared" si="4"/>
        <v>177.76051712036133</v>
      </c>
      <c r="H170">
        <f>IFERROR(3*VLOOKUP(B170,[1]beds_provinces_district!$B$2:$C$373,2,0),0)</f>
        <v>0</v>
      </c>
      <c r="I170">
        <f t="shared" si="5"/>
        <v>356</v>
      </c>
    </row>
    <row r="171" spans="1:9">
      <c r="A171" t="s">
        <v>716</v>
      </c>
      <c r="B171" t="s">
        <v>151</v>
      </c>
      <c r="C171" t="s">
        <v>132</v>
      </c>
      <c r="D171">
        <v>12.957959175109863</v>
      </c>
      <c r="E171">
        <v>22.560731887817383</v>
      </c>
      <c r="F171">
        <v>44.510174428856715</v>
      </c>
      <c r="G171">
        <f t="shared" si="4"/>
        <v>160.05773098356792</v>
      </c>
      <c r="H171">
        <f>IFERROR(3*VLOOKUP(B171,[1]beds_provinces_district!$B$2:$C$373,2,0),0)</f>
        <v>42</v>
      </c>
      <c r="I171">
        <f t="shared" si="5"/>
        <v>404</v>
      </c>
    </row>
    <row r="172" spans="1:9">
      <c r="A172" t="s">
        <v>717</v>
      </c>
      <c r="B172" t="s">
        <v>144</v>
      </c>
      <c r="C172" t="s">
        <v>132</v>
      </c>
      <c r="D172">
        <v>12</v>
      </c>
      <c r="E172">
        <v>25</v>
      </c>
      <c r="F172">
        <v>117</v>
      </c>
      <c r="G172">
        <f t="shared" si="4"/>
        <v>308</v>
      </c>
      <c r="H172">
        <f>IFERROR(3*VLOOKUP(B172,[1]beds_provinces_district!$B$2:$C$373,2,0),0)</f>
        <v>408</v>
      </c>
      <c r="I172">
        <f t="shared" si="5"/>
        <v>1432</v>
      </c>
    </row>
    <row r="173" spans="1:9">
      <c r="A173" t="s">
        <v>718</v>
      </c>
      <c r="B173" t="s">
        <v>719</v>
      </c>
      <c r="C173" t="s">
        <v>132</v>
      </c>
      <c r="D173">
        <v>11.964321136474609</v>
      </c>
      <c r="E173">
        <v>20.100059509277344</v>
      </c>
      <c r="F173">
        <v>89</v>
      </c>
      <c r="G173">
        <f t="shared" si="4"/>
        <v>242.12876129150391</v>
      </c>
      <c r="H173">
        <f>IFERROR(3*VLOOKUP(B173,[1]beds_provinces_district!$B$2:$C$373,2,0),0)</f>
        <v>0</v>
      </c>
      <c r="I173">
        <f t="shared" si="5"/>
        <v>484</v>
      </c>
    </row>
    <row r="174" spans="1:9">
      <c r="A174" t="s">
        <v>720</v>
      </c>
      <c r="B174" t="s">
        <v>721</v>
      </c>
      <c r="C174" t="s">
        <v>132</v>
      </c>
      <c r="D174">
        <v>64.798423767089844</v>
      </c>
      <c r="E174">
        <v>111.39351654052734</v>
      </c>
      <c r="F174">
        <v>46</v>
      </c>
      <c r="G174">
        <f t="shared" si="4"/>
        <v>444.38388061523438</v>
      </c>
      <c r="H174">
        <f>IFERROR(3*VLOOKUP(B174,[1]beds_provinces_district!$B$2:$C$373,2,0),0)</f>
        <v>825</v>
      </c>
      <c r="I174">
        <f t="shared" si="5"/>
        <v>2539</v>
      </c>
    </row>
    <row r="175" spans="1:9">
      <c r="A175" t="s">
        <v>722</v>
      </c>
      <c r="B175" t="s">
        <v>158</v>
      </c>
      <c r="C175" t="s">
        <v>132</v>
      </c>
      <c r="D175">
        <v>32.904762268066406</v>
      </c>
      <c r="E175">
        <v>56.565837860107422</v>
      </c>
      <c r="F175">
        <v>27</v>
      </c>
      <c r="G175">
        <f t="shared" si="4"/>
        <v>232.94120025634766</v>
      </c>
      <c r="H175">
        <f>IFERROR(3*VLOOKUP(B175,[1]beds_provinces_district!$B$2:$C$373,2,0),0)</f>
        <v>0</v>
      </c>
      <c r="I175">
        <f t="shared" si="5"/>
        <v>466</v>
      </c>
    </row>
    <row r="176" spans="1:9">
      <c r="A176" t="s">
        <v>723</v>
      </c>
      <c r="B176" t="s">
        <v>141</v>
      </c>
      <c r="C176" t="s">
        <v>132</v>
      </c>
      <c r="D176">
        <v>186</v>
      </c>
      <c r="E176">
        <v>268</v>
      </c>
      <c r="F176">
        <v>121</v>
      </c>
      <c r="G176">
        <f t="shared" si="4"/>
        <v>1150</v>
      </c>
      <c r="H176">
        <f>IFERROR(3*VLOOKUP(B176,[1]beds_provinces_district!$B$2:$C$373,2,0),0)</f>
        <v>1785</v>
      </c>
      <c r="I176">
        <f t="shared" si="5"/>
        <v>5870</v>
      </c>
    </row>
    <row r="177" spans="1:9">
      <c r="A177" t="s">
        <v>724</v>
      </c>
      <c r="B177" t="s">
        <v>725</v>
      </c>
      <c r="C177" t="s">
        <v>132</v>
      </c>
      <c r="D177">
        <v>16.625633239746094</v>
      </c>
      <c r="E177">
        <v>27.016653060913086</v>
      </c>
      <c r="F177">
        <v>106</v>
      </c>
      <c r="G177">
        <f t="shared" si="4"/>
        <v>299.28457260131836</v>
      </c>
      <c r="H177">
        <f>IFERROR(3*VLOOKUP(B177,[1]beds_provinces_district!$B$2:$C$373,2,0),0)</f>
        <v>0</v>
      </c>
      <c r="I177">
        <f t="shared" si="5"/>
        <v>599</v>
      </c>
    </row>
    <row r="178" spans="1:9">
      <c r="A178" t="s">
        <v>726</v>
      </c>
      <c r="B178" t="s">
        <v>153</v>
      </c>
      <c r="C178" t="s">
        <v>132</v>
      </c>
      <c r="D178">
        <v>45.126935439567902</v>
      </c>
      <c r="E178">
        <v>78.051581812672922</v>
      </c>
      <c r="F178">
        <v>46</v>
      </c>
      <c r="G178">
        <f t="shared" si="4"/>
        <v>338.35703450448165</v>
      </c>
      <c r="H178">
        <f>IFERROR(3*VLOOKUP(B178,[1]beds_provinces_district!$B$2:$C$373,2,0),0)</f>
        <v>0</v>
      </c>
      <c r="I178">
        <f t="shared" si="5"/>
        <v>677</v>
      </c>
    </row>
    <row r="179" spans="1:9">
      <c r="A179" t="s">
        <v>727</v>
      </c>
      <c r="B179" t="s">
        <v>137</v>
      </c>
      <c r="C179" t="s">
        <v>132</v>
      </c>
      <c r="D179">
        <v>31.374366760253906</v>
      </c>
      <c r="E179">
        <v>50.983345031738281</v>
      </c>
      <c r="F179">
        <v>136</v>
      </c>
      <c r="G179">
        <f t="shared" si="4"/>
        <v>436.71542358398438</v>
      </c>
      <c r="H179">
        <f>IFERROR(3*VLOOKUP(B179,[1]beds_provinces_district!$B$2:$C$373,2,0),0)</f>
        <v>390</v>
      </c>
      <c r="I179">
        <f t="shared" si="5"/>
        <v>1653</v>
      </c>
    </row>
    <row r="180" spans="1:9">
      <c r="A180" t="s">
        <v>728</v>
      </c>
      <c r="B180" t="s">
        <v>138</v>
      </c>
      <c r="C180" t="s">
        <v>132</v>
      </c>
      <c r="D180">
        <v>99.042037963867188</v>
      </c>
      <c r="E180">
        <v>172.43927001953125</v>
      </c>
      <c r="F180">
        <v>97.531657153365273</v>
      </c>
      <c r="G180">
        <f t="shared" si="4"/>
        <v>738.02593027352736</v>
      </c>
      <c r="H180">
        <f>IFERROR(3*VLOOKUP(B180,[1]beds_provinces_district!$B$2:$C$373,2,0),0)</f>
        <v>858</v>
      </c>
      <c r="I180">
        <f t="shared" si="5"/>
        <v>3192</v>
      </c>
    </row>
    <row r="181" spans="1:9">
      <c r="A181" t="s">
        <v>729</v>
      </c>
      <c r="B181" t="s">
        <v>145</v>
      </c>
      <c r="C181" t="s">
        <v>132</v>
      </c>
      <c r="D181">
        <v>22</v>
      </c>
      <c r="E181">
        <v>67</v>
      </c>
      <c r="F181">
        <v>113</v>
      </c>
      <c r="G181">
        <f t="shared" si="4"/>
        <v>404</v>
      </c>
      <c r="H181">
        <f>IFERROR(3*VLOOKUP(B181,[1]beds_provinces_district!$B$2:$C$373,2,0),0)</f>
        <v>726</v>
      </c>
      <c r="I181">
        <f t="shared" si="5"/>
        <v>2260</v>
      </c>
    </row>
    <row r="182" spans="1:9">
      <c r="A182" t="s">
        <v>730</v>
      </c>
      <c r="B182" t="s">
        <v>731</v>
      </c>
      <c r="C182" t="s">
        <v>132</v>
      </c>
      <c r="D182">
        <v>40</v>
      </c>
      <c r="E182">
        <v>63</v>
      </c>
      <c r="F182">
        <v>46</v>
      </c>
      <c r="G182">
        <f t="shared" si="4"/>
        <v>298</v>
      </c>
      <c r="H182">
        <f>IFERROR(3*VLOOKUP(B182,[1]beds_provinces_district!$B$2:$C$373,2,0),0)</f>
        <v>438</v>
      </c>
      <c r="I182">
        <f t="shared" si="5"/>
        <v>1472</v>
      </c>
    </row>
    <row r="183" spans="1:9">
      <c r="A183" t="s">
        <v>732</v>
      </c>
      <c r="B183" t="s">
        <v>143</v>
      </c>
      <c r="C183" t="s">
        <v>132</v>
      </c>
      <c r="D183">
        <v>20.370744705200195</v>
      </c>
      <c r="E183">
        <v>35.349231719970703</v>
      </c>
      <c r="F183">
        <v>73</v>
      </c>
      <c r="G183">
        <f t="shared" si="4"/>
        <v>257.4399528503418</v>
      </c>
      <c r="H183">
        <f>IFERROR(3*VLOOKUP(B183,[1]beds_provinces_district!$B$2:$C$373,2,0),0)</f>
        <v>399</v>
      </c>
      <c r="I183">
        <f t="shared" si="5"/>
        <v>1313</v>
      </c>
    </row>
    <row r="184" spans="1:9">
      <c r="A184" t="s">
        <v>733</v>
      </c>
      <c r="B184" t="s">
        <v>146</v>
      </c>
      <c r="C184" t="s">
        <v>132</v>
      </c>
      <c r="D184">
        <v>28.497236251831055</v>
      </c>
      <c r="E184">
        <v>47.875358581542969</v>
      </c>
      <c r="F184">
        <v>41</v>
      </c>
      <c r="G184">
        <f t="shared" si="4"/>
        <v>234.74518966674805</v>
      </c>
      <c r="H184">
        <f>IFERROR(3*VLOOKUP(B184,[1]beds_provinces_district!$B$2:$C$373,2,0),0)</f>
        <v>720</v>
      </c>
      <c r="I184">
        <f t="shared" si="5"/>
        <v>1909</v>
      </c>
    </row>
    <row r="185" spans="1:9">
      <c r="A185" t="s">
        <v>734</v>
      </c>
      <c r="B185" t="s">
        <v>149</v>
      </c>
      <c r="C185" t="s">
        <v>132</v>
      </c>
      <c r="D185">
        <v>8</v>
      </c>
      <c r="E185">
        <v>28</v>
      </c>
      <c r="F185">
        <v>32</v>
      </c>
      <c r="G185">
        <f t="shared" si="4"/>
        <v>136</v>
      </c>
      <c r="H185">
        <f>IFERROR(3*VLOOKUP(B185,[1]beds_provinces_district!$B$2:$C$373,2,0),0)</f>
        <v>387</v>
      </c>
      <c r="I185">
        <f t="shared" si="5"/>
        <v>1046</v>
      </c>
    </row>
    <row r="186" spans="1:9">
      <c r="A186" t="s">
        <v>735</v>
      </c>
      <c r="B186" t="s">
        <v>150</v>
      </c>
      <c r="C186" t="s">
        <v>132</v>
      </c>
      <c r="D186">
        <v>9.5384426116943359</v>
      </c>
      <c r="E186">
        <v>16.02458381652832</v>
      </c>
      <c r="F186">
        <v>46</v>
      </c>
      <c r="G186">
        <f t="shared" si="4"/>
        <v>143.12605285644531</v>
      </c>
      <c r="H186">
        <f>IFERROR(3*VLOOKUP(B186,[1]beds_provinces_district!$B$2:$C$373,2,0),0)</f>
        <v>60</v>
      </c>
      <c r="I186">
        <f t="shared" si="5"/>
        <v>406</v>
      </c>
    </row>
    <row r="187" spans="1:9">
      <c r="A187" t="s">
        <v>736</v>
      </c>
      <c r="B187" t="s">
        <v>134</v>
      </c>
      <c r="C187" t="s">
        <v>132</v>
      </c>
      <c r="D187">
        <v>100</v>
      </c>
      <c r="E187">
        <v>182</v>
      </c>
      <c r="F187">
        <v>78</v>
      </c>
      <c r="G187">
        <f t="shared" si="4"/>
        <v>720</v>
      </c>
      <c r="H187">
        <f>IFERROR(3*VLOOKUP(B187,[1]beds_provinces_district!$B$2:$C$373,2,0),0)</f>
        <v>1560</v>
      </c>
      <c r="I187">
        <f t="shared" si="5"/>
        <v>4560</v>
      </c>
    </row>
    <row r="188" spans="1:9">
      <c r="A188" t="s">
        <v>737</v>
      </c>
      <c r="B188" t="s">
        <v>738</v>
      </c>
      <c r="C188" t="s">
        <v>132</v>
      </c>
      <c r="D188">
        <v>3.9602420330047607</v>
      </c>
      <c r="E188">
        <v>6.8721847534179688</v>
      </c>
      <c r="F188">
        <v>18</v>
      </c>
      <c r="G188">
        <f t="shared" si="4"/>
        <v>57.664853572845459</v>
      </c>
      <c r="H188">
        <f>IFERROR(3*VLOOKUP(B188,[1]beds_provinces_district!$B$2:$C$373,2,0),0)</f>
        <v>0</v>
      </c>
      <c r="I188">
        <f t="shared" si="5"/>
        <v>115</v>
      </c>
    </row>
    <row r="189" spans="1:9">
      <c r="A189" t="s">
        <v>739</v>
      </c>
      <c r="B189" t="s">
        <v>357</v>
      </c>
      <c r="C189" t="s">
        <v>357</v>
      </c>
      <c r="D189">
        <v>233.12567138671875</v>
      </c>
      <c r="E189">
        <v>356.97369384765625</v>
      </c>
      <c r="F189">
        <v>176</v>
      </c>
      <c r="G189">
        <f t="shared" si="4"/>
        <v>1532.19873046875</v>
      </c>
      <c r="H189">
        <f>IFERROR(3*VLOOKUP(B189,[1]beds_provinces_district!$B$2:$C$373,2,0),0)</f>
        <v>3600</v>
      </c>
      <c r="I189">
        <f t="shared" si="5"/>
        <v>10264</v>
      </c>
    </row>
    <row r="190" spans="1:9">
      <c r="A190" t="s">
        <v>740</v>
      </c>
      <c r="B190" t="s">
        <v>359</v>
      </c>
      <c r="C190" t="s">
        <v>357</v>
      </c>
      <c r="D190">
        <v>56.925128936767578</v>
      </c>
      <c r="E190">
        <v>79.527755737304688</v>
      </c>
      <c r="F190">
        <v>67</v>
      </c>
      <c r="G190">
        <f t="shared" si="4"/>
        <v>406.90576934814453</v>
      </c>
      <c r="H190">
        <f>IFERROR(3*VLOOKUP(B190,[1]beds_provinces_district!$B$2:$C$373,2,0),0)</f>
        <v>1155</v>
      </c>
      <c r="I190">
        <f t="shared" si="5"/>
        <v>3124</v>
      </c>
    </row>
    <row r="191" spans="1:9">
      <c r="A191" t="s">
        <v>741</v>
      </c>
      <c r="B191" t="s">
        <v>742</v>
      </c>
      <c r="C191" t="s">
        <v>357</v>
      </c>
      <c r="D191">
        <v>11.074869155883789</v>
      </c>
      <c r="E191">
        <v>15.472244262695313</v>
      </c>
      <c r="F191">
        <v>43</v>
      </c>
      <c r="G191">
        <f t="shared" si="4"/>
        <v>139.0942268371582</v>
      </c>
      <c r="H191">
        <f>IFERROR(3*VLOOKUP(B191,[1]beds_provinces_district!$B$2:$C$373,2,0),0)</f>
        <v>0</v>
      </c>
      <c r="I191">
        <f t="shared" si="5"/>
        <v>278</v>
      </c>
    </row>
    <row r="192" spans="1:9">
      <c r="A192" t="s">
        <v>743</v>
      </c>
      <c r="B192" t="s">
        <v>364</v>
      </c>
      <c r="C192" t="s">
        <v>357</v>
      </c>
      <c r="D192">
        <v>17.630783081054688</v>
      </c>
      <c r="E192">
        <v>26.997135162353516</v>
      </c>
      <c r="F192">
        <v>90</v>
      </c>
      <c r="G192">
        <f t="shared" si="4"/>
        <v>269.25583648681641</v>
      </c>
      <c r="H192">
        <f>IFERROR(3*VLOOKUP(B192,[1]beds_provinces_district!$B$2:$C$373,2,0),0)</f>
        <v>0</v>
      </c>
      <c r="I192">
        <f t="shared" si="5"/>
        <v>539</v>
      </c>
    </row>
    <row r="193" spans="1:9">
      <c r="A193" t="s">
        <v>744</v>
      </c>
      <c r="B193" t="s">
        <v>361</v>
      </c>
      <c r="C193" t="s">
        <v>357</v>
      </c>
      <c r="D193">
        <v>16.385782241821289</v>
      </c>
      <c r="E193">
        <v>25.090730667114258</v>
      </c>
      <c r="F193">
        <v>55</v>
      </c>
      <c r="G193">
        <f t="shared" si="4"/>
        <v>192.95302581787109</v>
      </c>
      <c r="H193">
        <f>IFERROR(3*VLOOKUP(B193,[1]beds_provinces_district!$B$2:$C$373,2,0),0)</f>
        <v>15</v>
      </c>
      <c r="I193">
        <f t="shared" si="5"/>
        <v>416</v>
      </c>
    </row>
    <row r="194" spans="1:9">
      <c r="A194" t="s">
        <v>745</v>
      </c>
      <c r="B194" t="s">
        <v>363</v>
      </c>
      <c r="C194" t="s">
        <v>357</v>
      </c>
      <c r="D194">
        <v>20.857763290405273</v>
      </c>
      <c r="E194">
        <v>31.938449859619141</v>
      </c>
      <c r="F194">
        <v>62</v>
      </c>
      <c r="G194">
        <f t="shared" si="4"/>
        <v>229.59242630004883</v>
      </c>
      <c r="H194">
        <f>IFERROR(3*VLOOKUP(B194,[1]beds_provinces_district!$B$2:$C$373,2,0),0)</f>
        <v>69</v>
      </c>
      <c r="I194">
        <f t="shared" si="5"/>
        <v>597</v>
      </c>
    </row>
    <row r="195" spans="1:9">
      <c r="A195" t="s">
        <v>746</v>
      </c>
      <c r="B195" t="s">
        <v>360</v>
      </c>
      <c r="C195" t="s">
        <v>357</v>
      </c>
      <c r="D195">
        <v>27</v>
      </c>
      <c r="E195">
        <v>33</v>
      </c>
      <c r="F195">
        <v>214</v>
      </c>
      <c r="G195">
        <f t="shared" ref="G195:G258" si="6">SUM(D195:F195)*2</f>
        <v>548</v>
      </c>
      <c r="H195">
        <f>IFERROR(3*VLOOKUP(B195,[1]beds_provinces_district!$B$2:$C$373,2,0),0)</f>
        <v>432</v>
      </c>
      <c r="I195">
        <f t="shared" ref="I195:I258" si="7">ROUND(SUM(G195:H195)*2,0)</f>
        <v>1960</v>
      </c>
    </row>
    <row r="196" spans="1:9">
      <c r="A196" t="s">
        <v>747</v>
      </c>
      <c r="B196" t="s">
        <v>362</v>
      </c>
      <c r="C196" t="s">
        <v>357</v>
      </c>
      <c r="D196">
        <v>18</v>
      </c>
      <c r="E196">
        <v>40</v>
      </c>
      <c r="F196">
        <v>16</v>
      </c>
      <c r="G196">
        <f t="shared" si="6"/>
        <v>148</v>
      </c>
      <c r="H196">
        <f>IFERROR(3*VLOOKUP(B196,[1]beds_provinces_district!$B$2:$C$373,2,0),0)</f>
        <v>333</v>
      </c>
      <c r="I196">
        <f t="shared" si="7"/>
        <v>962</v>
      </c>
    </row>
    <row r="197" spans="1:9">
      <c r="A197" t="s">
        <v>748</v>
      </c>
      <c r="B197" t="s">
        <v>365</v>
      </c>
      <c r="C197" t="s">
        <v>365</v>
      </c>
      <c r="D197">
        <v>134.79066467285156</v>
      </c>
      <c r="E197">
        <v>196.88523864746094</v>
      </c>
      <c r="F197">
        <v>10</v>
      </c>
      <c r="G197">
        <f t="shared" si="6"/>
        <v>683.351806640625</v>
      </c>
      <c r="H197">
        <f>IFERROR(3*VLOOKUP(B197,[1]beds_provinces_district!$B$2:$C$373,2,0),0)</f>
        <v>1581</v>
      </c>
      <c r="I197">
        <f t="shared" si="7"/>
        <v>4529</v>
      </c>
    </row>
    <row r="198" spans="1:9">
      <c r="A198" t="s">
        <v>749</v>
      </c>
      <c r="B198" t="s">
        <v>374</v>
      </c>
      <c r="C198" t="s">
        <v>365</v>
      </c>
      <c r="D198">
        <v>10.646981239318848</v>
      </c>
      <c r="E198">
        <v>15.55177116394043</v>
      </c>
      <c r="F198">
        <v>10</v>
      </c>
      <c r="G198">
        <f t="shared" si="6"/>
        <v>72.397504806518555</v>
      </c>
      <c r="H198">
        <f>IFERROR(3*VLOOKUP(B198,[1]beds_provinces_district!$B$2:$C$373,2,0),0)</f>
        <v>0</v>
      </c>
      <c r="I198">
        <f t="shared" si="7"/>
        <v>145</v>
      </c>
    </row>
    <row r="199" spans="1:9">
      <c r="A199" t="s">
        <v>750</v>
      </c>
      <c r="B199" t="s">
        <v>371</v>
      </c>
      <c r="C199" t="s">
        <v>365</v>
      </c>
      <c r="D199">
        <v>13.53349781036377</v>
      </c>
      <c r="E199">
        <v>12.012880325317383</v>
      </c>
      <c r="F199">
        <v>19</v>
      </c>
      <c r="G199">
        <f t="shared" si="6"/>
        <v>89.092756271362305</v>
      </c>
      <c r="H199">
        <f>IFERROR(3*VLOOKUP(B199,[1]beds_provinces_district!$B$2:$C$373,2,0),0)</f>
        <v>57</v>
      </c>
      <c r="I199">
        <f t="shared" si="7"/>
        <v>292</v>
      </c>
    </row>
    <row r="200" spans="1:9">
      <c r="A200" t="s">
        <v>751</v>
      </c>
      <c r="B200" t="s">
        <v>370</v>
      </c>
      <c r="C200" t="s">
        <v>365</v>
      </c>
      <c r="D200">
        <v>32.562355041503906</v>
      </c>
      <c r="E200">
        <v>47.562992095947266</v>
      </c>
      <c r="F200">
        <v>10</v>
      </c>
      <c r="G200">
        <f t="shared" si="6"/>
        <v>180.25069427490234</v>
      </c>
      <c r="H200">
        <f>IFERROR(3*VLOOKUP(B200,[1]beds_provinces_district!$B$2:$C$373,2,0),0)</f>
        <v>0</v>
      </c>
      <c r="I200">
        <f t="shared" si="7"/>
        <v>361</v>
      </c>
    </row>
    <row r="201" spans="1:9">
      <c r="A201" t="s">
        <v>752</v>
      </c>
      <c r="B201" t="s">
        <v>367</v>
      </c>
      <c r="C201" t="s">
        <v>365</v>
      </c>
      <c r="D201">
        <v>46</v>
      </c>
      <c r="E201">
        <v>63</v>
      </c>
      <c r="F201">
        <v>42</v>
      </c>
      <c r="G201">
        <f t="shared" si="6"/>
        <v>302</v>
      </c>
      <c r="H201">
        <f>IFERROR(3*VLOOKUP(B201,[1]beds_provinces_district!$B$2:$C$373,2,0),0)</f>
        <v>498</v>
      </c>
      <c r="I201">
        <f t="shared" si="7"/>
        <v>1600</v>
      </c>
    </row>
    <row r="202" spans="1:9">
      <c r="A202" t="s">
        <v>753</v>
      </c>
      <c r="B202" t="s">
        <v>368</v>
      </c>
      <c r="C202" t="s">
        <v>365</v>
      </c>
      <c r="D202">
        <v>118.93683624267578</v>
      </c>
      <c r="E202">
        <v>203.04217529296875</v>
      </c>
      <c r="F202">
        <v>117</v>
      </c>
      <c r="G202">
        <f t="shared" si="6"/>
        <v>877.95802307128906</v>
      </c>
      <c r="H202">
        <f>IFERROR(3*VLOOKUP(B202,[1]beds_provinces_district!$B$2:$C$373,2,0),0)</f>
        <v>2028</v>
      </c>
      <c r="I202">
        <f t="shared" si="7"/>
        <v>5812</v>
      </c>
    </row>
    <row r="203" spans="1:9">
      <c r="A203" t="s">
        <v>754</v>
      </c>
      <c r="B203" t="s">
        <v>372</v>
      </c>
      <c r="C203" t="s">
        <v>365</v>
      </c>
      <c r="D203">
        <v>21.063159942626953</v>
      </c>
      <c r="E203">
        <v>35.95782470703125</v>
      </c>
      <c r="F203">
        <v>110.6575562274013</v>
      </c>
      <c r="G203">
        <f t="shared" si="6"/>
        <v>335.35708175411901</v>
      </c>
      <c r="H203">
        <f>IFERROR(3*VLOOKUP(B203,[1]beds_provinces_district!$B$2:$C$373,2,0),0)</f>
        <v>0</v>
      </c>
      <c r="I203">
        <f t="shared" si="7"/>
        <v>671</v>
      </c>
    </row>
    <row r="204" spans="1:9">
      <c r="A204" t="s">
        <v>755</v>
      </c>
      <c r="B204" t="s">
        <v>369</v>
      </c>
      <c r="C204" t="s">
        <v>365</v>
      </c>
      <c r="D204">
        <v>75.466499328613281</v>
      </c>
      <c r="E204">
        <v>66.98712158203125</v>
      </c>
      <c r="F204">
        <v>21</v>
      </c>
      <c r="G204">
        <f t="shared" si="6"/>
        <v>326.90724182128906</v>
      </c>
      <c r="H204">
        <f>IFERROR(3*VLOOKUP(B204,[1]beds_provinces_district!$B$2:$C$373,2,0),0)</f>
        <v>318</v>
      </c>
      <c r="I204">
        <f t="shared" si="7"/>
        <v>1290</v>
      </c>
    </row>
    <row r="205" spans="1:9">
      <c r="A205" t="s">
        <v>756</v>
      </c>
      <c r="B205" t="s">
        <v>285</v>
      </c>
      <c r="C205" t="s">
        <v>757</v>
      </c>
      <c r="D205">
        <v>5.5913896560668945</v>
      </c>
      <c r="E205">
        <v>13.785667419433594</v>
      </c>
      <c r="F205">
        <v>44</v>
      </c>
      <c r="G205">
        <f t="shared" si="6"/>
        <v>126.75411415100098</v>
      </c>
      <c r="H205">
        <f>IFERROR(3*VLOOKUP(B205,[1]beds_provinces_district!$B$2:$C$373,2,0),0)</f>
        <v>0</v>
      </c>
      <c r="I205">
        <f t="shared" si="7"/>
        <v>254</v>
      </c>
    </row>
    <row r="206" spans="1:9">
      <c r="A206" t="s">
        <v>758</v>
      </c>
      <c r="B206" t="s">
        <v>272</v>
      </c>
      <c r="C206" t="s">
        <v>757</v>
      </c>
      <c r="D206">
        <v>207.41064453125</v>
      </c>
      <c r="E206">
        <v>437.44790649414063</v>
      </c>
      <c r="F206">
        <v>72</v>
      </c>
      <c r="G206">
        <f t="shared" si="6"/>
        <v>1433.7171020507813</v>
      </c>
      <c r="H206">
        <f>IFERROR(3*VLOOKUP(B206,[1]beds_provinces_district!$B$2:$C$373,2,0),0)</f>
        <v>3516</v>
      </c>
      <c r="I206">
        <f t="shared" si="7"/>
        <v>9899</v>
      </c>
    </row>
    <row r="207" spans="1:9">
      <c r="A207" t="s">
        <v>759</v>
      </c>
      <c r="B207" t="s">
        <v>269</v>
      </c>
      <c r="C207" t="s">
        <v>757</v>
      </c>
      <c r="D207">
        <v>25.926776885986328</v>
      </c>
      <c r="E207">
        <v>63.922916412353516</v>
      </c>
      <c r="F207">
        <v>126</v>
      </c>
      <c r="G207">
        <f t="shared" si="6"/>
        <v>431.69938659667969</v>
      </c>
      <c r="H207">
        <f>IFERROR(3*VLOOKUP(B207,[1]beds_provinces_district!$B$2:$C$373,2,0),0)</f>
        <v>0</v>
      </c>
      <c r="I207">
        <f t="shared" si="7"/>
        <v>863</v>
      </c>
    </row>
    <row r="208" spans="1:9">
      <c r="A208" t="s">
        <v>760</v>
      </c>
      <c r="B208" t="s">
        <v>275</v>
      </c>
      <c r="C208" t="s">
        <v>757</v>
      </c>
      <c r="D208">
        <v>19.044151306152344</v>
      </c>
      <c r="E208">
        <v>33.693496704101563</v>
      </c>
      <c r="F208">
        <v>253</v>
      </c>
      <c r="G208">
        <f t="shared" si="6"/>
        <v>611.47529602050781</v>
      </c>
      <c r="H208">
        <f>IFERROR(3*VLOOKUP(B208,[1]beds_provinces_district!$B$2:$C$373,2,0),0)</f>
        <v>162</v>
      </c>
      <c r="I208">
        <f t="shared" si="7"/>
        <v>1547</v>
      </c>
    </row>
    <row r="209" spans="1:9">
      <c r="A209" t="s">
        <v>761</v>
      </c>
      <c r="B209" t="s">
        <v>276</v>
      </c>
      <c r="C209" t="s">
        <v>757</v>
      </c>
      <c r="D209">
        <v>8.9911184310913086</v>
      </c>
      <c r="E209">
        <v>22.167757034301758</v>
      </c>
      <c r="F209">
        <v>39</v>
      </c>
      <c r="G209">
        <f t="shared" si="6"/>
        <v>140.31775093078613</v>
      </c>
      <c r="H209">
        <f>IFERROR(3*VLOOKUP(B209,[1]beds_provinces_district!$B$2:$C$373,2,0),0)</f>
        <v>0</v>
      </c>
      <c r="I209">
        <f t="shared" si="7"/>
        <v>281</v>
      </c>
    </row>
    <row r="210" spans="1:9">
      <c r="A210" t="s">
        <v>762</v>
      </c>
      <c r="B210" t="s">
        <v>271</v>
      </c>
      <c r="C210" t="s">
        <v>757</v>
      </c>
      <c r="D210">
        <v>35.318401336669922</v>
      </c>
      <c r="E210">
        <v>69.37542724609375</v>
      </c>
      <c r="F210">
        <v>59</v>
      </c>
      <c r="G210">
        <f t="shared" si="6"/>
        <v>327.38765716552734</v>
      </c>
      <c r="H210">
        <f>IFERROR(3*VLOOKUP(B210,[1]beds_provinces_district!$B$2:$C$373,2,0),0)</f>
        <v>1314</v>
      </c>
      <c r="I210">
        <f t="shared" si="7"/>
        <v>3283</v>
      </c>
    </row>
    <row r="211" spans="1:9">
      <c r="A211" t="s">
        <v>763</v>
      </c>
      <c r="B211" t="s">
        <v>282</v>
      </c>
      <c r="C211" t="s">
        <v>757</v>
      </c>
      <c r="D211">
        <v>10.333551406860352</v>
      </c>
      <c r="E211">
        <v>20.29804801940918</v>
      </c>
      <c r="F211">
        <v>55</v>
      </c>
      <c r="G211">
        <f t="shared" si="6"/>
        <v>171.26319885253906</v>
      </c>
      <c r="H211">
        <f>IFERROR(3*VLOOKUP(B211,[1]beds_provinces_district!$B$2:$C$373,2,0),0)</f>
        <v>0</v>
      </c>
      <c r="I211">
        <f t="shared" si="7"/>
        <v>343</v>
      </c>
    </row>
    <row r="212" spans="1:9">
      <c r="A212" t="s">
        <v>764</v>
      </c>
      <c r="B212" t="s">
        <v>279</v>
      </c>
      <c r="C212" t="s">
        <v>757</v>
      </c>
      <c r="D212">
        <v>6.9402484893798828</v>
      </c>
      <c r="E212">
        <v>12.278901100158691</v>
      </c>
      <c r="F212">
        <v>71</v>
      </c>
      <c r="G212">
        <f t="shared" si="6"/>
        <v>180.43829917907715</v>
      </c>
      <c r="H212">
        <f>IFERROR(3*VLOOKUP(B212,[1]beds_provinces_district!$B$2:$C$373,2,0),0)</f>
        <v>33</v>
      </c>
      <c r="I212">
        <f t="shared" si="7"/>
        <v>427</v>
      </c>
    </row>
    <row r="213" spans="1:9">
      <c r="A213" t="s">
        <v>765</v>
      </c>
      <c r="B213" t="s">
        <v>278</v>
      </c>
      <c r="C213" t="s">
        <v>757</v>
      </c>
      <c r="D213">
        <v>13.729035377502441</v>
      </c>
      <c r="E213">
        <v>26.967746734619141</v>
      </c>
      <c r="F213">
        <v>115</v>
      </c>
      <c r="G213">
        <f t="shared" si="6"/>
        <v>311.39356422424316</v>
      </c>
      <c r="H213">
        <f>IFERROR(3*VLOOKUP(B213,[1]beds_provinces_district!$B$2:$C$373,2,0),0)</f>
        <v>33</v>
      </c>
      <c r="I213">
        <f t="shared" si="7"/>
        <v>689</v>
      </c>
    </row>
    <row r="214" spans="1:9">
      <c r="A214" t="s">
        <v>766</v>
      </c>
      <c r="B214" t="s">
        <v>767</v>
      </c>
      <c r="C214" t="s">
        <v>757</v>
      </c>
      <c r="D214">
        <v>3.6576273441314697</v>
      </c>
      <c r="E214">
        <v>9.3472700119018555</v>
      </c>
      <c r="F214">
        <v>62</v>
      </c>
      <c r="G214">
        <f t="shared" si="6"/>
        <v>150.00979471206665</v>
      </c>
      <c r="H214">
        <f>IFERROR(3*VLOOKUP(B214,[1]beds_provinces_district!$B$2:$C$373,2,0),0)</f>
        <v>0</v>
      </c>
      <c r="I214">
        <f t="shared" si="7"/>
        <v>300</v>
      </c>
    </row>
    <row r="215" spans="1:9">
      <c r="A215" t="s">
        <v>768</v>
      </c>
      <c r="B215" t="s">
        <v>273</v>
      </c>
      <c r="C215" t="s">
        <v>757</v>
      </c>
      <c r="D215">
        <v>9.9324798583984375</v>
      </c>
      <c r="E215">
        <v>25.383005142211914</v>
      </c>
      <c r="F215">
        <v>112</v>
      </c>
      <c r="G215">
        <f t="shared" si="6"/>
        <v>294.6309700012207</v>
      </c>
      <c r="H215">
        <f>IFERROR(3*VLOOKUP(B215,[1]beds_provinces_district!$B$2:$C$373,2,0),0)</f>
        <v>546</v>
      </c>
      <c r="I215">
        <f t="shared" si="7"/>
        <v>1681</v>
      </c>
    </row>
    <row r="216" spans="1:9">
      <c r="A216" t="s">
        <v>769</v>
      </c>
      <c r="B216" t="s">
        <v>284</v>
      </c>
      <c r="C216" t="s">
        <v>757</v>
      </c>
      <c r="D216">
        <v>13.987033843994141</v>
      </c>
      <c r="E216">
        <v>29.49992561340332</v>
      </c>
      <c r="F216">
        <v>31</v>
      </c>
      <c r="G216">
        <f t="shared" si="6"/>
        <v>148.97391891479492</v>
      </c>
      <c r="H216">
        <f>IFERROR(3*VLOOKUP(B216,[1]beds_provinces_district!$B$2:$C$373,2,0),0)</f>
        <v>24</v>
      </c>
      <c r="I216">
        <f t="shared" si="7"/>
        <v>346</v>
      </c>
    </row>
    <row r="217" spans="1:9">
      <c r="A217" t="s">
        <v>770</v>
      </c>
      <c r="B217" t="s">
        <v>270</v>
      </c>
      <c r="C217" t="s">
        <v>757</v>
      </c>
      <c r="D217">
        <v>53.602313995361328</v>
      </c>
      <c r="E217">
        <v>113.05215454101563</v>
      </c>
      <c r="F217">
        <v>199</v>
      </c>
      <c r="G217">
        <f t="shared" si="6"/>
        <v>731.30893707275391</v>
      </c>
      <c r="H217">
        <f>IFERROR(3*VLOOKUP(B217,[1]beds_provinces_district!$B$2:$C$373,2,0),0)</f>
        <v>393</v>
      </c>
      <c r="I217">
        <f t="shared" si="7"/>
        <v>2249</v>
      </c>
    </row>
    <row r="218" spans="1:9">
      <c r="A218" t="s">
        <v>771</v>
      </c>
      <c r="B218" t="s">
        <v>283</v>
      </c>
      <c r="C218" t="s">
        <v>757</v>
      </c>
      <c r="D218">
        <v>8.7444305419921875</v>
      </c>
      <c r="E218">
        <v>17.176559448242188</v>
      </c>
      <c r="F218">
        <v>86</v>
      </c>
      <c r="G218">
        <f t="shared" si="6"/>
        <v>223.84197998046875</v>
      </c>
      <c r="H218">
        <f>IFERROR(3*VLOOKUP(B218,[1]beds_provinces_district!$B$2:$C$373,2,0),0)</f>
        <v>0</v>
      </c>
      <c r="I218">
        <f t="shared" si="7"/>
        <v>448</v>
      </c>
    </row>
    <row r="219" spans="1:9">
      <c r="A219" t="s">
        <v>772</v>
      </c>
      <c r="B219" t="s">
        <v>277</v>
      </c>
      <c r="C219" t="s">
        <v>757</v>
      </c>
      <c r="D219">
        <v>15.87458324432373</v>
      </c>
      <c r="E219">
        <v>31.182216644287109</v>
      </c>
      <c r="F219">
        <v>92</v>
      </c>
      <c r="G219">
        <f t="shared" si="6"/>
        <v>278.11359977722168</v>
      </c>
      <c r="H219">
        <f>IFERROR(3*VLOOKUP(B219,[1]beds_provinces_district!$B$2:$C$373,2,0),0)</f>
        <v>249</v>
      </c>
      <c r="I219">
        <f t="shared" si="7"/>
        <v>1054</v>
      </c>
    </row>
    <row r="220" spans="1:9">
      <c r="A220" t="s">
        <v>773</v>
      </c>
      <c r="B220" t="s">
        <v>287</v>
      </c>
      <c r="C220" t="s">
        <v>757</v>
      </c>
      <c r="D220">
        <v>4.5005941390991211</v>
      </c>
      <c r="E220">
        <v>11.096292495727539</v>
      </c>
      <c r="F220">
        <v>48</v>
      </c>
      <c r="G220">
        <f t="shared" si="6"/>
        <v>127.19377326965332</v>
      </c>
      <c r="H220">
        <f>IFERROR(3*VLOOKUP(B220,[1]beds_provinces_district!$B$2:$C$373,2,0),0)</f>
        <v>0</v>
      </c>
      <c r="I220">
        <f t="shared" si="7"/>
        <v>254</v>
      </c>
    </row>
    <row r="221" spans="1:9">
      <c r="A221" t="s">
        <v>774</v>
      </c>
      <c r="B221" t="s">
        <v>274</v>
      </c>
      <c r="C221" t="s">
        <v>757</v>
      </c>
      <c r="D221">
        <v>12.990120887756348</v>
      </c>
      <c r="E221">
        <v>32.027366638183594</v>
      </c>
      <c r="F221">
        <v>136</v>
      </c>
      <c r="G221">
        <f t="shared" si="6"/>
        <v>362.03497505187988</v>
      </c>
      <c r="H221">
        <f>IFERROR(3*VLOOKUP(B221,[1]beds_provinces_district!$B$2:$C$373,2,0),0)</f>
        <v>0</v>
      </c>
      <c r="I221">
        <f t="shared" si="7"/>
        <v>724</v>
      </c>
    </row>
    <row r="222" spans="1:9">
      <c r="A222" t="s">
        <v>775</v>
      </c>
      <c r="B222" t="s">
        <v>268</v>
      </c>
      <c r="C222" t="s">
        <v>757</v>
      </c>
      <c r="D222">
        <v>26.015600204467773</v>
      </c>
      <c r="E222">
        <v>46.027599334716797</v>
      </c>
      <c r="F222">
        <v>132</v>
      </c>
      <c r="G222">
        <f t="shared" si="6"/>
        <v>408.08639907836914</v>
      </c>
      <c r="H222">
        <f>IFERROR(3*VLOOKUP(B222,[1]beds_provinces_district!$B$2:$C$373,2,0),0)</f>
        <v>1155</v>
      </c>
      <c r="I222">
        <f t="shared" si="7"/>
        <v>3126</v>
      </c>
    </row>
    <row r="223" spans="1:9">
      <c r="A223" t="s">
        <v>776</v>
      </c>
      <c r="B223" t="s">
        <v>281</v>
      </c>
      <c r="C223" t="s">
        <v>757</v>
      </c>
      <c r="D223">
        <v>4.4098925590515137</v>
      </c>
      <c r="E223">
        <v>11.26972484588623</v>
      </c>
      <c r="F223">
        <v>72</v>
      </c>
      <c r="G223">
        <f t="shared" si="6"/>
        <v>175.35923480987549</v>
      </c>
      <c r="H223">
        <f>IFERROR(3*VLOOKUP(B223,[1]beds_provinces_district!$B$2:$C$373,2,0),0)</f>
        <v>0</v>
      </c>
      <c r="I223">
        <f t="shared" si="7"/>
        <v>351</v>
      </c>
    </row>
    <row r="224" spans="1:9">
      <c r="A224" t="s">
        <v>777</v>
      </c>
      <c r="B224" t="s">
        <v>180</v>
      </c>
      <c r="C224" t="s">
        <v>160</v>
      </c>
      <c r="D224">
        <v>11.192181587219238</v>
      </c>
      <c r="E224">
        <v>26.648052215576172</v>
      </c>
      <c r="F224">
        <v>34</v>
      </c>
      <c r="G224">
        <f t="shared" si="6"/>
        <v>143.68046760559082</v>
      </c>
      <c r="H224">
        <f>IFERROR(3*VLOOKUP(B224,[1]beds_provinces_district!$B$2:$C$373,2,0),0)</f>
        <v>114</v>
      </c>
      <c r="I224">
        <f t="shared" si="7"/>
        <v>515</v>
      </c>
    </row>
    <row r="225" spans="1:9">
      <c r="A225" t="s">
        <v>778</v>
      </c>
      <c r="B225" t="s">
        <v>182</v>
      </c>
      <c r="C225" t="s">
        <v>160</v>
      </c>
      <c r="D225">
        <v>58.872776031494141</v>
      </c>
      <c r="E225">
        <v>104.8961181640625</v>
      </c>
      <c r="F225">
        <v>49</v>
      </c>
      <c r="G225">
        <f t="shared" si="6"/>
        <v>425.53778839111328</v>
      </c>
      <c r="H225">
        <f>IFERROR(3*VLOOKUP(B225,[1]beds_provinces_district!$B$2:$C$373,2,0),0)</f>
        <v>78</v>
      </c>
      <c r="I225">
        <f t="shared" si="7"/>
        <v>1007</v>
      </c>
    </row>
    <row r="226" spans="1:9">
      <c r="A226" t="s">
        <v>779</v>
      </c>
      <c r="B226" t="s">
        <v>174</v>
      </c>
      <c r="C226" t="s">
        <v>160</v>
      </c>
      <c r="D226">
        <v>25.405279159545898</v>
      </c>
      <c r="E226">
        <v>63.876129150390625</v>
      </c>
      <c r="F226">
        <v>131</v>
      </c>
      <c r="G226">
        <f t="shared" si="6"/>
        <v>440.56281661987305</v>
      </c>
      <c r="H226">
        <f>IFERROR(3*VLOOKUP(B226,[1]beds_provinces_district!$B$2:$C$373,2,0),0)</f>
        <v>399</v>
      </c>
      <c r="I226">
        <f t="shared" si="7"/>
        <v>1679</v>
      </c>
    </row>
    <row r="227" spans="1:9">
      <c r="A227" t="s">
        <v>780</v>
      </c>
      <c r="B227" t="s">
        <v>179</v>
      </c>
      <c r="C227" t="s">
        <v>160</v>
      </c>
      <c r="D227">
        <v>45.881660461425781</v>
      </c>
      <c r="E227">
        <v>81.749298095703125</v>
      </c>
      <c r="F227">
        <v>11</v>
      </c>
      <c r="G227">
        <f t="shared" si="6"/>
        <v>277.26191711425781</v>
      </c>
      <c r="H227">
        <f>IFERROR(3*VLOOKUP(B227,[1]beds_provinces_district!$B$2:$C$373,2,0),0)</f>
        <v>102</v>
      </c>
      <c r="I227">
        <f t="shared" si="7"/>
        <v>759</v>
      </c>
    </row>
    <row r="228" spans="1:9">
      <c r="A228" t="s">
        <v>781</v>
      </c>
      <c r="B228" t="s">
        <v>188</v>
      </c>
      <c r="C228" t="s">
        <v>160</v>
      </c>
      <c r="D228">
        <v>159.10361013224914</v>
      </c>
      <c r="E228">
        <v>197.86097583743972</v>
      </c>
      <c r="F228">
        <v>15</v>
      </c>
      <c r="G228">
        <f t="shared" si="6"/>
        <v>743.92917193937774</v>
      </c>
      <c r="H228">
        <f>IFERROR(3*VLOOKUP(B228,[1]beds_provinces_district!$B$2:$C$373,2,0),0)</f>
        <v>417</v>
      </c>
      <c r="I228">
        <f t="shared" si="7"/>
        <v>2322</v>
      </c>
    </row>
    <row r="229" spans="1:9">
      <c r="A229" t="s">
        <v>782</v>
      </c>
      <c r="B229" t="s">
        <v>173</v>
      </c>
      <c r="C229" t="s">
        <v>160</v>
      </c>
      <c r="D229">
        <v>84</v>
      </c>
      <c r="E229">
        <v>164</v>
      </c>
      <c r="F229">
        <v>201</v>
      </c>
      <c r="G229">
        <f t="shared" si="6"/>
        <v>898</v>
      </c>
      <c r="H229">
        <f>IFERROR(3*VLOOKUP(B229,[1]beds_provinces_district!$B$2:$C$373,2,0),0)</f>
        <v>612</v>
      </c>
      <c r="I229">
        <f t="shared" si="7"/>
        <v>3020</v>
      </c>
    </row>
    <row r="230" spans="1:9">
      <c r="A230" t="s">
        <v>783</v>
      </c>
      <c r="B230" t="s">
        <v>185</v>
      </c>
      <c r="C230" t="s">
        <v>160</v>
      </c>
      <c r="D230">
        <v>13.933280944824219</v>
      </c>
      <c r="E230">
        <v>26.570442199707031</v>
      </c>
      <c r="F230">
        <v>22</v>
      </c>
      <c r="G230">
        <f t="shared" si="6"/>
        <v>125.0074462890625</v>
      </c>
      <c r="H230">
        <f>IFERROR(3*VLOOKUP(B230,[1]beds_provinces_district!$B$2:$C$373,2,0),0)</f>
        <v>129</v>
      </c>
      <c r="I230">
        <f t="shared" si="7"/>
        <v>508</v>
      </c>
    </row>
    <row r="231" spans="1:9">
      <c r="A231" t="s">
        <v>784</v>
      </c>
      <c r="B231" t="s">
        <v>191</v>
      </c>
      <c r="C231" t="s">
        <v>160</v>
      </c>
      <c r="D231">
        <v>49.824855804443359</v>
      </c>
      <c r="E231">
        <v>88.775054931640625</v>
      </c>
      <c r="F231">
        <v>41</v>
      </c>
      <c r="G231">
        <f t="shared" si="6"/>
        <v>359.19982147216797</v>
      </c>
      <c r="H231">
        <f>IFERROR(3*VLOOKUP(B231,[1]beds_provinces_district!$B$2:$C$373,2,0),0)</f>
        <v>96</v>
      </c>
      <c r="I231">
        <f t="shared" si="7"/>
        <v>910</v>
      </c>
    </row>
    <row r="232" spans="1:9">
      <c r="A232" t="s">
        <v>785</v>
      </c>
      <c r="B232" t="s">
        <v>165</v>
      </c>
      <c r="C232" t="s">
        <v>160</v>
      </c>
      <c r="D232">
        <v>62</v>
      </c>
      <c r="E232">
        <v>237</v>
      </c>
      <c r="F232">
        <v>116</v>
      </c>
      <c r="G232">
        <f t="shared" si="6"/>
        <v>830</v>
      </c>
      <c r="H232">
        <f>IFERROR(3*VLOOKUP(B232,[1]beds_provinces_district!$B$2:$C$373,2,0),0)</f>
        <v>1257</v>
      </c>
      <c r="I232">
        <f t="shared" si="7"/>
        <v>4174</v>
      </c>
    </row>
    <row r="233" spans="1:9">
      <c r="A233" t="s">
        <v>786</v>
      </c>
      <c r="B233" t="s">
        <v>186</v>
      </c>
      <c r="C233" t="s">
        <v>160</v>
      </c>
      <c r="D233">
        <v>34.613307952880859</v>
      </c>
      <c r="E233">
        <v>61.6719970703125</v>
      </c>
      <c r="F233">
        <v>23</v>
      </c>
      <c r="G233">
        <f t="shared" si="6"/>
        <v>238.57061004638672</v>
      </c>
      <c r="H233">
        <f>IFERROR(3*VLOOKUP(B233,[1]beds_provinces_district!$B$2:$C$373,2,0),0)</f>
        <v>81</v>
      </c>
      <c r="I233">
        <f t="shared" si="7"/>
        <v>639</v>
      </c>
    </row>
    <row r="234" spans="1:9">
      <c r="A234" t="s">
        <v>787</v>
      </c>
      <c r="B234" t="s">
        <v>189</v>
      </c>
      <c r="C234" t="s">
        <v>160</v>
      </c>
      <c r="D234">
        <v>76.178520202636719</v>
      </c>
      <c r="E234">
        <v>135.73049926757813</v>
      </c>
      <c r="F234">
        <v>46</v>
      </c>
      <c r="G234">
        <f t="shared" si="6"/>
        <v>515.81803894042969</v>
      </c>
      <c r="H234">
        <f>IFERROR(3*VLOOKUP(B234,[1]beds_provinces_district!$B$2:$C$373,2,0),0)</f>
        <v>18</v>
      </c>
      <c r="I234">
        <f t="shared" si="7"/>
        <v>1068</v>
      </c>
    </row>
    <row r="235" spans="1:9">
      <c r="A235" t="s">
        <v>788</v>
      </c>
      <c r="B235" t="s">
        <v>187</v>
      </c>
      <c r="C235" t="s">
        <v>160</v>
      </c>
      <c r="D235">
        <v>9.5947208404541016</v>
      </c>
      <c r="E235">
        <v>24.123868942260742</v>
      </c>
      <c r="F235">
        <v>52</v>
      </c>
      <c r="G235">
        <f t="shared" si="6"/>
        <v>171.43717956542969</v>
      </c>
      <c r="H235">
        <f>IFERROR(3*VLOOKUP(B235,[1]beds_provinces_district!$B$2:$C$373,2,0),0)</f>
        <v>0</v>
      </c>
      <c r="I235">
        <f t="shared" si="7"/>
        <v>343</v>
      </c>
    </row>
    <row r="236" spans="1:9">
      <c r="A236" t="s">
        <v>789</v>
      </c>
      <c r="B236" t="s">
        <v>168</v>
      </c>
      <c r="C236" t="s">
        <v>160</v>
      </c>
      <c r="D236">
        <v>1697.337158203125</v>
      </c>
      <c r="E236">
        <v>3024.217529296875</v>
      </c>
      <c r="F236">
        <v>150</v>
      </c>
      <c r="G236">
        <f t="shared" si="6"/>
        <v>9743.109375</v>
      </c>
      <c r="H236">
        <f>IFERROR(3*VLOOKUP(B236,[1]beds_provinces_district!$B$2:$C$373,2,0),0)</f>
        <v>16770</v>
      </c>
      <c r="I236">
        <f t="shared" si="7"/>
        <v>53026</v>
      </c>
    </row>
    <row r="237" spans="1:9">
      <c r="A237" t="s">
        <v>790</v>
      </c>
      <c r="B237" t="s">
        <v>177</v>
      </c>
      <c r="C237" t="s">
        <v>160</v>
      </c>
      <c r="D237">
        <v>45.787212371826172</v>
      </c>
      <c r="E237">
        <v>81.581016540527344</v>
      </c>
      <c r="F237">
        <v>48</v>
      </c>
      <c r="G237">
        <f t="shared" si="6"/>
        <v>350.73645782470703</v>
      </c>
      <c r="H237">
        <f>IFERROR(3*VLOOKUP(B237,[1]beds_provinces_district!$B$2:$C$373,2,0),0)</f>
        <v>75</v>
      </c>
      <c r="I237">
        <f t="shared" si="7"/>
        <v>851</v>
      </c>
    </row>
    <row r="238" spans="1:9">
      <c r="A238" t="s">
        <v>791</v>
      </c>
      <c r="B238" t="s">
        <v>163</v>
      </c>
      <c r="C238" t="s">
        <v>160</v>
      </c>
      <c r="D238">
        <v>21</v>
      </c>
      <c r="E238">
        <v>41</v>
      </c>
      <c r="F238">
        <v>34</v>
      </c>
      <c r="G238">
        <f t="shared" si="6"/>
        <v>192</v>
      </c>
      <c r="H238">
        <f>IFERROR(3*VLOOKUP(B238,[1]beds_provinces_district!$B$2:$C$373,2,0),0)</f>
        <v>294</v>
      </c>
      <c r="I238">
        <f t="shared" si="7"/>
        <v>972</v>
      </c>
    </row>
    <row r="239" spans="1:9">
      <c r="A239" t="s">
        <v>792</v>
      </c>
      <c r="B239" t="s">
        <v>162</v>
      </c>
      <c r="C239" t="s">
        <v>160</v>
      </c>
      <c r="D239">
        <v>32</v>
      </c>
      <c r="E239">
        <v>80</v>
      </c>
      <c r="F239">
        <v>26</v>
      </c>
      <c r="G239">
        <f t="shared" si="6"/>
        <v>276</v>
      </c>
      <c r="H239">
        <f>IFERROR(3*VLOOKUP(B239,[1]beds_provinces_district!$B$2:$C$373,2,0),0)</f>
        <v>513</v>
      </c>
      <c r="I239">
        <f t="shared" si="7"/>
        <v>1578</v>
      </c>
    </row>
    <row r="240" spans="1:9">
      <c r="A240" t="s">
        <v>793</v>
      </c>
      <c r="B240" t="s">
        <v>166</v>
      </c>
      <c r="C240" t="s">
        <v>160</v>
      </c>
      <c r="D240">
        <v>30.807817459106445</v>
      </c>
      <c r="E240">
        <v>73.351951599121094</v>
      </c>
      <c r="F240">
        <v>122</v>
      </c>
      <c r="G240">
        <f t="shared" si="6"/>
        <v>452.31953811645508</v>
      </c>
      <c r="H240">
        <f>IFERROR(3*VLOOKUP(B240,[1]beds_provinces_district!$B$2:$C$373,2,0),0)</f>
        <v>519</v>
      </c>
      <c r="I240">
        <f t="shared" si="7"/>
        <v>1943</v>
      </c>
    </row>
    <row r="241" spans="1:9">
      <c r="A241" t="s">
        <v>794</v>
      </c>
      <c r="B241" t="s">
        <v>175</v>
      </c>
      <c r="C241" t="s">
        <v>160</v>
      </c>
      <c r="D241">
        <v>22</v>
      </c>
      <c r="E241">
        <v>60</v>
      </c>
      <c r="F241">
        <v>68</v>
      </c>
      <c r="G241">
        <f t="shared" si="6"/>
        <v>300</v>
      </c>
      <c r="H241">
        <f>IFERROR(3*VLOOKUP(B241,[1]beds_provinces_district!$B$2:$C$373,2,0),0)</f>
        <v>0</v>
      </c>
      <c r="I241">
        <f t="shared" si="7"/>
        <v>600</v>
      </c>
    </row>
    <row r="242" spans="1:9">
      <c r="A242" t="s">
        <v>795</v>
      </c>
      <c r="B242" t="s">
        <v>170</v>
      </c>
      <c r="C242" t="s">
        <v>160</v>
      </c>
      <c r="D242">
        <v>28.049240112304688</v>
      </c>
      <c r="E242">
        <v>53.038562774658203</v>
      </c>
      <c r="F242">
        <v>74</v>
      </c>
      <c r="G242">
        <f t="shared" si="6"/>
        <v>310.17560577392578</v>
      </c>
      <c r="H242">
        <f>IFERROR(3*VLOOKUP(B242,[1]beds_provinces_district!$B$2:$C$373,2,0),0)</f>
        <v>390</v>
      </c>
      <c r="I242">
        <f t="shared" si="7"/>
        <v>1400</v>
      </c>
    </row>
    <row r="243" spans="1:9">
      <c r="A243" t="s">
        <v>796</v>
      </c>
      <c r="B243" t="s">
        <v>183</v>
      </c>
      <c r="C243" t="s">
        <v>160</v>
      </c>
      <c r="D243">
        <v>10.501745223999023</v>
      </c>
      <c r="E243">
        <v>19.857845306396484</v>
      </c>
      <c r="F243">
        <v>27</v>
      </c>
      <c r="G243">
        <f t="shared" si="6"/>
        <v>114.71918106079102</v>
      </c>
      <c r="H243">
        <f>IFERROR(3*VLOOKUP(B243,[1]beds_provinces_district!$B$2:$C$373,2,0),0)</f>
        <v>42</v>
      </c>
      <c r="I243">
        <f t="shared" si="7"/>
        <v>313</v>
      </c>
    </row>
    <row r="244" spans="1:9">
      <c r="A244" t="s">
        <v>797</v>
      </c>
      <c r="B244" t="s">
        <v>171</v>
      </c>
      <c r="C244" t="s">
        <v>160</v>
      </c>
      <c r="D244">
        <v>65</v>
      </c>
      <c r="E244">
        <v>149</v>
      </c>
      <c r="F244">
        <v>167</v>
      </c>
      <c r="G244">
        <f t="shared" si="6"/>
        <v>762</v>
      </c>
      <c r="H244">
        <f>IFERROR(3*VLOOKUP(B244,[1]beds_provinces_district!$B$2:$C$373,2,0),0)</f>
        <v>564</v>
      </c>
      <c r="I244">
        <f t="shared" si="7"/>
        <v>2652</v>
      </c>
    </row>
    <row r="245" spans="1:9">
      <c r="A245" t="s">
        <v>798</v>
      </c>
      <c r="B245" t="s">
        <v>184</v>
      </c>
      <c r="C245" t="s">
        <v>160</v>
      </c>
      <c r="D245">
        <v>27.351724624633789</v>
      </c>
      <c r="E245">
        <v>48.733726501464844</v>
      </c>
      <c r="F245">
        <v>21</v>
      </c>
      <c r="G245">
        <f t="shared" si="6"/>
        <v>194.17090225219727</v>
      </c>
      <c r="H245">
        <f>IFERROR(3*VLOOKUP(B245,[1]beds_provinces_district!$B$2:$C$373,2,0),0)</f>
        <v>171</v>
      </c>
      <c r="I245">
        <f t="shared" si="7"/>
        <v>730</v>
      </c>
    </row>
    <row r="246" spans="1:9">
      <c r="A246" t="s">
        <v>799</v>
      </c>
      <c r="B246" t="s">
        <v>167</v>
      </c>
      <c r="C246" t="s">
        <v>160</v>
      </c>
      <c r="D246">
        <v>9</v>
      </c>
      <c r="E246">
        <v>29</v>
      </c>
      <c r="F246">
        <v>101</v>
      </c>
      <c r="G246">
        <f t="shared" si="6"/>
        <v>278</v>
      </c>
      <c r="H246">
        <f>IFERROR(3*VLOOKUP(B246,[1]beds_provinces_district!$B$2:$C$373,2,0),0)</f>
        <v>285</v>
      </c>
      <c r="I246">
        <f t="shared" si="7"/>
        <v>1126</v>
      </c>
    </row>
    <row r="247" spans="1:9">
      <c r="A247" t="s">
        <v>800</v>
      </c>
      <c r="B247" t="s">
        <v>164</v>
      </c>
      <c r="C247" t="s">
        <v>160</v>
      </c>
      <c r="D247">
        <v>21</v>
      </c>
      <c r="E247">
        <v>49</v>
      </c>
      <c r="F247">
        <v>59</v>
      </c>
      <c r="G247">
        <f t="shared" si="6"/>
        <v>258</v>
      </c>
      <c r="H247">
        <f>IFERROR(3*VLOOKUP(B247,[1]beds_provinces_district!$B$2:$C$373,2,0),0)</f>
        <v>315</v>
      </c>
      <c r="I247">
        <f t="shared" si="7"/>
        <v>1146</v>
      </c>
    </row>
    <row r="248" spans="1:9">
      <c r="A248" t="s">
        <v>801</v>
      </c>
      <c r="B248" t="s">
        <v>169</v>
      </c>
      <c r="C248" t="s">
        <v>160</v>
      </c>
      <c r="D248">
        <v>83</v>
      </c>
      <c r="E248">
        <v>218</v>
      </c>
      <c r="F248">
        <v>111</v>
      </c>
      <c r="G248">
        <f t="shared" si="6"/>
        <v>824</v>
      </c>
      <c r="H248">
        <f>IFERROR(3*VLOOKUP(B248,[1]beds_provinces_district!$B$2:$C$373,2,0),0)</f>
        <v>1317</v>
      </c>
      <c r="I248">
        <f t="shared" si="7"/>
        <v>4282</v>
      </c>
    </row>
    <row r="249" spans="1:9">
      <c r="A249" t="s">
        <v>802</v>
      </c>
      <c r="B249" t="s">
        <v>178</v>
      </c>
      <c r="C249" t="s">
        <v>160</v>
      </c>
      <c r="D249">
        <v>38.800796508789063</v>
      </c>
      <c r="E249">
        <v>69.133026123046875</v>
      </c>
      <c r="F249">
        <v>32</v>
      </c>
      <c r="G249">
        <f t="shared" si="6"/>
        <v>279.86764526367188</v>
      </c>
      <c r="H249">
        <f>IFERROR(3*VLOOKUP(B249,[1]beds_provinces_district!$B$2:$C$373,2,0),0)</f>
        <v>69</v>
      </c>
      <c r="I249">
        <f t="shared" si="7"/>
        <v>698</v>
      </c>
    </row>
    <row r="250" spans="1:9">
      <c r="A250" t="s">
        <v>803</v>
      </c>
      <c r="B250" t="s">
        <v>181</v>
      </c>
      <c r="C250" t="s">
        <v>160</v>
      </c>
      <c r="D250">
        <v>16.449014663696289</v>
      </c>
      <c r="E250">
        <v>31.103591918945313</v>
      </c>
      <c r="F250">
        <v>49</v>
      </c>
      <c r="G250">
        <f t="shared" si="6"/>
        <v>193.1052131652832</v>
      </c>
      <c r="H250">
        <f>IFERROR(3*VLOOKUP(B250,[1]beds_provinces_district!$B$2:$C$373,2,0),0)</f>
        <v>0</v>
      </c>
      <c r="I250">
        <f t="shared" si="7"/>
        <v>386</v>
      </c>
    </row>
    <row r="251" spans="1:9">
      <c r="A251" t="s">
        <v>804</v>
      </c>
      <c r="B251" t="s">
        <v>172</v>
      </c>
      <c r="C251" t="s">
        <v>160</v>
      </c>
      <c r="D251">
        <v>72.066719055175781</v>
      </c>
      <c r="E251">
        <v>137.42955017089844</v>
      </c>
      <c r="F251">
        <v>92</v>
      </c>
      <c r="G251">
        <f t="shared" si="6"/>
        <v>602.99253845214844</v>
      </c>
      <c r="H251">
        <f>IFERROR(3*VLOOKUP(B251,[1]beds_provinces_district!$B$2:$C$373,2,0),0)</f>
        <v>0</v>
      </c>
      <c r="I251">
        <f t="shared" si="7"/>
        <v>1206</v>
      </c>
    </row>
    <row r="252" spans="1:9">
      <c r="A252" t="s">
        <v>805</v>
      </c>
      <c r="B252" t="s">
        <v>176</v>
      </c>
      <c r="C252" t="s">
        <v>160</v>
      </c>
      <c r="D252">
        <v>83.352012634277344</v>
      </c>
      <c r="E252">
        <v>148.51181030273438</v>
      </c>
      <c r="F252">
        <v>57</v>
      </c>
      <c r="G252">
        <f t="shared" si="6"/>
        <v>577.72764587402344</v>
      </c>
      <c r="H252">
        <f>IFERROR(3*VLOOKUP(B252,[1]beds_provinces_district!$B$2:$C$373,2,0),0)</f>
        <v>372</v>
      </c>
      <c r="I252">
        <f t="shared" si="7"/>
        <v>1899</v>
      </c>
    </row>
    <row r="253" spans="1:9">
      <c r="A253" t="s">
        <v>806</v>
      </c>
      <c r="B253" t="s">
        <v>426</v>
      </c>
      <c r="C253" t="s">
        <v>807</v>
      </c>
      <c r="D253">
        <v>77.140701293945313</v>
      </c>
      <c r="E253">
        <v>123.84383392333984</v>
      </c>
      <c r="F253">
        <v>88</v>
      </c>
      <c r="G253">
        <f t="shared" si="6"/>
        <v>577.96907043457031</v>
      </c>
      <c r="H253">
        <f>IFERROR(3*VLOOKUP(B253,[1]beds_provinces_district!$B$2:$C$373,2,0),0)</f>
        <v>0</v>
      </c>
      <c r="I253">
        <f t="shared" si="7"/>
        <v>1156</v>
      </c>
    </row>
    <row r="254" spans="1:9">
      <c r="A254" t="s">
        <v>808</v>
      </c>
      <c r="B254" t="s">
        <v>428</v>
      </c>
      <c r="C254" t="s">
        <v>807</v>
      </c>
      <c r="D254">
        <v>25</v>
      </c>
      <c r="E254">
        <v>35</v>
      </c>
      <c r="F254">
        <v>49</v>
      </c>
      <c r="G254">
        <f t="shared" si="6"/>
        <v>218</v>
      </c>
      <c r="H254">
        <f>IFERROR(3*VLOOKUP(B254,[1]beds_provinces_district!$B$2:$C$373,2,0),0)</f>
        <v>147</v>
      </c>
      <c r="I254">
        <f t="shared" si="7"/>
        <v>730</v>
      </c>
    </row>
    <row r="255" spans="1:9">
      <c r="A255" t="s">
        <v>809</v>
      </c>
      <c r="B255" t="s">
        <v>431</v>
      </c>
      <c r="C255" t="s">
        <v>807</v>
      </c>
      <c r="D255">
        <v>27.469699859619141</v>
      </c>
      <c r="E255">
        <v>44.100624084472656</v>
      </c>
      <c r="F255">
        <v>50</v>
      </c>
      <c r="G255">
        <f t="shared" si="6"/>
        <v>243.14064788818359</v>
      </c>
      <c r="H255">
        <f>IFERROR(3*VLOOKUP(B255,[1]beds_provinces_district!$B$2:$C$373,2,0),0)</f>
        <v>0</v>
      </c>
      <c r="I255">
        <f t="shared" si="7"/>
        <v>486</v>
      </c>
    </row>
    <row r="256" spans="1:9">
      <c r="A256" t="s">
        <v>810</v>
      </c>
      <c r="B256" t="s">
        <v>427</v>
      </c>
      <c r="C256" t="s">
        <v>807</v>
      </c>
      <c r="D256">
        <v>33</v>
      </c>
      <c r="E256">
        <v>123</v>
      </c>
      <c r="F256">
        <v>121</v>
      </c>
      <c r="G256">
        <f t="shared" si="6"/>
        <v>554</v>
      </c>
      <c r="H256">
        <f>IFERROR(3*VLOOKUP(B256,[1]beds_provinces_district!$B$2:$C$373,2,0),0)</f>
        <v>669</v>
      </c>
      <c r="I256">
        <f t="shared" si="7"/>
        <v>2446</v>
      </c>
    </row>
    <row r="257" spans="1:9">
      <c r="A257" t="s">
        <v>811</v>
      </c>
      <c r="B257" t="s">
        <v>429</v>
      </c>
      <c r="C257" t="s">
        <v>807</v>
      </c>
      <c r="D257">
        <v>12</v>
      </c>
      <c r="E257">
        <v>60</v>
      </c>
      <c r="F257">
        <v>37</v>
      </c>
      <c r="G257">
        <f t="shared" si="6"/>
        <v>218</v>
      </c>
      <c r="H257">
        <f>IFERROR(3*VLOOKUP(B257,[1]beds_provinces_district!$B$2:$C$373,2,0),0)</f>
        <v>192</v>
      </c>
      <c r="I257">
        <f t="shared" si="7"/>
        <v>820</v>
      </c>
    </row>
    <row r="258" spans="1:9">
      <c r="A258" t="s">
        <v>812</v>
      </c>
      <c r="B258" t="s">
        <v>425</v>
      </c>
      <c r="C258" t="s">
        <v>807</v>
      </c>
      <c r="D258">
        <v>374.38958740234375</v>
      </c>
      <c r="E258">
        <v>601.0555419921875</v>
      </c>
      <c r="F258">
        <v>197</v>
      </c>
      <c r="G258">
        <f t="shared" si="6"/>
        <v>2344.8902587890625</v>
      </c>
      <c r="H258">
        <f>IFERROR(3*VLOOKUP(B258,[1]beds_provinces_district!$B$2:$C$373,2,0),0)</f>
        <v>4791</v>
      </c>
      <c r="I258">
        <f t="shared" si="7"/>
        <v>14272</v>
      </c>
    </row>
    <row r="259" spans="1:9">
      <c r="A259" t="s">
        <v>813</v>
      </c>
      <c r="B259" t="s">
        <v>423</v>
      </c>
      <c r="C259" t="s">
        <v>423</v>
      </c>
      <c r="D259">
        <v>744</v>
      </c>
      <c r="E259">
        <v>1044</v>
      </c>
      <c r="F259">
        <v>86</v>
      </c>
      <c r="G259">
        <f t="shared" ref="G259:G322" si="8">SUM(D259:F259)*2</f>
        <v>3748</v>
      </c>
      <c r="H259">
        <f>IFERROR(3*VLOOKUP(B259,[1]beds_provinces_district!$B$2:$C$373,2,0),0)</f>
        <v>5919</v>
      </c>
      <c r="I259">
        <f t="shared" ref="I259:I322" si="9">ROUND(SUM(G259:H259)*2,0)</f>
        <v>19334</v>
      </c>
    </row>
    <row r="260" spans="1:9">
      <c r="A260" t="s">
        <v>814</v>
      </c>
      <c r="B260" t="s">
        <v>322</v>
      </c>
      <c r="C260" t="s">
        <v>316</v>
      </c>
      <c r="D260">
        <v>37</v>
      </c>
      <c r="E260">
        <v>65</v>
      </c>
      <c r="F260">
        <v>102.45454545454545</v>
      </c>
      <c r="G260">
        <f t="shared" si="8"/>
        <v>408.90909090909088</v>
      </c>
      <c r="H260">
        <f>IFERROR(3*VLOOKUP(B260,[1]beds_provinces_district!$B$2:$C$373,2,0),0)</f>
        <v>519</v>
      </c>
      <c r="I260">
        <f t="shared" si="9"/>
        <v>1856</v>
      </c>
    </row>
    <row r="261" spans="1:9">
      <c r="A261" t="s">
        <v>815</v>
      </c>
      <c r="B261" t="s">
        <v>327</v>
      </c>
      <c r="C261" t="s">
        <v>316</v>
      </c>
      <c r="D261">
        <v>12.71129322052002</v>
      </c>
      <c r="E261">
        <v>26.105989456176758</v>
      </c>
      <c r="F261">
        <v>102.45454545454545</v>
      </c>
      <c r="G261">
        <f t="shared" si="8"/>
        <v>282.54365626248443</v>
      </c>
      <c r="H261">
        <f>IFERROR(3*VLOOKUP(B261,[1]beds_provinces_district!$B$2:$C$373,2,0),0)</f>
        <v>0</v>
      </c>
      <c r="I261">
        <f t="shared" si="9"/>
        <v>565</v>
      </c>
    </row>
    <row r="262" spans="1:9">
      <c r="A262" t="s">
        <v>816</v>
      </c>
      <c r="B262" t="s">
        <v>817</v>
      </c>
      <c r="C262" t="s">
        <v>316</v>
      </c>
      <c r="D262">
        <v>6.6452293395996094</v>
      </c>
      <c r="E262">
        <v>12.341139793395996</v>
      </c>
      <c r="F262">
        <v>102.45454545454545</v>
      </c>
      <c r="G262">
        <f t="shared" si="8"/>
        <v>242.88182917508212</v>
      </c>
      <c r="H262">
        <f>IFERROR(3*VLOOKUP(B262,[1]beds_provinces_district!$B$2:$C$373,2,0),0)</f>
        <v>0</v>
      </c>
      <c r="I262">
        <f t="shared" si="9"/>
        <v>486</v>
      </c>
    </row>
    <row r="263" spans="1:9">
      <c r="A263" t="s">
        <v>818</v>
      </c>
      <c r="B263" t="s">
        <v>819</v>
      </c>
      <c r="C263" t="s">
        <v>316</v>
      </c>
      <c r="D263">
        <v>28.354770660400391</v>
      </c>
      <c r="E263">
        <v>52.658859252929688</v>
      </c>
      <c r="F263">
        <v>102.45454545454545</v>
      </c>
      <c r="G263">
        <f t="shared" si="8"/>
        <v>366.93635073575103</v>
      </c>
      <c r="H263">
        <f>IFERROR(3*VLOOKUP(B263,[1]beds_provinces_district!$B$2:$C$373,2,0),0)</f>
        <v>432</v>
      </c>
      <c r="I263">
        <f t="shared" si="9"/>
        <v>1598</v>
      </c>
    </row>
    <row r="264" spans="1:9">
      <c r="A264" t="s">
        <v>820</v>
      </c>
      <c r="B264" t="s">
        <v>319</v>
      </c>
      <c r="C264" t="s">
        <v>316</v>
      </c>
      <c r="D264">
        <v>127</v>
      </c>
      <c r="E264">
        <v>182</v>
      </c>
      <c r="F264">
        <v>102.45454545454545</v>
      </c>
      <c r="G264">
        <f t="shared" si="8"/>
        <v>822.90909090909088</v>
      </c>
      <c r="H264">
        <f>IFERROR(3*VLOOKUP(B264,[1]beds_provinces_district!$B$2:$C$373,2,0),0)</f>
        <v>1194</v>
      </c>
      <c r="I264">
        <f t="shared" si="9"/>
        <v>4034</v>
      </c>
    </row>
    <row r="265" spans="1:9">
      <c r="A265" t="s">
        <v>821</v>
      </c>
      <c r="B265" t="s">
        <v>320</v>
      </c>
      <c r="C265" t="s">
        <v>316</v>
      </c>
      <c r="D265">
        <v>154.19015502929688</v>
      </c>
      <c r="E265">
        <v>316.67010498046875</v>
      </c>
      <c r="F265">
        <v>102.45454545454545</v>
      </c>
      <c r="G265">
        <f t="shared" si="8"/>
        <v>1146.6296109286222</v>
      </c>
      <c r="H265">
        <f>IFERROR(3*VLOOKUP(B265,[1]beds_provinces_district!$B$2:$C$373,2,0),0)</f>
        <v>0</v>
      </c>
      <c r="I265">
        <f t="shared" si="9"/>
        <v>2293</v>
      </c>
    </row>
    <row r="266" spans="1:9">
      <c r="A266" t="s">
        <v>822</v>
      </c>
      <c r="B266" t="s">
        <v>321</v>
      </c>
      <c r="C266" t="s">
        <v>316</v>
      </c>
      <c r="D266">
        <v>43.8311767578125</v>
      </c>
      <c r="E266">
        <v>90.018867492675781</v>
      </c>
      <c r="F266">
        <v>102.45454545454545</v>
      </c>
      <c r="G266">
        <f t="shared" si="8"/>
        <v>472.60917941006744</v>
      </c>
      <c r="H266">
        <f>IFERROR(3*VLOOKUP(B266,[1]beds_provinces_district!$B$2:$C$373,2,0),0)</f>
        <v>318</v>
      </c>
      <c r="I266">
        <f t="shared" si="9"/>
        <v>1581</v>
      </c>
    </row>
    <row r="267" spans="1:9">
      <c r="A267" t="s">
        <v>823</v>
      </c>
      <c r="B267" t="s">
        <v>318</v>
      </c>
      <c r="C267" t="s">
        <v>316</v>
      </c>
      <c r="D267">
        <v>34</v>
      </c>
      <c r="E267">
        <v>65</v>
      </c>
      <c r="F267">
        <v>102.45454545454545</v>
      </c>
      <c r="G267">
        <f t="shared" si="8"/>
        <v>402.90909090909088</v>
      </c>
      <c r="H267">
        <f>IFERROR(3*VLOOKUP(B267,[1]beds_provinces_district!$B$2:$C$373,2,0),0)</f>
        <v>585</v>
      </c>
      <c r="I267">
        <f t="shared" si="9"/>
        <v>1976</v>
      </c>
    </row>
    <row r="268" spans="1:9">
      <c r="A268" t="s">
        <v>824</v>
      </c>
      <c r="B268" t="s">
        <v>325</v>
      </c>
      <c r="C268" t="s">
        <v>316</v>
      </c>
      <c r="D268">
        <v>22.450641632080078</v>
      </c>
      <c r="E268">
        <v>46.108306884765625</v>
      </c>
      <c r="F268">
        <v>102.45454545454545</v>
      </c>
      <c r="G268">
        <f t="shared" si="8"/>
        <v>342.02698794278228</v>
      </c>
      <c r="H268">
        <f>IFERROR(3*VLOOKUP(B268,[1]beds_provinces_district!$B$2:$C$373,2,0),0)</f>
        <v>189</v>
      </c>
      <c r="I268">
        <f t="shared" si="9"/>
        <v>1062</v>
      </c>
    </row>
    <row r="269" spans="1:9">
      <c r="A269" t="s">
        <v>825</v>
      </c>
      <c r="B269" t="s">
        <v>324</v>
      </c>
      <c r="C269" t="s">
        <v>316</v>
      </c>
      <c r="D269">
        <v>22.813533782958984</v>
      </c>
      <c r="E269">
        <v>46.853603363037109</v>
      </c>
      <c r="F269">
        <v>102.45454545454545</v>
      </c>
      <c r="G269">
        <f t="shared" si="8"/>
        <v>344.24336520108307</v>
      </c>
      <c r="H269">
        <f>IFERROR(3*VLOOKUP(B269,[1]beds_provinces_district!$B$2:$C$373,2,0),0)</f>
        <v>165</v>
      </c>
      <c r="I269">
        <f t="shared" si="9"/>
        <v>1018</v>
      </c>
    </row>
    <row r="270" spans="1:9">
      <c r="A270" t="s">
        <v>826</v>
      </c>
      <c r="B270" t="s">
        <v>326</v>
      </c>
      <c r="C270" t="s">
        <v>316</v>
      </c>
      <c r="D270">
        <v>23.003200531005859</v>
      </c>
      <c r="E270">
        <v>47.243133544921875</v>
      </c>
      <c r="F270">
        <v>102.45454545454545</v>
      </c>
      <c r="G270">
        <f t="shared" si="8"/>
        <v>345.40175906094635</v>
      </c>
      <c r="H270">
        <f>IFERROR(3*VLOOKUP(B270,[1]beds_provinces_district!$B$2:$C$373,2,0),0)</f>
        <v>165</v>
      </c>
      <c r="I270">
        <f t="shared" si="9"/>
        <v>1021</v>
      </c>
    </row>
    <row r="271" spans="1:9">
      <c r="A271" t="s">
        <v>827</v>
      </c>
      <c r="B271" t="s">
        <v>72</v>
      </c>
      <c r="C271" t="s">
        <v>56</v>
      </c>
      <c r="D271">
        <v>12</v>
      </c>
      <c r="E271">
        <v>62</v>
      </c>
      <c r="F271">
        <v>61</v>
      </c>
      <c r="G271">
        <f t="shared" si="8"/>
        <v>270</v>
      </c>
      <c r="H271">
        <f>IFERROR(3*VLOOKUP(B271,[1]beds_provinces_district!$B$2:$C$373,2,0),0)</f>
        <v>192</v>
      </c>
      <c r="I271">
        <f t="shared" si="9"/>
        <v>924</v>
      </c>
    </row>
    <row r="272" spans="1:9">
      <c r="A272" t="s">
        <v>828</v>
      </c>
      <c r="B272" t="s">
        <v>77</v>
      </c>
      <c r="C272" t="s">
        <v>56</v>
      </c>
      <c r="D272">
        <v>10.319713592529297</v>
      </c>
      <c r="E272">
        <v>26.241558074951172</v>
      </c>
      <c r="F272">
        <v>70.354842284217256</v>
      </c>
      <c r="G272">
        <f t="shared" si="8"/>
        <v>213.83222790339545</v>
      </c>
      <c r="H272">
        <f>IFERROR(3*VLOOKUP(B272,[1]beds_provinces_district!$B$2:$C$373,2,0),0)</f>
        <v>0</v>
      </c>
      <c r="I272">
        <f t="shared" si="9"/>
        <v>428</v>
      </c>
    </row>
    <row r="273" spans="1:9">
      <c r="A273" t="s">
        <v>829</v>
      </c>
      <c r="B273" t="s">
        <v>62</v>
      </c>
      <c r="C273" t="s">
        <v>56</v>
      </c>
      <c r="D273">
        <v>38</v>
      </c>
      <c r="E273">
        <v>82</v>
      </c>
      <c r="F273">
        <v>44</v>
      </c>
      <c r="G273">
        <f t="shared" si="8"/>
        <v>328</v>
      </c>
      <c r="H273">
        <f>IFERROR(3*VLOOKUP(B273,[1]beds_provinces_district!$B$2:$C$373,2,0),0)</f>
        <v>561</v>
      </c>
      <c r="I273">
        <f t="shared" si="9"/>
        <v>1778</v>
      </c>
    </row>
    <row r="274" spans="1:9">
      <c r="A274" t="s">
        <v>830</v>
      </c>
      <c r="B274" t="s">
        <v>831</v>
      </c>
      <c r="C274" t="s">
        <v>56</v>
      </c>
      <c r="D274">
        <v>3.6123757362365723</v>
      </c>
      <c r="E274">
        <v>17.700641632080078</v>
      </c>
      <c r="F274">
        <v>92.10952995675413</v>
      </c>
      <c r="G274">
        <f t="shared" si="8"/>
        <v>226.84509465014156</v>
      </c>
      <c r="H274">
        <f>IFERROR(3*VLOOKUP(B274,[1]beds_provinces_district!$B$2:$C$373,2,0),0)</f>
        <v>0</v>
      </c>
      <c r="I274">
        <f t="shared" si="9"/>
        <v>454</v>
      </c>
    </row>
    <row r="275" spans="1:9">
      <c r="A275" t="s">
        <v>832</v>
      </c>
      <c r="B275" t="s">
        <v>75</v>
      </c>
      <c r="C275" t="s">
        <v>56</v>
      </c>
      <c r="D275">
        <v>22.197914123535156</v>
      </c>
      <c r="E275">
        <v>50.427867889404297</v>
      </c>
      <c r="F275">
        <v>28</v>
      </c>
      <c r="G275">
        <f t="shared" si="8"/>
        <v>201.25156402587891</v>
      </c>
      <c r="H275">
        <f>IFERROR(3*VLOOKUP(B275,[1]beds_provinces_district!$B$2:$C$373,2,0),0)</f>
        <v>0</v>
      </c>
      <c r="I275">
        <f t="shared" si="9"/>
        <v>403</v>
      </c>
    </row>
    <row r="276" spans="1:9">
      <c r="A276" t="s">
        <v>833</v>
      </c>
      <c r="B276" t="s">
        <v>834</v>
      </c>
      <c r="C276" t="s">
        <v>56</v>
      </c>
      <c r="D276">
        <v>56.199527740478516</v>
      </c>
      <c r="E276">
        <v>87.202774047851563</v>
      </c>
      <c r="F276">
        <v>69</v>
      </c>
      <c r="G276">
        <f t="shared" si="8"/>
        <v>424.80460357666016</v>
      </c>
      <c r="H276">
        <f>IFERROR(3*VLOOKUP(B276,[1]beds_provinces_district!$B$2:$C$373,2,0),0)</f>
        <v>0</v>
      </c>
      <c r="I276">
        <f t="shared" si="9"/>
        <v>850</v>
      </c>
    </row>
    <row r="277" spans="1:9">
      <c r="A277" t="s">
        <v>835</v>
      </c>
      <c r="B277" t="s">
        <v>68</v>
      </c>
      <c r="C277" t="s">
        <v>56</v>
      </c>
      <c r="D277">
        <v>58</v>
      </c>
      <c r="E277">
        <v>148</v>
      </c>
      <c r="F277">
        <v>94</v>
      </c>
      <c r="G277">
        <f t="shared" si="8"/>
        <v>600</v>
      </c>
      <c r="H277">
        <f>IFERROR(3*VLOOKUP(B277,[1]beds_provinces_district!$B$2:$C$373,2,0),0)</f>
        <v>189</v>
      </c>
      <c r="I277">
        <f t="shared" si="9"/>
        <v>1578</v>
      </c>
    </row>
    <row r="278" spans="1:9">
      <c r="A278" t="s">
        <v>836</v>
      </c>
      <c r="B278" t="s">
        <v>63</v>
      </c>
      <c r="C278" t="s">
        <v>56</v>
      </c>
      <c r="D278">
        <v>514.80047607421875</v>
      </c>
      <c r="E278">
        <v>798.7972412109375</v>
      </c>
      <c r="F278">
        <v>269</v>
      </c>
      <c r="G278">
        <f t="shared" si="8"/>
        <v>3165.1954345703125</v>
      </c>
      <c r="H278">
        <f>IFERROR(3*VLOOKUP(B278,[1]beds_provinces_district!$B$2:$C$373,2,0),0)</f>
        <v>0</v>
      </c>
      <c r="I278">
        <f t="shared" si="9"/>
        <v>6330</v>
      </c>
    </row>
    <row r="279" spans="1:9">
      <c r="A279" t="s">
        <v>837</v>
      </c>
      <c r="B279" t="s">
        <v>61</v>
      </c>
      <c r="C279" t="s">
        <v>56</v>
      </c>
      <c r="D279">
        <v>69.802085876464844</v>
      </c>
      <c r="E279">
        <v>158.57212829589844</v>
      </c>
      <c r="F279">
        <v>153</v>
      </c>
      <c r="G279">
        <f t="shared" si="8"/>
        <v>762.74842834472656</v>
      </c>
      <c r="H279">
        <f>IFERROR(3*VLOOKUP(B279,[1]beds_provinces_district!$B$2:$C$373,2,0),0)</f>
        <v>684</v>
      </c>
      <c r="I279">
        <f t="shared" si="9"/>
        <v>2893</v>
      </c>
    </row>
    <row r="280" spans="1:9">
      <c r="A280" t="s">
        <v>838</v>
      </c>
      <c r="B280" t="s">
        <v>73</v>
      </c>
      <c r="C280" t="s">
        <v>56</v>
      </c>
      <c r="D280">
        <v>17.654914855957031</v>
      </c>
      <c r="E280">
        <v>34.734127044677734</v>
      </c>
      <c r="F280">
        <v>32</v>
      </c>
      <c r="G280">
        <f t="shared" si="8"/>
        <v>168.77808380126953</v>
      </c>
      <c r="H280">
        <f>IFERROR(3*VLOOKUP(B280,[1]beds_provinces_district!$B$2:$C$373,2,0),0)</f>
        <v>96</v>
      </c>
      <c r="I280">
        <f t="shared" si="9"/>
        <v>530</v>
      </c>
    </row>
    <row r="281" spans="1:9">
      <c r="A281" t="s">
        <v>839</v>
      </c>
      <c r="B281" t="s">
        <v>60</v>
      </c>
      <c r="C281" t="s">
        <v>56</v>
      </c>
      <c r="D281">
        <v>74.345085144042969</v>
      </c>
      <c r="E281">
        <v>146.265869140625</v>
      </c>
      <c r="F281">
        <v>101</v>
      </c>
      <c r="G281">
        <f t="shared" si="8"/>
        <v>643.22190856933594</v>
      </c>
      <c r="H281">
        <f>IFERROR(3*VLOOKUP(B281,[1]beds_provinces_district!$B$2:$C$373,2,0),0)</f>
        <v>882</v>
      </c>
      <c r="I281">
        <f t="shared" si="9"/>
        <v>3050</v>
      </c>
    </row>
    <row r="282" spans="1:9">
      <c r="A282" t="s">
        <v>840</v>
      </c>
      <c r="B282" t="s">
        <v>70</v>
      </c>
      <c r="C282" t="s">
        <v>56</v>
      </c>
      <c r="D282">
        <v>25</v>
      </c>
      <c r="E282">
        <v>86</v>
      </c>
      <c r="F282">
        <v>129</v>
      </c>
      <c r="G282">
        <f t="shared" si="8"/>
        <v>480</v>
      </c>
      <c r="H282">
        <f>IFERROR(3*VLOOKUP(B282,[1]beds_provinces_district!$B$2:$C$373,2,0),0)</f>
        <v>270</v>
      </c>
      <c r="I282">
        <f t="shared" si="9"/>
        <v>1500</v>
      </c>
    </row>
    <row r="283" spans="1:9">
      <c r="A283" t="s">
        <v>841</v>
      </c>
      <c r="B283" t="s">
        <v>65</v>
      </c>
      <c r="C283" t="s">
        <v>56</v>
      </c>
      <c r="D283">
        <v>164.68028259277344</v>
      </c>
      <c r="E283">
        <v>418.75845336914063</v>
      </c>
      <c r="F283">
        <v>145</v>
      </c>
      <c r="G283">
        <f t="shared" si="8"/>
        <v>1456.8774719238281</v>
      </c>
      <c r="H283">
        <f>IFERROR(3*VLOOKUP(B283,[1]beds_provinces_district!$B$2:$C$373,2,0),0)</f>
        <v>0</v>
      </c>
      <c r="I283">
        <f t="shared" si="9"/>
        <v>2914</v>
      </c>
    </row>
    <row r="284" spans="1:9">
      <c r="A284" t="s">
        <v>842</v>
      </c>
      <c r="B284" t="s">
        <v>67</v>
      </c>
      <c r="C284" t="s">
        <v>56</v>
      </c>
      <c r="D284">
        <v>76</v>
      </c>
      <c r="E284">
        <v>136</v>
      </c>
      <c r="F284">
        <v>130</v>
      </c>
      <c r="G284">
        <f t="shared" si="8"/>
        <v>684</v>
      </c>
      <c r="H284">
        <f>IFERROR(3*VLOOKUP(B284,[1]beds_provinces_district!$B$2:$C$373,2,0),0)</f>
        <v>246</v>
      </c>
      <c r="I284">
        <f t="shared" si="9"/>
        <v>1860</v>
      </c>
    </row>
    <row r="285" spans="1:9">
      <c r="A285" t="s">
        <v>843</v>
      </c>
      <c r="B285" t="s">
        <v>66</v>
      </c>
      <c r="C285" t="s">
        <v>56</v>
      </c>
      <c r="D285">
        <v>36</v>
      </c>
      <c r="E285">
        <v>77</v>
      </c>
      <c r="F285">
        <v>147</v>
      </c>
      <c r="G285">
        <f t="shared" si="8"/>
        <v>520</v>
      </c>
      <c r="H285">
        <f>IFERROR(3*VLOOKUP(B285,[1]beds_provinces_district!$B$2:$C$373,2,0),0)</f>
        <v>315</v>
      </c>
      <c r="I285">
        <f t="shared" si="9"/>
        <v>1670</v>
      </c>
    </row>
    <row r="286" spans="1:9">
      <c r="A286" t="s">
        <v>844</v>
      </c>
      <c r="B286" t="s">
        <v>58</v>
      </c>
      <c r="C286" t="s">
        <v>56</v>
      </c>
      <c r="D286">
        <v>237</v>
      </c>
      <c r="E286">
        <v>386</v>
      </c>
      <c r="F286">
        <v>250</v>
      </c>
      <c r="G286">
        <f t="shared" si="8"/>
        <v>1746</v>
      </c>
      <c r="H286">
        <f>IFERROR(3*VLOOKUP(B286,[1]beds_provinces_district!$B$2:$C$373,2,0),0)</f>
        <v>1860</v>
      </c>
      <c r="I286">
        <f t="shared" si="9"/>
        <v>7212</v>
      </c>
    </row>
    <row r="287" spans="1:9">
      <c r="A287" t="s">
        <v>845</v>
      </c>
      <c r="B287" t="s">
        <v>74</v>
      </c>
      <c r="C287" t="s">
        <v>56</v>
      </c>
      <c r="D287">
        <v>146.29429730032135</v>
      </c>
      <c r="E287">
        <v>239.32781149230723</v>
      </c>
      <c r="F287">
        <v>34</v>
      </c>
      <c r="G287">
        <f t="shared" si="8"/>
        <v>839.24421758525716</v>
      </c>
      <c r="H287">
        <f>IFERROR(3*VLOOKUP(B287,[1]beds_provinces_district!$B$2:$C$373,2,0),0)</f>
        <v>366</v>
      </c>
      <c r="I287">
        <f t="shared" si="9"/>
        <v>2410</v>
      </c>
    </row>
    <row r="288" spans="1:9">
      <c r="A288" t="s">
        <v>846</v>
      </c>
      <c r="B288" t="s">
        <v>64</v>
      </c>
      <c r="C288" t="s">
        <v>56</v>
      </c>
      <c r="D288">
        <v>6.3876242637634277</v>
      </c>
      <c r="E288">
        <v>31.299358367919922</v>
      </c>
      <c r="F288">
        <v>90</v>
      </c>
      <c r="G288">
        <f t="shared" si="8"/>
        <v>255.3739652633667</v>
      </c>
      <c r="H288">
        <f>IFERROR(3*VLOOKUP(B288,[1]beds_provinces_district!$B$2:$C$373,2,0),0)</f>
        <v>174</v>
      </c>
      <c r="I288">
        <f t="shared" si="9"/>
        <v>859</v>
      </c>
    </row>
    <row r="289" spans="1:9">
      <c r="A289" t="s">
        <v>847</v>
      </c>
      <c r="B289" t="s">
        <v>69</v>
      </c>
      <c r="C289" t="s">
        <v>56</v>
      </c>
      <c r="D289">
        <v>19</v>
      </c>
      <c r="E289">
        <v>57</v>
      </c>
      <c r="F289">
        <v>84</v>
      </c>
      <c r="G289">
        <f t="shared" si="8"/>
        <v>320</v>
      </c>
      <c r="H289">
        <f>IFERROR(3*VLOOKUP(B289,[1]beds_provinces_district!$B$2:$C$373,2,0),0)</f>
        <v>147</v>
      </c>
      <c r="I289">
        <f t="shared" si="9"/>
        <v>934</v>
      </c>
    </row>
    <row r="290" spans="1:9">
      <c r="A290" t="s">
        <v>848</v>
      </c>
      <c r="B290" t="s">
        <v>71</v>
      </c>
      <c r="C290" t="s">
        <v>56</v>
      </c>
      <c r="D290">
        <v>67.33648681640625</v>
      </c>
      <c r="E290">
        <v>78.143577575683594</v>
      </c>
      <c r="F290">
        <v>101</v>
      </c>
      <c r="G290">
        <f t="shared" si="8"/>
        <v>492.96012878417969</v>
      </c>
      <c r="H290">
        <f>IFERROR(3*VLOOKUP(B290,[1]beds_provinces_district!$B$2:$C$373,2,0),0)</f>
        <v>810</v>
      </c>
      <c r="I290">
        <f t="shared" si="9"/>
        <v>2606</v>
      </c>
    </row>
    <row r="291" spans="1:9">
      <c r="A291" t="s">
        <v>849</v>
      </c>
      <c r="B291" t="s">
        <v>850</v>
      </c>
      <c r="C291" t="s">
        <v>56</v>
      </c>
      <c r="D291">
        <v>13.663514137268066</v>
      </c>
      <c r="E291">
        <v>15.856423377990723</v>
      </c>
      <c r="F291">
        <v>46.596323745726487</v>
      </c>
      <c r="G291">
        <f t="shared" si="8"/>
        <v>152.23252252197057</v>
      </c>
      <c r="H291">
        <f>IFERROR(3*VLOOKUP(B291,[1]beds_provinces_district!$B$2:$C$373,2,0),0)</f>
        <v>0</v>
      </c>
      <c r="I291">
        <f t="shared" si="9"/>
        <v>304</v>
      </c>
    </row>
    <row r="292" spans="1:9">
      <c r="A292" t="s">
        <v>851</v>
      </c>
      <c r="B292" t="s">
        <v>59</v>
      </c>
      <c r="C292" t="s">
        <v>56</v>
      </c>
      <c r="D292">
        <v>368</v>
      </c>
      <c r="E292">
        <v>583</v>
      </c>
      <c r="F292">
        <v>354</v>
      </c>
      <c r="G292">
        <f t="shared" si="8"/>
        <v>2610</v>
      </c>
      <c r="H292">
        <f>IFERROR(3*VLOOKUP(B292,[1]beds_provinces_district!$B$2:$C$373,2,0),0)</f>
        <v>3642</v>
      </c>
      <c r="I292">
        <f t="shared" si="9"/>
        <v>12504</v>
      </c>
    </row>
    <row r="293" spans="1:9">
      <c r="A293" t="s">
        <v>852</v>
      </c>
      <c r="B293" t="s">
        <v>29</v>
      </c>
      <c r="C293" t="s">
        <v>853</v>
      </c>
      <c r="D293">
        <v>8.7823047637939453</v>
      </c>
      <c r="E293">
        <v>12.67347526550293</v>
      </c>
      <c r="F293">
        <v>22</v>
      </c>
      <c r="G293">
        <f t="shared" si="8"/>
        <v>86.91156005859375</v>
      </c>
      <c r="H293">
        <f>IFERROR(3*VLOOKUP(B293,[1]beds_provinces_district!$B$2:$C$373,2,0),0)</f>
        <v>114</v>
      </c>
      <c r="I293">
        <f t="shared" si="9"/>
        <v>402</v>
      </c>
    </row>
    <row r="294" spans="1:9">
      <c r="A294" t="s">
        <v>854</v>
      </c>
      <c r="B294" t="s">
        <v>37</v>
      </c>
      <c r="C294" t="s">
        <v>853</v>
      </c>
      <c r="D294">
        <v>19.565689086914063</v>
      </c>
      <c r="E294">
        <v>28.234645843505859</v>
      </c>
      <c r="F294">
        <v>38</v>
      </c>
      <c r="G294">
        <f t="shared" si="8"/>
        <v>171.60066986083984</v>
      </c>
      <c r="H294">
        <f>IFERROR(3*VLOOKUP(B294,[1]beds_provinces_district!$B$2:$C$373,2,0),0)</f>
        <v>69</v>
      </c>
      <c r="I294">
        <f t="shared" si="9"/>
        <v>481</v>
      </c>
    </row>
    <row r="295" spans="1:9">
      <c r="A295" t="s">
        <v>855</v>
      </c>
      <c r="B295" t="s">
        <v>28</v>
      </c>
      <c r="C295" t="s">
        <v>853</v>
      </c>
      <c r="D295">
        <v>317.72219848632813</v>
      </c>
      <c r="E295">
        <v>458.49514770507813</v>
      </c>
      <c r="F295">
        <v>115</v>
      </c>
      <c r="G295">
        <f t="shared" si="8"/>
        <v>1782.4346923828125</v>
      </c>
      <c r="H295">
        <f>IFERROR(3*VLOOKUP(B295,[1]beds_provinces_district!$B$2:$C$373,2,0),0)</f>
        <v>4068</v>
      </c>
      <c r="I295">
        <f t="shared" si="9"/>
        <v>11701</v>
      </c>
    </row>
    <row r="296" spans="1:9">
      <c r="A296" t="s">
        <v>856</v>
      </c>
      <c r="B296" t="s">
        <v>35</v>
      </c>
      <c r="C296" t="s">
        <v>853</v>
      </c>
      <c r="D296">
        <v>14.487028121948242</v>
      </c>
      <c r="E296">
        <v>31.043632507324219</v>
      </c>
      <c r="F296">
        <v>17</v>
      </c>
      <c r="G296">
        <f t="shared" si="8"/>
        <v>125.06132125854492</v>
      </c>
      <c r="H296">
        <f>IFERROR(3*VLOOKUP(B296,[1]beds_provinces_district!$B$2:$C$373,2,0),0)</f>
        <v>195</v>
      </c>
      <c r="I296">
        <f t="shared" si="9"/>
        <v>640</v>
      </c>
    </row>
    <row r="297" spans="1:9">
      <c r="A297" t="s">
        <v>857</v>
      </c>
      <c r="B297" t="s">
        <v>36</v>
      </c>
      <c r="C297" t="s">
        <v>853</v>
      </c>
      <c r="D297">
        <v>31.452920913696289</v>
      </c>
      <c r="E297">
        <v>37.154911041259766</v>
      </c>
      <c r="F297">
        <v>46</v>
      </c>
      <c r="G297">
        <f t="shared" si="8"/>
        <v>229.21566390991211</v>
      </c>
      <c r="H297">
        <f>IFERROR(3*VLOOKUP(B297,[1]beds_provinces_district!$B$2:$C$373,2,0),0)</f>
        <v>114</v>
      </c>
      <c r="I297">
        <f t="shared" si="9"/>
        <v>686</v>
      </c>
    </row>
    <row r="298" spans="1:9">
      <c r="A298" t="s">
        <v>858</v>
      </c>
      <c r="B298" t="s">
        <v>38</v>
      </c>
      <c r="C298" t="s">
        <v>853</v>
      </c>
      <c r="D298">
        <v>29.003030776977539</v>
      </c>
      <c r="E298">
        <v>41.853382110595703</v>
      </c>
      <c r="F298">
        <v>76</v>
      </c>
      <c r="G298">
        <f t="shared" si="8"/>
        <v>293.71282577514648</v>
      </c>
      <c r="H298">
        <f>IFERROR(3*VLOOKUP(B298,[1]beds_provinces_district!$B$2:$C$373,2,0),0)</f>
        <v>63</v>
      </c>
      <c r="I298">
        <f t="shared" si="9"/>
        <v>713</v>
      </c>
    </row>
    <row r="299" spans="1:9">
      <c r="A299" t="s">
        <v>859</v>
      </c>
      <c r="B299" t="s">
        <v>32</v>
      </c>
      <c r="C299" t="s">
        <v>853</v>
      </c>
      <c r="D299">
        <v>13.512971878051758</v>
      </c>
      <c r="E299">
        <v>28.956367492675781</v>
      </c>
      <c r="F299">
        <v>24</v>
      </c>
      <c r="G299">
        <f t="shared" si="8"/>
        <v>132.93867874145508</v>
      </c>
      <c r="H299">
        <f>IFERROR(3*VLOOKUP(B299,[1]beds_provinces_district!$B$2:$C$373,2,0),0)</f>
        <v>204</v>
      </c>
      <c r="I299">
        <f t="shared" si="9"/>
        <v>674</v>
      </c>
    </row>
    <row r="300" spans="1:9">
      <c r="A300" t="s">
        <v>860</v>
      </c>
      <c r="B300" t="s">
        <v>34</v>
      </c>
      <c r="C300" t="s">
        <v>853</v>
      </c>
      <c r="D300">
        <v>14</v>
      </c>
      <c r="E300">
        <v>53</v>
      </c>
      <c r="F300">
        <v>171</v>
      </c>
      <c r="G300">
        <f t="shared" si="8"/>
        <v>476</v>
      </c>
      <c r="H300">
        <f>IFERROR(3*VLOOKUP(B300,[1]beds_provinces_district!$B$2:$C$373,2,0),0)</f>
        <v>171</v>
      </c>
      <c r="I300">
        <f t="shared" si="9"/>
        <v>1294</v>
      </c>
    </row>
    <row r="301" spans="1:9">
      <c r="A301" t="s">
        <v>861</v>
      </c>
      <c r="B301" t="s">
        <v>31</v>
      </c>
      <c r="C301" t="s">
        <v>853</v>
      </c>
      <c r="D301">
        <v>49</v>
      </c>
      <c r="E301">
        <v>61</v>
      </c>
      <c r="F301">
        <v>112</v>
      </c>
      <c r="G301">
        <f t="shared" si="8"/>
        <v>444</v>
      </c>
      <c r="H301">
        <f>IFERROR(3*VLOOKUP(B301,[1]beds_provinces_district!$B$2:$C$373,2,0),0)</f>
        <v>324</v>
      </c>
      <c r="I301">
        <f t="shared" si="9"/>
        <v>1536</v>
      </c>
    </row>
    <row r="302" spans="1:9">
      <c r="A302" t="s">
        <v>862</v>
      </c>
      <c r="B302" t="s">
        <v>33</v>
      </c>
      <c r="C302" t="s">
        <v>853</v>
      </c>
      <c r="D302">
        <v>139.54707336425781</v>
      </c>
      <c r="E302">
        <v>164.8450927734375</v>
      </c>
      <c r="F302">
        <v>86</v>
      </c>
      <c r="G302">
        <f t="shared" si="8"/>
        <v>780.78433227539063</v>
      </c>
      <c r="H302">
        <f>IFERROR(3*VLOOKUP(B302,[1]beds_provinces_district!$B$2:$C$373,2,0),0)</f>
        <v>1092</v>
      </c>
      <c r="I302">
        <f t="shared" si="9"/>
        <v>3746</v>
      </c>
    </row>
    <row r="303" spans="1:9">
      <c r="A303" t="s">
        <v>863</v>
      </c>
      <c r="B303" t="s">
        <v>30</v>
      </c>
      <c r="C303" t="s">
        <v>853</v>
      </c>
      <c r="D303">
        <v>13.376142501831055</v>
      </c>
      <c r="E303">
        <v>19.302701950073242</v>
      </c>
      <c r="F303">
        <v>29</v>
      </c>
      <c r="G303">
        <f t="shared" si="8"/>
        <v>123.35768890380859</v>
      </c>
      <c r="H303">
        <f>IFERROR(3*VLOOKUP(B303,[1]beds_provinces_district!$B$2:$C$373,2,0),0)</f>
        <v>156</v>
      </c>
      <c r="I303">
        <f t="shared" si="9"/>
        <v>559</v>
      </c>
    </row>
    <row r="304" spans="1:9">
      <c r="A304" t="s">
        <v>864</v>
      </c>
      <c r="B304" t="s">
        <v>40</v>
      </c>
      <c r="C304" t="s">
        <v>853</v>
      </c>
      <c r="D304">
        <v>15.55064582824707</v>
      </c>
      <c r="E304">
        <v>22.440658569335938</v>
      </c>
      <c r="F304">
        <v>52</v>
      </c>
      <c r="G304">
        <f t="shared" si="8"/>
        <v>179.98260879516602</v>
      </c>
      <c r="H304">
        <f>IFERROR(3*VLOOKUP(B304,[1]beds_provinces_district!$B$2:$C$373,2,0),0)</f>
        <v>69</v>
      </c>
      <c r="I304">
        <f t="shared" si="9"/>
        <v>498</v>
      </c>
    </row>
    <row r="305" spans="1:9">
      <c r="A305" t="s">
        <v>865</v>
      </c>
      <c r="B305" t="s">
        <v>394</v>
      </c>
      <c r="C305" t="s">
        <v>383</v>
      </c>
      <c r="D305">
        <v>23.442789077758789</v>
      </c>
      <c r="E305">
        <v>40.634166717529297</v>
      </c>
      <c r="F305">
        <v>59</v>
      </c>
      <c r="G305">
        <f t="shared" si="8"/>
        <v>246.15391159057617</v>
      </c>
      <c r="H305">
        <f>IFERROR(3*VLOOKUP(B305,[1]beds_provinces_district!$B$2:$C$373,2,0),0)</f>
        <v>132</v>
      </c>
      <c r="I305">
        <f t="shared" si="9"/>
        <v>756</v>
      </c>
    </row>
    <row r="306" spans="1:9">
      <c r="A306" t="s">
        <v>866</v>
      </c>
      <c r="B306" t="s">
        <v>390</v>
      </c>
      <c r="C306" t="s">
        <v>383</v>
      </c>
      <c r="D306">
        <v>24.58818244934082</v>
      </c>
      <c r="E306">
        <v>42.619518280029297</v>
      </c>
      <c r="F306">
        <v>52</v>
      </c>
      <c r="G306">
        <f t="shared" si="8"/>
        <v>238.41540145874023</v>
      </c>
      <c r="H306">
        <f>IFERROR(3*VLOOKUP(B306,[1]beds_provinces_district!$B$2:$C$373,2,0),0)</f>
        <v>0</v>
      </c>
      <c r="I306">
        <f t="shared" si="9"/>
        <v>477</v>
      </c>
    </row>
    <row r="307" spans="1:9">
      <c r="A307" t="s">
        <v>867</v>
      </c>
      <c r="B307" t="s">
        <v>393</v>
      </c>
      <c r="C307" t="s">
        <v>383</v>
      </c>
      <c r="D307">
        <v>152.34274524204585</v>
      </c>
      <c r="E307">
        <v>183.4504409988657</v>
      </c>
      <c r="F307">
        <v>79</v>
      </c>
      <c r="G307">
        <f t="shared" si="8"/>
        <v>829.5863724818231</v>
      </c>
      <c r="H307">
        <f>IFERROR(3*VLOOKUP(B307,[1]beds_provinces_district!$B$2:$C$373,2,0),0)</f>
        <v>234</v>
      </c>
      <c r="I307">
        <f t="shared" si="9"/>
        <v>2127</v>
      </c>
    </row>
    <row r="308" spans="1:9">
      <c r="A308" t="s">
        <v>868</v>
      </c>
      <c r="B308" t="s">
        <v>387</v>
      </c>
      <c r="C308" t="s">
        <v>383</v>
      </c>
      <c r="D308">
        <v>107.71955167427728</v>
      </c>
      <c r="E308">
        <v>168.04909699197549</v>
      </c>
      <c r="F308">
        <v>82</v>
      </c>
      <c r="G308">
        <f t="shared" si="8"/>
        <v>715.53729733250555</v>
      </c>
      <c r="H308">
        <f>IFERROR(3*VLOOKUP(B308,[1]beds_provinces_district!$B$2:$C$373,2,0),0)</f>
        <v>381</v>
      </c>
      <c r="I308">
        <f t="shared" si="9"/>
        <v>2193</v>
      </c>
    </row>
    <row r="309" spans="1:9">
      <c r="A309" t="s">
        <v>869</v>
      </c>
      <c r="B309" t="s">
        <v>396</v>
      </c>
      <c r="C309" t="s">
        <v>383</v>
      </c>
      <c r="D309">
        <v>19.087535858154297</v>
      </c>
      <c r="E309">
        <v>33.085060119628906</v>
      </c>
      <c r="F309">
        <v>50</v>
      </c>
      <c r="G309">
        <f t="shared" si="8"/>
        <v>204.34519195556641</v>
      </c>
      <c r="H309">
        <f>IFERROR(3*VLOOKUP(B309,[1]beds_provinces_district!$B$2:$C$373,2,0),0)</f>
        <v>45</v>
      </c>
      <c r="I309">
        <f t="shared" si="9"/>
        <v>499</v>
      </c>
    </row>
    <row r="310" spans="1:9">
      <c r="A310" t="s">
        <v>870</v>
      </c>
      <c r="B310" t="s">
        <v>389</v>
      </c>
      <c r="C310" t="s">
        <v>383</v>
      </c>
      <c r="D310">
        <v>52</v>
      </c>
      <c r="E310">
        <v>67</v>
      </c>
      <c r="F310">
        <v>191</v>
      </c>
      <c r="G310">
        <f t="shared" si="8"/>
        <v>620</v>
      </c>
      <c r="H310">
        <f>IFERROR(3*VLOOKUP(B310,[1]beds_provinces_district!$B$2:$C$373,2,0),0)</f>
        <v>702</v>
      </c>
      <c r="I310">
        <f t="shared" si="9"/>
        <v>2644</v>
      </c>
    </row>
    <row r="311" spans="1:9">
      <c r="A311" t="s">
        <v>871</v>
      </c>
      <c r="B311" t="s">
        <v>398</v>
      </c>
      <c r="C311" t="s">
        <v>383</v>
      </c>
      <c r="D311">
        <v>14.634987831115723</v>
      </c>
      <c r="E311">
        <v>25.367313385009766</v>
      </c>
      <c r="F311">
        <v>43</v>
      </c>
      <c r="G311">
        <f t="shared" si="8"/>
        <v>166.00460243225098</v>
      </c>
      <c r="H311">
        <f>IFERROR(3*VLOOKUP(B311,[1]beds_provinces_district!$B$2:$C$373,2,0),0)</f>
        <v>54</v>
      </c>
      <c r="I311">
        <f t="shared" si="9"/>
        <v>440</v>
      </c>
    </row>
    <row r="312" spans="1:9">
      <c r="A312" t="s">
        <v>872</v>
      </c>
      <c r="B312" t="s">
        <v>385</v>
      </c>
      <c r="C312" t="s">
        <v>383</v>
      </c>
      <c r="D312">
        <v>3.0762372016906738</v>
      </c>
      <c r="E312">
        <v>5.3321442604064941</v>
      </c>
      <c r="F312">
        <v>3</v>
      </c>
      <c r="G312">
        <f t="shared" si="8"/>
        <v>22.816762924194336</v>
      </c>
      <c r="H312">
        <f>IFERROR(3*VLOOKUP(B312,[1]beds_provinces_district!$B$2:$C$373,2,0),0)</f>
        <v>33</v>
      </c>
      <c r="I312">
        <f t="shared" si="9"/>
        <v>112</v>
      </c>
    </row>
    <row r="313" spans="1:9">
      <c r="A313" t="s">
        <v>873</v>
      </c>
      <c r="B313" t="s">
        <v>874</v>
      </c>
      <c r="C313" t="s">
        <v>383</v>
      </c>
      <c r="D313">
        <v>87.774722999510686</v>
      </c>
      <c r="E313">
        <v>155.12690566611502</v>
      </c>
      <c r="F313">
        <v>42</v>
      </c>
      <c r="G313">
        <f t="shared" si="8"/>
        <v>569.80325733125142</v>
      </c>
      <c r="H313">
        <f>IFERROR(3*VLOOKUP(B313,[1]beds_provinces_district!$B$2:$C$373,2,0),0)</f>
        <v>267</v>
      </c>
      <c r="I313">
        <f t="shared" si="9"/>
        <v>1674</v>
      </c>
    </row>
    <row r="314" spans="1:9">
      <c r="A314" t="s">
        <v>875</v>
      </c>
      <c r="B314" t="s">
        <v>391</v>
      </c>
      <c r="C314" t="s">
        <v>383</v>
      </c>
      <c r="D314">
        <v>51.996631622314453</v>
      </c>
      <c r="E314">
        <v>90.127494812011719</v>
      </c>
      <c r="F314">
        <v>100</v>
      </c>
      <c r="G314">
        <f t="shared" si="8"/>
        <v>484.24825286865234</v>
      </c>
      <c r="H314">
        <f>IFERROR(3*VLOOKUP(B314,[1]beds_provinces_district!$B$2:$C$373,2,0),0)</f>
        <v>351</v>
      </c>
      <c r="I314">
        <f t="shared" si="9"/>
        <v>1670</v>
      </c>
    </row>
    <row r="315" spans="1:9">
      <c r="A315" t="s">
        <v>876</v>
      </c>
      <c r="B315" t="s">
        <v>386</v>
      </c>
      <c r="C315" t="s">
        <v>383</v>
      </c>
      <c r="D315">
        <v>284.100341796875</v>
      </c>
      <c r="E315">
        <v>492.44058227539063</v>
      </c>
      <c r="F315">
        <v>189</v>
      </c>
      <c r="G315">
        <f t="shared" si="8"/>
        <v>1931.0818481445313</v>
      </c>
      <c r="H315">
        <f>IFERROR(3*VLOOKUP(B315,[1]beds_provinces_district!$B$2:$C$373,2,0),0)</f>
        <v>3813</v>
      </c>
      <c r="I315">
        <f t="shared" si="9"/>
        <v>11488</v>
      </c>
    </row>
    <row r="316" spans="1:9">
      <c r="A316" t="s">
        <v>877</v>
      </c>
      <c r="B316" t="s">
        <v>392</v>
      </c>
      <c r="C316" t="s">
        <v>383</v>
      </c>
      <c r="D316">
        <v>29.073301315307617</v>
      </c>
      <c r="E316">
        <v>50.393722534179688</v>
      </c>
      <c r="F316">
        <v>91</v>
      </c>
      <c r="G316">
        <f t="shared" si="8"/>
        <v>340.93404769897461</v>
      </c>
      <c r="H316">
        <f>IFERROR(3*VLOOKUP(B316,[1]beds_provinces_district!$B$2:$C$373,2,0),0)</f>
        <v>0</v>
      </c>
      <c r="I316">
        <f t="shared" si="9"/>
        <v>682</v>
      </c>
    </row>
    <row r="317" spans="1:9">
      <c r="A317" t="s">
        <v>878</v>
      </c>
      <c r="B317" t="s">
        <v>388</v>
      </c>
      <c r="C317" t="s">
        <v>383</v>
      </c>
      <c r="D317">
        <v>17</v>
      </c>
      <c r="E317">
        <v>38</v>
      </c>
      <c r="F317">
        <v>78</v>
      </c>
      <c r="G317">
        <f t="shared" si="8"/>
        <v>266</v>
      </c>
      <c r="H317">
        <f>IFERROR(3*VLOOKUP(B317,[1]beds_provinces_district!$B$2:$C$373,2,0),0)</f>
        <v>342</v>
      </c>
      <c r="I317">
        <f t="shared" si="9"/>
        <v>1216</v>
      </c>
    </row>
    <row r="318" spans="1:9">
      <c r="A318" t="s">
        <v>879</v>
      </c>
      <c r="B318" t="s">
        <v>301</v>
      </c>
      <c r="C318" t="s">
        <v>297</v>
      </c>
      <c r="D318">
        <v>46</v>
      </c>
      <c r="E318">
        <v>83</v>
      </c>
      <c r="F318">
        <v>149</v>
      </c>
      <c r="G318">
        <f t="shared" si="8"/>
        <v>556</v>
      </c>
      <c r="H318">
        <f>IFERROR(3*VLOOKUP(B318,[1]beds_provinces_district!$B$2:$C$373,2,0),0)</f>
        <v>621</v>
      </c>
      <c r="I318">
        <f t="shared" si="9"/>
        <v>2354</v>
      </c>
    </row>
    <row r="319" spans="1:9">
      <c r="A319" t="s">
        <v>880</v>
      </c>
      <c r="B319" t="s">
        <v>881</v>
      </c>
      <c r="C319" t="s">
        <v>297</v>
      </c>
      <c r="D319">
        <v>25</v>
      </c>
      <c r="E319">
        <v>36</v>
      </c>
      <c r="F319">
        <v>93</v>
      </c>
      <c r="G319">
        <f t="shared" si="8"/>
        <v>308</v>
      </c>
      <c r="H319">
        <f>IFERROR(3*VLOOKUP(B319,[1]beds_provinces_district!$B$2:$C$373,2,0),0)</f>
        <v>288</v>
      </c>
      <c r="I319">
        <f t="shared" si="9"/>
        <v>1192</v>
      </c>
    </row>
    <row r="320" spans="1:9">
      <c r="A320" t="s">
        <v>882</v>
      </c>
      <c r="B320" t="s">
        <v>297</v>
      </c>
      <c r="C320" t="s">
        <v>297</v>
      </c>
      <c r="D320">
        <v>379.14883422851563</v>
      </c>
      <c r="E320">
        <v>573.5841064453125</v>
      </c>
      <c r="F320">
        <v>127</v>
      </c>
      <c r="G320">
        <f t="shared" si="8"/>
        <v>2159.4658813476563</v>
      </c>
      <c r="H320">
        <f>IFERROR(3*VLOOKUP(B320,[1]beds_provinces_district!$B$2:$C$373,2,0),0)</f>
        <v>5220</v>
      </c>
      <c r="I320">
        <f t="shared" si="9"/>
        <v>14759</v>
      </c>
    </row>
    <row r="321" spans="1:9">
      <c r="A321" t="s">
        <v>883</v>
      </c>
      <c r="B321" t="s">
        <v>299</v>
      </c>
      <c r="C321" t="s">
        <v>297</v>
      </c>
      <c r="D321">
        <v>24</v>
      </c>
      <c r="E321">
        <v>51</v>
      </c>
      <c r="F321">
        <v>110</v>
      </c>
      <c r="G321">
        <f t="shared" si="8"/>
        <v>370</v>
      </c>
      <c r="H321">
        <f>IFERROR(3*VLOOKUP(B321,[1]beds_provinces_district!$B$2:$C$373,2,0),0)</f>
        <v>339</v>
      </c>
      <c r="I321">
        <f t="shared" si="9"/>
        <v>1418</v>
      </c>
    </row>
    <row r="322" spans="1:9">
      <c r="A322" t="s">
        <v>884</v>
      </c>
      <c r="B322" t="s">
        <v>307</v>
      </c>
      <c r="C322" t="s">
        <v>297</v>
      </c>
      <c r="D322">
        <v>22.071895599365234</v>
      </c>
      <c r="E322">
        <v>33.390815734863281</v>
      </c>
      <c r="F322">
        <v>50</v>
      </c>
      <c r="G322">
        <f t="shared" si="8"/>
        <v>210.92542266845703</v>
      </c>
      <c r="H322">
        <f>IFERROR(3*VLOOKUP(B322,[1]beds_provinces_district!$B$2:$C$373,2,0),0)</f>
        <v>57</v>
      </c>
      <c r="I322">
        <f t="shared" si="9"/>
        <v>536</v>
      </c>
    </row>
    <row r="323" spans="1:9">
      <c r="A323" t="s">
        <v>885</v>
      </c>
      <c r="B323" t="s">
        <v>305</v>
      </c>
      <c r="C323" t="s">
        <v>297</v>
      </c>
      <c r="D323">
        <v>15</v>
      </c>
      <c r="E323">
        <v>28</v>
      </c>
      <c r="F323">
        <v>150</v>
      </c>
      <c r="G323">
        <f t="shared" ref="G323:G386" si="10">SUM(D323:F323)*2</f>
        <v>386</v>
      </c>
      <c r="H323">
        <f>IFERROR(3*VLOOKUP(B323,[1]beds_provinces_district!$B$2:$C$373,2,0),0)</f>
        <v>303</v>
      </c>
      <c r="I323">
        <f t="shared" ref="I323:I386" si="11">ROUND(SUM(G323:H323)*2,0)</f>
        <v>1378</v>
      </c>
    </row>
    <row r="324" spans="1:9">
      <c r="A324" t="s">
        <v>886</v>
      </c>
      <c r="B324" t="s">
        <v>302</v>
      </c>
      <c r="C324" t="s">
        <v>297</v>
      </c>
      <c r="D324">
        <v>37</v>
      </c>
      <c r="E324">
        <v>31</v>
      </c>
      <c r="F324">
        <v>165</v>
      </c>
      <c r="G324">
        <f t="shared" si="10"/>
        <v>466</v>
      </c>
      <c r="H324">
        <f>IFERROR(3*VLOOKUP(B324,[1]beds_provinces_district!$B$2:$C$373,2,0),0)</f>
        <v>240</v>
      </c>
      <c r="I324">
        <f t="shared" si="11"/>
        <v>1412</v>
      </c>
    </row>
    <row r="325" spans="1:9">
      <c r="A325" t="s">
        <v>887</v>
      </c>
      <c r="B325" t="s">
        <v>304</v>
      </c>
      <c r="C325" t="s">
        <v>297</v>
      </c>
      <c r="D325">
        <v>66.779273986816406</v>
      </c>
      <c r="E325">
        <v>101.02505493164063</v>
      </c>
      <c r="F325">
        <v>84</v>
      </c>
      <c r="G325">
        <f t="shared" si="10"/>
        <v>503.60865783691406</v>
      </c>
      <c r="H325">
        <f>IFERROR(3*VLOOKUP(B325,[1]beds_provinces_district!$B$2:$C$373,2,0),0)</f>
        <v>72</v>
      </c>
      <c r="I325">
        <f t="shared" si="11"/>
        <v>1151</v>
      </c>
    </row>
    <row r="326" spans="1:9">
      <c r="A326" t="s">
        <v>888</v>
      </c>
      <c r="B326" t="s">
        <v>300</v>
      </c>
      <c r="C326" t="s">
        <v>297</v>
      </c>
      <c r="D326">
        <v>83</v>
      </c>
      <c r="E326">
        <v>153</v>
      </c>
      <c r="F326">
        <v>187</v>
      </c>
      <c r="G326">
        <f t="shared" si="10"/>
        <v>846</v>
      </c>
      <c r="H326">
        <f>IFERROR(3*VLOOKUP(B326,[1]beds_provinces_district!$B$2:$C$373,2,0),0)</f>
        <v>1236</v>
      </c>
      <c r="I326">
        <f t="shared" si="11"/>
        <v>4164</v>
      </c>
    </row>
    <row r="327" spans="1:9">
      <c r="A327" t="s">
        <v>889</v>
      </c>
      <c r="B327" t="s">
        <v>308</v>
      </c>
      <c r="C327" t="s">
        <v>890</v>
      </c>
      <c r="D327">
        <v>65</v>
      </c>
      <c r="E327">
        <v>126</v>
      </c>
      <c r="F327">
        <v>40</v>
      </c>
      <c r="G327">
        <f t="shared" si="10"/>
        <v>462</v>
      </c>
      <c r="H327">
        <f>IFERROR(3*VLOOKUP(B327,[1]beds_provinces_district!$B$2:$C$373,2,0),0)</f>
        <v>555</v>
      </c>
      <c r="I327">
        <f t="shared" si="11"/>
        <v>2034</v>
      </c>
    </row>
    <row r="328" spans="1:9">
      <c r="A328" t="s">
        <v>891</v>
      </c>
      <c r="B328" t="s">
        <v>315</v>
      </c>
      <c r="C328" t="s">
        <v>890</v>
      </c>
      <c r="D328">
        <v>19.087392807006836</v>
      </c>
      <c r="E328">
        <v>34.776653289794922</v>
      </c>
      <c r="F328">
        <v>99.100659021188051</v>
      </c>
      <c r="G328">
        <f t="shared" si="10"/>
        <v>305.92941023597962</v>
      </c>
      <c r="H328">
        <f>IFERROR(3*VLOOKUP(B328,[1]beds_provinces_district!$B$2:$C$373,2,0),0)</f>
        <v>0</v>
      </c>
      <c r="I328">
        <f t="shared" si="11"/>
        <v>612</v>
      </c>
    </row>
    <row r="329" spans="1:9">
      <c r="A329" t="s">
        <v>892</v>
      </c>
      <c r="B329" t="s">
        <v>309</v>
      </c>
      <c r="C329" t="s">
        <v>890</v>
      </c>
      <c r="D329">
        <v>174.23257446289063</v>
      </c>
      <c r="E329">
        <v>317.44647216796875</v>
      </c>
      <c r="F329">
        <v>102</v>
      </c>
      <c r="G329">
        <f t="shared" si="10"/>
        <v>1187.3580932617188</v>
      </c>
      <c r="H329">
        <f>IFERROR(3*VLOOKUP(B329,[1]beds_provinces_district!$B$2:$C$373,2,0),0)</f>
        <v>2655</v>
      </c>
      <c r="I329">
        <f t="shared" si="11"/>
        <v>7685</v>
      </c>
    </row>
    <row r="330" spans="1:9">
      <c r="A330" t="s">
        <v>893</v>
      </c>
      <c r="B330" t="s">
        <v>312</v>
      </c>
      <c r="C330" t="s">
        <v>890</v>
      </c>
      <c r="D330">
        <v>26.952617645263672</v>
      </c>
      <c r="E330">
        <v>49.106849670410156</v>
      </c>
      <c r="F330">
        <v>81</v>
      </c>
      <c r="G330">
        <f t="shared" si="10"/>
        <v>314.11893463134766</v>
      </c>
      <c r="H330">
        <f>IFERROR(3*VLOOKUP(B330,[1]beds_provinces_district!$B$2:$C$373,2,0),0)</f>
        <v>78</v>
      </c>
      <c r="I330">
        <f t="shared" si="11"/>
        <v>784</v>
      </c>
    </row>
    <row r="331" spans="1:9">
      <c r="A331" t="s">
        <v>894</v>
      </c>
      <c r="B331" t="s">
        <v>313</v>
      </c>
      <c r="C331" t="s">
        <v>890</v>
      </c>
      <c r="D331">
        <v>9.4044132232666016</v>
      </c>
      <c r="E331">
        <v>36.404178619384766</v>
      </c>
      <c r="F331">
        <v>89</v>
      </c>
      <c r="G331">
        <f t="shared" si="10"/>
        <v>269.61718368530273</v>
      </c>
      <c r="H331">
        <f>IFERROR(3*VLOOKUP(B331,[1]beds_provinces_district!$B$2:$C$373,2,0),0)</f>
        <v>0</v>
      </c>
      <c r="I331">
        <f t="shared" si="11"/>
        <v>539</v>
      </c>
    </row>
    <row r="332" spans="1:9">
      <c r="A332" t="s">
        <v>895</v>
      </c>
      <c r="B332" t="s">
        <v>317</v>
      </c>
      <c r="C332" t="s">
        <v>890</v>
      </c>
      <c r="D332">
        <v>15.619063377380371</v>
      </c>
      <c r="E332">
        <v>28.457460403442383</v>
      </c>
      <c r="F332">
        <v>73.958186139972952</v>
      </c>
      <c r="G332">
        <f t="shared" si="10"/>
        <v>236.06941984159141</v>
      </c>
      <c r="H332">
        <f>IFERROR(3*VLOOKUP(B332,[1]beds_provinces_district!$B$2:$C$373,2,0),0)</f>
        <v>0</v>
      </c>
      <c r="I332">
        <f t="shared" si="11"/>
        <v>472</v>
      </c>
    </row>
    <row r="333" spans="1:9">
      <c r="A333" t="s">
        <v>896</v>
      </c>
      <c r="B333" t="s">
        <v>314</v>
      </c>
      <c r="C333" t="s">
        <v>890</v>
      </c>
      <c r="D333">
        <v>28.108358383178711</v>
      </c>
      <c r="E333">
        <v>51.212577819824219</v>
      </c>
      <c r="F333">
        <v>64</v>
      </c>
      <c r="G333">
        <f t="shared" si="10"/>
        <v>286.64187240600586</v>
      </c>
      <c r="H333">
        <f>IFERROR(3*VLOOKUP(B333,[1]beds_provinces_district!$B$2:$C$373,2,0),0)</f>
        <v>99</v>
      </c>
      <c r="I333">
        <f t="shared" si="11"/>
        <v>771</v>
      </c>
    </row>
    <row r="334" spans="1:9">
      <c r="A334" t="s">
        <v>897</v>
      </c>
      <c r="B334" t="s">
        <v>310</v>
      </c>
      <c r="C334" t="s">
        <v>890</v>
      </c>
      <c r="D334">
        <v>21.595586776733398</v>
      </c>
      <c r="E334">
        <v>83.595817565917969</v>
      </c>
      <c r="F334">
        <v>42</v>
      </c>
      <c r="G334">
        <f t="shared" si="10"/>
        <v>294.38280868530273</v>
      </c>
      <c r="H334">
        <f>IFERROR(3*VLOOKUP(B334,[1]beds_provinces_district!$B$2:$C$373,2,0),0)</f>
        <v>753</v>
      </c>
      <c r="I334">
        <f t="shared" si="11"/>
        <v>2095</v>
      </c>
    </row>
    <row r="335" spans="1:9">
      <c r="A335" t="s">
        <v>898</v>
      </c>
      <c r="B335" t="s">
        <v>311</v>
      </c>
      <c r="C335" t="s">
        <v>890</v>
      </c>
      <c r="D335">
        <v>51</v>
      </c>
      <c r="E335">
        <v>75</v>
      </c>
      <c r="F335">
        <v>189</v>
      </c>
      <c r="G335">
        <f t="shared" si="10"/>
        <v>630</v>
      </c>
      <c r="H335">
        <f>IFERROR(3*VLOOKUP(B335,[1]beds_provinces_district!$B$2:$C$373,2,0),0)</f>
        <v>624</v>
      </c>
      <c r="I335">
        <f t="shared" si="11"/>
        <v>2508</v>
      </c>
    </row>
    <row r="336" spans="1:9">
      <c r="A336" t="s">
        <v>899</v>
      </c>
      <c r="B336" t="s">
        <v>294</v>
      </c>
      <c r="C336" t="s">
        <v>900</v>
      </c>
      <c r="D336">
        <v>32.399791717529297</v>
      </c>
      <c r="E336">
        <v>66.904983520507813</v>
      </c>
      <c r="F336">
        <v>121</v>
      </c>
      <c r="G336">
        <f t="shared" si="10"/>
        <v>440.60955047607422</v>
      </c>
      <c r="H336">
        <f>IFERROR(3*VLOOKUP(B336,[1]beds_provinces_district!$B$2:$C$373,2,0),0)</f>
        <v>246</v>
      </c>
      <c r="I336">
        <f t="shared" si="11"/>
        <v>1373</v>
      </c>
    </row>
    <row r="337" spans="1:9">
      <c r="A337" t="s">
        <v>901</v>
      </c>
      <c r="B337" t="s">
        <v>290</v>
      </c>
      <c r="C337" t="s">
        <v>900</v>
      </c>
      <c r="D337">
        <v>54.093154907226563</v>
      </c>
      <c r="E337">
        <v>69.380348205566406</v>
      </c>
      <c r="F337">
        <v>169</v>
      </c>
      <c r="G337">
        <f t="shared" si="10"/>
        <v>584.94700622558594</v>
      </c>
      <c r="H337">
        <f>IFERROR(3*VLOOKUP(B337,[1]beds_provinces_district!$B$2:$C$373,2,0),0)</f>
        <v>807</v>
      </c>
      <c r="I337">
        <f t="shared" si="11"/>
        <v>2784</v>
      </c>
    </row>
    <row r="338" spans="1:9">
      <c r="A338" t="s">
        <v>902</v>
      </c>
      <c r="B338" t="s">
        <v>292</v>
      </c>
      <c r="C338" t="s">
        <v>900</v>
      </c>
      <c r="D338">
        <v>30.206838607788086</v>
      </c>
      <c r="E338">
        <v>55.608043670654297</v>
      </c>
      <c r="F338">
        <v>107</v>
      </c>
      <c r="G338">
        <f t="shared" si="10"/>
        <v>385.62976455688477</v>
      </c>
      <c r="H338">
        <f>IFERROR(3*VLOOKUP(B338,[1]beds_provinces_district!$B$2:$C$373,2,0),0)</f>
        <v>459</v>
      </c>
      <c r="I338">
        <f t="shared" si="11"/>
        <v>1689</v>
      </c>
    </row>
    <row r="339" spans="1:9">
      <c r="A339" t="s">
        <v>903</v>
      </c>
      <c r="B339" t="s">
        <v>291</v>
      </c>
      <c r="C339" t="s">
        <v>900</v>
      </c>
      <c r="D339">
        <v>202.96461486816406</v>
      </c>
      <c r="E339">
        <v>419.11825561523438</v>
      </c>
      <c r="F339">
        <v>161</v>
      </c>
      <c r="G339">
        <f t="shared" si="10"/>
        <v>1566.1657409667969</v>
      </c>
      <c r="H339">
        <f>IFERROR(3*VLOOKUP(B339,[1]beds_provinces_district!$B$2:$C$373,2,0),0)</f>
        <v>4308</v>
      </c>
      <c r="I339">
        <f t="shared" si="11"/>
        <v>11748</v>
      </c>
    </row>
    <row r="340" spans="1:9">
      <c r="A340" t="s">
        <v>904</v>
      </c>
      <c r="B340" t="s">
        <v>288</v>
      </c>
      <c r="C340" t="s">
        <v>900</v>
      </c>
      <c r="D340">
        <v>37.906845092773438</v>
      </c>
      <c r="E340">
        <v>48.619647979736328</v>
      </c>
      <c r="F340">
        <v>105</v>
      </c>
      <c r="G340">
        <f t="shared" si="10"/>
        <v>383.05298614501953</v>
      </c>
      <c r="H340">
        <f>IFERROR(3*VLOOKUP(B340,[1]beds_provinces_district!$B$2:$C$373,2,0),0)</f>
        <v>501</v>
      </c>
      <c r="I340">
        <f t="shared" si="11"/>
        <v>1768</v>
      </c>
    </row>
    <row r="341" spans="1:9">
      <c r="A341" t="s">
        <v>905</v>
      </c>
      <c r="B341" t="s">
        <v>293</v>
      </c>
      <c r="C341" t="s">
        <v>900</v>
      </c>
      <c r="D341">
        <v>40.646598815917969</v>
      </c>
      <c r="E341">
        <v>53.653507232666016</v>
      </c>
      <c r="F341">
        <v>109</v>
      </c>
      <c r="G341">
        <f t="shared" si="10"/>
        <v>406.60021209716797</v>
      </c>
      <c r="H341">
        <f>IFERROR(3*VLOOKUP(B341,[1]beds_provinces_district!$B$2:$C$373,2,0),0)</f>
        <v>672</v>
      </c>
      <c r="I341">
        <f t="shared" si="11"/>
        <v>2157</v>
      </c>
    </row>
    <row r="342" spans="1:9">
      <c r="A342" t="s">
        <v>906</v>
      </c>
      <c r="B342" t="s">
        <v>296</v>
      </c>
      <c r="C342" t="s">
        <v>900</v>
      </c>
      <c r="D342">
        <v>9.3534030914306641</v>
      </c>
      <c r="E342">
        <v>12.346491813659668</v>
      </c>
      <c r="F342">
        <v>88</v>
      </c>
      <c r="G342">
        <f t="shared" si="10"/>
        <v>219.39978981018066</v>
      </c>
      <c r="H342">
        <f>IFERROR(3*VLOOKUP(B342,[1]beds_provinces_district!$B$2:$C$373,2,0),0)</f>
        <v>99</v>
      </c>
      <c r="I342">
        <f t="shared" si="11"/>
        <v>637</v>
      </c>
    </row>
    <row r="343" spans="1:9">
      <c r="A343" t="s">
        <v>907</v>
      </c>
      <c r="B343" t="s">
        <v>295</v>
      </c>
      <c r="C343" t="s">
        <v>900</v>
      </c>
      <c r="D343">
        <v>41.635593414306641</v>
      </c>
      <c r="E343">
        <v>85.976753234863281</v>
      </c>
      <c r="F343">
        <v>82</v>
      </c>
      <c r="G343">
        <f t="shared" si="10"/>
        <v>419.22469329833984</v>
      </c>
      <c r="H343">
        <f>IFERROR(3*VLOOKUP(B343,[1]beds_provinces_district!$B$2:$C$373,2,0),0)</f>
        <v>231</v>
      </c>
      <c r="I343">
        <f t="shared" si="11"/>
        <v>1300</v>
      </c>
    </row>
    <row r="344" spans="1:9">
      <c r="A344" t="s">
        <v>908</v>
      </c>
      <c r="B344" t="s">
        <v>289</v>
      </c>
      <c r="C344" t="s">
        <v>900</v>
      </c>
      <c r="D344">
        <v>24</v>
      </c>
      <c r="E344">
        <v>49</v>
      </c>
      <c r="F344">
        <v>120</v>
      </c>
      <c r="G344">
        <f t="shared" si="10"/>
        <v>386</v>
      </c>
      <c r="H344">
        <f>IFERROR(3*VLOOKUP(B344,[1]beds_provinces_district!$B$2:$C$373,2,0),0)</f>
        <v>345</v>
      </c>
      <c r="I344">
        <f t="shared" si="11"/>
        <v>1462</v>
      </c>
    </row>
    <row r="345" spans="1:9">
      <c r="A345" t="s">
        <v>909</v>
      </c>
      <c r="B345" t="s">
        <v>298</v>
      </c>
      <c r="C345" t="s">
        <v>900</v>
      </c>
      <c r="D345">
        <v>13.793160438537598</v>
      </c>
      <c r="E345">
        <v>25.39195442199707</v>
      </c>
      <c r="F345">
        <v>75</v>
      </c>
      <c r="G345">
        <f t="shared" si="10"/>
        <v>228.37022972106934</v>
      </c>
      <c r="H345">
        <f>IFERROR(3*VLOOKUP(B345,[1]beds_provinces_district!$B$2:$C$373,2,0),0)</f>
        <v>93</v>
      </c>
      <c r="I345">
        <f t="shared" si="11"/>
        <v>643</v>
      </c>
    </row>
    <row r="346" spans="1:9">
      <c r="A346" t="s">
        <v>910</v>
      </c>
      <c r="B346" t="s">
        <v>202</v>
      </c>
      <c r="C346" t="s">
        <v>911</v>
      </c>
      <c r="D346">
        <v>17.065029144287109</v>
      </c>
      <c r="E346">
        <v>37.290252685546875</v>
      </c>
      <c r="F346">
        <v>66</v>
      </c>
      <c r="G346">
        <f t="shared" si="10"/>
        <v>240.71056365966797</v>
      </c>
      <c r="H346">
        <f>IFERROR(3*VLOOKUP(B346,[1]beds_provinces_district!$B$2:$C$373,2,0),0)</f>
        <v>0</v>
      </c>
      <c r="I346">
        <f t="shared" si="11"/>
        <v>481</v>
      </c>
    </row>
    <row r="347" spans="1:9">
      <c r="A347" t="s">
        <v>912</v>
      </c>
      <c r="B347" t="s">
        <v>204</v>
      </c>
      <c r="C347" t="s">
        <v>911</v>
      </c>
      <c r="D347">
        <v>6.1217660903930664</v>
      </c>
      <c r="E347">
        <v>12.642778396606445</v>
      </c>
      <c r="F347">
        <v>12</v>
      </c>
      <c r="G347">
        <f t="shared" si="10"/>
        <v>61.529088973999023</v>
      </c>
      <c r="H347">
        <f>IFERROR(3*VLOOKUP(B347,[1]beds_provinces_district!$B$2:$C$373,2,0),0)</f>
        <v>78</v>
      </c>
      <c r="I347">
        <f t="shared" si="11"/>
        <v>279</v>
      </c>
    </row>
    <row r="348" spans="1:9">
      <c r="A348" t="s">
        <v>913</v>
      </c>
      <c r="B348" t="s">
        <v>210</v>
      </c>
      <c r="C348" t="s">
        <v>911</v>
      </c>
      <c r="D348">
        <v>12.825038909912109</v>
      </c>
      <c r="E348">
        <v>36.885234832763672</v>
      </c>
      <c r="F348">
        <v>27</v>
      </c>
      <c r="G348">
        <f t="shared" si="10"/>
        <v>153.42054748535156</v>
      </c>
      <c r="H348">
        <f>IFERROR(3*VLOOKUP(B348,[1]beds_provinces_district!$B$2:$C$373,2,0),0)</f>
        <v>90</v>
      </c>
      <c r="I348">
        <f t="shared" si="11"/>
        <v>487</v>
      </c>
    </row>
    <row r="349" spans="1:9">
      <c r="A349" t="s">
        <v>914</v>
      </c>
      <c r="B349" t="s">
        <v>206</v>
      </c>
      <c r="C349" t="s">
        <v>911</v>
      </c>
      <c r="D349">
        <v>5.4636540412902832</v>
      </c>
      <c r="E349">
        <v>9.7131624221801758</v>
      </c>
      <c r="F349">
        <v>71</v>
      </c>
      <c r="G349">
        <f t="shared" si="10"/>
        <v>172.35363292694092</v>
      </c>
      <c r="H349">
        <f>IFERROR(3*VLOOKUP(B349,[1]beds_provinces_district!$B$2:$C$373,2,0),0)</f>
        <v>99</v>
      </c>
      <c r="I349">
        <f t="shared" si="11"/>
        <v>543</v>
      </c>
    </row>
    <row r="350" spans="1:9">
      <c r="A350" t="s">
        <v>915</v>
      </c>
      <c r="B350" t="s">
        <v>200</v>
      </c>
      <c r="C350" t="s">
        <v>911</v>
      </c>
      <c r="D350">
        <v>67.47259521484375</v>
      </c>
      <c r="E350">
        <v>112.45432281494141</v>
      </c>
      <c r="F350">
        <v>58</v>
      </c>
      <c r="G350">
        <f t="shared" si="10"/>
        <v>475.85383605957031</v>
      </c>
      <c r="H350">
        <f>IFERROR(3*VLOOKUP(B350,[1]beds_provinces_district!$B$2:$C$373,2,0),0)</f>
        <v>198</v>
      </c>
      <c r="I350">
        <f t="shared" si="11"/>
        <v>1348</v>
      </c>
    </row>
    <row r="351" spans="1:9">
      <c r="A351" t="s">
        <v>916</v>
      </c>
      <c r="B351" t="s">
        <v>203</v>
      </c>
      <c r="C351" t="s">
        <v>911</v>
      </c>
      <c r="D351">
        <v>4.6929783821105957</v>
      </c>
      <c r="E351">
        <v>8.3430728912353516</v>
      </c>
      <c r="F351">
        <v>73</v>
      </c>
      <c r="G351">
        <f t="shared" si="10"/>
        <v>172.07210254669189</v>
      </c>
      <c r="H351">
        <f>IFERROR(3*VLOOKUP(B351,[1]beds_provinces_district!$B$2:$C$373,2,0),0)</f>
        <v>111</v>
      </c>
      <c r="I351">
        <f t="shared" si="11"/>
        <v>566</v>
      </c>
    </row>
    <row r="352" spans="1:9">
      <c r="A352" t="s">
        <v>917</v>
      </c>
      <c r="B352" t="s">
        <v>195</v>
      </c>
      <c r="C352" t="s">
        <v>911</v>
      </c>
      <c r="D352">
        <v>108.17496490478516</v>
      </c>
      <c r="E352">
        <v>311.11477661132813</v>
      </c>
      <c r="F352">
        <v>153</v>
      </c>
      <c r="G352">
        <f t="shared" si="10"/>
        <v>1144.5794830322266</v>
      </c>
      <c r="H352">
        <f>IFERROR(3*VLOOKUP(B352,[1]beds_provinces_district!$B$2:$C$373,2,0),0)</f>
        <v>1281</v>
      </c>
      <c r="I352">
        <f t="shared" si="11"/>
        <v>4851</v>
      </c>
    </row>
    <row r="353" spans="1:9">
      <c r="A353" t="s">
        <v>918</v>
      </c>
      <c r="B353" t="s">
        <v>207</v>
      </c>
      <c r="C353" t="s">
        <v>911</v>
      </c>
      <c r="D353">
        <v>15.541674613952637</v>
      </c>
      <c r="E353">
        <v>27.046550750732422</v>
      </c>
      <c r="F353">
        <v>52</v>
      </c>
      <c r="G353">
        <f t="shared" si="10"/>
        <v>189.17645072937012</v>
      </c>
      <c r="H353">
        <f>IFERROR(3*VLOOKUP(B353,[1]beds_provinces_district!$B$2:$C$373,2,0),0)</f>
        <v>0</v>
      </c>
      <c r="I353">
        <f t="shared" si="11"/>
        <v>378</v>
      </c>
    </row>
    <row r="354" spans="1:9">
      <c r="A354" t="s">
        <v>919</v>
      </c>
      <c r="B354" t="s">
        <v>205</v>
      </c>
      <c r="C354" t="s">
        <v>911</v>
      </c>
      <c r="D354">
        <v>7.5700478553771973</v>
      </c>
      <c r="E354">
        <v>13.457862854003906</v>
      </c>
      <c r="F354">
        <v>71</v>
      </c>
      <c r="G354">
        <f t="shared" si="10"/>
        <v>184.05582141876221</v>
      </c>
      <c r="H354">
        <f>IFERROR(3*VLOOKUP(B354,[1]beds_provinces_district!$B$2:$C$373,2,0),0)</f>
        <v>0</v>
      </c>
      <c r="I354">
        <f t="shared" si="11"/>
        <v>368</v>
      </c>
    </row>
    <row r="355" spans="1:9">
      <c r="A355" t="s">
        <v>920</v>
      </c>
      <c r="B355" t="s">
        <v>209</v>
      </c>
      <c r="C355" t="s">
        <v>911</v>
      </c>
      <c r="D355">
        <v>11.796734809875488</v>
      </c>
      <c r="E355">
        <v>20.529382705688477</v>
      </c>
      <c r="F355">
        <v>34</v>
      </c>
      <c r="G355">
        <f t="shared" si="10"/>
        <v>132.65223503112793</v>
      </c>
      <c r="H355">
        <f>IFERROR(3*VLOOKUP(B355,[1]beds_provinces_district!$B$2:$C$373,2,0),0)</f>
        <v>0</v>
      </c>
      <c r="I355">
        <f t="shared" si="11"/>
        <v>265</v>
      </c>
    </row>
    <row r="356" spans="1:9">
      <c r="A356" t="s">
        <v>921</v>
      </c>
      <c r="B356" t="s">
        <v>194</v>
      </c>
      <c r="C356" t="s">
        <v>911</v>
      </c>
      <c r="D356">
        <v>63.934970855712891</v>
      </c>
      <c r="E356">
        <v>139.70974731445313</v>
      </c>
      <c r="F356">
        <v>159</v>
      </c>
      <c r="G356">
        <f t="shared" si="10"/>
        <v>725.28943634033203</v>
      </c>
      <c r="H356">
        <f>IFERROR(3*VLOOKUP(B356,[1]beds_provinces_district!$B$2:$C$373,2,0),0)</f>
        <v>1311</v>
      </c>
      <c r="I356">
        <f t="shared" si="11"/>
        <v>4073</v>
      </c>
    </row>
    <row r="357" spans="1:9">
      <c r="A357" t="s">
        <v>922</v>
      </c>
      <c r="B357" t="s">
        <v>212</v>
      </c>
      <c r="C357" t="s">
        <v>911</v>
      </c>
      <c r="D357">
        <v>2.4273779392242432</v>
      </c>
      <c r="E357">
        <v>4.3153386116027832</v>
      </c>
      <c r="F357">
        <v>31</v>
      </c>
      <c r="G357">
        <f t="shared" si="10"/>
        <v>75.485433101654053</v>
      </c>
      <c r="H357">
        <f>IFERROR(3*VLOOKUP(B357,[1]beds_provinces_district!$B$2:$C$373,2,0),0)</f>
        <v>0</v>
      </c>
      <c r="I357">
        <f t="shared" si="11"/>
        <v>151</v>
      </c>
    </row>
    <row r="358" spans="1:9">
      <c r="A358" t="s">
        <v>923</v>
      </c>
      <c r="B358" t="s">
        <v>196</v>
      </c>
      <c r="C358" t="s">
        <v>911</v>
      </c>
      <c r="D358">
        <v>39.87823486328125</v>
      </c>
      <c r="E358">
        <v>82.357223510742188</v>
      </c>
      <c r="F358">
        <v>113</v>
      </c>
      <c r="G358">
        <f t="shared" si="10"/>
        <v>470.47091674804688</v>
      </c>
      <c r="H358">
        <f>IFERROR(3*VLOOKUP(B358,[1]beds_provinces_district!$B$2:$C$373,2,0),0)</f>
        <v>504</v>
      </c>
      <c r="I358">
        <f t="shared" si="11"/>
        <v>1949</v>
      </c>
    </row>
    <row r="359" spans="1:9">
      <c r="A359" t="s">
        <v>924</v>
      </c>
      <c r="B359" t="s">
        <v>208</v>
      </c>
      <c r="C359" t="s">
        <v>911</v>
      </c>
      <c r="D359">
        <v>8.9543323516845703</v>
      </c>
      <c r="E359">
        <v>17.01323127746582</v>
      </c>
      <c r="F359">
        <v>36</v>
      </c>
      <c r="G359">
        <f t="shared" si="10"/>
        <v>123.93512725830078</v>
      </c>
      <c r="H359">
        <f>IFERROR(3*VLOOKUP(B359,[1]beds_provinces_district!$B$2:$C$373,2,0),0)</f>
        <v>36</v>
      </c>
      <c r="I359">
        <f t="shared" si="11"/>
        <v>320</v>
      </c>
    </row>
    <row r="360" spans="1:9">
      <c r="A360" t="s">
        <v>925</v>
      </c>
      <c r="B360" t="s">
        <v>193</v>
      </c>
      <c r="C360" t="s">
        <v>911</v>
      </c>
      <c r="D360">
        <v>40.129047393798828</v>
      </c>
      <c r="E360">
        <v>69.834968566894531</v>
      </c>
      <c r="F360">
        <v>51</v>
      </c>
      <c r="G360">
        <f t="shared" si="10"/>
        <v>321.92803192138672</v>
      </c>
      <c r="H360">
        <f>IFERROR(3*VLOOKUP(B360,[1]beds_provinces_district!$B$2:$C$373,2,0),0)</f>
        <v>1005</v>
      </c>
      <c r="I360">
        <f t="shared" si="11"/>
        <v>2654</v>
      </c>
    </row>
    <row r="361" spans="1:9">
      <c r="A361" t="s">
        <v>926</v>
      </c>
      <c r="B361" t="s">
        <v>190</v>
      </c>
      <c r="C361" t="s">
        <v>911</v>
      </c>
      <c r="D361">
        <v>607.97515869140625</v>
      </c>
      <c r="E361">
        <v>1013.2919311523438</v>
      </c>
      <c r="F361">
        <v>118</v>
      </c>
      <c r="G361">
        <f t="shared" si="10"/>
        <v>3478.5341796875</v>
      </c>
      <c r="H361">
        <f>IFERROR(3*VLOOKUP(B361,[1]beds_provinces_district!$B$2:$C$373,2,0),0)</f>
        <v>7017</v>
      </c>
      <c r="I361">
        <f t="shared" si="11"/>
        <v>20991</v>
      </c>
    </row>
    <row r="362" spans="1:9">
      <c r="A362" t="s">
        <v>927</v>
      </c>
      <c r="B362" t="s">
        <v>211</v>
      </c>
      <c r="C362" t="s">
        <v>911</v>
      </c>
      <c r="D362">
        <v>9.5325412750244141</v>
      </c>
      <c r="E362">
        <v>16.58909797668457</v>
      </c>
      <c r="F362">
        <v>64</v>
      </c>
      <c r="G362">
        <f t="shared" si="10"/>
        <v>180.24327850341797</v>
      </c>
      <c r="H362">
        <f>IFERROR(3*VLOOKUP(B362,[1]beds_provinces_district!$B$2:$C$373,2,0),0)</f>
        <v>33</v>
      </c>
      <c r="I362">
        <f t="shared" si="11"/>
        <v>426</v>
      </c>
    </row>
    <row r="363" spans="1:9">
      <c r="A363" t="s">
        <v>928</v>
      </c>
      <c r="B363" t="s">
        <v>197</v>
      </c>
      <c r="C363" t="s">
        <v>911</v>
      </c>
      <c r="D363">
        <v>87.067878723144531</v>
      </c>
      <c r="E363">
        <v>201.39179992675781</v>
      </c>
      <c r="F363">
        <v>105</v>
      </c>
      <c r="G363">
        <f t="shared" si="10"/>
        <v>786.91935729980469</v>
      </c>
      <c r="H363">
        <f>IFERROR(3*VLOOKUP(B363,[1]beds_provinces_district!$B$2:$C$373,2,0),0)</f>
        <v>1077</v>
      </c>
      <c r="I363">
        <f t="shared" si="11"/>
        <v>3728</v>
      </c>
    </row>
    <row r="364" spans="1:9">
      <c r="A364" t="s">
        <v>929</v>
      </c>
      <c r="B364" t="s">
        <v>201</v>
      </c>
      <c r="C364" t="s">
        <v>911</v>
      </c>
      <c r="D364">
        <v>35.552265167236328</v>
      </c>
      <c r="E364">
        <v>59.253772735595703</v>
      </c>
      <c r="F364">
        <v>24</v>
      </c>
      <c r="G364">
        <f t="shared" si="10"/>
        <v>237.61207580566406</v>
      </c>
      <c r="H364">
        <f>IFERROR(3*VLOOKUP(B364,[1]beds_provinces_district!$B$2:$C$373,2,0),0)</f>
        <v>120</v>
      </c>
      <c r="I364">
        <f t="shared" si="11"/>
        <v>715</v>
      </c>
    </row>
    <row r="365" spans="1:9">
      <c r="A365" t="s">
        <v>930</v>
      </c>
      <c r="B365" t="s">
        <v>198</v>
      </c>
      <c r="C365" t="s">
        <v>911</v>
      </c>
      <c r="D365">
        <v>27.932117462158203</v>
      </c>
      <c r="E365">
        <v>64.608200073242188</v>
      </c>
      <c r="F365">
        <v>63</v>
      </c>
      <c r="G365">
        <f t="shared" si="10"/>
        <v>311.08063507080078</v>
      </c>
      <c r="H365">
        <f>IFERROR(3*VLOOKUP(B365,[1]beds_provinces_district!$B$2:$C$373,2,0),0)</f>
        <v>240</v>
      </c>
      <c r="I365">
        <f t="shared" si="11"/>
        <v>1102</v>
      </c>
    </row>
    <row r="366" spans="1:9">
      <c r="A366" t="s">
        <v>931</v>
      </c>
      <c r="B366" t="s">
        <v>192</v>
      </c>
      <c r="C366" t="s">
        <v>911</v>
      </c>
      <c r="D366">
        <v>21.296482086181641</v>
      </c>
      <c r="E366">
        <v>40.463314056396484</v>
      </c>
      <c r="F366">
        <v>69</v>
      </c>
      <c r="G366">
        <f t="shared" si="10"/>
        <v>261.51959228515625</v>
      </c>
      <c r="H366">
        <f>IFERROR(3*VLOOKUP(B366,[1]beds_provinces_district!$B$2:$C$373,2,0),0)</f>
        <v>369</v>
      </c>
      <c r="I366">
        <f t="shared" si="11"/>
        <v>1261</v>
      </c>
    </row>
    <row r="367" spans="1:9">
      <c r="A367" t="s">
        <v>932</v>
      </c>
      <c r="B367" t="s">
        <v>199</v>
      </c>
      <c r="C367" t="s">
        <v>911</v>
      </c>
      <c r="D367">
        <v>6.8459415435791016</v>
      </c>
      <c r="E367">
        <v>12.170562744140625</v>
      </c>
      <c r="F367">
        <v>49</v>
      </c>
      <c r="G367">
        <f t="shared" si="10"/>
        <v>136.03300857543945</v>
      </c>
      <c r="H367">
        <f>IFERROR(3*VLOOKUP(B367,[1]beds_provinces_district!$B$2:$C$373,2,0),0)</f>
        <v>381</v>
      </c>
      <c r="I367">
        <f t="shared" si="11"/>
        <v>1034</v>
      </c>
    </row>
    <row r="368" spans="1:9">
      <c r="A368" t="s">
        <v>933</v>
      </c>
      <c r="B368" t="s">
        <v>214</v>
      </c>
      <c r="C368" t="s">
        <v>911</v>
      </c>
      <c r="D368">
        <v>9.7491865158081055</v>
      </c>
      <c r="E368">
        <v>18.523454666137695</v>
      </c>
      <c r="F368">
        <v>53</v>
      </c>
      <c r="G368">
        <f t="shared" si="10"/>
        <v>162.5452823638916</v>
      </c>
      <c r="H368">
        <f>IFERROR(3*VLOOKUP(B368,[1]beds_provinces_district!$B$2:$C$373,2,0),0)</f>
        <v>78</v>
      </c>
      <c r="I368">
        <f t="shared" si="11"/>
        <v>481</v>
      </c>
    </row>
    <row r="369" spans="1:9">
      <c r="A369" t="s">
        <v>934</v>
      </c>
      <c r="B369" t="s">
        <v>133</v>
      </c>
      <c r="C369" t="s">
        <v>935</v>
      </c>
      <c r="D369">
        <v>18.182765960693359</v>
      </c>
      <c r="E369">
        <v>38.764236450195313</v>
      </c>
      <c r="F369">
        <v>54</v>
      </c>
      <c r="G369">
        <f t="shared" si="10"/>
        <v>221.89400482177734</v>
      </c>
      <c r="H369">
        <f>IFERROR(3*VLOOKUP(B369,[1]beds_provinces_district!$B$2:$C$373,2,0),0)</f>
        <v>0</v>
      </c>
      <c r="I369">
        <f t="shared" si="11"/>
        <v>444</v>
      </c>
    </row>
    <row r="370" spans="1:9">
      <c r="A370" t="s">
        <v>936</v>
      </c>
      <c r="B370" t="s">
        <v>127</v>
      </c>
      <c r="C370" t="s">
        <v>935</v>
      </c>
      <c r="D370">
        <v>28.679529190063477</v>
      </c>
      <c r="E370">
        <v>61.142513275146484</v>
      </c>
      <c r="F370">
        <v>47</v>
      </c>
      <c r="G370">
        <f t="shared" si="10"/>
        <v>273.64408493041992</v>
      </c>
      <c r="H370">
        <f>IFERROR(3*VLOOKUP(B370,[1]beds_provinces_district!$B$2:$C$373,2,0),0)</f>
        <v>300</v>
      </c>
      <c r="I370">
        <f t="shared" si="11"/>
        <v>1147</v>
      </c>
    </row>
    <row r="371" spans="1:9">
      <c r="A371" t="s">
        <v>937</v>
      </c>
      <c r="B371" t="s">
        <v>129</v>
      </c>
      <c r="C371" t="s">
        <v>935</v>
      </c>
      <c r="D371">
        <v>29.8931884765625</v>
      </c>
      <c r="E371">
        <v>63.729942321777344</v>
      </c>
      <c r="F371">
        <v>62</v>
      </c>
      <c r="G371">
        <f t="shared" si="10"/>
        <v>311.24626159667969</v>
      </c>
      <c r="H371">
        <f>IFERROR(3*VLOOKUP(B371,[1]beds_provinces_district!$B$2:$C$373,2,0),0)</f>
        <v>216</v>
      </c>
      <c r="I371">
        <f t="shared" si="11"/>
        <v>1054</v>
      </c>
    </row>
    <row r="372" spans="1:9">
      <c r="A372" t="s">
        <v>938</v>
      </c>
      <c r="B372" t="s">
        <v>118</v>
      </c>
      <c r="C372" t="s">
        <v>935</v>
      </c>
      <c r="D372">
        <v>413.51913452148438</v>
      </c>
      <c r="E372">
        <v>881.59051513671875</v>
      </c>
      <c r="F372">
        <v>263</v>
      </c>
      <c r="G372">
        <f t="shared" si="10"/>
        <v>3116.2192993164063</v>
      </c>
      <c r="H372">
        <f>IFERROR(3*VLOOKUP(B372,[1]beds_provinces_district!$B$2:$C$373,2,0),0)</f>
        <v>7032</v>
      </c>
      <c r="I372">
        <f t="shared" si="11"/>
        <v>20296</v>
      </c>
    </row>
    <row r="373" spans="1:9">
      <c r="A373" t="s">
        <v>939</v>
      </c>
      <c r="B373" t="s">
        <v>131</v>
      </c>
      <c r="C373" t="s">
        <v>935</v>
      </c>
      <c r="D373">
        <v>7.3412680625915527</v>
      </c>
      <c r="E373">
        <v>15.521537780761719</v>
      </c>
      <c r="F373">
        <v>65</v>
      </c>
      <c r="G373">
        <f t="shared" si="10"/>
        <v>175.72561168670654</v>
      </c>
      <c r="H373">
        <f>IFERROR(3*VLOOKUP(B373,[1]beds_provinces_district!$B$2:$C$373,2,0),0)</f>
        <v>0</v>
      </c>
      <c r="I373">
        <f t="shared" si="11"/>
        <v>351</v>
      </c>
    </row>
    <row r="374" spans="1:9">
      <c r="A374" t="s">
        <v>940</v>
      </c>
      <c r="B374" t="s">
        <v>130</v>
      </c>
      <c r="C374" t="s">
        <v>935</v>
      </c>
      <c r="D374">
        <v>13.437246322631836</v>
      </c>
      <c r="E374">
        <v>28.647157669067383</v>
      </c>
      <c r="F374">
        <v>56</v>
      </c>
      <c r="G374">
        <f t="shared" si="10"/>
        <v>196.16880798339844</v>
      </c>
      <c r="H374">
        <f>IFERROR(3*VLOOKUP(B374,[1]beds_provinces_district!$B$2:$C$373,2,0),0)</f>
        <v>0</v>
      </c>
      <c r="I374">
        <f t="shared" si="11"/>
        <v>392</v>
      </c>
    </row>
    <row r="375" spans="1:9">
      <c r="A375" t="s">
        <v>941</v>
      </c>
      <c r="B375" t="s">
        <v>126</v>
      </c>
      <c r="C375" t="s">
        <v>935</v>
      </c>
      <c r="D375">
        <v>11.629301071166992</v>
      </c>
      <c r="E375">
        <v>24.587665557861328</v>
      </c>
      <c r="F375">
        <v>78</v>
      </c>
      <c r="G375">
        <f t="shared" si="10"/>
        <v>228.43393325805664</v>
      </c>
      <c r="H375">
        <f>IFERROR(3*VLOOKUP(B375,[1]beds_provinces_district!$B$2:$C$373,2,0),0)</f>
        <v>105</v>
      </c>
      <c r="I375">
        <f t="shared" si="11"/>
        <v>667</v>
      </c>
    </row>
    <row r="376" spans="1:9">
      <c r="A376" t="s">
        <v>942</v>
      </c>
      <c r="B376" t="s">
        <v>121</v>
      </c>
      <c r="C376" t="s">
        <v>935</v>
      </c>
      <c r="D376">
        <v>23.056480407714844</v>
      </c>
      <c r="E376">
        <v>49.154617309570313</v>
      </c>
      <c r="F376">
        <v>50</v>
      </c>
      <c r="G376">
        <f t="shared" si="10"/>
        <v>244.42219543457031</v>
      </c>
      <c r="H376">
        <f>IFERROR(3*VLOOKUP(B376,[1]beds_provinces_district!$B$2:$C$373,2,0),0)</f>
        <v>189</v>
      </c>
      <c r="I376">
        <f t="shared" si="11"/>
        <v>867</v>
      </c>
    </row>
    <row r="377" spans="1:9">
      <c r="A377" t="s">
        <v>943</v>
      </c>
      <c r="B377" t="s">
        <v>123</v>
      </c>
      <c r="C377" t="s">
        <v>935</v>
      </c>
      <c r="D377">
        <v>31.156448364257813</v>
      </c>
      <c r="E377">
        <v>66.423110961914063</v>
      </c>
      <c r="F377">
        <v>123</v>
      </c>
      <c r="G377">
        <f t="shared" si="10"/>
        <v>441.15911865234375</v>
      </c>
      <c r="H377">
        <f>IFERROR(3*VLOOKUP(B377,[1]beds_provinces_district!$B$2:$C$373,2,0),0)</f>
        <v>345</v>
      </c>
      <c r="I377">
        <f t="shared" si="11"/>
        <v>1572</v>
      </c>
    </row>
    <row r="378" spans="1:9">
      <c r="A378" t="s">
        <v>944</v>
      </c>
      <c r="B378" t="s">
        <v>125</v>
      </c>
      <c r="C378" t="s">
        <v>935</v>
      </c>
      <c r="D378">
        <v>29.078994750976563</v>
      </c>
      <c r="E378">
        <v>61.994144439697266</v>
      </c>
      <c r="F378">
        <v>61</v>
      </c>
      <c r="G378">
        <f t="shared" si="10"/>
        <v>304.14627838134766</v>
      </c>
      <c r="H378">
        <f>IFERROR(3*VLOOKUP(B378,[1]beds_provinces_district!$B$2:$C$373,2,0),0)</f>
        <v>225</v>
      </c>
      <c r="I378">
        <f t="shared" si="11"/>
        <v>1058</v>
      </c>
    </row>
    <row r="379" spans="1:9">
      <c r="A379" t="s">
        <v>945</v>
      </c>
      <c r="B379" t="s">
        <v>124</v>
      </c>
      <c r="C379" t="s">
        <v>935</v>
      </c>
      <c r="D379">
        <v>4.881462574005127</v>
      </c>
      <c r="E379">
        <v>10.320806503295898</v>
      </c>
      <c r="F379">
        <v>12</v>
      </c>
      <c r="G379">
        <f t="shared" si="10"/>
        <v>54.404538154602051</v>
      </c>
      <c r="H379">
        <f>IFERROR(3*VLOOKUP(B379,[1]beds_provinces_district!$B$2:$C$373,2,0),0)</f>
        <v>72</v>
      </c>
      <c r="I379">
        <f t="shared" si="11"/>
        <v>253</v>
      </c>
    </row>
    <row r="380" spans="1:9">
      <c r="A380" t="s">
        <v>946</v>
      </c>
      <c r="B380" t="s">
        <v>120</v>
      </c>
      <c r="C380" t="s">
        <v>935</v>
      </c>
      <c r="D380">
        <v>28.73838996887207</v>
      </c>
      <c r="E380">
        <v>60.76116943359375</v>
      </c>
      <c r="F380">
        <v>103</v>
      </c>
      <c r="G380">
        <f t="shared" si="10"/>
        <v>384.99911880493164</v>
      </c>
      <c r="H380">
        <f>IFERROR(3*VLOOKUP(B380,[1]beds_provinces_district!$B$2:$C$373,2,0),0)</f>
        <v>0</v>
      </c>
      <c r="I380">
        <f t="shared" si="11"/>
        <v>770</v>
      </c>
    </row>
    <row r="381" spans="1:9">
      <c r="A381" t="s">
        <v>947</v>
      </c>
      <c r="B381" t="s">
        <v>122</v>
      </c>
      <c r="C381" t="s">
        <v>935</v>
      </c>
      <c r="D381">
        <v>17.409578323364258</v>
      </c>
      <c r="E381">
        <v>36.808822631835938</v>
      </c>
      <c r="F381">
        <v>77</v>
      </c>
      <c r="G381">
        <f t="shared" si="10"/>
        <v>262.43680191040039</v>
      </c>
      <c r="H381">
        <f>IFERROR(3*VLOOKUP(B381,[1]beds_provinces_district!$B$2:$C$373,2,0),0)</f>
        <v>0</v>
      </c>
      <c r="I381">
        <f t="shared" si="11"/>
        <v>525</v>
      </c>
    </row>
    <row r="382" spans="1:9">
      <c r="A382" t="s">
        <v>948</v>
      </c>
      <c r="B382" t="s">
        <v>128</v>
      </c>
      <c r="C382" t="s">
        <v>935</v>
      </c>
      <c r="D382">
        <v>26.996200561523438</v>
      </c>
      <c r="E382">
        <v>57.553791046142578</v>
      </c>
      <c r="F382">
        <v>92</v>
      </c>
      <c r="G382">
        <f t="shared" si="10"/>
        <v>353.09998321533203</v>
      </c>
      <c r="H382">
        <f>IFERROR(3*VLOOKUP(B382,[1]beds_provinces_district!$B$2:$C$373,2,0),0)</f>
        <v>171</v>
      </c>
      <c r="I382">
        <f t="shared" si="11"/>
        <v>1048</v>
      </c>
    </row>
    <row r="383" spans="1:9">
      <c r="A383" t="s">
        <v>949</v>
      </c>
      <c r="B383" t="s">
        <v>342</v>
      </c>
      <c r="C383" t="s">
        <v>950</v>
      </c>
      <c r="D383">
        <v>47.6683349609375</v>
      </c>
      <c r="E383">
        <v>98.741554260253906</v>
      </c>
      <c r="F383">
        <v>61</v>
      </c>
      <c r="G383">
        <f t="shared" si="10"/>
        <v>414.81977844238281</v>
      </c>
      <c r="H383">
        <f>IFERROR(3*VLOOKUP(B383,[1]beds_provinces_district!$B$2:$C$373,2,0),0)</f>
        <v>756</v>
      </c>
      <c r="I383">
        <f t="shared" si="11"/>
        <v>2342</v>
      </c>
    </row>
    <row r="384" spans="1:9">
      <c r="A384" t="s">
        <v>951</v>
      </c>
      <c r="B384" t="s">
        <v>345</v>
      </c>
      <c r="C384" t="s">
        <v>950</v>
      </c>
      <c r="D384">
        <v>10.06078052520752</v>
      </c>
      <c r="E384">
        <v>20.121561050415039</v>
      </c>
      <c r="F384">
        <v>43</v>
      </c>
      <c r="G384">
        <f t="shared" si="10"/>
        <v>146.36468315124512</v>
      </c>
      <c r="H384">
        <f>IFERROR(3*VLOOKUP(B384,[1]beds_provinces_district!$B$2:$C$373,2,0),0)</f>
        <v>0</v>
      </c>
      <c r="I384">
        <f t="shared" si="11"/>
        <v>293</v>
      </c>
    </row>
    <row r="385" spans="1:9">
      <c r="A385" t="s">
        <v>952</v>
      </c>
      <c r="B385" t="s">
        <v>343</v>
      </c>
      <c r="C385" t="s">
        <v>950</v>
      </c>
      <c r="D385">
        <v>16.767002105712891</v>
      </c>
      <c r="E385">
        <v>44.153102874755859</v>
      </c>
      <c r="F385">
        <v>59</v>
      </c>
      <c r="G385">
        <f t="shared" si="10"/>
        <v>239.8402099609375</v>
      </c>
      <c r="H385">
        <f>IFERROR(3*VLOOKUP(B385,[1]beds_provinces_district!$B$2:$C$373,2,0),0)</f>
        <v>0</v>
      </c>
      <c r="I385">
        <f t="shared" si="11"/>
        <v>480</v>
      </c>
    </row>
    <row r="386" spans="1:9">
      <c r="A386" t="s">
        <v>953</v>
      </c>
      <c r="B386" t="s">
        <v>340</v>
      </c>
      <c r="C386" t="s">
        <v>950</v>
      </c>
      <c r="D386">
        <v>118.20146942138672</v>
      </c>
      <c r="E386">
        <v>311.26385498046875</v>
      </c>
      <c r="F386">
        <v>217</v>
      </c>
      <c r="G386">
        <f t="shared" si="10"/>
        <v>1292.9306488037109</v>
      </c>
      <c r="H386">
        <f>IFERROR(3*VLOOKUP(B386,[1]beds_provinces_district!$B$2:$C$373,2,0),0)</f>
        <v>0</v>
      </c>
      <c r="I386">
        <f t="shared" si="11"/>
        <v>2586</v>
      </c>
    </row>
    <row r="387" spans="1:9">
      <c r="A387" t="s">
        <v>954</v>
      </c>
      <c r="B387" t="s">
        <v>341</v>
      </c>
      <c r="C387" t="s">
        <v>950</v>
      </c>
      <c r="D387">
        <v>39.396999359130859</v>
      </c>
      <c r="E387">
        <v>78.793998718261719</v>
      </c>
      <c r="F387">
        <v>174</v>
      </c>
      <c r="G387">
        <f t="shared" ref="G387:G430" si="12">SUM(D387:F387)*2</f>
        <v>584.38199615478516</v>
      </c>
      <c r="H387">
        <f>IFERROR(3*VLOOKUP(B387,[1]beds_provinces_district!$B$2:$C$373,2,0),0)</f>
        <v>630</v>
      </c>
      <c r="I387">
        <f t="shared" ref="I387:I430" si="13">ROUND(SUM(G387:H387)*2,0)</f>
        <v>2429</v>
      </c>
    </row>
    <row r="388" spans="1:9">
      <c r="A388" t="s">
        <v>955</v>
      </c>
      <c r="B388" t="s">
        <v>346</v>
      </c>
      <c r="C388" t="s">
        <v>950</v>
      </c>
      <c r="D388">
        <v>8.3316640853881836</v>
      </c>
      <c r="E388">
        <v>17.258447647094727</v>
      </c>
      <c r="F388">
        <v>41</v>
      </c>
      <c r="G388">
        <f t="shared" si="12"/>
        <v>133.18022346496582</v>
      </c>
      <c r="H388">
        <f>IFERROR(3*VLOOKUP(B388,[1]beds_provinces_district!$B$2:$C$373,2,0),0)</f>
        <v>0</v>
      </c>
      <c r="I388">
        <f t="shared" si="13"/>
        <v>266</v>
      </c>
    </row>
    <row r="389" spans="1:9">
      <c r="A389" t="s">
        <v>956</v>
      </c>
      <c r="B389" t="s">
        <v>957</v>
      </c>
      <c r="C389" t="s">
        <v>950</v>
      </c>
      <c r="D389">
        <v>6.5422215461730957</v>
      </c>
      <c r="E389">
        <v>13.084443092346191</v>
      </c>
      <c r="F389">
        <v>56.074921790034239</v>
      </c>
      <c r="G389">
        <f t="shared" si="12"/>
        <v>151.40317285710705</v>
      </c>
      <c r="H389">
        <f>IFERROR(3*VLOOKUP(B389,[1]beds_provinces_district!$B$2:$C$373,2,0),0)</f>
        <v>0</v>
      </c>
      <c r="I389">
        <f t="shared" si="13"/>
        <v>303</v>
      </c>
    </row>
    <row r="390" spans="1:9">
      <c r="A390" t="s">
        <v>958</v>
      </c>
      <c r="B390" t="s">
        <v>344</v>
      </c>
      <c r="C390" t="s">
        <v>950</v>
      </c>
      <c r="D390">
        <v>15.031532287597656</v>
      </c>
      <c r="E390">
        <v>39.583034515380859</v>
      </c>
      <c r="F390">
        <v>62</v>
      </c>
      <c r="G390">
        <f t="shared" si="12"/>
        <v>233.22913360595703</v>
      </c>
      <c r="H390">
        <f>IFERROR(3*VLOOKUP(B390,[1]beds_provinces_district!$B$2:$C$373,2,0),0)</f>
        <v>0</v>
      </c>
      <c r="I390">
        <f t="shared" si="13"/>
        <v>466</v>
      </c>
    </row>
    <row r="391" spans="1:9">
      <c r="A391" t="s">
        <v>959</v>
      </c>
      <c r="B391" t="s">
        <v>443</v>
      </c>
      <c r="C391" t="s">
        <v>430</v>
      </c>
      <c r="D391">
        <v>127.54703599827695</v>
      </c>
      <c r="E391">
        <v>203.50248606022407</v>
      </c>
      <c r="F391">
        <v>71</v>
      </c>
      <c r="G391">
        <f t="shared" si="12"/>
        <v>804.09904411700199</v>
      </c>
      <c r="H391">
        <f>IFERROR(3*VLOOKUP(B391,[1]beds_provinces_district!$B$2:$C$373,2,0),0)</f>
        <v>0</v>
      </c>
      <c r="I391">
        <f t="shared" si="13"/>
        <v>1608</v>
      </c>
    </row>
    <row r="392" spans="1:9">
      <c r="A392" t="s">
        <v>960</v>
      </c>
      <c r="B392" t="s">
        <v>433</v>
      </c>
      <c r="C392" t="s">
        <v>430</v>
      </c>
      <c r="D392">
        <v>15.592245101928711</v>
      </c>
      <c r="E392">
        <v>41.937763214111328</v>
      </c>
      <c r="F392">
        <v>33</v>
      </c>
      <c r="G392">
        <f t="shared" si="12"/>
        <v>181.06001663208008</v>
      </c>
      <c r="H392">
        <f>IFERROR(3*VLOOKUP(B392,[1]beds_provinces_district!$B$2:$C$373,2,0),0)</f>
        <v>0</v>
      </c>
      <c r="I392">
        <f t="shared" si="13"/>
        <v>362</v>
      </c>
    </row>
    <row r="393" spans="1:9">
      <c r="A393" t="s">
        <v>961</v>
      </c>
      <c r="B393" t="s">
        <v>435</v>
      </c>
      <c r="C393" t="s">
        <v>430</v>
      </c>
      <c r="D393">
        <v>19</v>
      </c>
      <c r="E393">
        <v>44</v>
      </c>
      <c r="F393">
        <v>52</v>
      </c>
      <c r="G393">
        <f t="shared" si="12"/>
        <v>230</v>
      </c>
      <c r="H393">
        <f>IFERROR(3*VLOOKUP(B393,[1]beds_provinces_district!$B$2:$C$373,2,0),0)</f>
        <v>0</v>
      </c>
      <c r="I393">
        <f t="shared" si="13"/>
        <v>460</v>
      </c>
    </row>
    <row r="394" spans="1:9">
      <c r="A394" t="s">
        <v>962</v>
      </c>
      <c r="B394" t="s">
        <v>439</v>
      </c>
      <c r="C394" t="s">
        <v>430</v>
      </c>
      <c r="D394">
        <v>93.066375732421875</v>
      </c>
      <c r="E394">
        <v>151.936279296875</v>
      </c>
      <c r="F394">
        <v>116</v>
      </c>
      <c r="G394">
        <f t="shared" si="12"/>
        <v>722.00531005859375</v>
      </c>
      <c r="H394">
        <f>IFERROR(3*VLOOKUP(B394,[1]beds_provinces_district!$B$2:$C$373,2,0),0)</f>
        <v>369</v>
      </c>
      <c r="I394">
        <f t="shared" si="13"/>
        <v>2182</v>
      </c>
    </row>
    <row r="395" spans="1:9">
      <c r="A395" t="s">
        <v>963</v>
      </c>
      <c r="B395" t="s">
        <v>442</v>
      </c>
      <c r="C395" t="s">
        <v>430</v>
      </c>
      <c r="D395">
        <v>29.830617904663086</v>
      </c>
      <c r="E395">
        <v>46.367156982421875</v>
      </c>
      <c r="F395">
        <v>94</v>
      </c>
      <c r="G395">
        <f t="shared" si="12"/>
        <v>340.39554977416992</v>
      </c>
      <c r="H395">
        <f>IFERROR(3*VLOOKUP(B395,[1]beds_provinces_district!$B$2:$C$373,2,0),0)</f>
        <v>108</v>
      </c>
      <c r="I395">
        <f t="shared" si="13"/>
        <v>897</v>
      </c>
    </row>
    <row r="396" spans="1:9">
      <c r="A396" t="s">
        <v>964</v>
      </c>
      <c r="B396" t="s">
        <v>436</v>
      </c>
      <c r="C396" t="s">
        <v>430</v>
      </c>
      <c r="D396">
        <v>336.93362426757813</v>
      </c>
      <c r="E396">
        <v>550.063720703125</v>
      </c>
      <c r="F396">
        <v>200</v>
      </c>
      <c r="G396">
        <f t="shared" si="12"/>
        <v>2173.9946899414063</v>
      </c>
      <c r="H396">
        <f>IFERROR(3*VLOOKUP(B396,[1]beds_provinces_district!$B$2:$C$373,2,0),0)</f>
        <v>3591</v>
      </c>
      <c r="I396">
        <f t="shared" si="13"/>
        <v>11530</v>
      </c>
    </row>
    <row r="397" spans="1:9">
      <c r="A397" t="s">
        <v>965</v>
      </c>
      <c r="B397" t="s">
        <v>432</v>
      </c>
      <c r="C397" t="s">
        <v>430</v>
      </c>
      <c r="D397">
        <v>20</v>
      </c>
      <c r="E397">
        <v>40</v>
      </c>
      <c r="F397">
        <v>39</v>
      </c>
      <c r="G397">
        <f t="shared" si="12"/>
        <v>198</v>
      </c>
      <c r="H397">
        <f>IFERROR(3*VLOOKUP(B397,[1]beds_provinces_district!$B$2:$C$373,2,0),0)</f>
        <v>276</v>
      </c>
      <c r="I397">
        <f t="shared" si="13"/>
        <v>948</v>
      </c>
    </row>
    <row r="398" spans="1:9">
      <c r="A398" t="s">
        <v>966</v>
      </c>
      <c r="B398" t="s">
        <v>437</v>
      </c>
      <c r="C398" t="s">
        <v>430</v>
      </c>
      <c r="D398">
        <v>120.67334747314453</v>
      </c>
      <c r="E398">
        <v>187.56834411621094</v>
      </c>
      <c r="F398">
        <v>237</v>
      </c>
      <c r="G398">
        <f t="shared" si="12"/>
        <v>1090.4833831787109</v>
      </c>
      <c r="H398">
        <f>IFERROR(3*VLOOKUP(B398,[1]beds_provinces_district!$B$2:$C$373,2,0),0)</f>
        <v>0</v>
      </c>
      <c r="I398">
        <f t="shared" si="13"/>
        <v>2181</v>
      </c>
    </row>
    <row r="399" spans="1:9">
      <c r="A399" t="s">
        <v>967</v>
      </c>
      <c r="B399" t="s">
        <v>440</v>
      </c>
      <c r="C399" t="s">
        <v>430</v>
      </c>
      <c r="D399">
        <v>153.93125733916335</v>
      </c>
      <c r="E399">
        <v>249.87516419123614</v>
      </c>
      <c r="F399">
        <v>99</v>
      </c>
      <c r="G399">
        <f t="shared" si="12"/>
        <v>1005.6128430607989</v>
      </c>
      <c r="H399">
        <f>IFERROR(3*VLOOKUP(B399,[1]beds_provinces_district!$B$2:$C$373,2,0),0)</f>
        <v>489</v>
      </c>
      <c r="I399">
        <f t="shared" si="13"/>
        <v>2989</v>
      </c>
    </row>
    <row r="400" spans="1:9">
      <c r="A400" t="s">
        <v>968</v>
      </c>
      <c r="B400" t="s">
        <v>444</v>
      </c>
      <c r="C400" t="s">
        <v>430</v>
      </c>
      <c r="D400">
        <v>13.407754898071289</v>
      </c>
      <c r="E400">
        <v>36.062236785888672</v>
      </c>
      <c r="F400">
        <v>51</v>
      </c>
      <c r="G400">
        <f t="shared" si="12"/>
        <v>200.93998336791992</v>
      </c>
      <c r="H400">
        <f>IFERROR(3*VLOOKUP(B400,[1]beds_provinces_district!$B$2:$C$373,2,0),0)</f>
        <v>0</v>
      </c>
      <c r="I400">
        <f t="shared" si="13"/>
        <v>402</v>
      </c>
    </row>
    <row r="401" spans="1:9">
      <c r="A401" t="s">
        <v>969</v>
      </c>
      <c r="B401" t="s">
        <v>434</v>
      </c>
      <c r="C401" t="s">
        <v>430</v>
      </c>
      <c r="D401">
        <v>33</v>
      </c>
      <c r="E401">
        <v>83</v>
      </c>
      <c r="F401">
        <v>120</v>
      </c>
      <c r="G401">
        <f t="shared" si="12"/>
        <v>472</v>
      </c>
      <c r="H401">
        <f>IFERROR(3*VLOOKUP(B401,[1]beds_provinces_district!$B$2:$C$373,2,0),0)</f>
        <v>0</v>
      </c>
      <c r="I401">
        <f t="shared" si="13"/>
        <v>944</v>
      </c>
    </row>
    <row r="402" spans="1:9">
      <c r="A402" t="s">
        <v>970</v>
      </c>
      <c r="B402" t="s">
        <v>441</v>
      </c>
      <c r="C402" t="s">
        <v>430</v>
      </c>
      <c r="D402">
        <v>33.496036529541016</v>
      </c>
      <c r="E402">
        <v>52.064491271972656</v>
      </c>
      <c r="F402">
        <v>75</v>
      </c>
      <c r="G402">
        <f t="shared" si="12"/>
        <v>321.12105560302734</v>
      </c>
      <c r="H402">
        <f>IFERROR(3*VLOOKUP(B402,[1]beds_provinces_district!$B$2:$C$373,2,0),0)</f>
        <v>168</v>
      </c>
      <c r="I402">
        <f t="shared" si="13"/>
        <v>978</v>
      </c>
    </row>
    <row r="403" spans="1:9">
      <c r="A403" t="s">
        <v>971</v>
      </c>
      <c r="B403" t="s">
        <v>438</v>
      </c>
      <c r="C403" t="s">
        <v>430</v>
      </c>
      <c r="D403">
        <v>25.586349487304688</v>
      </c>
      <c r="E403">
        <v>71.315147399902344</v>
      </c>
      <c r="F403">
        <v>71</v>
      </c>
      <c r="G403">
        <f t="shared" si="12"/>
        <v>335.80299377441406</v>
      </c>
      <c r="H403">
        <f>IFERROR(3*VLOOKUP(B403,[1]beds_provinces_district!$B$2:$C$373,2,0),0)</f>
        <v>396</v>
      </c>
      <c r="I403">
        <f t="shared" si="13"/>
        <v>1464</v>
      </c>
    </row>
    <row r="404" spans="1:9">
      <c r="A404" t="s">
        <v>972</v>
      </c>
      <c r="B404" t="s">
        <v>446</v>
      </c>
      <c r="C404" t="s">
        <v>430</v>
      </c>
      <c r="D404">
        <v>21.413650512695313</v>
      </c>
      <c r="E404">
        <v>59.684852600097656</v>
      </c>
      <c r="F404">
        <v>60</v>
      </c>
      <c r="G404">
        <f t="shared" si="12"/>
        <v>282.19700622558594</v>
      </c>
      <c r="H404">
        <f>IFERROR(3*VLOOKUP(B404,[1]beds_provinces_district!$B$2:$C$373,2,0),0)</f>
        <v>0</v>
      </c>
      <c r="I404">
        <f t="shared" si="13"/>
        <v>564</v>
      </c>
    </row>
    <row r="405" spans="1:9">
      <c r="A405" t="s">
        <v>973</v>
      </c>
      <c r="B405" t="s">
        <v>48</v>
      </c>
      <c r="C405" t="s">
        <v>974</v>
      </c>
      <c r="D405">
        <v>30.965356826782227</v>
      </c>
      <c r="E405">
        <v>66.15325927734375</v>
      </c>
      <c r="F405">
        <v>132</v>
      </c>
      <c r="G405">
        <f t="shared" si="12"/>
        <v>458.23723220825195</v>
      </c>
      <c r="H405">
        <f>IFERROR(3*VLOOKUP(B405,[1]beds_provinces_district!$B$2:$C$373,2,0),0)</f>
        <v>0</v>
      </c>
      <c r="I405">
        <f t="shared" si="13"/>
        <v>916</v>
      </c>
    </row>
    <row r="406" spans="1:9">
      <c r="A406" t="s">
        <v>975</v>
      </c>
      <c r="B406" t="s">
        <v>50</v>
      </c>
      <c r="C406" t="s">
        <v>974</v>
      </c>
      <c r="D406">
        <v>54</v>
      </c>
      <c r="E406">
        <v>126</v>
      </c>
      <c r="F406">
        <v>98</v>
      </c>
      <c r="G406">
        <f t="shared" si="12"/>
        <v>556</v>
      </c>
      <c r="H406">
        <f>IFERROR(3*VLOOKUP(B406,[1]beds_provinces_district!$B$2:$C$373,2,0),0)</f>
        <v>315</v>
      </c>
      <c r="I406">
        <f t="shared" si="13"/>
        <v>1742</v>
      </c>
    </row>
    <row r="407" spans="1:9">
      <c r="A407" t="s">
        <v>976</v>
      </c>
      <c r="B407" t="s">
        <v>49</v>
      </c>
      <c r="C407" t="s">
        <v>974</v>
      </c>
      <c r="D407">
        <v>13.858846664428711</v>
      </c>
      <c r="E407">
        <v>52.285648345947266</v>
      </c>
      <c r="F407">
        <v>115</v>
      </c>
      <c r="G407">
        <f t="shared" si="12"/>
        <v>362.28899002075195</v>
      </c>
      <c r="H407">
        <f>IFERROR(3*VLOOKUP(B407,[1]beds_provinces_district!$B$2:$C$373,2,0),0)</f>
        <v>186</v>
      </c>
      <c r="I407">
        <f t="shared" si="13"/>
        <v>1097</v>
      </c>
    </row>
    <row r="408" spans="1:9">
      <c r="A408" t="s">
        <v>977</v>
      </c>
      <c r="B408" t="s">
        <v>55</v>
      </c>
      <c r="C408" t="s">
        <v>974</v>
      </c>
      <c r="D408">
        <v>30.437980651855469</v>
      </c>
      <c r="E408">
        <v>61.094936370849609</v>
      </c>
      <c r="F408">
        <v>83</v>
      </c>
      <c r="G408">
        <f t="shared" si="12"/>
        <v>349.06583404541016</v>
      </c>
      <c r="H408">
        <f>IFERROR(3*VLOOKUP(B408,[1]beds_provinces_district!$B$2:$C$373,2,0),0)</f>
        <v>48</v>
      </c>
      <c r="I408">
        <f t="shared" si="13"/>
        <v>794</v>
      </c>
    </row>
    <row r="409" spans="1:9">
      <c r="A409" t="s">
        <v>978</v>
      </c>
      <c r="B409" t="s">
        <v>42</v>
      </c>
      <c r="C409" t="s">
        <v>974</v>
      </c>
      <c r="D409">
        <v>24</v>
      </c>
      <c r="E409">
        <v>61</v>
      </c>
      <c r="F409">
        <v>92</v>
      </c>
      <c r="G409">
        <f t="shared" si="12"/>
        <v>354</v>
      </c>
      <c r="H409">
        <f>IFERROR(3*VLOOKUP(B409,[1]beds_provinces_district!$B$2:$C$373,2,0),0)</f>
        <v>0</v>
      </c>
      <c r="I409">
        <f t="shared" si="13"/>
        <v>708</v>
      </c>
    </row>
    <row r="410" spans="1:9">
      <c r="A410" t="s">
        <v>979</v>
      </c>
      <c r="B410" t="s">
        <v>51</v>
      </c>
      <c r="C410" t="s">
        <v>974</v>
      </c>
      <c r="D410">
        <v>108.56201934814453</v>
      </c>
      <c r="E410">
        <v>217.90505981445313</v>
      </c>
      <c r="F410">
        <v>139</v>
      </c>
      <c r="G410">
        <f t="shared" si="12"/>
        <v>930.93415832519531</v>
      </c>
      <c r="H410">
        <f>IFERROR(3*VLOOKUP(B410,[1]beds_provinces_district!$B$2:$C$373,2,0),0)</f>
        <v>1089</v>
      </c>
      <c r="I410">
        <f t="shared" si="13"/>
        <v>4040</v>
      </c>
    </row>
    <row r="411" spans="1:9">
      <c r="A411" t="s">
        <v>980</v>
      </c>
      <c r="B411" t="s">
        <v>981</v>
      </c>
      <c r="C411" t="s">
        <v>974</v>
      </c>
      <c r="D411">
        <v>43.762210845947266</v>
      </c>
      <c r="E411">
        <v>110.51812744140625</v>
      </c>
      <c r="F411">
        <v>194</v>
      </c>
      <c r="G411">
        <f t="shared" si="12"/>
        <v>696.56067657470703</v>
      </c>
      <c r="H411">
        <f>IFERROR(3*VLOOKUP(B411,[1]beds_provinces_district!$B$2:$C$373,2,0),0)</f>
        <v>462</v>
      </c>
      <c r="I411">
        <f t="shared" si="13"/>
        <v>2317</v>
      </c>
    </row>
    <row r="412" spans="1:9">
      <c r="A412" t="s">
        <v>982</v>
      </c>
      <c r="B412" t="s">
        <v>53</v>
      </c>
      <c r="C412" t="s">
        <v>974</v>
      </c>
      <c r="D412">
        <v>14.05882740020752</v>
      </c>
      <c r="E412">
        <v>35.147068023681641</v>
      </c>
      <c r="F412">
        <v>57</v>
      </c>
      <c r="G412">
        <f t="shared" si="12"/>
        <v>212.41179084777832</v>
      </c>
      <c r="H412">
        <f>IFERROR(3*VLOOKUP(B412,[1]beds_provinces_district!$B$2:$C$373,2,0),0)</f>
        <v>39</v>
      </c>
      <c r="I412">
        <f t="shared" si="13"/>
        <v>503</v>
      </c>
    </row>
    <row r="413" spans="1:9">
      <c r="A413" t="s">
        <v>983</v>
      </c>
      <c r="B413" t="s">
        <v>47</v>
      </c>
      <c r="C413" t="s">
        <v>974</v>
      </c>
      <c r="D413">
        <v>47.941173553466797</v>
      </c>
      <c r="E413">
        <v>119.85292816162109</v>
      </c>
      <c r="F413">
        <v>138</v>
      </c>
      <c r="G413">
        <f t="shared" si="12"/>
        <v>611.58820343017578</v>
      </c>
      <c r="H413">
        <f>IFERROR(3*VLOOKUP(B413,[1]beds_provinces_district!$B$2:$C$373,2,0),0)</f>
        <v>354</v>
      </c>
      <c r="I413">
        <f t="shared" si="13"/>
        <v>1931</v>
      </c>
    </row>
    <row r="414" spans="1:9">
      <c r="A414" t="s">
        <v>984</v>
      </c>
      <c r="B414" t="s">
        <v>43</v>
      </c>
      <c r="C414" t="s">
        <v>974</v>
      </c>
      <c r="D414">
        <v>81</v>
      </c>
      <c r="E414">
        <v>133</v>
      </c>
      <c r="F414">
        <v>37</v>
      </c>
      <c r="G414">
        <f t="shared" si="12"/>
        <v>502</v>
      </c>
      <c r="H414">
        <f>IFERROR(3*VLOOKUP(B414,[1]beds_provinces_district!$B$2:$C$373,2,0),0)</f>
        <v>399</v>
      </c>
      <c r="I414">
        <f t="shared" si="13"/>
        <v>1802</v>
      </c>
    </row>
    <row r="415" spans="1:9">
      <c r="A415" t="s">
        <v>985</v>
      </c>
      <c r="B415" t="s">
        <v>45</v>
      </c>
      <c r="C415" t="s">
        <v>974</v>
      </c>
      <c r="D415">
        <v>853</v>
      </c>
      <c r="E415">
        <v>1368</v>
      </c>
      <c r="F415">
        <v>394</v>
      </c>
      <c r="G415">
        <f t="shared" si="12"/>
        <v>5230</v>
      </c>
      <c r="H415">
        <f>IFERROR(3*VLOOKUP(B415,[1]beds_provinces_district!$B$2:$C$373,2,0),0)</f>
        <v>7224</v>
      </c>
      <c r="I415">
        <f t="shared" si="13"/>
        <v>24908</v>
      </c>
    </row>
    <row r="416" spans="1:9">
      <c r="A416" t="s">
        <v>986</v>
      </c>
      <c r="B416" t="s">
        <v>46</v>
      </c>
      <c r="C416" t="s">
        <v>974</v>
      </c>
      <c r="D416">
        <v>37</v>
      </c>
      <c r="E416">
        <v>51</v>
      </c>
      <c r="F416">
        <v>116</v>
      </c>
      <c r="G416">
        <f t="shared" si="12"/>
        <v>408</v>
      </c>
      <c r="H416">
        <f>IFERROR(3*VLOOKUP(B416,[1]beds_provinces_district!$B$2:$C$373,2,0),0)</f>
        <v>333</v>
      </c>
      <c r="I416">
        <f t="shared" si="13"/>
        <v>1482</v>
      </c>
    </row>
    <row r="417" spans="1:9">
      <c r="A417" t="s">
        <v>987</v>
      </c>
      <c r="B417" t="s">
        <v>41</v>
      </c>
      <c r="C417" t="s">
        <v>974</v>
      </c>
      <c r="D417">
        <v>23</v>
      </c>
      <c r="E417">
        <v>49</v>
      </c>
      <c r="F417">
        <v>56</v>
      </c>
      <c r="G417">
        <f t="shared" si="12"/>
        <v>256</v>
      </c>
      <c r="H417">
        <f>IFERROR(3*VLOOKUP(B417,[1]beds_provinces_district!$B$2:$C$373,2,0),0)</f>
        <v>336</v>
      </c>
      <c r="I417">
        <f t="shared" si="13"/>
        <v>1184</v>
      </c>
    </row>
    <row r="418" spans="1:9">
      <c r="A418" t="s">
        <v>988</v>
      </c>
      <c r="B418" t="s">
        <v>54</v>
      </c>
      <c r="C418" t="s">
        <v>974</v>
      </c>
      <c r="D418">
        <v>15.237788200378418</v>
      </c>
      <c r="E418">
        <v>38.48187255859375</v>
      </c>
      <c r="F418">
        <v>70</v>
      </c>
      <c r="G418">
        <f t="shared" si="12"/>
        <v>247.43932151794434</v>
      </c>
      <c r="H418">
        <f>IFERROR(3*VLOOKUP(B418,[1]beds_provinces_district!$B$2:$C$373,2,0),0)</f>
        <v>24</v>
      </c>
      <c r="I418">
        <f t="shared" si="13"/>
        <v>543</v>
      </c>
    </row>
    <row r="419" spans="1:9">
      <c r="A419" t="s">
        <v>989</v>
      </c>
      <c r="B419" t="s">
        <v>52</v>
      </c>
      <c r="C419" t="s">
        <v>974</v>
      </c>
      <c r="D419">
        <v>8.1411533355712891</v>
      </c>
      <c r="E419">
        <v>30.714349746704102</v>
      </c>
      <c r="F419">
        <v>96</v>
      </c>
      <c r="G419">
        <f t="shared" si="12"/>
        <v>269.71100616455078</v>
      </c>
      <c r="H419">
        <f>IFERROR(3*VLOOKUP(B419,[1]beds_provinces_district!$B$2:$C$373,2,0),0)</f>
        <v>63</v>
      </c>
      <c r="I419">
        <f t="shared" si="13"/>
        <v>665</v>
      </c>
    </row>
    <row r="420" spans="1:9">
      <c r="A420" t="s">
        <v>990</v>
      </c>
      <c r="B420" t="s">
        <v>57</v>
      </c>
      <c r="C420" t="s">
        <v>974</v>
      </c>
      <c r="D420">
        <v>13.03464412689209</v>
      </c>
      <c r="E420">
        <v>27.846738815307617</v>
      </c>
      <c r="F420">
        <v>45</v>
      </c>
      <c r="G420">
        <f t="shared" si="12"/>
        <v>171.76276588439941</v>
      </c>
      <c r="H420">
        <f>IFERROR(3*VLOOKUP(B420,[1]beds_provinces_district!$B$2:$C$373,2,0),0)</f>
        <v>78</v>
      </c>
      <c r="I420">
        <f t="shared" si="13"/>
        <v>500</v>
      </c>
    </row>
    <row r="421" spans="1:9">
      <c r="A421" t="s">
        <v>991</v>
      </c>
      <c r="B421" t="s">
        <v>376</v>
      </c>
      <c r="C421" t="s">
        <v>992</v>
      </c>
      <c r="D421">
        <v>32.262947082519531</v>
      </c>
      <c r="E421">
        <v>75.658500671386719</v>
      </c>
      <c r="F421">
        <v>15</v>
      </c>
      <c r="G421">
        <f t="shared" si="12"/>
        <v>245.8428955078125</v>
      </c>
      <c r="H421">
        <f>IFERROR(3*VLOOKUP(B421,[1]beds_provinces_district!$B$2:$C$373,2,0),0)</f>
        <v>165</v>
      </c>
      <c r="I421">
        <f t="shared" si="13"/>
        <v>822</v>
      </c>
    </row>
    <row r="422" spans="1:9">
      <c r="A422" t="s">
        <v>993</v>
      </c>
      <c r="B422" t="s">
        <v>382</v>
      </c>
      <c r="C422" t="s">
        <v>992</v>
      </c>
      <c r="D422">
        <v>23.199880599975586</v>
      </c>
      <c r="E422">
        <v>54.405078887939453</v>
      </c>
      <c r="F422">
        <v>28</v>
      </c>
      <c r="G422">
        <f t="shared" si="12"/>
        <v>211.20991897583008</v>
      </c>
      <c r="H422">
        <f>IFERROR(3*VLOOKUP(B422,[1]beds_provinces_district!$B$2:$C$373,2,0),0)</f>
        <v>219</v>
      </c>
      <c r="I422">
        <f t="shared" si="13"/>
        <v>860</v>
      </c>
    </row>
    <row r="423" spans="1:9">
      <c r="A423" t="s">
        <v>994</v>
      </c>
      <c r="B423" t="s">
        <v>384</v>
      </c>
      <c r="C423" t="s">
        <v>992</v>
      </c>
      <c r="D423">
        <v>10.927332878112793</v>
      </c>
      <c r="E423">
        <v>25.625234603881836</v>
      </c>
      <c r="F423">
        <v>19</v>
      </c>
      <c r="G423">
        <f t="shared" si="12"/>
        <v>111.10513496398926</v>
      </c>
      <c r="H423">
        <f>IFERROR(3*VLOOKUP(B423,[1]beds_provinces_district!$B$2:$C$373,2,0),0)</f>
        <v>102</v>
      </c>
      <c r="I423">
        <f t="shared" si="13"/>
        <v>426</v>
      </c>
    </row>
    <row r="424" spans="1:9">
      <c r="A424" t="s">
        <v>995</v>
      </c>
      <c r="B424" t="s">
        <v>378</v>
      </c>
      <c r="C424" t="s">
        <v>992</v>
      </c>
      <c r="D424">
        <v>32.826416015625</v>
      </c>
      <c r="E424">
        <v>76.979866027832031</v>
      </c>
      <c r="F424">
        <v>40</v>
      </c>
      <c r="G424">
        <f t="shared" si="12"/>
        <v>299.61256408691406</v>
      </c>
      <c r="H424">
        <f>IFERROR(3*VLOOKUP(B424,[1]beds_provinces_district!$B$2:$C$373,2,0),0)</f>
        <v>438</v>
      </c>
      <c r="I424">
        <f t="shared" si="13"/>
        <v>1475</v>
      </c>
    </row>
    <row r="425" spans="1:9">
      <c r="A425" t="s">
        <v>996</v>
      </c>
      <c r="B425" t="s">
        <v>375</v>
      </c>
      <c r="C425" t="s">
        <v>992</v>
      </c>
      <c r="D425">
        <v>26</v>
      </c>
      <c r="E425">
        <v>83</v>
      </c>
      <c r="F425">
        <v>22</v>
      </c>
      <c r="G425">
        <f t="shared" si="12"/>
        <v>262</v>
      </c>
      <c r="H425">
        <f>IFERROR(3*VLOOKUP(B425,[1]beds_provinces_district!$B$2:$C$373,2,0),0)</f>
        <v>537</v>
      </c>
      <c r="I425">
        <f t="shared" si="13"/>
        <v>1598</v>
      </c>
    </row>
    <row r="426" spans="1:9">
      <c r="A426" t="s">
        <v>997</v>
      </c>
      <c r="B426" t="s">
        <v>379</v>
      </c>
      <c r="C426" t="s">
        <v>992</v>
      </c>
      <c r="D426">
        <v>35</v>
      </c>
      <c r="E426">
        <v>118</v>
      </c>
      <c r="F426">
        <v>15</v>
      </c>
      <c r="G426">
        <f t="shared" si="12"/>
        <v>336</v>
      </c>
      <c r="H426">
        <f>IFERROR(3*VLOOKUP(B426,[1]beds_provinces_district!$B$2:$C$373,2,0),0)</f>
        <v>531</v>
      </c>
      <c r="I426">
        <f t="shared" si="13"/>
        <v>1734</v>
      </c>
    </row>
    <row r="427" spans="1:9">
      <c r="A427" t="s">
        <v>998</v>
      </c>
      <c r="B427" t="s">
        <v>999</v>
      </c>
      <c r="C427" t="s">
        <v>992</v>
      </c>
      <c r="D427">
        <v>20.664276123046875</v>
      </c>
      <c r="E427">
        <v>48.458938598632813</v>
      </c>
      <c r="F427">
        <v>26</v>
      </c>
      <c r="G427">
        <f t="shared" si="12"/>
        <v>190.24642944335938</v>
      </c>
      <c r="H427">
        <f>IFERROR(3*VLOOKUP(B427,[1]beds_provinces_district!$B$2:$C$373,2,0),0)</f>
        <v>0</v>
      </c>
      <c r="I427">
        <f t="shared" si="13"/>
        <v>380</v>
      </c>
    </row>
    <row r="428" spans="1:9">
      <c r="A428" t="s">
        <v>1000</v>
      </c>
      <c r="B428" t="s">
        <v>380</v>
      </c>
      <c r="C428" t="s">
        <v>992</v>
      </c>
      <c r="D428">
        <v>32.711563110351563</v>
      </c>
      <c r="E428">
        <v>76.710533142089844</v>
      </c>
      <c r="F428">
        <v>33</v>
      </c>
      <c r="G428">
        <f t="shared" si="12"/>
        <v>284.84419250488281</v>
      </c>
      <c r="H428">
        <f>IFERROR(3*VLOOKUP(B428,[1]beds_provinces_district!$B$2:$C$373,2,0),0)</f>
        <v>189</v>
      </c>
      <c r="I428">
        <f t="shared" si="13"/>
        <v>948</v>
      </c>
    </row>
    <row r="429" spans="1:9">
      <c r="A429" t="s">
        <v>1001</v>
      </c>
      <c r="B429" t="s">
        <v>373</v>
      </c>
      <c r="C429" t="s">
        <v>992</v>
      </c>
      <c r="D429">
        <v>416.55593872070313</v>
      </c>
      <c r="E429">
        <v>976.84808349609375</v>
      </c>
      <c r="F429">
        <v>31</v>
      </c>
      <c r="G429">
        <f t="shared" si="12"/>
        <v>2848.8080444335938</v>
      </c>
      <c r="H429">
        <f>IFERROR(3*VLOOKUP(B429,[1]beds_provinces_district!$B$2:$C$373,2,0),0)</f>
        <v>6186</v>
      </c>
      <c r="I429">
        <f t="shared" si="13"/>
        <v>18070</v>
      </c>
    </row>
    <row r="430" spans="1:9">
      <c r="A430" t="s">
        <v>1002</v>
      </c>
      <c r="B430" t="s">
        <v>377</v>
      </c>
      <c r="C430" t="s">
        <v>992</v>
      </c>
      <c r="D430">
        <v>27.851657867431641</v>
      </c>
      <c r="E430">
        <v>65.313774108886719</v>
      </c>
      <c r="F430">
        <v>75</v>
      </c>
      <c r="G430">
        <f t="shared" si="12"/>
        <v>336.33086395263672</v>
      </c>
      <c r="H430">
        <f>IFERROR(3*VLOOKUP(B430,[1]beds_provinces_district!$B$2:$C$373,2,0),0)</f>
        <v>675</v>
      </c>
      <c r="I430">
        <f t="shared" si="13"/>
        <v>2023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J3862"/>
  <sheetViews>
    <sheetView zoomScale="70" zoomScaleNormal="70" workbookViewId="0">
      <selection activeCell="G3862" sqref="B2:G3862"/>
    </sheetView>
  </sheetViews>
  <sheetFormatPr defaultRowHeight="15"/>
  <sheetData>
    <row r="1" spans="1:10">
      <c r="B1" t="s">
        <v>17</v>
      </c>
      <c r="C1" t="s">
        <v>6</v>
      </c>
      <c r="D1" t="s">
        <v>1004</v>
      </c>
      <c r="E1" t="s">
        <v>1005</v>
      </c>
      <c r="F1" t="s">
        <v>1006</v>
      </c>
      <c r="G1" t="s">
        <v>1007</v>
      </c>
      <c r="J1" t="s">
        <v>28</v>
      </c>
    </row>
    <row r="2" spans="1:10">
      <c r="A2" t="str">
        <f t="shared" ref="A2:A65" si="0">B2&amp;C2</f>
        <v>مركزئاراك</v>
      </c>
      <c r="B2" s="12" t="s">
        <v>27</v>
      </c>
      <c r="C2" s="12" t="s">
        <v>28</v>
      </c>
      <c r="D2" s="12" t="s">
        <v>480</v>
      </c>
      <c r="E2" s="12">
        <v>0.38442950690545963</v>
      </c>
      <c r="F2" s="12">
        <v>599236</v>
      </c>
      <c r="G2">
        <f>IFERROR(ROUND(F2*E2,0),0)</f>
        <v>230364</v>
      </c>
      <c r="H2" s="16" t="s">
        <v>855</v>
      </c>
      <c r="J2" t="s">
        <v>29</v>
      </c>
    </row>
    <row r="3" spans="1:10">
      <c r="A3" t="str">
        <f t="shared" si="0"/>
        <v>مركزئاراك</v>
      </c>
      <c r="B3" s="12" t="s">
        <v>27</v>
      </c>
      <c r="C3" s="12" t="s">
        <v>28</v>
      </c>
      <c r="D3" s="12" t="s">
        <v>479</v>
      </c>
      <c r="E3" s="12">
        <v>0.42409668310982651</v>
      </c>
      <c r="F3" s="12">
        <v>599236</v>
      </c>
      <c r="G3">
        <f t="shared" ref="G3:G66" si="1">IFERROR(ROUND(F3*E3,0),0)</f>
        <v>254134</v>
      </c>
      <c r="H3" s="16" t="s">
        <v>855</v>
      </c>
      <c r="J3" t="s">
        <v>30</v>
      </c>
    </row>
    <row r="4" spans="1:10">
      <c r="A4" t="str">
        <f t="shared" si="0"/>
        <v>مركزئاراك</v>
      </c>
      <c r="B4" s="12" t="s">
        <v>27</v>
      </c>
      <c r="C4" s="12" t="s">
        <v>28</v>
      </c>
      <c r="D4" s="12" t="s">
        <v>22</v>
      </c>
      <c r="E4" s="12">
        <v>0.11318578990581341</v>
      </c>
      <c r="F4" s="12">
        <v>599236</v>
      </c>
      <c r="G4">
        <f t="shared" si="1"/>
        <v>67825</v>
      </c>
      <c r="H4" s="16" t="s">
        <v>855</v>
      </c>
      <c r="J4" t="s">
        <v>31</v>
      </c>
    </row>
    <row r="5" spans="1:10">
      <c r="A5" t="str">
        <f t="shared" si="0"/>
        <v>مركزئاراك</v>
      </c>
      <c r="B5" s="12" t="s">
        <v>27</v>
      </c>
      <c r="C5" s="12" t="s">
        <v>28</v>
      </c>
      <c r="D5" s="12" t="s">
        <v>478</v>
      </c>
      <c r="E5" s="12">
        <v>4.110066818415449E-2</v>
      </c>
      <c r="F5" s="12">
        <v>599236</v>
      </c>
      <c r="G5">
        <f t="shared" si="1"/>
        <v>24629</v>
      </c>
      <c r="H5" s="16" t="s">
        <v>855</v>
      </c>
      <c r="J5" t="s">
        <v>32</v>
      </c>
    </row>
    <row r="6" spans="1:10">
      <c r="A6" t="str">
        <f t="shared" si="0"/>
        <v>مركزئاراك</v>
      </c>
      <c r="B6" s="12" t="s">
        <v>27</v>
      </c>
      <c r="C6" s="12" t="s">
        <v>28</v>
      </c>
      <c r="D6" s="12" t="s">
        <v>20</v>
      </c>
      <c r="E6" s="12">
        <v>3.7190689477935239E-2</v>
      </c>
      <c r="F6" s="12">
        <v>599236</v>
      </c>
      <c r="G6">
        <f t="shared" si="1"/>
        <v>22286</v>
      </c>
      <c r="H6" s="16" t="s">
        <v>855</v>
      </c>
      <c r="J6" t="s">
        <v>33</v>
      </c>
    </row>
    <row r="7" spans="1:10">
      <c r="A7" t="str">
        <f t="shared" si="0"/>
        <v>مركزئآشتيان</v>
      </c>
      <c r="B7" s="12" t="s">
        <v>27</v>
      </c>
      <c r="C7" s="12" t="s">
        <v>29</v>
      </c>
      <c r="D7" s="12" t="s">
        <v>480</v>
      </c>
      <c r="E7" s="12">
        <v>0.349563359929635</v>
      </c>
      <c r="F7" s="12">
        <v>15917</v>
      </c>
      <c r="G7">
        <f t="shared" si="1"/>
        <v>5564</v>
      </c>
      <c r="H7" s="16" t="s">
        <v>852</v>
      </c>
      <c r="J7" t="s">
        <v>34</v>
      </c>
    </row>
    <row r="8" spans="1:10">
      <c r="A8" t="str">
        <f t="shared" si="0"/>
        <v>مركزئآشتيان</v>
      </c>
      <c r="B8" s="12" t="s">
        <v>27</v>
      </c>
      <c r="C8" s="12" t="s">
        <v>29</v>
      </c>
      <c r="D8" s="12" t="s">
        <v>479</v>
      </c>
      <c r="E8" s="12">
        <v>0.38468304328705161</v>
      </c>
      <c r="F8" s="12">
        <v>15917</v>
      </c>
      <c r="G8">
        <f t="shared" si="1"/>
        <v>6123</v>
      </c>
      <c r="H8" s="16" t="s">
        <v>852</v>
      </c>
      <c r="J8" t="s">
        <v>35</v>
      </c>
    </row>
    <row r="9" spans="1:10">
      <c r="A9" t="str">
        <f t="shared" si="0"/>
        <v>مركزئآشتيان</v>
      </c>
      <c r="B9" s="12" t="s">
        <v>27</v>
      </c>
      <c r="C9" s="12" t="s">
        <v>29</v>
      </c>
      <c r="D9" s="12" t="s">
        <v>22</v>
      </c>
      <c r="E9" s="12">
        <v>0.13061506565307532</v>
      </c>
      <c r="F9" s="12">
        <v>15917</v>
      </c>
      <c r="G9">
        <f t="shared" si="1"/>
        <v>2079</v>
      </c>
      <c r="H9" s="16" t="s">
        <v>852</v>
      </c>
      <c r="J9" t="s">
        <v>36</v>
      </c>
    </row>
    <row r="10" spans="1:10">
      <c r="A10" t="str">
        <f t="shared" si="0"/>
        <v>مركزئآشتيان</v>
      </c>
      <c r="B10" s="12" t="s">
        <v>27</v>
      </c>
      <c r="C10" s="12" t="s">
        <v>29</v>
      </c>
      <c r="D10" s="12" t="s">
        <v>478</v>
      </c>
      <c r="E10" s="12">
        <v>6.1506565307532825E-2</v>
      </c>
      <c r="F10" s="12">
        <v>15917</v>
      </c>
      <c r="G10">
        <f t="shared" si="1"/>
        <v>979</v>
      </c>
      <c r="H10" s="16" t="s">
        <v>852</v>
      </c>
      <c r="J10" t="s">
        <v>37</v>
      </c>
    </row>
    <row r="11" spans="1:10">
      <c r="A11" t="str">
        <f t="shared" si="0"/>
        <v>مركزئآشتيان</v>
      </c>
      <c r="B11" s="12" t="s">
        <v>27</v>
      </c>
      <c r="C11" s="12" t="s">
        <v>29</v>
      </c>
      <c r="D11" s="12" t="s">
        <v>20</v>
      </c>
      <c r="E11" s="12">
        <v>7.3946095369730472E-2</v>
      </c>
      <c r="F11" s="12">
        <v>15917</v>
      </c>
      <c r="G11">
        <f t="shared" si="1"/>
        <v>1177</v>
      </c>
      <c r="H11" s="16" t="s">
        <v>852</v>
      </c>
      <c r="J11" t="s">
        <v>38</v>
      </c>
    </row>
    <row r="12" spans="1:10">
      <c r="A12" t="str">
        <f t="shared" si="0"/>
        <v>مركزئتفرش</v>
      </c>
      <c r="B12" s="12" t="s">
        <v>27</v>
      </c>
      <c r="C12" s="12" t="s">
        <v>30</v>
      </c>
      <c r="D12" s="12" t="s">
        <v>480</v>
      </c>
      <c r="E12" s="12">
        <v>0.34603250668903002</v>
      </c>
      <c r="F12" s="12">
        <v>25041</v>
      </c>
      <c r="G12">
        <f t="shared" si="1"/>
        <v>8665</v>
      </c>
      <c r="H12" s="16" t="s">
        <v>863</v>
      </c>
      <c r="J12" t="s">
        <v>40</v>
      </c>
    </row>
    <row r="13" spans="1:10">
      <c r="A13" t="str">
        <f t="shared" si="0"/>
        <v>مركزئتفرش</v>
      </c>
      <c r="B13" s="12" t="s">
        <v>27</v>
      </c>
      <c r="C13" s="12" t="s">
        <v>30</v>
      </c>
      <c r="D13" s="12" t="s">
        <v>479</v>
      </c>
      <c r="E13" s="12">
        <v>0.37127111537079188</v>
      </c>
      <c r="F13" s="12">
        <v>25041</v>
      </c>
      <c r="G13">
        <f t="shared" si="1"/>
        <v>9297</v>
      </c>
      <c r="H13" s="16" t="s">
        <v>863</v>
      </c>
      <c r="J13" t="s">
        <v>41</v>
      </c>
    </row>
    <row r="14" spans="1:10">
      <c r="A14" t="str">
        <f t="shared" si="0"/>
        <v>مركزئتفرش</v>
      </c>
      <c r="B14" s="12" t="s">
        <v>27</v>
      </c>
      <c r="C14" s="12" t="s">
        <v>30</v>
      </c>
      <c r="D14" s="12" t="s">
        <v>22</v>
      </c>
      <c r="E14" s="12">
        <v>0.13202348149035581</v>
      </c>
      <c r="F14" s="12">
        <v>25041</v>
      </c>
      <c r="G14">
        <f t="shared" si="1"/>
        <v>3306</v>
      </c>
      <c r="H14" s="16" t="s">
        <v>863</v>
      </c>
      <c r="J14" t="s">
        <v>42</v>
      </c>
    </row>
    <row r="15" spans="1:10">
      <c r="A15" t="str">
        <f t="shared" si="0"/>
        <v>مركزئتفرش</v>
      </c>
      <c r="B15" s="12" t="s">
        <v>27</v>
      </c>
      <c r="C15" s="12" t="s">
        <v>30</v>
      </c>
      <c r="D15" s="12" t="s">
        <v>478</v>
      </c>
      <c r="E15" s="12">
        <v>7.024479853041013E-2</v>
      </c>
      <c r="F15" s="12">
        <v>25041</v>
      </c>
      <c r="G15">
        <f t="shared" si="1"/>
        <v>1759</v>
      </c>
      <c r="H15" s="16" t="s">
        <v>863</v>
      </c>
      <c r="J15" t="s">
        <v>43</v>
      </c>
    </row>
    <row r="16" spans="1:10">
      <c r="A16" t="str">
        <f t="shared" si="0"/>
        <v>مركزئتفرش</v>
      </c>
      <c r="B16" s="12" t="s">
        <v>27</v>
      </c>
      <c r="C16" s="12" t="s">
        <v>30</v>
      </c>
      <c r="D16" s="12" t="s">
        <v>20</v>
      </c>
      <c r="E16" s="12">
        <v>8.0547901441635719E-2</v>
      </c>
      <c r="F16" s="12">
        <v>25041</v>
      </c>
      <c r="G16">
        <f t="shared" si="1"/>
        <v>2017</v>
      </c>
      <c r="H16" s="16" t="s">
        <v>863</v>
      </c>
      <c r="J16" t="s">
        <v>44</v>
      </c>
    </row>
    <row r="17" spans="1:10">
      <c r="A17" t="str">
        <f t="shared" si="0"/>
        <v>مركزئخمين</v>
      </c>
      <c r="B17" s="12" t="s">
        <v>27</v>
      </c>
      <c r="C17" s="12" t="s">
        <v>31</v>
      </c>
      <c r="D17" s="12" t="s">
        <v>480</v>
      </c>
      <c r="E17" s="12">
        <v>0.36324876001526135</v>
      </c>
      <c r="F17" s="12">
        <v>104840</v>
      </c>
      <c r="G17">
        <f t="shared" si="1"/>
        <v>38083</v>
      </c>
      <c r="H17" s="16" t="s">
        <v>861</v>
      </c>
      <c r="J17" t="s">
        <v>45</v>
      </c>
    </row>
    <row r="18" spans="1:10">
      <c r="A18" t="str">
        <f t="shared" si="0"/>
        <v>مركزئخمين</v>
      </c>
      <c r="B18" s="12" t="s">
        <v>27</v>
      </c>
      <c r="C18" s="12" t="s">
        <v>31</v>
      </c>
      <c r="D18" s="12" t="s">
        <v>479</v>
      </c>
      <c r="E18" s="12">
        <v>0.39456314383822966</v>
      </c>
      <c r="F18" s="12">
        <v>104840</v>
      </c>
      <c r="G18">
        <f t="shared" si="1"/>
        <v>41366</v>
      </c>
      <c r="H18" s="16" t="s">
        <v>861</v>
      </c>
      <c r="J18" t="s">
        <v>46</v>
      </c>
    </row>
    <row r="19" spans="1:10">
      <c r="A19" t="str">
        <f t="shared" si="0"/>
        <v>مركزئخمين</v>
      </c>
      <c r="B19" s="12" t="s">
        <v>27</v>
      </c>
      <c r="C19" s="12" t="s">
        <v>31</v>
      </c>
      <c r="D19" s="12" t="s">
        <v>22</v>
      </c>
      <c r="E19" s="12">
        <v>0.13076115986264786</v>
      </c>
      <c r="F19" s="12">
        <v>104840</v>
      </c>
      <c r="G19">
        <f t="shared" si="1"/>
        <v>13709</v>
      </c>
      <c r="H19" s="16" t="s">
        <v>861</v>
      </c>
      <c r="J19" t="s">
        <v>47</v>
      </c>
    </row>
    <row r="20" spans="1:10">
      <c r="A20" t="str">
        <f t="shared" si="0"/>
        <v>مركزئخمين</v>
      </c>
      <c r="B20" s="12" t="s">
        <v>27</v>
      </c>
      <c r="C20" s="12" t="s">
        <v>31</v>
      </c>
      <c r="D20" s="12" t="s">
        <v>478</v>
      </c>
      <c r="E20" s="12">
        <v>5.4626096909576496E-2</v>
      </c>
      <c r="F20" s="12">
        <v>104840</v>
      </c>
      <c r="G20">
        <f t="shared" si="1"/>
        <v>5727</v>
      </c>
      <c r="H20" s="16" t="s">
        <v>861</v>
      </c>
      <c r="J20" t="s">
        <v>48</v>
      </c>
    </row>
    <row r="21" spans="1:10">
      <c r="A21" t="str">
        <f t="shared" si="0"/>
        <v>مركزئخمين</v>
      </c>
      <c r="B21" s="12" t="s">
        <v>27</v>
      </c>
      <c r="C21" s="12" t="s">
        <v>31</v>
      </c>
      <c r="D21" s="12" t="s">
        <v>20</v>
      </c>
      <c r="E21" s="12">
        <v>5.6810377718428083E-2</v>
      </c>
      <c r="F21" s="12">
        <v>104840</v>
      </c>
      <c r="G21">
        <f t="shared" si="1"/>
        <v>5956</v>
      </c>
      <c r="H21" s="16" t="s">
        <v>861</v>
      </c>
      <c r="J21" t="s">
        <v>49</v>
      </c>
    </row>
    <row r="22" spans="1:10">
      <c r="A22" t="str">
        <f t="shared" si="0"/>
        <v>مركزئدليجان</v>
      </c>
      <c r="B22" s="12" t="s">
        <v>27</v>
      </c>
      <c r="C22" s="12" t="s">
        <v>32</v>
      </c>
      <c r="D22" s="12" t="s">
        <v>480</v>
      </c>
      <c r="E22" s="12">
        <v>0.40430512732671003</v>
      </c>
      <c r="F22" s="12">
        <v>52542</v>
      </c>
      <c r="G22">
        <f t="shared" si="1"/>
        <v>21243</v>
      </c>
      <c r="H22" s="16" t="s">
        <v>859</v>
      </c>
      <c r="J22" t="s">
        <v>50</v>
      </c>
    </row>
    <row r="23" spans="1:10">
      <c r="A23" t="str">
        <f t="shared" si="0"/>
        <v>مركزئدليجان</v>
      </c>
      <c r="B23" s="12" t="s">
        <v>27</v>
      </c>
      <c r="C23" s="12" t="s">
        <v>32</v>
      </c>
      <c r="D23" s="12" t="s">
        <v>479</v>
      </c>
      <c r="E23" s="12">
        <v>0.40198317536447031</v>
      </c>
      <c r="F23" s="12">
        <v>52542</v>
      </c>
      <c r="G23">
        <f t="shared" si="1"/>
        <v>21121</v>
      </c>
      <c r="H23" s="16" t="s">
        <v>859</v>
      </c>
      <c r="J23" t="s">
        <v>51</v>
      </c>
    </row>
    <row r="24" spans="1:10">
      <c r="A24" t="str">
        <f t="shared" si="0"/>
        <v>مركزئدليجان</v>
      </c>
      <c r="B24" s="12" t="s">
        <v>27</v>
      </c>
      <c r="C24" s="12" t="s">
        <v>32</v>
      </c>
      <c r="D24" s="12" t="s">
        <v>22</v>
      </c>
      <c r="E24" s="12">
        <v>0.10770431274028397</v>
      </c>
      <c r="F24" s="12">
        <v>52542</v>
      </c>
      <c r="G24">
        <f t="shared" si="1"/>
        <v>5659</v>
      </c>
      <c r="H24" s="16" t="s">
        <v>859</v>
      </c>
      <c r="J24" t="s">
        <v>52</v>
      </c>
    </row>
    <row r="25" spans="1:10">
      <c r="A25" t="str">
        <f t="shared" si="0"/>
        <v>مركزئدليجان</v>
      </c>
      <c r="B25" s="12" t="s">
        <v>27</v>
      </c>
      <c r="C25" s="12" t="s">
        <v>32</v>
      </c>
      <c r="D25" s="12" t="s">
        <v>478</v>
      </c>
      <c r="E25" s="12">
        <v>4.0862548056792659E-2</v>
      </c>
      <c r="F25" s="12">
        <v>52542</v>
      </c>
      <c r="G25">
        <f t="shared" si="1"/>
        <v>2147</v>
      </c>
      <c r="H25" s="16" t="s">
        <v>859</v>
      </c>
      <c r="J25" t="s">
        <v>53</v>
      </c>
    </row>
    <row r="26" spans="1:10">
      <c r="A26" t="str">
        <f t="shared" si="0"/>
        <v>مركزئدليجان</v>
      </c>
      <c r="B26" s="12" t="s">
        <v>27</v>
      </c>
      <c r="C26" s="12" t="s">
        <v>32</v>
      </c>
      <c r="D26" s="12" t="s">
        <v>20</v>
      </c>
      <c r="E26" s="12">
        <v>4.5125804118609877E-2</v>
      </c>
      <c r="F26" s="12">
        <v>52542</v>
      </c>
      <c r="G26">
        <f t="shared" si="1"/>
        <v>2371</v>
      </c>
      <c r="H26" s="16" t="s">
        <v>859</v>
      </c>
      <c r="J26" t="s">
        <v>54</v>
      </c>
    </row>
    <row r="27" spans="1:10">
      <c r="A27" t="str">
        <f t="shared" si="0"/>
        <v>مركزئساوه</v>
      </c>
      <c r="B27" s="12" t="s">
        <v>27</v>
      </c>
      <c r="C27" s="12" t="s">
        <v>33</v>
      </c>
      <c r="D27" s="12" t="s">
        <v>480</v>
      </c>
      <c r="E27" s="12">
        <v>0.43224085048505961</v>
      </c>
      <c r="F27" s="12">
        <v>288212</v>
      </c>
      <c r="G27">
        <f t="shared" si="1"/>
        <v>124577</v>
      </c>
      <c r="H27" s="16" t="s">
        <v>862</v>
      </c>
      <c r="J27" t="s">
        <v>55</v>
      </c>
    </row>
    <row r="28" spans="1:10">
      <c r="A28" t="str">
        <f t="shared" si="0"/>
        <v>مركزئساوه</v>
      </c>
      <c r="B28" s="12" t="s">
        <v>27</v>
      </c>
      <c r="C28" s="12" t="s">
        <v>33</v>
      </c>
      <c r="D28" s="12" t="s">
        <v>479</v>
      </c>
      <c r="E28" s="12">
        <v>0.41040969841644342</v>
      </c>
      <c r="F28" s="12">
        <v>288212</v>
      </c>
      <c r="G28">
        <f t="shared" si="1"/>
        <v>118285</v>
      </c>
      <c r="H28" s="16" t="s">
        <v>862</v>
      </c>
      <c r="J28" t="s">
        <v>57</v>
      </c>
    </row>
    <row r="29" spans="1:10">
      <c r="A29" t="str">
        <f t="shared" si="0"/>
        <v>مركزئساوه</v>
      </c>
      <c r="B29" s="12" t="s">
        <v>27</v>
      </c>
      <c r="C29" s="12" t="s">
        <v>33</v>
      </c>
      <c r="D29" s="12" t="s">
        <v>22</v>
      </c>
      <c r="E29" s="12">
        <v>9.505155926887153E-2</v>
      </c>
      <c r="F29" s="12">
        <v>288212</v>
      </c>
      <c r="G29">
        <f t="shared" si="1"/>
        <v>27395</v>
      </c>
      <c r="H29" s="16" t="s">
        <v>862</v>
      </c>
      <c r="J29" t="s">
        <v>58</v>
      </c>
    </row>
    <row r="30" spans="1:10">
      <c r="A30" t="str">
        <f t="shared" si="0"/>
        <v>مركزئساوه</v>
      </c>
      <c r="B30" s="12" t="s">
        <v>27</v>
      </c>
      <c r="C30" s="12" t="s">
        <v>33</v>
      </c>
      <c r="D30" s="12" t="s">
        <v>478</v>
      </c>
      <c r="E30" s="12">
        <v>3.2954908192580463E-2</v>
      </c>
      <c r="F30" s="12">
        <v>288212</v>
      </c>
      <c r="G30">
        <f t="shared" si="1"/>
        <v>9498</v>
      </c>
      <c r="H30" s="16" t="s">
        <v>862</v>
      </c>
      <c r="J30" t="s">
        <v>59</v>
      </c>
    </row>
    <row r="31" spans="1:10">
      <c r="A31" t="str">
        <f t="shared" si="0"/>
        <v>مركزئساوه</v>
      </c>
      <c r="B31" s="12" t="s">
        <v>27</v>
      </c>
      <c r="C31" s="12" t="s">
        <v>33</v>
      </c>
      <c r="D31" s="12" t="s">
        <v>20</v>
      </c>
      <c r="E31" s="12">
        <v>2.9315226291757455E-2</v>
      </c>
      <c r="F31" s="12">
        <v>288212</v>
      </c>
      <c r="G31">
        <f t="shared" si="1"/>
        <v>8449</v>
      </c>
      <c r="H31" s="16" t="s">
        <v>862</v>
      </c>
      <c r="J31" t="s">
        <v>60</v>
      </c>
    </row>
    <row r="32" spans="1:10">
      <c r="A32" t="str">
        <f t="shared" si="0"/>
        <v>مركزئشازند</v>
      </c>
      <c r="B32" s="12" t="s">
        <v>27</v>
      </c>
      <c r="C32" s="12" t="s">
        <v>34</v>
      </c>
      <c r="D32" s="12" t="s">
        <v>480</v>
      </c>
      <c r="E32" s="12">
        <v>0.38502846735828022</v>
      </c>
      <c r="F32" s="12">
        <v>117503</v>
      </c>
      <c r="G32">
        <f t="shared" si="1"/>
        <v>45242</v>
      </c>
      <c r="H32" s="16" t="s">
        <v>860</v>
      </c>
      <c r="J32" t="s">
        <v>61</v>
      </c>
    </row>
    <row r="33" spans="1:10">
      <c r="A33" t="str">
        <f t="shared" si="0"/>
        <v>مركزئشازند</v>
      </c>
      <c r="B33" s="12" t="s">
        <v>27</v>
      </c>
      <c r="C33" s="12" t="s">
        <v>34</v>
      </c>
      <c r="D33" s="12" t="s">
        <v>479</v>
      </c>
      <c r="E33" s="12">
        <v>0.40143655906657705</v>
      </c>
      <c r="F33" s="12">
        <v>117503</v>
      </c>
      <c r="G33">
        <f t="shared" si="1"/>
        <v>47170</v>
      </c>
      <c r="H33" s="16" t="s">
        <v>860</v>
      </c>
      <c r="J33" t="s">
        <v>62</v>
      </c>
    </row>
    <row r="34" spans="1:10">
      <c r="A34" t="str">
        <f t="shared" si="0"/>
        <v>مركزئشازند</v>
      </c>
      <c r="B34" s="12" t="s">
        <v>27</v>
      </c>
      <c r="C34" s="12" t="s">
        <v>34</v>
      </c>
      <c r="D34" s="12" t="s">
        <v>22</v>
      </c>
      <c r="E34" s="12">
        <v>0.11319710986102482</v>
      </c>
      <c r="F34" s="12">
        <v>117503</v>
      </c>
      <c r="G34">
        <f t="shared" si="1"/>
        <v>13301</v>
      </c>
      <c r="H34" s="16" t="s">
        <v>860</v>
      </c>
      <c r="J34" t="s">
        <v>63</v>
      </c>
    </row>
    <row r="35" spans="1:10">
      <c r="A35" t="str">
        <f t="shared" si="0"/>
        <v>مركزئشازند</v>
      </c>
      <c r="B35" s="12" t="s">
        <v>27</v>
      </c>
      <c r="C35" s="12" t="s">
        <v>34</v>
      </c>
      <c r="D35" s="12" t="s">
        <v>478</v>
      </c>
      <c r="E35" s="12">
        <v>4.8628545654153511E-2</v>
      </c>
      <c r="F35" s="12">
        <v>117503</v>
      </c>
      <c r="G35">
        <f t="shared" si="1"/>
        <v>5714</v>
      </c>
      <c r="H35" s="16" t="s">
        <v>860</v>
      </c>
      <c r="J35" t="s">
        <v>64</v>
      </c>
    </row>
    <row r="36" spans="1:10">
      <c r="A36" t="str">
        <f t="shared" si="0"/>
        <v>مركزئشازند</v>
      </c>
      <c r="B36" s="12" t="s">
        <v>27</v>
      </c>
      <c r="C36" s="12" t="s">
        <v>34</v>
      </c>
      <c r="D36" s="12" t="s">
        <v>20</v>
      </c>
      <c r="E36" s="12">
        <v>5.1709318059964426E-2</v>
      </c>
      <c r="F36" s="12">
        <v>117503</v>
      </c>
      <c r="G36">
        <f t="shared" si="1"/>
        <v>6076</v>
      </c>
      <c r="H36" s="16" t="s">
        <v>860</v>
      </c>
      <c r="J36" t="s">
        <v>65</v>
      </c>
    </row>
    <row r="37" spans="1:10">
      <c r="A37" t="str">
        <f t="shared" si="0"/>
        <v>مركزئمحلات</v>
      </c>
      <c r="B37" s="12" t="s">
        <v>27</v>
      </c>
      <c r="C37" s="12" t="s">
        <v>35</v>
      </c>
      <c r="D37" s="12" t="s">
        <v>480</v>
      </c>
      <c r="E37" s="12">
        <v>0.37862470406038057</v>
      </c>
      <c r="F37" s="12">
        <v>56177</v>
      </c>
      <c r="G37">
        <f t="shared" si="1"/>
        <v>21270</v>
      </c>
      <c r="H37" s="16" t="s">
        <v>856</v>
      </c>
      <c r="J37" t="s">
        <v>66</v>
      </c>
    </row>
    <row r="38" spans="1:10">
      <c r="A38" t="str">
        <f t="shared" si="0"/>
        <v>مركزئمحلات</v>
      </c>
      <c r="B38" s="12" t="s">
        <v>27</v>
      </c>
      <c r="C38" s="12" t="s">
        <v>35</v>
      </c>
      <c r="D38" s="12" t="s">
        <v>479</v>
      </c>
      <c r="E38" s="12">
        <v>0.4075155312672446</v>
      </c>
      <c r="F38" s="12">
        <v>56177</v>
      </c>
      <c r="G38">
        <f t="shared" si="1"/>
        <v>22893</v>
      </c>
      <c r="H38" s="16" t="s">
        <v>856</v>
      </c>
      <c r="J38" t="s">
        <v>67</v>
      </c>
    </row>
    <row r="39" spans="1:10">
      <c r="A39" t="str">
        <f t="shared" si="0"/>
        <v>مركزئمحلات</v>
      </c>
      <c r="B39" s="12" t="s">
        <v>27</v>
      </c>
      <c r="C39" s="12" t="s">
        <v>35</v>
      </c>
      <c r="D39" s="12" t="s">
        <v>22</v>
      </c>
      <c r="E39" s="12">
        <v>0.11755700731616142</v>
      </c>
      <c r="F39" s="12">
        <v>56177</v>
      </c>
      <c r="G39">
        <f t="shared" si="1"/>
        <v>6604</v>
      </c>
      <c r="H39" s="16" t="s">
        <v>856</v>
      </c>
      <c r="J39" t="s">
        <v>68</v>
      </c>
    </row>
    <row r="40" spans="1:10">
      <c r="A40" t="str">
        <f t="shared" si="0"/>
        <v>مركزئمحلات</v>
      </c>
      <c r="B40" s="12" t="s">
        <v>27</v>
      </c>
      <c r="C40" s="12" t="s">
        <v>35</v>
      </c>
      <c r="D40" s="12" t="s">
        <v>478</v>
      </c>
      <c r="E40" s="12">
        <v>4.7403741744842194E-2</v>
      </c>
      <c r="F40" s="12">
        <v>56177</v>
      </c>
      <c r="G40">
        <f t="shared" si="1"/>
        <v>2663</v>
      </c>
      <c r="H40" s="16" t="s">
        <v>856</v>
      </c>
      <c r="J40" t="s">
        <v>69</v>
      </c>
    </row>
    <row r="41" spans="1:10">
      <c r="A41" t="str">
        <f t="shared" si="0"/>
        <v>مركزئمحلات</v>
      </c>
      <c r="B41" s="12" t="s">
        <v>27</v>
      </c>
      <c r="C41" s="12" t="s">
        <v>35</v>
      </c>
      <c r="D41" s="12" t="s">
        <v>20</v>
      </c>
      <c r="E41" s="12">
        <v>4.8827812093917441E-2</v>
      </c>
      <c r="F41" s="12">
        <v>56177</v>
      </c>
      <c r="G41">
        <f t="shared" si="1"/>
        <v>2743</v>
      </c>
      <c r="H41" s="16" t="s">
        <v>856</v>
      </c>
      <c r="J41" t="s">
        <v>70</v>
      </c>
    </row>
    <row r="42" spans="1:10">
      <c r="A42" t="str">
        <f t="shared" si="0"/>
        <v>مركزئزرنديه</v>
      </c>
      <c r="B42" s="12" t="s">
        <v>27</v>
      </c>
      <c r="C42" s="12" t="s">
        <v>36</v>
      </c>
      <c r="D42" s="12" t="s">
        <v>480</v>
      </c>
      <c r="E42" s="12">
        <v>0.3994232717636973</v>
      </c>
      <c r="F42" s="12">
        <v>64155</v>
      </c>
      <c r="G42">
        <f t="shared" si="1"/>
        <v>25625</v>
      </c>
      <c r="H42" s="16" t="s">
        <v>857</v>
      </c>
      <c r="J42" t="s">
        <v>71</v>
      </c>
    </row>
    <row r="43" spans="1:10">
      <c r="A43" t="str">
        <f t="shared" si="0"/>
        <v>مركزئزرنديه</v>
      </c>
      <c r="B43" s="12" t="s">
        <v>27</v>
      </c>
      <c r="C43" s="12" t="s">
        <v>36</v>
      </c>
      <c r="D43" s="12" t="s">
        <v>479</v>
      </c>
      <c r="E43" s="12">
        <v>0.40173018470890809</v>
      </c>
      <c r="F43" s="12">
        <v>64155</v>
      </c>
      <c r="G43">
        <f t="shared" si="1"/>
        <v>25773</v>
      </c>
      <c r="H43" s="16" t="s">
        <v>857</v>
      </c>
      <c r="J43" t="s">
        <v>72</v>
      </c>
    </row>
    <row r="44" spans="1:10">
      <c r="A44" t="str">
        <f t="shared" si="0"/>
        <v>مركزئزرنديه</v>
      </c>
      <c r="B44" s="12" t="s">
        <v>27</v>
      </c>
      <c r="C44" s="12" t="s">
        <v>36</v>
      </c>
      <c r="D44" s="12" t="s">
        <v>22</v>
      </c>
      <c r="E44" s="12">
        <v>0.10851843192268724</v>
      </c>
      <c r="F44" s="12">
        <v>64155</v>
      </c>
      <c r="G44">
        <f t="shared" si="1"/>
        <v>6962</v>
      </c>
      <c r="H44" s="16" t="s">
        <v>857</v>
      </c>
      <c r="J44" t="s">
        <v>73</v>
      </c>
    </row>
    <row r="45" spans="1:10">
      <c r="A45" t="str">
        <f t="shared" si="0"/>
        <v>مركزئزرنديه</v>
      </c>
      <c r="B45" s="12" t="s">
        <v>27</v>
      </c>
      <c r="C45" s="12" t="s">
        <v>36</v>
      </c>
      <c r="D45" s="12" t="s">
        <v>478</v>
      </c>
      <c r="E45" s="12">
        <v>4.4127503701971785E-2</v>
      </c>
      <c r="F45" s="12">
        <v>64155</v>
      </c>
      <c r="G45">
        <f t="shared" si="1"/>
        <v>2831</v>
      </c>
      <c r="H45" s="16" t="s">
        <v>857</v>
      </c>
      <c r="J45" t="s">
        <v>74</v>
      </c>
    </row>
    <row r="46" spans="1:10">
      <c r="A46" t="str">
        <f t="shared" si="0"/>
        <v>مركزئزرنديه</v>
      </c>
      <c r="B46" s="12" t="s">
        <v>27</v>
      </c>
      <c r="C46" s="12" t="s">
        <v>36</v>
      </c>
      <c r="D46" s="12" t="s">
        <v>20</v>
      </c>
      <c r="E46" s="12">
        <v>4.6200607902735565E-2</v>
      </c>
      <c r="F46" s="12">
        <v>64155</v>
      </c>
      <c r="G46">
        <f t="shared" si="1"/>
        <v>2964</v>
      </c>
      <c r="H46" s="16" t="s">
        <v>857</v>
      </c>
      <c r="J46" t="s">
        <v>75</v>
      </c>
    </row>
    <row r="47" spans="1:10">
      <c r="A47" t="str">
        <f t="shared" si="0"/>
        <v>مركزئكميجان</v>
      </c>
      <c r="B47" s="12" t="s">
        <v>27</v>
      </c>
      <c r="C47" s="12" t="s">
        <v>37</v>
      </c>
      <c r="D47" s="12" t="s">
        <v>480</v>
      </c>
      <c r="E47" s="12">
        <v>0.40335629168033232</v>
      </c>
      <c r="F47" s="12">
        <v>36588</v>
      </c>
      <c r="G47">
        <f t="shared" si="1"/>
        <v>14758</v>
      </c>
      <c r="H47" s="16" t="s">
        <v>854</v>
      </c>
      <c r="J47" t="s">
        <v>76</v>
      </c>
    </row>
    <row r="48" spans="1:10">
      <c r="A48" t="str">
        <f t="shared" si="0"/>
        <v>مركزئكميجان</v>
      </c>
      <c r="B48" s="12" t="s">
        <v>27</v>
      </c>
      <c r="C48" s="12" t="s">
        <v>37</v>
      </c>
      <c r="D48" s="12" t="s">
        <v>479</v>
      </c>
      <c r="E48" s="12">
        <v>0.39215043183557452</v>
      </c>
      <c r="F48" s="12">
        <v>36588</v>
      </c>
      <c r="G48">
        <f t="shared" si="1"/>
        <v>14348</v>
      </c>
      <c r="H48" s="16" t="s">
        <v>854</v>
      </c>
      <c r="J48" t="s">
        <v>77</v>
      </c>
    </row>
    <row r="49" spans="1:10">
      <c r="A49" t="str">
        <f t="shared" si="0"/>
        <v>مركزئكميجان</v>
      </c>
      <c r="B49" s="12" t="s">
        <v>27</v>
      </c>
      <c r="C49" s="12" t="s">
        <v>37</v>
      </c>
      <c r="D49" s="12" t="s">
        <v>22</v>
      </c>
      <c r="E49" s="12">
        <v>0.10385918880507271</v>
      </c>
      <c r="F49" s="12">
        <v>36588</v>
      </c>
      <c r="G49">
        <f t="shared" si="1"/>
        <v>3800</v>
      </c>
      <c r="H49" s="16" t="s">
        <v>854</v>
      </c>
      <c r="J49" t="s">
        <v>78</v>
      </c>
    </row>
    <row r="50" spans="1:10">
      <c r="A50" t="str">
        <f t="shared" si="0"/>
        <v>مركزئكميجان</v>
      </c>
      <c r="B50" s="12" t="s">
        <v>27</v>
      </c>
      <c r="C50" s="12" t="s">
        <v>37</v>
      </c>
      <c r="D50" s="12" t="s">
        <v>478</v>
      </c>
      <c r="E50" s="12">
        <v>4.8731824641959111E-2</v>
      </c>
      <c r="F50" s="12">
        <v>36588</v>
      </c>
      <c r="G50">
        <f t="shared" si="1"/>
        <v>1783</v>
      </c>
      <c r="H50" s="16" t="s">
        <v>854</v>
      </c>
      <c r="J50" t="s">
        <v>80</v>
      </c>
    </row>
    <row r="51" spans="1:10">
      <c r="A51" t="str">
        <f t="shared" si="0"/>
        <v>مركزئكميجان</v>
      </c>
      <c r="B51" s="12" t="s">
        <v>27</v>
      </c>
      <c r="C51" s="12" t="s">
        <v>37</v>
      </c>
      <c r="D51" s="12" t="s">
        <v>20</v>
      </c>
      <c r="E51" s="12">
        <v>5.2120913960861485E-2</v>
      </c>
      <c r="F51" s="12">
        <v>36588</v>
      </c>
      <c r="G51">
        <f t="shared" si="1"/>
        <v>1907</v>
      </c>
      <c r="H51" s="16" t="s">
        <v>854</v>
      </c>
      <c r="J51" t="s">
        <v>81</v>
      </c>
    </row>
    <row r="52" spans="1:10">
      <c r="A52" t="str">
        <f t="shared" si="0"/>
        <v>مركزئخنداب</v>
      </c>
      <c r="B52" s="12" t="s">
        <v>27</v>
      </c>
      <c r="C52" s="12" t="s">
        <v>38</v>
      </c>
      <c r="D52" s="12" t="s">
        <v>480</v>
      </c>
      <c r="E52" s="12">
        <v>0.40390225773483229</v>
      </c>
      <c r="F52" s="12">
        <v>53815</v>
      </c>
      <c r="G52">
        <f t="shared" si="1"/>
        <v>21736</v>
      </c>
      <c r="H52" s="16" t="s">
        <v>858</v>
      </c>
      <c r="J52" t="s">
        <v>82</v>
      </c>
    </row>
    <row r="53" spans="1:10">
      <c r="A53" t="str">
        <f t="shared" si="0"/>
        <v>مركزئخنداب</v>
      </c>
      <c r="B53" s="12" t="s">
        <v>27</v>
      </c>
      <c r="C53" s="12" t="s">
        <v>38</v>
      </c>
      <c r="D53" s="12" t="s">
        <v>479</v>
      </c>
      <c r="E53" s="12">
        <v>0.39037443092074703</v>
      </c>
      <c r="F53" s="12">
        <v>53815</v>
      </c>
      <c r="G53">
        <f t="shared" si="1"/>
        <v>21008</v>
      </c>
      <c r="H53" s="16" t="s">
        <v>858</v>
      </c>
      <c r="J53" t="s">
        <v>83</v>
      </c>
    </row>
    <row r="54" spans="1:10">
      <c r="A54" t="str">
        <f t="shared" si="0"/>
        <v>مركزئخنداب</v>
      </c>
      <c r="B54" s="12" t="s">
        <v>27</v>
      </c>
      <c r="C54" s="12" t="s">
        <v>38</v>
      </c>
      <c r="D54" s="12" t="s">
        <v>22</v>
      </c>
      <c r="E54" s="12">
        <v>0.10989501068475332</v>
      </c>
      <c r="F54" s="12">
        <v>53815</v>
      </c>
      <c r="G54">
        <f t="shared" si="1"/>
        <v>5914</v>
      </c>
      <c r="H54" s="16" t="s">
        <v>858</v>
      </c>
      <c r="J54" t="s">
        <v>84</v>
      </c>
    </row>
    <row r="55" spans="1:10">
      <c r="A55" t="str">
        <f t="shared" si="0"/>
        <v>مركزئخنداب</v>
      </c>
      <c r="B55" s="12" t="s">
        <v>27</v>
      </c>
      <c r="C55" s="12" t="s">
        <v>38</v>
      </c>
      <c r="D55" s="12" t="s">
        <v>478</v>
      </c>
      <c r="E55" s="12">
        <v>4.7142989872712072E-2</v>
      </c>
      <c r="F55" s="12">
        <v>53815</v>
      </c>
      <c r="G55">
        <f t="shared" si="1"/>
        <v>2537</v>
      </c>
      <c r="H55" s="16" t="s">
        <v>858</v>
      </c>
      <c r="J55" t="s">
        <v>85</v>
      </c>
    </row>
    <row r="56" spans="1:10">
      <c r="A56" t="str">
        <f t="shared" si="0"/>
        <v>مركزئخنداب</v>
      </c>
      <c r="B56" s="12" t="s">
        <v>27</v>
      </c>
      <c r="C56" s="12" t="s">
        <v>38</v>
      </c>
      <c r="D56" s="12" t="s">
        <v>20</v>
      </c>
      <c r="E56" s="12">
        <v>4.8703892966644985E-2</v>
      </c>
      <c r="F56" s="12">
        <v>53815</v>
      </c>
      <c r="G56">
        <f t="shared" si="1"/>
        <v>2621</v>
      </c>
      <c r="H56" s="16" t="s">
        <v>858</v>
      </c>
      <c r="J56" t="s">
        <v>86</v>
      </c>
    </row>
    <row r="57" spans="1:10">
      <c r="A57" t="str">
        <f t="shared" si="0"/>
        <v>مركزئفراهان</v>
      </c>
      <c r="B57" s="12" t="s">
        <v>27</v>
      </c>
      <c r="C57" s="12" t="s">
        <v>40</v>
      </c>
      <c r="D57" s="12" t="s">
        <v>480</v>
      </c>
      <c r="E57" s="12">
        <v>0.37897183294019704</v>
      </c>
      <c r="F57" s="12">
        <v>28828</v>
      </c>
      <c r="G57">
        <f t="shared" si="1"/>
        <v>10925</v>
      </c>
      <c r="H57" s="16" t="s">
        <v>864</v>
      </c>
      <c r="J57" t="s">
        <v>87</v>
      </c>
    </row>
    <row r="58" spans="1:10">
      <c r="A58" t="str">
        <f t="shared" si="0"/>
        <v>مركزئفراهان</v>
      </c>
      <c r="B58" s="12" t="s">
        <v>27</v>
      </c>
      <c r="C58" s="12" t="s">
        <v>40</v>
      </c>
      <c r="D58" s="12" t="s">
        <v>479</v>
      </c>
      <c r="E58" s="12">
        <v>0.38018593034549741</v>
      </c>
      <c r="F58" s="12">
        <v>28828</v>
      </c>
      <c r="G58">
        <f t="shared" si="1"/>
        <v>10960</v>
      </c>
      <c r="H58" s="16" t="s">
        <v>864</v>
      </c>
      <c r="J58" t="s">
        <v>88</v>
      </c>
    </row>
    <row r="59" spans="1:10">
      <c r="A59" t="str">
        <f t="shared" si="0"/>
        <v>مركزئفراهان</v>
      </c>
      <c r="B59" s="12" t="s">
        <v>27</v>
      </c>
      <c r="C59" s="12" t="s">
        <v>40</v>
      </c>
      <c r="D59" s="12" t="s">
        <v>22</v>
      </c>
      <c r="E59" s="12">
        <v>0.11481892604412376</v>
      </c>
      <c r="F59" s="12">
        <v>28828</v>
      </c>
      <c r="G59">
        <f t="shared" si="1"/>
        <v>3310</v>
      </c>
      <c r="H59" s="16" t="s">
        <v>864</v>
      </c>
      <c r="J59" t="s">
        <v>89</v>
      </c>
    </row>
    <row r="60" spans="1:10">
      <c r="A60" t="str">
        <f t="shared" si="0"/>
        <v>مركزئفراهان</v>
      </c>
      <c r="B60" s="12" t="s">
        <v>27</v>
      </c>
      <c r="C60" s="12" t="s">
        <v>40</v>
      </c>
      <c r="D60" s="12" t="s">
        <v>478</v>
      </c>
      <c r="E60" s="12">
        <v>5.9005133897599558E-2</v>
      </c>
      <c r="F60" s="12">
        <v>28828</v>
      </c>
      <c r="G60">
        <f t="shared" si="1"/>
        <v>1701</v>
      </c>
      <c r="H60" s="16" t="s">
        <v>864</v>
      </c>
      <c r="J60" t="s">
        <v>90</v>
      </c>
    </row>
    <row r="61" spans="1:10">
      <c r="A61" t="str">
        <f t="shared" si="0"/>
        <v>مركزئفراهان</v>
      </c>
      <c r="B61" s="12" t="s">
        <v>27</v>
      </c>
      <c r="C61" s="12" t="s">
        <v>40</v>
      </c>
      <c r="D61" s="12" t="s">
        <v>20</v>
      </c>
      <c r="E61" s="12">
        <v>6.6810045788816427E-2</v>
      </c>
      <c r="F61" s="12">
        <v>28828</v>
      </c>
      <c r="G61">
        <f t="shared" si="1"/>
        <v>1926</v>
      </c>
      <c r="H61" s="16" t="s">
        <v>864</v>
      </c>
      <c r="J61" t="s">
        <v>91</v>
      </c>
    </row>
    <row r="62" spans="1:10">
      <c r="A62" t="str">
        <f t="shared" si="0"/>
        <v>گيلانآستارا</v>
      </c>
      <c r="B62" s="12" t="s">
        <v>39</v>
      </c>
      <c r="C62" s="12" t="s">
        <v>41</v>
      </c>
      <c r="D62" s="12" t="s">
        <v>480</v>
      </c>
      <c r="E62" s="12">
        <v>0.40222855047138267</v>
      </c>
      <c r="F62" s="12">
        <v>92706</v>
      </c>
      <c r="G62">
        <f t="shared" si="1"/>
        <v>37289</v>
      </c>
      <c r="H62" s="16" t="s">
        <v>987</v>
      </c>
      <c r="J62" t="s">
        <v>92</v>
      </c>
    </row>
    <row r="63" spans="1:10">
      <c r="A63" t="str">
        <f t="shared" si="0"/>
        <v>گيلانآستارا</v>
      </c>
      <c r="B63" s="12" t="s">
        <v>39</v>
      </c>
      <c r="C63" s="12" t="s">
        <v>41</v>
      </c>
      <c r="D63" s="12" t="s">
        <v>479</v>
      </c>
      <c r="E63" s="12">
        <v>0.41319871421482968</v>
      </c>
      <c r="F63" s="12">
        <v>92706</v>
      </c>
      <c r="G63">
        <f t="shared" si="1"/>
        <v>38306</v>
      </c>
      <c r="H63" s="16" t="s">
        <v>987</v>
      </c>
      <c r="J63" t="s">
        <v>93</v>
      </c>
    </row>
    <row r="64" spans="1:10">
      <c r="A64" t="str">
        <f t="shared" si="0"/>
        <v>گيلانآستارا</v>
      </c>
      <c r="B64" s="12" t="s">
        <v>39</v>
      </c>
      <c r="C64" s="12" t="s">
        <v>41</v>
      </c>
      <c r="D64" s="12" t="s">
        <v>22</v>
      </c>
      <c r="E64" s="12">
        <v>0.11220417232973054</v>
      </c>
      <c r="F64" s="12">
        <v>92706</v>
      </c>
      <c r="G64">
        <f t="shared" si="1"/>
        <v>10402</v>
      </c>
      <c r="H64" s="16" t="s">
        <v>987</v>
      </c>
      <c r="J64" t="s">
        <v>94</v>
      </c>
    </row>
    <row r="65" spans="1:10">
      <c r="A65" t="str">
        <f t="shared" si="0"/>
        <v>گيلانآستارا</v>
      </c>
      <c r="B65" s="12" t="s">
        <v>39</v>
      </c>
      <c r="C65" s="12" t="s">
        <v>41</v>
      </c>
      <c r="D65" s="12" t="s">
        <v>478</v>
      </c>
      <c r="E65" s="12">
        <v>3.8465687226285246E-2</v>
      </c>
      <c r="F65" s="12">
        <v>92706</v>
      </c>
      <c r="G65">
        <f t="shared" si="1"/>
        <v>3566</v>
      </c>
      <c r="H65" s="16" t="s">
        <v>987</v>
      </c>
      <c r="J65" t="s">
        <v>95</v>
      </c>
    </row>
    <row r="66" spans="1:10">
      <c r="A66" t="str">
        <f t="shared" ref="A66:A129" si="2">B66&amp;C66</f>
        <v>گيلانآستارا</v>
      </c>
      <c r="B66" s="12" t="s">
        <v>39</v>
      </c>
      <c r="C66" s="12" t="s">
        <v>41</v>
      </c>
      <c r="D66" s="12" t="s">
        <v>20</v>
      </c>
      <c r="E66" s="12">
        <v>3.392444933445516E-2</v>
      </c>
      <c r="F66" s="12">
        <v>92706</v>
      </c>
      <c r="G66">
        <f t="shared" si="1"/>
        <v>3145</v>
      </c>
      <c r="H66" s="16" t="s">
        <v>987</v>
      </c>
      <c r="J66" t="s">
        <v>96</v>
      </c>
    </row>
    <row r="67" spans="1:10">
      <c r="A67" t="str">
        <f t="shared" si="2"/>
        <v>گيلانآستانه اشرفيه</v>
      </c>
      <c r="B67" s="12" t="s">
        <v>39</v>
      </c>
      <c r="C67" s="12" t="s">
        <v>42</v>
      </c>
      <c r="D67" s="12" t="s">
        <v>480</v>
      </c>
      <c r="E67" s="12">
        <v>0.31734997084116301</v>
      </c>
      <c r="F67" s="12">
        <v>108029</v>
      </c>
      <c r="G67">
        <f t="shared" ref="G67:G130" si="3">IFERROR(ROUND(F67*E67,0),0)</f>
        <v>34283</v>
      </c>
      <c r="H67" s="16" t="s">
        <v>978</v>
      </c>
      <c r="J67" t="s">
        <v>97</v>
      </c>
    </row>
    <row r="68" spans="1:10">
      <c r="A68" t="str">
        <f t="shared" si="2"/>
        <v>گيلانآستانه اشرفيه</v>
      </c>
      <c r="B68" s="12" t="s">
        <v>39</v>
      </c>
      <c r="C68" s="12" t="s">
        <v>42</v>
      </c>
      <c r="D68" s="12" t="s">
        <v>479</v>
      </c>
      <c r="E68" s="12">
        <v>0.41586055596182508</v>
      </c>
      <c r="F68" s="12">
        <v>108029</v>
      </c>
      <c r="G68">
        <f t="shared" si="3"/>
        <v>44925</v>
      </c>
      <c r="H68" s="16" t="s">
        <v>978</v>
      </c>
      <c r="J68" t="s">
        <v>98</v>
      </c>
    </row>
    <row r="69" spans="1:10">
      <c r="A69" t="str">
        <f t="shared" si="2"/>
        <v>گيلانآستانه اشرفيه</v>
      </c>
      <c r="B69" s="12" t="s">
        <v>39</v>
      </c>
      <c r="C69" s="12" t="s">
        <v>42</v>
      </c>
      <c r="D69" s="12" t="s">
        <v>22</v>
      </c>
      <c r="E69" s="12">
        <v>0.14365587018300641</v>
      </c>
      <c r="F69" s="12">
        <v>108029</v>
      </c>
      <c r="G69">
        <f t="shared" si="3"/>
        <v>15519</v>
      </c>
      <c r="H69" s="16" t="s">
        <v>978</v>
      </c>
      <c r="J69" t="s">
        <v>99</v>
      </c>
    </row>
    <row r="70" spans="1:10">
      <c r="A70" t="str">
        <f t="shared" si="2"/>
        <v>گيلانآستانه اشرفيه</v>
      </c>
      <c r="B70" s="12" t="s">
        <v>39</v>
      </c>
      <c r="C70" s="12" t="s">
        <v>42</v>
      </c>
      <c r="D70" s="12" t="s">
        <v>478</v>
      </c>
      <c r="E70" s="12">
        <v>6.0835516389117737E-2</v>
      </c>
      <c r="F70" s="12">
        <v>108029</v>
      </c>
      <c r="G70">
        <f t="shared" si="3"/>
        <v>6572</v>
      </c>
      <c r="H70" s="16" t="s">
        <v>978</v>
      </c>
      <c r="J70" t="s">
        <v>101</v>
      </c>
    </row>
    <row r="71" spans="1:10">
      <c r="A71" t="str">
        <f t="shared" si="2"/>
        <v>گيلانآستانه اشرفيه</v>
      </c>
      <c r="B71" s="12" t="s">
        <v>39</v>
      </c>
      <c r="C71" s="12" t="s">
        <v>42</v>
      </c>
      <c r="D71" s="12" t="s">
        <v>20</v>
      </c>
      <c r="E71" s="12">
        <v>6.2307343398531875E-2</v>
      </c>
      <c r="F71" s="12">
        <v>108029</v>
      </c>
      <c r="G71">
        <f t="shared" si="3"/>
        <v>6731</v>
      </c>
      <c r="H71" s="16" t="s">
        <v>978</v>
      </c>
      <c r="J71" t="s">
        <v>102</v>
      </c>
    </row>
    <row r="72" spans="1:10">
      <c r="A72" t="str">
        <f t="shared" si="2"/>
        <v>گيلانبندرانزلي</v>
      </c>
      <c r="B72" s="12" t="s">
        <v>39</v>
      </c>
      <c r="C72" s="12" t="s">
        <v>43</v>
      </c>
      <c r="D72" s="12" t="s">
        <v>480</v>
      </c>
      <c r="E72" s="12">
        <v>0.31360748197329907</v>
      </c>
      <c r="F72" s="12">
        <v>140070</v>
      </c>
      <c r="G72">
        <f t="shared" si="3"/>
        <v>43927</v>
      </c>
      <c r="H72" s="16" t="s">
        <v>984</v>
      </c>
      <c r="J72" t="s">
        <v>103</v>
      </c>
    </row>
    <row r="73" spans="1:10">
      <c r="A73" t="str">
        <f t="shared" si="2"/>
        <v>گيلانبندرانزلي</v>
      </c>
      <c r="B73" s="12" t="s">
        <v>39</v>
      </c>
      <c r="C73" s="12" t="s">
        <v>43</v>
      </c>
      <c r="D73" s="12" t="s">
        <v>479</v>
      </c>
      <c r="E73" s="12">
        <v>0.42320268437209968</v>
      </c>
      <c r="F73" s="12">
        <v>140070</v>
      </c>
      <c r="G73">
        <f t="shared" si="3"/>
        <v>59278</v>
      </c>
      <c r="H73" s="16" t="s">
        <v>984</v>
      </c>
      <c r="J73" t="s">
        <v>104</v>
      </c>
    </row>
    <row r="74" spans="1:10">
      <c r="A74" t="str">
        <f t="shared" si="2"/>
        <v>گيلانبندرانزلي</v>
      </c>
      <c r="B74" s="12" t="s">
        <v>39</v>
      </c>
      <c r="C74" s="12" t="s">
        <v>43</v>
      </c>
      <c r="D74" s="12" t="s">
        <v>22</v>
      </c>
      <c r="E74" s="12">
        <v>0.14814021560648247</v>
      </c>
      <c r="F74" s="12">
        <v>140070</v>
      </c>
      <c r="G74">
        <f t="shared" si="3"/>
        <v>20750</v>
      </c>
      <c r="H74" s="16" t="s">
        <v>984</v>
      </c>
      <c r="J74" t="s">
        <v>105</v>
      </c>
    </row>
    <row r="75" spans="1:10">
      <c r="A75" t="str">
        <f t="shared" si="2"/>
        <v>گيلانبندرانزلي</v>
      </c>
      <c r="B75" s="12" t="s">
        <v>39</v>
      </c>
      <c r="C75" s="12" t="s">
        <v>43</v>
      </c>
      <c r="D75" s="12" t="s">
        <v>478</v>
      </c>
      <c r="E75" s="12">
        <v>6.0855286642393092E-2</v>
      </c>
      <c r="F75" s="12">
        <v>140070</v>
      </c>
      <c r="G75">
        <f t="shared" si="3"/>
        <v>8524</v>
      </c>
      <c r="H75" s="16" t="s">
        <v>984</v>
      </c>
      <c r="J75" t="s">
        <v>106</v>
      </c>
    </row>
    <row r="76" spans="1:10">
      <c r="A76" t="str">
        <f t="shared" si="2"/>
        <v>گيلانبندرانزلي</v>
      </c>
      <c r="B76" s="12" t="s">
        <v>39</v>
      </c>
      <c r="C76" s="12" t="s">
        <v>43</v>
      </c>
      <c r="D76" s="12" t="s">
        <v>20</v>
      </c>
      <c r="E76" s="12">
        <v>5.4222888555722139E-2</v>
      </c>
      <c r="F76" s="12">
        <v>140070</v>
      </c>
      <c r="G76">
        <f t="shared" si="3"/>
        <v>7595</v>
      </c>
      <c r="H76" s="16" t="s">
        <v>984</v>
      </c>
      <c r="J76" t="s">
        <v>107</v>
      </c>
    </row>
    <row r="77" spans="1:10">
      <c r="A77" t="str">
        <f t="shared" si="2"/>
        <v>گيلانتالش</v>
      </c>
      <c r="B77" s="12" t="s">
        <v>39</v>
      </c>
      <c r="C77" s="12" t="s">
        <v>44</v>
      </c>
      <c r="D77" s="12" t="s">
        <v>480</v>
      </c>
      <c r="E77" s="12">
        <v>0.42190557398380396</v>
      </c>
      <c r="F77" s="12">
        <v>202889</v>
      </c>
      <c r="G77">
        <f t="shared" si="3"/>
        <v>85600</v>
      </c>
      <c r="H77" s="16" t="s">
        <v>980</v>
      </c>
      <c r="J77" t="s">
        <v>108</v>
      </c>
    </row>
    <row r="78" spans="1:10">
      <c r="A78" t="str">
        <f t="shared" si="2"/>
        <v>گيلانتالش</v>
      </c>
      <c r="B78" s="12" t="s">
        <v>39</v>
      </c>
      <c r="C78" s="12" t="s">
        <v>44</v>
      </c>
      <c r="D78" s="12" t="s">
        <v>479</v>
      </c>
      <c r="E78" s="12">
        <v>0.40068707519875402</v>
      </c>
      <c r="F78" s="12">
        <v>202889</v>
      </c>
      <c r="G78">
        <f t="shared" si="3"/>
        <v>81295</v>
      </c>
      <c r="H78" s="16" t="s">
        <v>980</v>
      </c>
      <c r="J78" t="s">
        <v>109</v>
      </c>
    </row>
    <row r="79" spans="1:10">
      <c r="A79" t="str">
        <f t="shared" si="2"/>
        <v>گيلانتالش</v>
      </c>
      <c r="B79" s="12" t="s">
        <v>39</v>
      </c>
      <c r="C79" s="12" t="s">
        <v>44</v>
      </c>
      <c r="D79" s="12" t="s">
        <v>22</v>
      </c>
      <c r="E79" s="12">
        <v>0.10618121238706879</v>
      </c>
      <c r="F79" s="12">
        <v>202889</v>
      </c>
      <c r="G79">
        <f t="shared" si="3"/>
        <v>21543</v>
      </c>
      <c r="H79" s="16" t="s">
        <v>980</v>
      </c>
      <c r="J79" t="s">
        <v>110</v>
      </c>
    </row>
    <row r="80" spans="1:10">
      <c r="A80" t="str">
        <f t="shared" si="2"/>
        <v>گيلانتالش</v>
      </c>
      <c r="B80" s="12" t="s">
        <v>39</v>
      </c>
      <c r="C80" s="12" t="s">
        <v>44</v>
      </c>
      <c r="D80" s="12" t="s">
        <v>478</v>
      </c>
      <c r="E80" s="12">
        <v>3.80503625134926E-2</v>
      </c>
      <c r="F80" s="12">
        <v>202889</v>
      </c>
      <c r="G80">
        <f t="shared" si="3"/>
        <v>7720</v>
      </c>
      <c r="H80" s="16" t="s">
        <v>980</v>
      </c>
      <c r="J80" t="s">
        <v>111</v>
      </c>
    </row>
    <row r="81" spans="1:10">
      <c r="A81" t="str">
        <f t="shared" si="2"/>
        <v>گيلانتالش</v>
      </c>
      <c r="B81" s="12" t="s">
        <v>39</v>
      </c>
      <c r="C81" s="12" t="s">
        <v>44</v>
      </c>
      <c r="D81" s="12" t="s">
        <v>20</v>
      </c>
      <c r="E81" s="12">
        <v>3.3146203096274321E-2</v>
      </c>
      <c r="F81" s="12">
        <v>202889</v>
      </c>
      <c r="G81">
        <f t="shared" si="3"/>
        <v>6725</v>
      </c>
      <c r="H81" s="16" t="s">
        <v>980</v>
      </c>
      <c r="J81" t="s">
        <v>112</v>
      </c>
    </row>
    <row r="82" spans="1:10">
      <c r="A82" t="str">
        <f t="shared" si="2"/>
        <v>گيلانرشت</v>
      </c>
      <c r="B82" s="12" t="s">
        <v>39</v>
      </c>
      <c r="C82" s="12" t="s">
        <v>45</v>
      </c>
      <c r="D82" s="12" t="s">
        <v>480</v>
      </c>
      <c r="E82" s="12">
        <v>0.3381420855237024</v>
      </c>
      <c r="F82" s="12">
        <v>969205</v>
      </c>
      <c r="G82">
        <f t="shared" si="3"/>
        <v>327729</v>
      </c>
      <c r="H82" s="16" t="s">
        <v>985</v>
      </c>
      <c r="J82" t="s">
        <v>113</v>
      </c>
    </row>
    <row r="83" spans="1:10">
      <c r="A83" t="str">
        <f t="shared" si="2"/>
        <v>گيلانرشت</v>
      </c>
      <c r="B83" s="12" t="s">
        <v>39</v>
      </c>
      <c r="C83" s="12" t="s">
        <v>45</v>
      </c>
      <c r="D83" s="12" t="s">
        <v>479</v>
      </c>
      <c r="E83" s="12">
        <v>0.43491315046868312</v>
      </c>
      <c r="F83" s="12">
        <v>969205</v>
      </c>
      <c r="G83">
        <f t="shared" si="3"/>
        <v>421520</v>
      </c>
      <c r="H83" s="16" t="s">
        <v>985</v>
      </c>
      <c r="J83" t="s">
        <v>114</v>
      </c>
    </row>
    <row r="84" spans="1:10">
      <c r="A84" t="str">
        <f t="shared" si="2"/>
        <v>گيلانرشت</v>
      </c>
      <c r="B84" s="12" t="s">
        <v>39</v>
      </c>
      <c r="C84" s="12" t="s">
        <v>45</v>
      </c>
      <c r="D84" s="12" t="s">
        <v>22</v>
      </c>
      <c r="E84" s="12">
        <v>0.13498382695095465</v>
      </c>
      <c r="F84" s="12">
        <v>969205</v>
      </c>
      <c r="G84">
        <f t="shared" si="3"/>
        <v>130827</v>
      </c>
      <c r="H84" s="16" t="s">
        <v>985</v>
      </c>
      <c r="J84" t="s">
        <v>115</v>
      </c>
    </row>
    <row r="85" spans="1:10">
      <c r="A85" t="str">
        <f t="shared" si="2"/>
        <v>گيلانرشت</v>
      </c>
      <c r="B85" s="12" t="s">
        <v>39</v>
      </c>
      <c r="C85" s="12" t="s">
        <v>45</v>
      </c>
      <c r="D85" s="12" t="s">
        <v>478</v>
      </c>
      <c r="E85" s="12">
        <v>4.9186704567145238E-2</v>
      </c>
      <c r="F85" s="12">
        <v>969205</v>
      </c>
      <c r="G85">
        <f t="shared" si="3"/>
        <v>47672</v>
      </c>
      <c r="H85" s="16" t="s">
        <v>985</v>
      </c>
      <c r="J85" t="s">
        <v>116</v>
      </c>
    </row>
    <row r="86" spans="1:10">
      <c r="A86" t="str">
        <f t="shared" si="2"/>
        <v>گيلانرشت</v>
      </c>
      <c r="B86" s="12" t="s">
        <v>39</v>
      </c>
      <c r="C86" s="12" t="s">
        <v>45</v>
      </c>
      <c r="D86" s="12" t="s">
        <v>20</v>
      </c>
      <c r="E86" s="12">
        <v>4.2771137169123147E-2</v>
      </c>
      <c r="F86" s="12">
        <v>969205</v>
      </c>
      <c r="G86">
        <f t="shared" si="3"/>
        <v>41454</v>
      </c>
      <c r="H86" s="16" t="s">
        <v>985</v>
      </c>
      <c r="J86" t="s">
        <v>117</v>
      </c>
    </row>
    <row r="87" spans="1:10">
      <c r="A87" t="str">
        <f t="shared" si="2"/>
        <v>گيلانرودبار</v>
      </c>
      <c r="B87" s="12" t="s">
        <v>39</v>
      </c>
      <c r="C87" s="12" t="s">
        <v>46</v>
      </c>
      <c r="D87" s="12" t="s">
        <v>480</v>
      </c>
      <c r="E87" s="12">
        <v>0.36422223873783005</v>
      </c>
      <c r="F87" s="12">
        <v>94187</v>
      </c>
      <c r="G87">
        <f t="shared" si="3"/>
        <v>34305</v>
      </c>
      <c r="H87" s="16" t="s">
        <v>986</v>
      </c>
      <c r="J87" t="s">
        <v>119</v>
      </c>
    </row>
    <row r="88" spans="1:10">
      <c r="A88" t="str">
        <f t="shared" si="2"/>
        <v>گيلانرودبار</v>
      </c>
      <c r="B88" s="12" t="s">
        <v>39</v>
      </c>
      <c r="C88" s="12" t="s">
        <v>46</v>
      </c>
      <c r="D88" s="12" t="s">
        <v>479</v>
      </c>
      <c r="E88" s="12">
        <v>0.40000212343529362</v>
      </c>
      <c r="F88" s="12">
        <v>94187</v>
      </c>
      <c r="G88">
        <f t="shared" si="3"/>
        <v>37675</v>
      </c>
      <c r="H88" s="16" t="s">
        <v>986</v>
      </c>
      <c r="J88" t="s">
        <v>120</v>
      </c>
    </row>
    <row r="89" spans="1:10">
      <c r="A89" t="str">
        <f t="shared" si="2"/>
        <v>گيلانرودبار</v>
      </c>
      <c r="B89" s="12" t="s">
        <v>39</v>
      </c>
      <c r="C89" s="12" t="s">
        <v>46</v>
      </c>
      <c r="D89" s="12" t="s">
        <v>22</v>
      </c>
      <c r="E89" s="12">
        <v>0.1256011976175056</v>
      </c>
      <c r="F89" s="12">
        <v>94187</v>
      </c>
      <c r="G89">
        <f t="shared" si="3"/>
        <v>11830</v>
      </c>
      <c r="H89" s="16" t="s">
        <v>986</v>
      </c>
      <c r="J89" t="s">
        <v>118</v>
      </c>
    </row>
    <row r="90" spans="1:10">
      <c r="A90" t="str">
        <f t="shared" si="2"/>
        <v>گيلانرودبار</v>
      </c>
      <c r="B90" s="12" t="s">
        <v>39</v>
      </c>
      <c r="C90" s="12" t="s">
        <v>46</v>
      </c>
      <c r="D90" s="12" t="s">
        <v>478</v>
      </c>
      <c r="E90" s="12">
        <v>5.3744147281471963E-2</v>
      </c>
      <c r="F90" s="12">
        <v>94187</v>
      </c>
      <c r="G90">
        <f t="shared" si="3"/>
        <v>5062</v>
      </c>
      <c r="H90" s="16" t="s">
        <v>986</v>
      </c>
      <c r="J90" t="s">
        <v>121</v>
      </c>
    </row>
    <row r="91" spans="1:10">
      <c r="A91" t="str">
        <f t="shared" si="2"/>
        <v>گيلانرودبار</v>
      </c>
      <c r="B91" s="12" t="s">
        <v>39</v>
      </c>
      <c r="C91" s="12" t="s">
        <v>46</v>
      </c>
      <c r="D91" s="12" t="s">
        <v>20</v>
      </c>
      <c r="E91" s="12">
        <v>5.6483378810239203E-2</v>
      </c>
      <c r="F91" s="12">
        <v>94187</v>
      </c>
      <c r="G91">
        <f t="shared" si="3"/>
        <v>5320</v>
      </c>
      <c r="H91" s="16" t="s">
        <v>986</v>
      </c>
      <c r="J91" t="s">
        <v>122</v>
      </c>
    </row>
    <row r="92" spans="1:10">
      <c r="A92" t="str">
        <f t="shared" si="2"/>
        <v>گيلانرودسر</v>
      </c>
      <c r="B92" s="12" t="s">
        <v>39</v>
      </c>
      <c r="C92" s="12" t="s">
        <v>47</v>
      </c>
      <c r="D92" s="12" t="s">
        <v>480</v>
      </c>
      <c r="E92" s="12">
        <v>0.31012508050574555</v>
      </c>
      <c r="F92" s="12">
        <v>147505</v>
      </c>
      <c r="G92">
        <f t="shared" si="3"/>
        <v>45745</v>
      </c>
      <c r="H92" s="16" t="s">
        <v>983</v>
      </c>
      <c r="J92" t="s">
        <v>123</v>
      </c>
    </row>
    <row r="93" spans="1:10">
      <c r="A93" t="str">
        <f t="shared" si="2"/>
        <v>گيلانرودسر</v>
      </c>
      <c r="B93" s="12" t="s">
        <v>39</v>
      </c>
      <c r="C93" s="12" t="s">
        <v>47</v>
      </c>
      <c r="D93" s="12" t="s">
        <v>479</v>
      </c>
      <c r="E93" s="12">
        <v>0.41394528999016983</v>
      </c>
      <c r="F93" s="12">
        <v>147505</v>
      </c>
      <c r="G93">
        <f t="shared" si="3"/>
        <v>61059</v>
      </c>
      <c r="H93" s="16" t="s">
        <v>983</v>
      </c>
      <c r="J93" t="s">
        <v>124</v>
      </c>
    </row>
    <row r="94" spans="1:10">
      <c r="A94" t="str">
        <f t="shared" si="2"/>
        <v>گيلانرودسر</v>
      </c>
      <c r="B94" s="12" t="s">
        <v>39</v>
      </c>
      <c r="C94" s="12" t="s">
        <v>47</v>
      </c>
      <c r="D94" s="12" t="s">
        <v>22</v>
      </c>
      <c r="E94" s="12">
        <v>0.14967628215992679</v>
      </c>
      <c r="F94" s="12">
        <v>147505</v>
      </c>
      <c r="G94">
        <f t="shared" si="3"/>
        <v>22078</v>
      </c>
      <c r="H94" s="16" t="s">
        <v>983</v>
      </c>
      <c r="J94" t="s">
        <v>125</v>
      </c>
    </row>
    <row r="95" spans="1:10">
      <c r="A95" t="str">
        <f t="shared" si="2"/>
        <v>گيلانرودسر</v>
      </c>
      <c r="B95" s="12" t="s">
        <v>39</v>
      </c>
      <c r="C95" s="12" t="s">
        <v>47</v>
      </c>
      <c r="D95" s="12" t="s">
        <v>478</v>
      </c>
      <c r="E95" s="12">
        <v>6.317073997491611E-2</v>
      </c>
      <c r="F95" s="12">
        <v>147505</v>
      </c>
      <c r="G95">
        <f t="shared" si="3"/>
        <v>9318</v>
      </c>
      <c r="H95" s="16" t="s">
        <v>983</v>
      </c>
      <c r="J95" t="s">
        <v>126</v>
      </c>
    </row>
    <row r="96" spans="1:10">
      <c r="A96" t="str">
        <f t="shared" si="2"/>
        <v>گيلانرودسر</v>
      </c>
      <c r="B96" s="12" t="s">
        <v>39</v>
      </c>
      <c r="C96" s="12" t="s">
        <v>47</v>
      </c>
      <c r="D96" s="12" t="s">
        <v>20</v>
      </c>
      <c r="E96" s="12">
        <v>6.305548964441883E-2</v>
      </c>
      <c r="F96" s="12">
        <v>147505</v>
      </c>
      <c r="G96">
        <f t="shared" si="3"/>
        <v>9301</v>
      </c>
      <c r="H96" s="16" t="s">
        <v>983</v>
      </c>
      <c r="J96" t="s">
        <v>127</v>
      </c>
    </row>
    <row r="97" spans="1:10">
      <c r="A97" t="str">
        <f t="shared" si="2"/>
        <v>گيلانصومعه سرا</v>
      </c>
      <c r="B97" s="12" t="s">
        <v>39</v>
      </c>
      <c r="C97" s="12" t="s">
        <v>48</v>
      </c>
      <c r="D97" s="12" t="s">
        <v>480</v>
      </c>
      <c r="E97" s="12">
        <v>0.34207847380866496</v>
      </c>
      <c r="F97" s="12">
        <v>124755</v>
      </c>
      <c r="G97">
        <f t="shared" si="3"/>
        <v>42676</v>
      </c>
      <c r="H97" s="16" t="s">
        <v>973</v>
      </c>
      <c r="J97" t="s">
        <v>128</v>
      </c>
    </row>
    <row r="98" spans="1:10">
      <c r="A98" t="str">
        <f t="shared" si="2"/>
        <v>گيلانصومعه سرا</v>
      </c>
      <c r="B98" s="12" t="s">
        <v>39</v>
      </c>
      <c r="C98" s="12" t="s">
        <v>48</v>
      </c>
      <c r="D98" s="12" t="s">
        <v>479</v>
      </c>
      <c r="E98" s="12">
        <v>0.41058875395775718</v>
      </c>
      <c r="F98" s="12">
        <v>124755</v>
      </c>
      <c r="G98">
        <f t="shared" si="3"/>
        <v>51223</v>
      </c>
      <c r="H98" s="16" t="s">
        <v>973</v>
      </c>
      <c r="J98" t="s">
        <v>129</v>
      </c>
    </row>
    <row r="99" spans="1:10">
      <c r="A99" t="str">
        <f t="shared" si="2"/>
        <v>گيلانصومعه سرا</v>
      </c>
      <c r="B99" s="12" t="s">
        <v>39</v>
      </c>
      <c r="C99" s="12" t="s">
        <v>48</v>
      </c>
      <c r="D99" s="12" t="s">
        <v>22</v>
      </c>
      <c r="E99" s="12">
        <v>0.13893631517774838</v>
      </c>
      <c r="F99" s="12">
        <v>124755</v>
      </c>
      <c r="G99">
        <f t="shared" si="3"/>
        <v>17333</v>
      </c>
      <c r="H99" s="16" t="s">
        <v>973</v>
      </c>
      <c r="J99" t="s">
        <v>130</v>
      </c>
    </row>
    <row r="100" spans="1:10">
      <c r="A100" t="str">
        <f t="shared" si="2"/>
        <v>گيلانصومعه سرا</v>
      </c>
      <c r="B100" s="12" t="s">
        <v>39</v>
      </c>
      <c r="C100" s="12" t="s">
        <v>48</v>
      </c>
      <c r="D100" s="12" t="s">
        <v>478</v>
      </c>
      <c r="E100" s="12">
        <v>5.4747304717245801E-2</v>
      </c>
      <c r="F100" s="12">
        <v>124755</v>
      </c>
      <c r="G100">
        <f t="shared" si="3"/>
        <v>6830</v>
      </c>
      <c r="H100" s="16" t="s">
        <v>973</v>
      </c>
      <c r="J100" t="s">
        <v>131</v>
      </c>
    </row>
    <row r="101" spans="1:10">
      <c r="A101" t="str">
        <f t="shared" si="2"/>
        <v>گيلانصومعه سرا</v>
      </c>
      <c r="B101" s="12" t="s">
        <v>39</v>
      </c>
      <c r="C101" s="12" t="s">
        <v>48</v>
      </c>
      <c r="D101" s="12" t="s">
        <v>20</v>
      </c>
      <c r="E101" s="12">
        <v>5.3673199470963086E-2</v>
      </c>
      <c r="F101" s="12">
        <v>124755</v>
      </c>
      <c r="G101">
        <f t="shared" si="3"/>
        <v>6696</v>
      </c>
      <c r="H101" s="16" t="s">
        <v>973</v>
      </c>
      <c r="J101" t="s">
        <v>133</v>
      </c>
    </row>
    <row r="102" spans="1:10">
      <c r="A102" t="str">
        <f t="shared" si="2"/>
        <v>گيلانفومن</v>
      </c>
      <c r="B102" s="12" t="s">
        <v>39</v>
      </c>
      <c r="C102" s="12" t="s">
        <v>49</v>
      </c>
      <c r="D102" s="12" t="s">
        <v>480</v>
      </c>
      <c r="E102" s="12">
        <v>0.32462743391711085</v>
      </c>
      <c r="F102" s="12">
        <v>91930</v>
      </c>
      <c r="G102">
        <f t="shared" si="3"/>
        <v>29843</v>
      </c>
      <c r="H102" s="16" t="s">
        <v>976</v>
      </c>
      <c r="J102" t="s">
        <v>134</v>
      </c>
    </row>
    <row r="103" spans="1:10">
      <c r="A103" t="str">
        <f t="shared" si="2"/>
        <v>گيلانفومن</v>
      </c>
      <c r="B103" s="12" t="s">
        <v>39</v>
      </c>
      <c r="C103" s="12" t="s">
        <v>49</v>
      </c>
      <c r="D103" s="12" t="s">
        <v>479</v>
      </c>
      <c r="E103" s="12">
        <v>0.40823452626998802</v>
      </c>
      <c r="F103" s="12">
        <v>91930</v>
      </c>
      <c r="G103">
        <f t="shared" si="3"/>
        <v>37529</v>
      </c>
      <c r="H103" s="16" t="s">
        <v>976</v>
      </c>
      <c r="J103" t="s">
        <v>135</v>
      </c>
    </row>
    <row r="104" spans="1:10">
      <c r="A104" t="str">
        <f t="shared" si="2"/>
        <v>گيلانفومن</v>
      </c>
      <c r="B104" s="12" t="s">
        <v>39</v>
      </c>
      <c r="C104" s="12" t="s">
        <v>49</v>
      </c>
      <c r="D104" s="12" t="s">
        <v>22</v>
      </c>
      <c r="E104" s="12">
        <v>0.14808006091591427</v>
      </c>
      <c r="F104" s="12">
        <v>91930</v>
      </c>
      <c r="G104">
        <f t="shared" si="3"/>
        <v>13613</v>
      </c>
      <c r="H104" s="16" t="s">
        <v>976</v>
      </c>
      <c r="J104" t="s">
        <v>136</v>
      </c>
    </row>
    <row r="105" spans="1:10">
      <c r="A105" t="str">
        <f t="shared" si="2"/>
        <v>گيلانفومن</v>
      </c>
      <c r="B105" s="12" t="s">
        <v>39</v>
      </c>
      <c r="C105" s="12" t="s">
        <v>49</v>
      </c>
      <c r="D105" s="12" t="s">
        <v>478</v>
      </c>
      <c r="E105" s="12">
        <v>5.9882519308169256E-2</v>
      </c>
      <c r="F105" s="12">
        <v>91930</v>
      </c>
      <c r="G105">
        <f t="shared" si="3"/>
        <v>5505</v>
      </c>
      <c r="H105" s="16" t="s">
        <v>976</v>
      </c>
      <c r="J105" t="s">
        <v>137</v>
      </c>
    </row>
    <row r="106" spans="1:10">
      <c r="A106" t="str">
        <f t="shared" si="2"/>
        <v>گيلانفومن</v>
      </c>
      <c r="B106" s="12" t="s">
        <v>39</v>
      </c>
      <c r="C106" s="12" t="s">
        <v>49</v>
      </c>
      <c r="D106" s="12" t="s">
        <v>20</v>
      </c>
      <c r="E106" s="12">
        <v>5.9186337430653761E-2</v>
      </c>
      <c r="F106" s="12">
        <v>91930</v>
      </c>
      <c r="G106">
        <f t="shared" si="3"/>
        <v>5441</v>
      </c>
      <c r="H106" s="16" t="s">
        <v>976</v>
      </c>
      <c r="J106" t="s">
        <v>138</v>
      </c>
    </row>
    <row r="107" spans="1:10">
      <c r="A107" t="str">
        <f t="shared" si="2"/>
        <v>گيلانلنگرود</v>
      </c>
      <c r="B107" s="12" t="s">
        <v>39</v>
      </c>
      <c r="C107" s="12" t="s">
        <v>50</v>
      </c>
      <c r="D107" s="12" t="s">
        <v>480</v>
      </c>
      <c r="E107" s="12">
        <v>0.31885296860428969</v>
      </c>
      <c r="F107" s="12">
        <v>141548</v>
      </c>
      <c r="G107">
        <f t="shared" si="3"/>
        <v>45133</v>
      </c>
      <c r="H107" s="16" t="s">
        <v>975</v>
      </c>
      <c r="J107" t="s">
        <v>139</v>
      </c>
    </row>
    <row r="108" spans="1:10">
      <c r="A108" t="str">
        <f t="shared" si="2"/>
        <v>گيلانلنگرود</v>
      </c>
      <c r="B108" s="12" t="s">
        <v>39</v>
      </c>
      <c r="C108" s="12" t="s">
        <v>50</v>
      </c>
      <c r="D108" s="12" t="s">
        <v>479</v>
      </c>
      <c r="E108" s="12">
        <v>0.42152485375985532</v>
      </c>
      <c r="F108" s="12">
        <v>141548</v>
      </c>
      <c r="G108">
        <f t="shared" si="3"/>
        <v>59666</v>
      </c>
      <c r="H108" s="16" t="s">
        <v>975</v>
      </c>
      <c r="J108" t="s">
        <v>140</v>
      </c>
    </row>
    <row r="109" spans="1:10">
      <c r="A109" t="str">
        <f t="shared" si="2"/>
        <v>گيلانلنگرود</v>
      </c>
      <c r="B109" s="12" t="s">
        <v>39</v>
      </c>
      <c r="C109" s="12" t="s">
        <v>50</v>
      </c>
      <c r="D109" s="12" t="s">
        <v>22</v>
      </c>
      <c r="E109" s="12">
        <v>0.14392290954305254</v>
      </c>
      <c r="F109" s="12">
        <v>141548</v>
      </c>
      <c r="G109">
        <f t="shared" si="3"/>
        <v>20372</v>
      </c>
      <c r="H109" s="16" t="s">
        <v>975</v>
      </c>
      <c r="J109" t="s">
        <v>141</v>
      </c>
    </row>
    <row r="110" spans="1:10">
      <c r="A110" t="str">
        <f t="shared" si="2"/>
        <v>گيلانلنگرود</v>
      </c>
      <c r="B110" s="12" t="s">
        <v>39</v>
      </c>
      <c r="C110" s="12" t="s">
        <v>50</v>
      </c>
      <c r="D110" s="12" t="s">
        <v>478</v>
      </c>
      <c r="E110" s="12">
        <v>5.9096560883940427E-2</v>
      </c>
      <c r="F110" s="12">
        <v>141548</v>
      </c>
      <c r="G110">
        <f t="shared" si="3"/>
        <v>8365</v>
      </c>
      <c r="H110" s="16" t="s">
        <v>975</v>
      </c>
      <c r="J110" t="s">
        <v>142</v>
      </c>
    </row>
    <row r="111" spans="1:10">
      <c r="A111" t="str">
        <f t="shared" si="2"/>
        <v>گيلانلنگرود</v>
      </c>
      <c r="B111" s="12" t="s">
        <v>39</v>
      </c>
      <c r="C111" s="12" t="s">
        <v>50</v>
      </c>
      <c r="D111" s="12" t="s">
        <v>20</v>
      </c>
      <c r="E111" s="12">
        <v>5.6645095656597054E-2</v>
      </c>
      <c r="F111" s="12">
        <v>141548</v>
      </c>
      <c r="G111">
        <f t="shared" si="3"/>
        <v>8018</v>
      </c>
      <c r="H111" s="16" t="s">
        <v>975</v>
      </c>
      <c r="J111" t="s">
        <v>143</v>
      </c>
    </row>
    <row r="112" spans="1:10">
      <c r="A112" t="str">
        <f t="shared" si="2"/>
        <v>گيلانلاهيجان</v>
      </c>
      <c r="B112" s="12" t="s">
        <v>39</v>
      </c>
      <c r="C112" s="12" t="s">
        <v>51</v>
      </c>
      <c r="D112" s="12" t="s">
        <v>480</v>
      </c>
      <c r="E112" s="12">
        <v>0.31071860117989908</v>
      </c>
      <c r="F112" s="12">
        <v>168828</v>
      </c>
      <c r="G112">
        <f t="shared" si="3"/>
        <v>52458</v>
      </c>
      <c r="H112" s="16" t="s">
        <v>979</v>
      </c>
      <c r="J112" t="s">
        <v>144</v>
      </c>
    </row>
    <row r="113" spans="1:10">
      <c r="A113" t="str">
        <f t="shared" si="2"/>
        <v>گيلانلاهيجان</v>
      </c>
      <c r="B113" s="12" t="s">
        <v>39</v>
      </c>
      <c r="C113" s="12" t="s">
        <v>51</v>
      </c>
      <c r="D113" s="12" t="s">
        <v>479</v>
      </c>
      <c r="E113" s="12">
        <v>0.41955718245788615</v>
      </c>
      <c r="F113" s="12">
        <v>168828</v>
      </c>
      <c r="G113">
        <f t="shared" si="3"/>
        <v>70833</v>
      </c>
      <c r="H113" s="16" t="s">
        <v>979</v>
      </c>
      <c r="J113" t="s">
        <v>145</v>
      </c>
    </row>
    <row r="114" spans="1:10">
      <c r="A114" t="str">
        <f t="shared" si="2"/>
        <v>گيلانلاهيجان</v>
      </c>
      <c r="B114" s="12" t="s">
        <v>39</v>
      </c>
      <c r="C114" s="12" t="s">
        <v>51</v>
      </c>
      <c r="D114" s="12" t="s">
        <v>22</v>
      </c>
      <c r="E114" s="12">
        <v>0.1452424953206814</v>
      </c>
      <c r="F114" s="12">
        <v>168828</v>
      </c>
      <c r="G114">
        <f t="shared" si="3"/>
        <v>24521</v>
      </c>
      <c r="H114" s="16" t="s">
        <v>979</v>
      </c>
      <c r="J114" t="s">
        <v>146</v>
      </c>
    </row>
    <row r="115" spans="1:10">
      <c r="A115" t="str">
        <f t="shared" si="2"/>
        <v>گيلانلاهيجان</v>
      </c>
      <c r="B115" s="12" t="s">
        <v>39</v>
      </c>
      <c r="C115" s="12" t="s">
        <v>51</v>
      </c>
      <c r="D115" s="12" t="s">
        <v>478</v>
      </c>
      <c r="E115" s="12">
        <v>6.235340109460516E-2</v>
      </c>
      <c r="F115" s="12">
        <v>168828</v>
      </c>
      <c r="G115">
        <f t="shared" si="3"/>
        <v>10527</v>
      </c>
      <c r="H115" s="16" t="s">
        <v>979</v>
      </c>
      <c r="J115" t="s">
        <v>147</v>
      </c>
    </row>
    <row r="116" spans="1:10">
      <c r="A116" t="str">
        <f t="shared" si="2"/>
        <v>گيلانلاهيجان</v>
      </c>
      <c r="B116" s="12" t="s">
        <v>39</v>
      </c>
      <c r="C116" s="12" t="s">
        <v>51</v>
      </c>
      <c r="D116" s="12" t="s">
        <v>20</v>
      </c>
      <c r="E116" s="12">
        <v>6.2128319946928232E-2</v>
      </c>
      <c r="F116" s="12">
        <v>168828</v>
      </c>
      <c r="G116">
        <f t="shared" si="3"/>
        <v>10489</v>
      </c>
      <c r="H116" s="16" t="s">
        <v>979</v>
      </c>
      <c r="J116" t="s">
        <v>148</v>
      </c>
    </row>
    <row r="117" spans="1:10">
      <c r="A117" t="str">
        <f t="shared" si="2"/>
        <v>گيلانشفت</v>
      </c>
      <c r="B117" s="12" t="s">
        <v>39</v>
      </c>
      <c r="C117" s="12" t="s">
        <v>52</v>
      </c>
      <c r="D117" s="12" t="s">
        <v>480</v>
      </c>
      <c r="E117" s="12">
        <v>0.30722914095515913</v>
      </c>
      <c r="F117" s="12">
        <v>53478</v>
      </c>
      <c r="G117">
        <f t="shared" si="3"/>
        <v>16430</v>
      </c>
      <c r="H117" s="16" t="s">
        <v>989</v>
      </c>
      <c r="J117" t="s">
        <v>149</v>
      </c>
    </row>
    <row r="118" spans="1:10">
      <c r="A118" t="str">
        <f t="shared" si="2"/>
        <v>گيلانشفت</v>
      </c>
      <c r="B118" s="12" t="s">
        <v>39</v>
      </c>
      <c r="C118" s="12" t="s">
        <v>52</v>
      </c>
      <c r="D118" s="12" t="s">
        <v>479</v>
      </c>
      <c r="E118" s="12">
        <v>0.42308986873106696</v>
      </c>
      <c r="F118" s="12">
        <v>53478</v>
      </c>
      <c r="G118">
        <f t="shared" si="3"/>
        <v>22626</v>
      </c>
      <c r="H118" s="16" t="s">
        <v>989</v>
      </c>
      <c r="J118" t="s">
        <v>150</v>
      </c>
    </row>
    <row r="119" spans="1:10">
      <c r="A119" t="str">
        <f t="shared" si="2"/>
        <v>گيلانشفت</v>
      </c>
      <c r="B119" s="12" t="s">
        <v>39</v>
      </c>
      <c r="C119" s="12" t="s">
        <v>52</v>
      </c>
      <c r="D119" s="12" t="s">
        <v>22</v>
      </c>
      <c r="E119" s="12">
        <v>0.14901454803844572</v>
      </c>
      <c r="F119" s="12">
        <v>53478</v>
      </c>
      <c r="G119">
        <f t="shared" si="3"/>
        <v>7969</v>
      </c>
      <c r="H119" s="16" t="s">
        <v>989</v>
      </c>
      <c r="J119" t="s">
        <v>151</v>
      </c>
    </row>
    <row r="120" spans="1:10">
      <c r="A120" t="str">
        <f t="shared" si="2"/>
        <v>گيلانشفت</v>
      </c>
      <c r="B120" s="12" t="s">
        <v>39</v>
      </c>
      <c r="C120" s="12" t="s">
        <v>52</v>
      </c>
      <c r="D120" s="12" t="s">
        <v>478</v>
      </c>
      <c r="E120" s="12">
        <v>6.0716556340925237E-2</v>
      </c>
      <c r="F120" s="12">
        <v>53478</v>
      </c>
      <c r="G120">
        <f t="shared" si="3"/>
        <v>3247</v>
      </c>
      <c r="H120" s="16" t="s">
        <v>989</v>
      </c>
      <c r="J120" t="s">
        <v>152</v>
      </c>
    </row>
    <row r="121" spans="1:10">
      <c r="A121" t="str">
        <f t="shared" si="2"/>
        <v>گيلانشفت</v>
      </c>
      <c r="B121" s="12" t="s">
        <v>39</v>
      </c>
      <c r="C121" s="12" t="s">
        <v>52</v>
      </c>
      <c r="D121" s="12" t="s">
        <v>20</v>
      </c>
      <c r="E121" s="12">
        <v>5.9931186656195068E-2</v>
      </c>
      <c r="F121" s="12">
        <v>53478</v>
      </c>
      <c r="G121">
        <f t="shared" si="3"/>
        <v>3205</v>
      </c>
      <c r="H121" s="16" t="s">
        <v>989</v>
      </c>
      <c r="J121" t="s">
        <v>153</v>
      </c>
    </row>
    <row r="122" spans="1:10">
      <c r="A122" t="str">
        <f t="shared" si="2"/>
        <v>گيلاناملش</v>
      </c>
      <c r="B122" s="12" t="s">
        <v>39</v>
      </c>
      <c r="C122" s="12" t="s">
        <v>53</v>
      </c>
      <c r="D122" s="12" t="s">
        <v>480</v>
      </c>
      <c r="E122" s="12">
        <v>0.30866522517495526</v>
      </c>
      <c r="F122" s="12">
        <v>43011</v>
      </c>
      <c r="G122">
        <f t="shared" si="3"/>
        <v>13276</v>
      </c>
      <c r="H122" s="16" t="s">
        <v>982</v>
      </c>
      <c r="J122" t="s">
        <v>154</v>
      </c>
    </row>
    <row r="123" spans="1:10">
      <c r="A123" t="str">
        <f t="shared" si="2"/>
        <v>گيلاناملش</v>
      </c>
      <c r="B123" s="12" t="s">
        <v>39</v>
      </c>
      <c r="C123" s="12" t="s">
        <v>53</v>
      </c>
      <c r="D123" s="12" t="s">
        <v>479</v>
      </c>
      <c r="E123" s="12">
        <v>0.41424286810350841</v>
      </c>
      <c r="F123" s="12">
        <v>43011</v>
      </c>
      <c r="G123">
        <f t="shared" si="3"/>
        <v>17817</v>
      </c>
      <c r="H123" s="16" t="s">
        <v>982</v>
      </c>
      <c r="J123" t="s">
        <v>155</v>
      </c>
    </row>
    <row r="124" spans="1:10">
      <c r="A124" t="str">
        <f t="shared" si="2"/>
        <v>گيلاناملش</v>
      </c>
      <c r="B124" s="12" t="s">
        <v>39</v>
      </c>
      <c r="C124" s="12" t="s">
        <v>53</v>
      </c>
      <c r="D124" s="12" t="s">
        <v>22</v>
      </c>
      <c r="E124" s="12">
        <v>0.1476599009555695</v>
      </c>
      <c r="F124" s="12">
        <v>43011</v>
      </c>
      <c r="G124">
        <f t="shared" si="3"/>
        <v>6351</v>
      </c>
      <c r="H124" s="16" t="s">
        <v>982</v>
      </c>
      <c r="J124" t="s">
        <v>156</v>
      </c>
    </row>
    <row r="125" spans="1:10">
      <c r="A125" t="str">
        <f t="shared" si="2"/>
        <v>گيلاناملش</v>
      </c>
      <c r="B125" s="12" t="s">
        <v>39</v>
      </c>
      <c r="C125" s="12" t="s">
        <v>53</v>
      </c>
      <c r="D125" s="12" t="s">
        <v>478</v>
      </c>
      <c r="E125" s="12">
        <v>6.3076887307897983E-2</v>
      </c>
      <c r="F125" s="12">
        <v>43011</v>
      </c>
      <c r="G125">
        <f t="shared" si="3"/>
        <v>2713</v>
      </c>
      <c r="H125" s="16" t="s">
        <v>982</v>
      </c>
      <c r="J125" t="s">
        <v>157</v>
      </c>
    </row>
    <row r="126" spans="1:10">
      <c r="A126" t="str">
        <f t="shared" si="2"/>
        <v>گيلاناملش</v>
      </c>
      <c r="B126" s="12" t="s">
        <v>39</v>
      </c>
      <c r="C126" s="12" t="s">
        <v>53</v>
      </c>
      <c r="D126" s="12" t="s">
        <v>20</v>
      </c>
      <c r="E126" s="12">
        <v>6.6424868057008674E-2</v>
      </c>
      <c r="F126" s="12">
        <v>43011</v>
      </c>
      <c r="G126">
        <f t="shared" si="3"/>
        <v>2857</v>
      </c>
      <c r="H126" s="16" t="s">
        <v>982</v>
      </c>
      <c r="J126" t="s">
        <v>158</v>
      </c>
    </row>
    <row r="127" spans="1:10">
      <c r="A127" t="str">
        <f t="shared" si="2"/>
        <v>گيلانرضوانشهر</v>
      </c>
      <c r="B127" s="12" t="s">
        <v>39</v>
      </c>
      <c r="C127" s="12" t="s">
        <v>54</v>
      </c>
      <c r="D127" s="12" t="s">
        <v>480</v>
      </c>
      <c r="E127" s="12">
        <v>0.38510876814576206</v>
      </c>
      <c r="F127" s="12">
        <v>70471</v>
      </c>
      <c r="G127">
        <f t="shared" si="3"/>
        <v>27139</v>
      </c>
      <c r="H127" s="16" t="s">
        <v>988</v>
      </c>
      <c r="J127" t="s">
        <v>159</v>
      </c>
    </row>
    <row r="128" spans="1:10">
      <c r="A128" t="str">
        <f t="shared" si="2"/>
        <v>گيلانرضوانشهر</v>
      </c>
      <c r="B128" s="12" t="s">
        <v>39</v>
      </c>
      <c r="C128" s="12" t="s">
        <v>54</v>
      </c>
      <c r="D128" s="12" t="s">
        <v>479</v>
      </c>
      <c r="E128" s="12">
        <v>0.40755771877793701</v>
      </c>
      <c r="F128" s="12">
        <v>70471</v>
      </c>
      <c r="G128">
        <f t="shared" si="3"/>
        <v>28721</v>
      </c>
      <c r="H128" s="16" t="s">
        <v>988</v>
      </c>
      <c r="J128" t="s">
        <v>161</v>
      </c>
    </row>
    <row r="129" spans="1:10">
      <c r="A129" t="str">
        <f t="shared" si="2"/>
        <v>گيلانرضوانشهر</v>
      </c>
      <c r="B129" s="12" t="s">
        <v>39</v>
      </c>
      <c r="C129" s="12" t="s">
        <v>54</v>
      </c>
      <c r="D129" s="12" t="s">
        <v>22</v>
      </c>
      <c r="E129" s="12">
        <v>0.11935406053553944</v>
      </c>
      <c r="F129" s="12">
        <v>70471</v>
      </c>
      <c r="G129">
        <f t="shared" si="3"/>
        <v>8411</v>
      </c>
      <c r="H129" s="16" t="s">
        <v>988</v>
      </c>
      <c r="J129" t="s">
        <v>162</v>
      </c>
    </row>
    <row r="130" spans="1:10">
      <c r="A130" t="str">
        <f t="shared" ref="A130:A193" si="4">B130&amp;C130</f>
        <v>گيلانرضوانشهر</v>
      </c>
      <c r="B130" s="12" t="s">
        <v>39</v>
      </c>
      <c r="C130" s="12" t="s">
        <v>54</v>
      </c>
      <c r="D130" s="12" t="s">
        <v>478</v>
      </c>
      <c r="E130" s="12">
        <v>4.4940471967192176E-2</v>
      </c>
      <c r="F130" s="12">
        <v>70471</v>
      </c>
      <c r="G130">
        <f t="shared" si="3"/>
        <v>3167</v>
      </c>
      <c r="H130" s="16" t="s">
        <v>988</v>
      </c>
      <c r="J130" t="s">
        <v>163</v>
      </c>
    </row>
    <row r="131" spans="1:10">
      <c r="A131" t="str">
        <f t="shared" si="4"/>
        <v>گيلانرضوانشهر</v>
      </c>
      <c r="B131" s="12" t="s">
        <v>39</v>
      </c>
      <c r="C131" s="12" t="s">
        <v>54</v>
      </c>
      <c r="D131" s="12" t="s">
        <v>20</v>
      </c>
      <c r="E131" s="12">
        <v>4.3053170807850039E-2</v>
      </c>
      <c r="F131" s="12">
        <v>70471</v>
      </c>
      <c r="G131">
        <f t="shared" ref="G131:G194" si="5">IFERROR(ROUND(F131*E131,0),0)</f>
        <v>3034</v>
      </c>
      <c r="H131" s="16" t="s">
        <v>988</v>
      </c>
      <c r="J131" t="s">
        <v>164</v>
      </c>
    </row>
    <row r="132" spans="1:10">
      <c r="A132" t="str">
        <f t="shared" si="4"/>
        <v>گيلانسياهكل</v>
      </c>
      <c r="B132" s="12" t="s">
        <v>39</v>
      </c>
      <c r="C132" s="12" t="s">
        <v>55</v>
      </c>
      <c r="D132" s="12" t="s">
        <v>480</v>
      </c>
      <c r="E132" s="12">
        <v>0.32993067074986177</v>
      </c>
      <c r="F132" s="12">
        <v>47022</v>
      </c>
      <c r="G132">
        <f t="shared" si="5"/>
        <v>15514</v>
      </c>
      <c r="H132" s="16" t="s">
        <v>977</v>
      </c>
      <c r="J132" t="s">
        <v>165</v>
      </c>
    </row>
    <row r="133" spans="1:10">
      <c r="A133" t="str">
        <f t="shared" si="4"/>
        <v>گيلانسياهكل</v>
      </c>
      <c r="B133" s="12" t="s">
        <v>39</v>
      </c>
      <c r="C133" s="12" t="s">
        <v>55</v>
      </c>
      <c r="D133" s="12" t="s">
        <v>479</v>
      </c>
      <c r="E133" s="12">
        <v>0.40155671813193822</v>
      </c>
      <c r="F133" s="12">
        <v>47022</v>
      </c>
      <c r="G133">
        <f t="shared" si="5"/>
        <v>18882</v>
      </c>
      <c r="H133" s="16" t="s">
        <v>977</v>
      </c>
      <c r="J133" t="s">
        <v>166</v>
      </c>
    </row>
    <row r="134" spans="1:10">
      <c r="A134" t="str">
        <f t="shared" si="4"/>
        <v>گيلانسياهكل</v>
      </c>
      <c r="B134" s="12" t="s">
        <v>39</v>
      </c>
      <c r="C134" s="12" t="s">
        <v>55</v>
      </c>
      <c r="D134" s="12" t="s">
        <v>22</v>
      </c>
      <c r="E134" s="12">
        <v>0.14505975926162221</v>
      </c>
      <c r="F134" s="12">
        <v>47022</v>
      </c>
      <c r="G134">
        <f t="shared" si="5"/>
        <v>6821</v>
      </c>
      <c r="H134" s="16" t="s">
        <v>977</v>
      </c>
      <c r="J134" t="s">
        <v>167</v>
      </c>
    </row>
    <row r="135" spans="1:10">
      <c r="A135" t="str">
        <f t="shared" si="4"/>
        <v>گيلانسياهكل</v>
      </c>
      <c r="B135" s="12" t="s">
        <v>39</v>
      </c>
      <c r="C135" s="12" t="s">
        <v>55</v>
      </c>
      <c r="D135" s="12" t="s">
        <v>478</v>
      </c>
      <c r="E135" s="12">
        <v>5.9695461698779297E-2</v>
      </c>
      <c r="F135" s="12">
        <v>47022</v>
      </c>
      <c r="G135">
        <f t="shared" si="5"/>
        <v>2807</v>
      </c>
      <c r="H135" s="16" t="s">
        <v>977</v>
      </c>
      <c r="J135" t="s">
        <v>168</v>
      </c>
    </row>
    <row r="136" spans="1:10">
      <c r="A136" t="str">
        <f t="shared" si="4"/>
        <v>گيلانسياهكل</v>
      </c>
      <c r="B136" s="12" t="s">
        <v>39</v>
      </c>
      <c r="C136" s="12" t="s">
        <v>55</v>
      </c>
      <c r="D136" s="12" t="s">
        <v>20</v>
      </c>
      <c r="E136" s="12">
        <v>6.3821190081238571E-2</v>
      </c>
      <c r="F136" s="12">
        <v>47022</v>
      </c>
      <c r="G136">
        <f t="shared" si="5"/>
        <v>3001</v>
      </c>
      <c r="H136" s="16" t="s">
        <v>977</v>
      </c>
      <c r="J136" t="s">
        <v>169</v>
      </c>
    </row>
    <row r="137" spans="1:10">
      <c r="A137" t="str">
        <f t="shared" si="4"/>
        <v>گيلانماسال</v>
      </c>
      <c r="B137" s="12" t="s">
        <v>39</v>
      </c>
      <c r="C137" s="12" t="s">
        <v>57</v>
      </c>
      <c r="D137" s="12" t="s">
        <v>480</v>
      </c>
      <c r="E137" s="12">
        <v>0.3814388623818879</v>
      </c>
      <c r="F137" s="12">
        <v>53445</v>
      </c>
      <c r="G137">
        <f t="shared" si="5"/>
        <v>20386</v>
      </c>
      <c r="H137" s="16" t="s">
        <v>990</v>
      </c>
      <c r="J137" t="s">
        <v>170</v>
      </c>
    </row>
    <row r="138" spans="1:10">
      <c r="A138" t="str">
        <f t="shared" si="4"/>
        <v>گيلانماسال</v>
      </c>
      <c r="B138" s="12" t="s">
        <v>39</v>
      </c>
      <c r="C138" s="12" t="s">
        <v>57</v>
      </c>
      <c r="D138" s="12" t="s">
        <v>479</v>
      </c>
      <c r="E138" s="12">
        <v>0.40561324726354198</v>
      </c>
      <c r="F138" s="12">
        <v>53445</v>
      </c>
      <c r="G138">
        <f t="shared" si="5"/>
        <v>21678</v>
      </c>
      <c r="H138" s="16" t="s">
        <v>990</v>
      </c>
      <c r="J138" t="s">
        <v>171</v>
      </c>
    </row>
    <row r="139" spans="1:10">
      <c r="A139" t="str">
        <f t="shared" si="4"/>
        <v>گيلانماسال</v>
      </c>
      <c r="B139" s="12" t="s">
        <v>39</v>
      </c>
      <c r="C139" s="12" t="s">
        <v>57</v>
      </c>
      <c r="D139" s="12" t="s">
        <v>22</v>
      </c>
      <c r="E139" s="12">
        <v>0.12150809243147161</v>
      </c>
      <c r="F139" s="12">
        <v>53445</v>
      </c>
      <c r="G139">
        <f t="shared" si="5"/>
        <v>6494</v>
      </c>
      <c r="H139" s="16" t="s">
        <v>990</v>
      </c>
      <c r="J139" t="s">
        <v>172</v>
      </c>
    </row>
    <row r="140" spans="1:10">
      <c r="A140" t="str">
        <f t="shared" si="4"/>
        <v>گيلانماسال</v>
      </c>
      <c r="B140" s="12" t="s">
        <v>39</v>
      </c>
      <c r="C140" s="12" t="s">
        <v>57</v>
      </c>
      <c r="D140" s="12" t="s">
        <v>478</v>
      </c>
      <c r="E140" s="12">
        <v>4.7600336794835815E-2</v>
      </c>
      <c r="F140" s="12">
        <v>53445</v>
      </c>
      <c r="G140">
        <f t="shared" si="5"/>
        <v>2544</v>
      </c>
      <c r="H140" s="16" t="s">
        <v>990</v>
      </c>
      <c r="J140" t="s">
        <v>173</v>
      </c>
    </row>
    <row r="141" spans="1:10">
      <c r="A141" t="str">
        <f t="shared" si="4"/>
        <v>گيلانماسال</v>
      </c>
      <c r="B141" s="12" t="s">
        <v>39</v>
      </c>
      <c r="C141" s="12" t="s">
        <v>57</v>
      </c>
      <c r="D141" s="12" t="s">
        <v>20</v>
      </c>
      <c r="E141" s="12">
        <v>4.3820750304050894E-2</v>
      </c>
      <c r="F141" s="12">
        <v>53445</v>
      </c>
      <c r="G141">
        <f t="shared" si="5"/>
        <v>2342</v>
      </c>
      <c r="H141" s="16" t="s">
        <v>990</v>
      </c>
      <c r="J141" t="s">
        <v>174</v>
      </c>
    </row>
    <row r="142" spans="1:10">
      <c r="A142" t="str">
        <f t="shared" si="4"/>
        <v>مازندرانآمل</v>
      </c>
      <c r="B142" s="12" t="s">
        <v>56</v>
      </c>
      <c r="C142" s="12" t="s">
        <v>58</v>
      </c>
      <c r="D142" s="12" t="s">
        <v>480</v>
      </c>
      <c r="E142" s="12">
        <v>0.36466764762959886</v>
      </c>
      <c r="F142" s="12">
        <v>407083</v>
      </c>
      <c r="G142">
        <f t="shared" si="5"/>
        <v>148450</v>
      </c>
      <c r="H142" s="16" t="s">
        <v>844</v>
      </c>
      <c r="J142" t="s">
        <v>175</v>
      </c>
    </row>
    <row r="143" spans="1:10">
      <c r="A143" t="str">
        <f t="shared" si="4"/>
        <v>مازندرانآمل</v>
      </c>
      <c r="B143" s="12" t="s">
        <v>56</v>
      </c>
      <c r="C143" s="12" t="s">
        <v>58</v>
      </c>
      <c r="D143" s="12" t="s">
        <v>479</v>
      </c>
      <c r="E143" s="12">
        <v>0.42948489620052915</v>
      </c>
      <c r="F143" s="12">
        <v>407083</v>
      </c>
      <c r="G143">
        <f t="shared" si="5"/>
        <v>174836</v>
      </c>
      <c r="H143" s="16" t="s">
        <v>844</v>
      </c>
      <c r="J143" t="s">
        <v>176</v>
      </c>
    </row>
    <row r="144" spans="1:10">
      <c r="A144" t="str">
        <f t="shared" si="4"/>
        <v>مازندرانآمل</v>
      </c>
      <c r="B144" s="12" t="s">
        <v>56</v>
      </c>
      <c r="C144" s="12" t="s">
        <v>58</v>
      </c>
      <c r="D144" s="12" t="s">
        <v>22</v>
      </c>
      <c r="E144" s="12">
        <v>0.12289877002969911</v>
      </c>
      <c r="F144" s="12">
        <v>407083</v>
      </c>
      <c r="G144">
        <f t="shared" si="5"/>
        <v>50030</v>
      </c>
      <c r="H144" s="16" t="s">
        <v>844</v>
      </c>
      <c r="J144" t="s">
        <v>177</v>
      </c>
    </row>
    <row r="145" spans="1:10">
      <c r="A145" t="str">
        <f t="shared" si="4"/>
        <v>مازندرانآمل</v>
      </c>
      <c r="B145" s="12" t="s">
        <v>56</v>
      </c>
      <c r="C145" s="12" t="s">
        <v>58</v>
      </c>
      <c r="D145" s="12" t="s">
        <v>478</v>
      </c>
      <c r="E145" s="12">
        <v>4.4305461048483971E-2</v>
      </c>
      <c r="F145" s="12">
        <v>407083</v>
      </c>
      <c r="G145">
        <f t="shared" si="5"/>
        <v>18036</v>
      </c>
      <c r="H145" s="16" t="s">
        <v>844</v>
      </c>
      <c r="J145" t="s">
        <v>178</v>
      </c>
    </row>
    <row r="146" spans="1:10">
      <c r="A146" t="str">
        <f t="shared" si="4"/>
        <v>مازندرانآمل</v>
      </c>
      <c r="B146" s="12" t="s">
        <v>56</v>
      </c>
      <c r="C146" s="12" t="s">
        <v>58</v>
      </c>
      <c r="D146" s="12" t="s">
        <v>20</v>
      </c>
      <c r="E146" s="12">
        <v>3.8640768590189223E-2</v>
      </c>
      <c r="F146" s="12">
        <v>407083</v>
      </c>
      <c r="G146">
        <f t="shared" si="5"/>
        <v>15730</v>
      </c>
      <c r="H146" s="16" t="s">
        <v>844</v>
      </c>
      <c r="J146" t="s">
        <v>179</v>
      </c>
    </row>
    <row r="147" spans="1:10">
      <c r="A147" t="str">
        <f t="shared" si="4"/>
        <v>مازندرانبابل</v>
      </c>
      <c r="B147" s="12" t="s">
        <v>56</v>
      </c>
      <c r="C147" s="12" t="s">
        <v>59</v>
      </c>
      <c r="D147" s="12" t="s">
        <v>480</v>
      </c>
      <c r="E147" s="12">
        <v>0.37108588698210665</v>
      </c>
      <c r="F147" s="12">
        <v>538021</v>
      </c>
      <c r="G147">
        <f t="shared" si="5"/>
        <v>199652</v>
      </c>
      <c r="H147" s="16" t="s">
        <v>851</v>
      </c>
      <c r="J147" t="s">
        <v>180</v>
      </c>
    </row>
    <row r="148" spans="1:10">
      <c r="A148" t="str">
        <f t="shared" si="4"/>
        <v>مازندرانبابل</v>
      </c>
      <c r="B148" s="12" t="s">
        <v>56</v>
      </c>
      <c r="C148" s="12" t="s">
        <v>59</v>
      </c>
      <c r="D148" s="12" t="s">
        <v>479</v>
      </c>
      <c r="E148" s="12">
        <v>0.41521613468619256</v>
      </c>
      <c r="F148" s="12">
        <v>538021</v>
      </c>
      <c r="G148">
        <f t="shared" si="5"/>
        <v>223395</v>
      </c>
      <c r="H148" s="16" t="s">
        <v>851</v>
      </c>
      <c r="J148" t="s">
        <v>181</v>
      </c>
    </row>
    <row r="149" spans="1:10">
      <c r="A149" t="str">
        <f t="shared" si="4"/>
        <v>مازندرانبابل</v>
      </c>
      <c r="B149" s="12" t="s">
        <v>56</v>
      </c>
      <c r="C149" s="12" t="s">
        <v>59</v>
      </c>
      <c r="D149" s="12" t="s">
        <v>22</v>
      </c>
      <c r="E149" s="12">
        <v>0.12271082355521439</v>
      </c>
      <c r="F149" s="12">
        <v>538021</v>
      </c>
      <c r="G149">
        <f t="shared" si="5"/>
        <v>66021</v>
      </c>
      <c r="H149" s="16" t="s">
        <v>851</v>
      </c>
      <c r="J149" t="s">
        <v>182</v>
      </c>
    </row>
    <row r="150" spans="1:10">
      <c r="A150" t="str">
        <f t="shared" si="4"/>
        <v>مازندرانبابل</v>
      </c>
      <c r="B150" s="12" t="s">
        <v>56</v>
      </c>
      <c r="C150" s="12" t="s">
        <v>59</v>
      </c>
      <c r="D150" s="12" t="s">
        <v>478</v>
      </c>
      <c r="E150" s="12">
        <v>4.7118978627228303E-2</v>
      </c>
      <c r="F150" s="12">
        <v>538021</v>
      </c>
      <c r="G150">
        <f t="shared" si="5"/>
        <v>25351</v>
      </c>
      <c r="H150" s="16" t="s">
        <v>851</v>
      </c>
      <c r="J150" t="s">
        <v>183</v>
      </c>
    </row>
    <row r="151" spans="1:10">
      <c r="A151" t="str">
        <f t="shared" si="4"/>
        <v>مازندرانبابل</v>
      </c>
      <c r="B151" s="12" t="s">
        <v>56</v>
      </c>
      <c r="C151" s="12" t="s">
        <v>59</v>
      </c>
      <c r="D151" s="12" t="s">
        <v>20</v>
      </c>
      <c r="E151" s="12">
        <v>4.386074149522045E-2</v>
      </c>
      <c r="F151" s="12">
        <v>538021</v>
      </c>
      <c r="G151">
        <f t="shared" si="5"/>
        <v>23598</v>
      </c>
      <c r="H151" s="16" t="s">
        <v>851</v>
      </c>
      <c r="J151" t="s">
        <v>184</v>
      </c>
    </row>
    <row r="152" spans="1:10">
      <c r="A152" t="str">
        <f t="shared" si="4"/>
        <v>مازندرانبهشهر</v>
      </c>
      <c r="B152" s="12" t="s">
        <v>56</v>
      </c>
      <c r="C152" s="12" t="s">
        <v>60</v>
      </c>
      <c r="D152" s="12" t="s">
        <v>480</v>
      </c>
      <c r="E152" s="12">
        <v>0.37171820819474916</v>
      </c>
      <c r="F152" s="12">
        <v>169572</v>
      </c>
      <c r="G152">
        <f t="shared" si="5"/>
        <v>63033</v>
      </c>
      <c r="H152" s="16" t="s">
        <v>839</v>
      </c>
      <c r="J152" t="s">
        <v>185</v>
      </c>
    </row>
    <row r="153" spans="1:10">
      <c r="A153" t="str">
        <f t="shared" si="4"/>
        <v>مازندرانبهشهر</v>
      </c>
      <c r="B153" s="12" t="s">
        <v>56</v>
      </c>
      <c r="C153" s="12" t="s">
        <v>60</v>
      </c>
      <c r="D153" s="12" t="s">
        <v>479</v>
      </c>
      <c r="E153" s="12">
        <v>0.4211544358738471</v>
      </c>
      <c r="F153" s="12">
        <v>169572</v>
      </c>
      <c r="G153">
        <f t="shared" si="5"/>
        <v>71416</v>
      </c>
      <c r="H153" s="16" t="s">
        <v>839</v>
      </c>
      <c r="J153" t="s">
        <v>186</v>
      </c>
    </row>
    <row r="154" spans="1:10">
      <c r="A154" t="str">
        <f t="shared" si="4"/>
        <v>مازندرانبهشهر</v>
      </c>
      <c r="B154" s="12" t="s">
        <v>56</v>
      </c>
      <c r="C154" s="12" t="s">
        <v>60</v>
      </c>
      <c r="D154" s="12" t="s">
        <v>22</v>
      </c>
      <c r="E154" s="12">
        <v>0.12205434859528695</v>
      </c>
      <c r="F154" s="12">
        <v>169572</v>
      </c>
      <c r="G154">
        <f t="shared" si="5"/>
        <v>20697</v>
      </c>
      <c r="H154" s="16" t="s">
        <v>839</v>
      </c>
      <c r="J154" t="s">
        <v>187</v>
      </c>
    </row>
    <row r="155" spans="1:10">
      <c r="A155" t="str">
        <f t="shared" si="4"/>
        <v>مازندرانبهشهر</v>
      </c>
      <c r="B155" s="12" t="s">
        <v>56</v>
      </c>
      <c r="C155" s="12" t="s">
        <v>60</v>
      </c>
      <c r="D155" s="12" t="s">
        <v>478</v>
      </c>
      <c r="E155" s="12">
        <v>4.4860000471775997E-2</v>
      </c>
      <c r="F155" s="12">
        <v>169572</v>
      </c>
      <c r="G155">
        <f t="shared" si="5"/>
        <v>7607</v>
      </c>
      <c r="H155" s="16" t="s">
        <v>839</v>
      </c>
      <c r="J155" t="s">
        <v>188</v>
      </c>
    </row>
    <row r="156" spans="1:10">
      <c r="A156" t="str">
        <f t="shared" si="4"/>
        <v>مازندرانبهشهر</v>
      </c>
      <c r="B156" s="12" t="s">
        <v>56</v>
      </c>
      <c r="C156" s="12" t="s">
        <v>60</v>
      </c>
      <c r="D156" s="12" t="s">
        <v>20</v>
      </c>
      <c r="E156" s="12">
        <v>4.01776236642842E-2</v>
      </c>
      <c r="F156" s="12">
        <v>169572</v>
      </c>
      <c r="G156">
        <f t="shared" si="5"/>
        <v>6813</v>
      </c>
      <c r="H156" s="16" t="s">
        <v>839</v>
      </c>
      <c r="J156" t="s">
        <v>189</v>
      </c>
    </row>
    <row r="157" spans="1:10">
      <c r="A157" t="str">
        <f t="shared" si="4"/>
        <v>مازندرانتنكابن</v>
      </c>
      <c r="B157" s="12" t="s">
        <v>56</v>
      </c>
      <c r="C157" s="12" t="s">
        <v>61</v>
      </c>
      <c r="D157" s="12" t="s">
        <v>480</v>
      </c>
      <c r="E157" s="12">
        <v>0.33222016816745187</v>
      </c>
      <c r="F157" s="12">
        <v>167690</v>
      </c>
      <c r="G157">
        <f t="shared" si="5"/>
        <v>55710</v>
      </c>
      <c r="H157" s="16" t="s">
        <v>837</v>
      </c>
      <c r="J157" t="s">
        <v>191</v>
      </c>
    </row>
    <row r="158" spans="1:10">
      <c r="A158" t="str">
        <f t="shared" si="4"/>
        <v>مازندرانتنكابن</v>
      </c>
      <c r="B158" s="12" t="s">
        <v>56</v>
      </c>
      <c r="C158" s="12" t="s">
        <v>61</v>
      </c>
      <c r="D158" s="12" t="s">
        <v>479</v>
      </c>
      <c r="E158" s="12">
        <v>0.42192736597292624</v>
      </c>
      <c r="F158" s="12">
        <v>167690</v>
      </c>
      <c r="G158">
        <f t="shared" si="5"/>
        <v>70753</v>
      </c>
      <c r="H158" s="16" t="s">
        <v>837</v>
      </c>
      <c r="J158" t="s">
        <v>192</v>
      </c>
    </row>
    <row r="159" spans="1:10">
      <c r="A159" t="str">
        <f t="shared" si="4"/>
        <v>مازندرانتنكابن</v>
      </c>
      <c r="B159" s="12" t="s">
        <v>56</v>
      </c>
      <c r="C159" s="12" t="s">
        <v>61</v>
      </c>
      <c r="D159" s="12" t="s">
        <v>22</v>
      </c>
      <c r="E159" s="12">
        <v>0.13894090285646132</v>
      </c>
      <c r="F159" s="12">
        <v>167690</v>
      </c>
      <c r="G159">
        <f t="shared" si="5"/>
        <v>23299</v>
      </c>
      <c r="H159" s="16" t="s">
        <v>837</v>
      </c>
      <c r="J159" t="s">
        <v>193</v>
      </c>
    </row>
    <row r="160" spans="1:10">
      <c r="A160" t="str">
        <f t="shared" si="4"/>
        <v>مازندرانتنكابن</v>
      </c>
      <c r="B160" s="12" t="s">
        <v>56</v>
      </c>
      <c r="C160" s="12" t="s">
        <v>61</v>
      </c>
      <c r="D160" s="12" t="s">
        <v>478</v>
      </c>
      <c r="E160" s="12">
        <v>5.5316357564553643E-2</v>
      </c>
      <c r="F160" s="12">
        <v>167690</v>
      </c>
      <c r="G160">
        <f t="shared" si="5"/>
        <v>9276</v>
      </c>
      <c r="H160" s="16" t="s">
        <v>837</v>
      </c>
      <c r="J160" t="s">
        <v>194</v>
      </c>
    </row>
    <row r="161" spans="1:10">
      <c r="A161" t="str">
        <f t="shared" si="4"/>
        <v>مازندرانتنكابن</v>
      </c>
      <c r="B161" s="12" t="s">
        <v>56</v>
      </c>
      <c r="C161" s="12" t="s">
        <v>61</v>
      </c>
      <c r="D161" s="12" t="s">
        <v>20</v>
      </c>
      <c r="E161" s="12">
        <v>5.1613095593058621E-2</v>
      </c>
      <c r="F161" s="12">
        <v>167690</v>
      </c>
      <c r="G161">
        <f t="shared" si="5"/>
        <v>8655</v>
      </c>
      <c r="H161" s="16" t="s">
        <v>837</v>
      </c>
      <c r="J161" t="s">
        <v>195</v>
      </c>
    </row>
    <row r="162" spans="1:10">
      <c r="A162" t="str">
        <f t="shared" si="4"/>
        <v>مازندرانرامسر</v>
      </c>
      <c r="B162" s="12" t="s">
        <v>56</v>
      </c>
      <c r="C162" s="12" t="s">
        <v>62</v>
      </c>
      <c r="D162" s="12" t="s">
        <v>480</v>
      </c>
      <c r="E162" s="12">
        <v>0.32724468584456512</v>
      </c>
      <c r="F162" s="12">
        <v>74565</v>
      </c>
      <c r="G162">
        <f t="shared" si="5"/>
        <v>24401</v>
      </c>
      <c r="H162" s="16" t="s">
        <v>829</v>
      </c>
      <c r="J162" t="s">
        <v>196</v>
      </c>
    </row>
    <row r="163" spans="1:10">
      <c r="A163" t="str">
        <f t="shared" si="4"/>
        <v>مازندرانرامسر</v>
      </c>
      <c r="B163" s="12" t="s">
        <v>56</v>
      </c>
      <c r="C163" s="12" t="s">
        <v>62</v>
      </c>
      <c r="D163" s="12" t="s">
        <v>479</v>
      </c>
      <c r="E163" s="12">
        <v>0.41892308723932142</v>
      </c>
      <c r="F163" s="12">
        <v>74565</v>
      </c>
      <c r="G163">
        <f t="shared" si="5"/>
        <v>31237</v>
      </c>
      <c r="H163" s="16" t="s">
        <v>829</v>
      </c>
      <c r="J163" t="s">
        <v>197</v>
      </c>
    </row>
    <row r="164" spans="1:10">
      <c r="A164" t="str">
        <f t="shared" si="4"/>
        <v>مازندرانرامسر</v>
      </c>
      <c r="B164" s="12" t="s">
        <v>56</v>
      </c>
      <c r="C164" s="12" t="s">
        <v>62</v>
      </c>
      <c r="D164" s="12" t="s">
        <v>22</v>
      </c>
      <c r="E164" s="12">
        <v>0.14225172668141889</v>
      </c>
      <c r="F164" s="12">
        <v>74565</v>
      </c>
      <c r="G164">
        <f t="shared" si="5"/>
        <v>10607</v>
      </c>
      <c r="H164" s="16" t="s">
        <v>829</v>
      </c>
      <c r="J164" t="s">
        <v>198</v>
      </c>
    </row>
    <row r="165" spans="1:10">
      <c r="A165" t="str">
        <f t="shared" si="4"/>
        <v>مازندرانرامسر</v>
      </c>
      <c r="B165" s="12" t="s">
        <v>56</v>
      </c>
      <c r="C165" s="12" t="s">
        <v>62</v>
      </c>
      <c r="D165" s="12" t="s">
        <v>478</v>
      </c>
      <c r="E165" s="12">
        <v>5.7788506672031115E-2</v>
      </c>
      <c r="F165" s="12">
        <v>74565</v>
      </c>
      <c r="G165">
        <f t="shared" si="5"/>
        <v>4309</v>
      </c>
      <c r="H165" s="16" t="s">
        <v>829</v>
      </c>
      <c r="J165" t="s">
        <v>190</v>
      </c>
    </row>
    <row r="166" spans="1:10">
      <c r="A166" t="str">
        <f t="shared" si="4"/>
        <v>مازندرانرامسر</v>
      </c>
      <c r="B166" s="12" t="s">
        <v>56</v>
      </c>
      <c r="C166" s="12" t="s">
        <v>62</v>
      </c>
      <c r="D166" s="12" t="s">
        <v>20</v>
      </c>
      <c r="E166" s="12">
        <v>5.3805404680480118E-2</v>
      </c>
      <c r="F166" s="12">
        <v>74565</v>
      </c>
      <c r="G166">
        <f t="shared" si="5"/>
        <v>4012</v>
      </c>
      <c r="H166" s="16" t="s">
        <v>829</v>
      </c>
      <c r="J166" t="s">
        <v>199</v>
      </c>
    </row>
    <row r="167" spans="1:10">
      <c r="A167" t="str">
        <f t="shared" si="4"/>
        <v>مازندرانسارئ</v>
      </c>
      <c r="B167" s="12" t="s">
        <v>56</v>
      </c>
      <c r="C167" s="12" t="s">
        <v>63</v>
      </c>
      <c r="D167" s="12" t="s">
        <v>480</v>
      </c>
      <c r="E167" s="12">
        <v>0.36705967393746397</v>
      </c>
      <c r="F167" s="12">
        <v>511865</v>
      </c>
      <c r="G167">
        <f t="shared" si="5"/>
        <v>187885</v>
      </c>
      <c r="H167" s="16" t="s">
        <v>836</v>
      </c>
      <c r="J167" t="s">
        <v>200</v>
      </c>
    </row>
    <row r="168" spans="1:10">
      <c r="A168" t="str">
        <f t="shared" si="4"/>
        <v>مازندرانسارئ</v>
      </c>
      <c r="B168" s="12" t="s">
        <v>56</v>
      </c>
      <c r="C168" s="12" t="s">
        <v>63</v>
      </c>
      <c r="D168" s="12" t="s">
        <v>479</v>
      </c>
      <c r="E168" s="12">
        <v>0.42894708565735107</v>
      </c>
      <c r="F168" s="12">
        <v>511865</v>
      </c>
      <c r="G168">
        <f t="shared" si="5"/>
        <v>219563</v>
      </c>
      <c r="H168" s="16" t="s">
        <v>836</v>
      </c>
      <c r="J168" t="s">
        <v>201</v>
      </c>
    </row>
    <row r="169" spans="1:10">
      <c r="A169" t="str">
        <f t="shared" si="4"/>
        <v>مازندرانسارئ</v>
      </c>
      <c r="B169" s="12" t="s">
        <v>56</v>
      </c>
      <c r="C169" s="12" t="s">
        <v>63</v>
      </c>
      <c r="D169" s="12" t="s">
        <v>22</v>
      </c>
      <c r="E169" s="12">
        <v>0.12106512459339865</v>
      </c>
      <c r="F169" s="12">
        <v>511865</v>
      </c>
      <c r="G169">
        <f t="shared" si="5"/>
        <v>61969</v>
      </c>
      <c r="H169" s="16" t="s">
        <v>836</v>
      </c>
      <c r="J169" t="s">
        <v>202</v>
      </c>
    </row>
    <row r="170" spans="1:10">
      <c r="A170" t="str">
        <f t="shared" si="4"/>
        <v>مازندرانسارئ</v>
      </c>
      <c r="B170" s="12" t="s">
        <v>56</v>
      </c>
      <c r="C170" s="12" t="s">
        <v>63</v>
      </c>
      <c r="D170" s="12" t="s">
        <v>478</v>
      </c>
      <c r="E170" s="12">
        <v>4.3964717259433642E-2</v>
      </c>
      <c r="F170" s="12">
        <v>511865</v>
      </c>
      <c r="G170">
        <f t="shared" si="5"/>
        <v>22504</v>
      </c>
      <c r="H170" s="16" t="s">
        <v>836</v>
      </c>
      <c r="J170" t="s">
        <v>203</v>
      </c>
    </row>
    <row r="171" spans="1:10">
      <c r="A171" t="str">
        <f t="shared" si="4"/>
        <v>مازندرانسارئ</v>
      </c>
      <c r="B171" s="12" t="s">
        <v>56</v>
      </c>
      <c r="C171" s="12" t="s">
        <v>63</v>
      </c>
      <c r="D171" s="12" t="s">
        <v>20</v>
      </c>
      <c r="E171" s="12">
        <v>3.8967305832592579E-2</v>
      </c>
      <c r="F171" s="12">
        <v>511865</v>
      </c>
      <c r="G171">
        <f t="shared" si="5"/>
        <v>19946</v>
      </c>
      <c r="H171" s="16" t="s">
        <v>836</v>
      </c>
      <c r="J171" t="s">
        <v>204</v>
      </c>
    </row>
    <row r="172" spans="1:10">
      <c r="A172" t="str">
        <f t="shared" si="4"/>
        <v>مازندرانسوادكوه</v>
      </c>
      <c r="B172" s="12" t="s">
        <v>56</v>
      </c>
      <c r="C172" s="12" t="s">
        <v>64</v>
      </c>
      <c r="D172" s="12" t="s">
        <v>480</v>
      </c>
      <c r="E172" s="12">
        <v>0.3511832628329713</v>
      </c>
      <c r="F172" s="12">
        <v>43735</v>
      </c>
      <c r="G172">
        <f t="shared" si="5"/>
        <v>15359</v>
      </c>
      <c r="H172" s="16" t="s">
        <v>846</v>
      </c>
      <c r="J172" t="s">
        <v>205</v>
      </c>
    </row>
    <row r="173" spans="1:10">
      <c r="A173" t="str">
        <f t="shared" si="4"/>
        <v>مازندرانسوادكوه</v>
      </c>
      <c r="B173" s="12" t="s">
        <v>56</v>
      </c>
      <c r="C173" s="12" t="s">
        <v>64</v>
      </c>
      <c r="D173" s="12" t="s">
        <v>479</v>
      </c>
      <c r="E173" s="12">
        <v>0.40990053732708359</v>
      </c>
      <c r="F173" s="12">
        <v>43735</v>
      </c>
      <c r="G173">
        <f t="shared" si="5"/>
        <v>17927</v>
      </c>
      <c r="H173" s="16" t="s">
        <v>846</v>
      </c>
      <c r="J173" t="s">
        <v>206</v>
      </c>
    </row>
    <row r="174" spans="1:10">
      <c r="A174" t="str">
        <f t="shared" si="4"/>
        <v>مازندرانسوادكوه</v>
      </c>
      <c r="B174" s="12" t="s">
        <v>56</v>
      </c>
      <c r="C174" s="12" t="s">
        <v>64</v>
      </c>
      <c r="D174" s="12" t="s">
        <v>22</v>
      </c>
      <c r="E174" s="12">
        <v>0.13364582142448839</v>
      </c>
      <c r="F174" s="12">
        <v>43735</v>
      </c>
      <c r="G174">
        <f t="shared" si="5"/>
        <v>5845</v>
      </c>
      <c r="H174" s="16" t="s">
        <v>846</v>
      </c>
      <c r="J174" t="s">
        <v>207</v>
      </c>
    </row>
    <row r="175" spans="1:10">
      <c r="A175" t="str">
        <f t="shared" si="4"/>
        <v>مازندرانسوادكوه</v>
      </c>
      <c r="B175" s="12" t="s">
        <v>56</v>
      </c>
      <c r="C175" s="12" t="s">
        <v>64</v>
      </c>
      <c r="D175" s="12" t="s">
        <v>478</v>
      </c>
      <c r="E175" s="12">
        <v>5.3961358179947412E-2</v>
      </c>
      <c r="F175" s="12">
        <v>43735</v>
      </c>
      <c r="G175">
        <f t="shared" si="5"/>
        <v>2360</v>
      </c>
      <c r="H175" s="16" t="s">
        <v>846</v>
      </c>
      <c r="J175" t="s">
        <v>208</v>
      </c>
    </row>
    <row r="176" spans="1:10">
      <c r="A176" t="str">
        <f t="shared" si="4"/>
        <v>مازندرانسوادكوه</v>
      </c>
      <c r="B176" s="12" t="s">
        <v>56</v>
      </c>
      <c r="C176" s="12" t="s">
        <v>64</v>
      </c>
      <c r="D176" s="12" t="s">
        <v>20</v>
      </c>
      <c r="E176" s="12">
        <v>5.1263290270950043E-2</v>
      </c>
      <c r="F176" s="12">
        <v>43735</v>
      </c>
      <c r="G176">
        <f t="shared" si="5"/>
        <v>2242</v>
      </c>
      <c r="H176" s="16" t="s">
        <v>846</v>
      </c>
      <c r="J176" t="s">
        <v>209</v>
      </c>
    </row>
    <row r="177" spans="1:10">
      <c r="A177" t="str">
        <f t="shared" si="4"/>
        <v>مازندرانقائم شهر</v>
      </c>
      <c r="B177" s="12" t="s">
        <v>56</v>
      </c>
      <c r="C177" s="12" t="s">
        <v>65</v>
      </c>
      <c r="D177" s="12" t="s">
        <v>480</v>
      </c>
      <c r="E177" s="12">
        <v>0.35650788085486157</v>
      </c>
      <c r="F177" s="12">
        <v>313735</v>
      </c>
      <c r="G177">
        <f t="shared" si="5"/>
        <v>111849</v>
      </c>
      <c r="H177" s="16" t="s">
        <v>841</v>
      </c>
      <c r="J177" t="s">
        <v>210</v>
      </c>
    </row>
    <row r="178" spans="1:10">
      <c r="A178" t="str">
        <f t="shared" si="4"/>
        <v>مازندرانقائم شهر</v>
      </c>
      <c r="B178" s="12" t="s">
        <v>56</v>
      </c>
      <c r="C178" s="12" t="s">
        <v>65</v>
      </c>
      <c r="D178" s="12" t="s">
        <v>479</v>
      </c>
      <c r="E178" s="12">
        <v>0.42603152341944633</v>
      </c>
      <c r="F178" s="12">
        <v>313735</v>
      </c>
      <c r="G178">
        <f t="shared" si="5"/>
        <v>133661</v>
      </c>
      <c r="H178" s="16" t="s">
        <v>841</v>
      </c>
      <c r="J178" t="s">
        <v>211</v>
      </c>
    </row>
    <row r="179" spans="1:10">
      <c r="A179" t="str">
        <f t="shared" si="4"/>
        <v>مازندرانقائم شهر</v>
      </c>
      <c r="B179" s="12" t="s">
        <v>56</v>
      </c>
      <c r="C179" s="12" t="s">
        <v>65</v>
      </c>
      <c r="D179" s="12" t="s">
        <v>22</v>
      </c>
      <c r="E179" s="12">
        <v>0.12703077437965163</v>
      </c>
      <c r="F179" s="12">
        <v>313735</v>
      </c>
      <c r="G179">
        <f t="shared" si="5"/>
        <v>39854</v>
      </c>
      <c r="H179" s="16" t="s">
        <v>841</v>
      </c>
      <c r="J179" t="s">
        <v>212</v>
      </c>
    </row>
    <row r="180" spans="1:10">
      <c r="A180" t="str">
        <f t="shared" si="4"/>
        <v>مازندرانقائم شهر</v>
      </c>
      <c r="B180" s="12" t="s">
        <v>56</v>
      </c>
      <c r="C180" s="12" t="s">
        <v>65</v>
      </c>
      <c r="D180" s="12" t="s">
        <v>478</v>
      </c>
      <c r="E180" s="12">
        <v>4.7673992382105915E-2</v>
      </c>
      <c r="F180" s="12">
        <v>313735</v>
      </c>
      <c r="G180">
        <f t="shared" si="5"/>
        <v>14957</v>
      </c>
      <c r="H180" s="16" t="s">
        <v>841</v>
      </c>
      <c r="J180" t="s">
        <v>214</v>
      </c>
    </row>
    <row r="181" spans="1:10">
      <c r="A181" t="str">
        <f t="shared" si="4"/>
        <v>مازندرانقائم شهر</v>
      </c>
      <c r="B181" s="12" t="s">
        <v>56</v>
      </c>
      <c r="C181" s="12" t="s">
        <v>65</v>
      </c>
      <c r="D181" s="12" t="s">
        <v>20</v>
      </c>
      <c r="E181" s="12">
        <v>4.2765391174080035E-2</v>
      </c>
      <c r="F181" s="12">
        <v>313735</v>
      </c>
      <c r="G181">
        <f t="shared" si="5"/>
        <v>13417</v>
      </c>
      <c r="H181" s="16" t="s">
        <v>841</v>
      </c>
      <c r="J181" t="s">
        <v>215</v>
      </c>
    </row>
    <row r="182" spans="1:10">
      <c r="A182" t="str">
        <f t="shared" si="4"/>
        <v>مازندراننور</v>
      </c>
      <c r="B182" s="12" t="s">
        <v>56</v>
      </c>
      <c r="C182" s="12" t="s">
        <v>66</v>
      </c>
      <c r="D182" s="12" t="s">
        <v>480</v>
      </c>
      <c r="E182" s="12">
        <v>0.36924104887469239</v>
      </c>
      <c r="F182" s="12">
        <v>122722</v>
      </c>
      <c r="G182">
        <f t="shared" si="5"/>
        <v>45314</v>
      </c>
      <c r="H182" s="16" t="s">
        <v>843</v>
      </c>
      <c r="J182" t="s">
        <v>216</v>
      </c>
    </row>
    <row r="183" spans="1:10">
      <c r="A183" t="str">
        <f t="shared" si="4"/>
        <v>مازندراننور</v>
      </c>
      <c r="B183" s="12" t="s">
        <v>56</v>
      </c>
      <c r="C183" s="12" t="s">
        <v>66</v>
      </c>
      <c r="D183" s="12" t="s">
        <v>479</v>
      </c>
      <c r="E183" s="12">
        <v>0.42009582633920567</v>
      </c>
      <c r="F183" s="12">
        <v>122722</v>
      </c>
      <c r="G183">
        <f t="shared" si="5"/>
        <v>51555</v>
      </c>
      <c r="H183" s="16" t="s">
        <v>843</v>
      </c>
      <c r="J183" t="s">
        <v>217</v>
      </c>
    </row>
    <row r="184" spans="1:10">
      <c r="A184" t="str">
        <f t="shared" si="4"/>
        <v>مازندراننور</v>
      </c>
      <c r="B184" s="12" t="s">
        <v>56</v>
      </c>
      <c r="C184" s="12" t="s">
        <v>66</v>
      </c>
      <c r="D184" s="12" t="s">
        <v>22</v>
      </c>
      <c r="E184" s="12">
        <v>0.12133928716937468</v>
      </c>
      <c r="F184" s="12">
        <v>122722</v>
      </c>
      <c r="G184">
        <f t="shared" si="5"/>
        <v>14891</v>
      </c>
      <c r="H184" s="16" t="s">
        <v>843</v>
      </c>
      <c r="J184" t="s">
        <v>218</v>
      </c>
    </row>
    <row r="185" spans="1:10">
      <c r="A185" t="str">
        <f t="shared" si="4"/>
        <v>مازندراننور</v>
      </c>
      <c r="B185" s="12" t="s">
        <v>56</v>
      </c>
      <c r="C185" s="12" t="s">
        <v>66</v>
      </c>
      <c r="D185" s="12" t="s">
        <v>478</v>
      </c>
      <c r="E185" s="12">
        <v>4.6242727465328141E-2</v>
      </c>
      <c r="F185" s="12">
        <v>122722</v>
      </c>
      <c r="G185">
        <f t="shared" si="5"/>
        <v>5675</v>
      </c>
      <c r="H185" s="16" t="s">
        <v>843</v>
      </c>
      <c r="J185" t="s">
        <v>219</v>
      </c>
    </row>
    <row r="186" spans="1:10">
      <c r="A186" t="str">
        <f t="shared" si="4"/>
        <v>مازندراننور</v>
      </c>
      <c r="B186" s="12" t="s">
        <v>56</v>
      </c>
      <c r="C186" s="12" t="s">
        <v>66</v>
      </c>
      <c r="D186" s="12" t="s">
        <v>20</v>
      </c>
      <c r="E186" s="12">
        <v>4.3089258649630875E-2</v>
      </c>
      <c r="F186" s="12">
        <v>122722</v>
      </c>
      <c r="G186">
        <f t="shared" si="5"/>
        <v>5288</v>
      </c>
      <c r="H186" s="16" t="s">
        <v>843</v>
      </c>
      <c r="J186" t="s">
        <v>220</v>
      </c>
    </row>
    <row r="187" spans="1:10">
      <c r="A187" t="str">
        <f t="shared" si="4"/>
        <v>مازندراننوشهر</v>
      </c>
      <c r="B187" s="12" t="s">
        <v>56</v>
      </c>
      <c r="C187" s="12" t="s">
        <v>67</v>
      </c>
      <c r="D187" s="12" t="s">
        <v>480</v>
      </c>
      <c r="E187" s="12">
        <v>0.36112390277079154</v>
      </c>
      <c r="F187" s="12">
        <v>141151</v>
      </c>
      <c r="G187">
        <f t="shared" si="5"/>
        <v>50973</v>
      </c>
      <c r="H187" s="16" t="s">
        <v>842</v>
      </c>
      <c r="J187" t="s">
        <v>221</v>
      </c>
    </row>
    <row r="188" spans="1:10">
      <c r="A188" t="str">
        <f t="shared" si="4"/>
        <v>مازندراننوشهر</v>
      </c>
      <c r="B188" s="12" t="s">
        <v>56</v>
      </c>
      <c r="C188" s="12" t="s">
        <v>67</v>
      </c>
      <c r="D188" s="12" t="s">
        <v>479</v>
      </c>
      <c r="E188" s="12">
        <v>0.43041140339069506</v>
      </c>
      <c r="F188" s="12">
        <v>141151</v>
      </c>
      <c r="G188">
        <f t="shared" si="5"/>
        <v>60753</v>
      </c>
      <c r="H188" s="16" t="s">
        <v>842</v>
      </c>
      <c r="J188" t="s">
        <v>222</v>
      </c>
    </row>
    <row r="189" spans="1:10">
      <c r="A189" t="str">
        <f t="shared" si="4"/>
        <v>مازندراننوشهر</v>
      </c>
      <c r="B189" s="12" t="s">
        <v>56</v>
      </c>
      <c r="C189" s="12" t="s">
        <v>67</v>
      </c>
      <c r="D189" s="12" t="s">
        <v>22</v>
      </c>
      <c r="E189" s="12">
        <v>0.12135231064604572</v>
      </c>
      <c r="F189" s="12">
        <v>141151</v>
      </c>
      <c r="G189">
        <f t="shared" si="5"/>
        <v>17129</v>
      </c>
      <c r="H189" s="16" t="s">
        <v>842</v>
      </c>
      <c r="J189" t="s">
        <v>223</v>
      </c>
    </row>
    <row r="190" spans="1:10">
      <c r="A190" t="str">
        <f t="shared" si="4"/>
        <v>مازندراننوشهر</v>
      </c>
      <c r="B190" s="12" t="s">
        <v>56</v>
      </c>
      <c r="C190" s="12" t="s">
        <v>67</v>
      </c>
      <c r="D190" s="12" t="s">
        <v>478</v>
      </c>
      <c r="E190" s="12">
        <v>4.5688659662347413E-2</v>
      </c>
      <c r="F190" s="12">
        <v>141151</v>
      </c>
      <c r="G190">
        <f t="shared" si="5"/>
        <v>6449</v>
      </c>
      <c r="H190" s="16" t="s">
        <v>842</v>
      </c>
      <c r="J190" t="s">
        <v>224</v>
      </c>
    </row>
    <row r="191" spans="1:10">
      <c r="A191" t="str">
        <f t="shared" si="4"/>
        <v>مازندراننوشهر</v>
      </c>
      <c r="B191" s="12" t="s">
        <v>56</v>
      </c>
      <c r="C191" s="12" t="s">
        <v>67</v>
      </c>
      <c r="D191" s="12" t="s">
        <v>20</v>
      </c>
      <c r="E191" s="12">
        <v>4.1473315810727517E-2</v>
      </c>
      <c r="F191" s="12">
        <v>141151</v>
      </c>
      <c r="G191">
        <f t="shared" si="5"/>
        <v>5854</v>
      </c>
      <c r="H191" s="16" t="s">
        <v>842</v>
      </c>
      <c r="J191" t="s">
        <v>225</v>
      </c>
    </row>
    <row r="192" spans="1:10">
      <c r="A192" t="str">
        <f t="shared" si="4"/>
        <v>مازندرانبابلسر</v>
      </c>
      <c r="B192" s="12" t="s">
        <v>56</v>
      </c>
      <c r="C192" s="12" t="s">
        <v>68</v>
      </c>
      <c r="D192" s="12" t="s">
        <v>480</v>
      </c>
      <c r="E192" s="12">
        <v>0.3817073259992827</v>
      </c>
      <c r="F192" s="12">
        <v>136623</v>
      </c>
      <c r="G192">
        <f t="shared" si="5"/>
        <v>52150</v>
      </c>
      <c r="H192" s="16" t="s">
        <v>835</v>
      </c>
      <c r="J192" t="s">
        <v>226</v>
      </c>
    </row>
    <row r="193" spans="1:10">
      <c r="A193" t="str">
        <f t="shared" si="4"/>
        <v>مازندرانبابلسر</v>
      </c>
      <c r="B193" s="12" t="s">
        <v>56</v>
      </c>
      <c r="C193" s="12" t="s">
        <v>68</v>
      </c>
      <c r="D193" s="12" t="s">
        <v>479</v>
      </c>
      <c r="E193" s="12">
        <v>0.41637206034123098</v>
      </c>
      <c r="F193" s="12">
        <v>136623</v>
      </c>
      <c r="G193">
        <f t="shared" si="5"/>
        <v>56886</v>
      </c>
      <c r="H193" s="16" t="s">
        <v>835</v>
      </c>
      <c r="J193" t="s">
        <v>227</v>
      </c>
    </row>
    <row r="194" spans="1:10">
      <c r="A194" t="str">
        <f t="shared" ref="A194:A257" si="6">B194&amp;C194</f>
        <v>مازندرانبابلسر</v>
      </c>
      <c r="B194" s="12" t="s">
        <v>56</v>
      </c>
      <c r="C194" s="12" t="s">
        <v>68</v>
      </c>
      <c r="D194" s="12" t="s">
        <v>22</v>
      </c>
      <c r="E194" s="12">
        <v>0.1203530884258141</v>
      </c>
      <c r="F194" s="12">
        <v>136623</v>
      </c>
      <c r="G194">
        <f t="shared" si="5"/>
        <v>16443</v>
      </c>
      <c r="H194" s="16" t="s">
        <v>835</v>
      </c>
      <c r="J194" t="s">
        <v>228</v>
      </c>
    </row>
    <row r="195" spans="1:10">
      <c r="A195" t="str">
        <f t="shared" si="6"/>
        <v>مازندرانبابلسر</v>
      </c>
      <c r="B195" s="12" t="s">
        <v>56</v>
      </c>
      <c r="C195" s="12" t="s">
        <v>68</v>
      </c>
      <c r="D195" s="12" t="s">
        <v>478</v>
      </c>
      <c r="E195" s="12">
        <v>4.2716087335221739E-2</v>
      </c>
      <c r="F195" s="12">
        <v>136623</v>
      </c>
      <c r="G195">
        <f t="shared" ref="G195:G258" si="7">IFERROR(ROUND(F195*E195,0),0)</f>
        <v>5836</v>
      </c>
      <c r="H195" s="16" t="s">
        <v>835</v>
      </c>
      <c r="J195" t="s">
        <v>229</v>
      </c>
    </row>
    <row r="196" spans="1:10">
      <c r="A196" t="str">
        <f t="shared" si="6"/>
        <v>مازندرانبابلسر</v>
      </c>
      <c r="B196" s="12" t="s">
        <v>56</v>
      </c>
      <c r="C196" s="12" t="s">
        <v>68</v>
      </c>
      <c r="D196" s="12" t="s">
        <v>20</v>
      </c>
      <c r="E196" s="12">
        <v>3.8858757310262546E-2</v>
      </c>
      <c r="F196" s="12">
        <v>136623</v>
      </c>
      <c r="G196">
        <f t="shared" si="7"/>
        <v>5309</v>
      </c>
      <c r="H196" s="16" t="s">
        <v>835</v>
      </c>
      <c r="J196" t="s">
        <v>230</v>
      </c>
    </row>
    <row r="197" spans="1:10">
      <c r="A197" t="str">
        <f t="shared" si="6"/>
        <v>مازندرانمحمودآباد</v>
      </c>
      <c r="B197" s="12" t="s">
        <v>56</v>
      </c>
      <c r="C197" s="12" t="s">
        <v>69</v>
      </c>
      <c r="D197" s="12" t="s">
        <v>480</v>
      </c>
      <c r="E197" s="12">
        <v>0.36922906891458773</v>
      </c>
      <c r="F197" s="12">
        <v>99529</v>
      </c>
      <c r="G197">
        <f t="shared" si="7"/>
        <v>36749</v>
      </c>
      <c r="H197" s="16" t="s">
        <v>847</v>
      </c>
      <c r="J197" t="s">
        <v>231</v>
      </c>
    </row>
    <row r="198" spans="1:10">
      <c r="A198" t="str">
        <f t="shared" si="6"/>
        <v>مازندرانمحمودآباد</v>
      </c>
      <c r="B198" s="12" t="s">
        <v>56</v>
      </c>
      <c r="C198" s="12" t="s">
        <v>69</v>
      </c>
      <c r="D198" s="12" t="s">
        <v>479</v>
      </c>
      <c r="E198" s="12">
        <v>0.42891016688603323</v>
      </c>
      <c r="F198" s="12">
        <v>99529</v>
      </c>
      <c r="G198">
        <f t="shared" si="7"/>
        <v>42689</v>
      </c>
      <c r="H198" s="16" t="s">
        <v>847</v>
      </c>
      <c r="J198" t="s">
        <v>232</v>
      </c>
    </row>
    <row r="199" spans="1:10">
      <c r="A199" t="str">
        <f t="shared" si="6"/>
        <v>مازندرانمحمودآباد</v>
      </c>
      <c r="B199" s="12" t="s">
        <v>56</v>
      </c>
      <c r="C199" s="12" t="s">
        <v>69</v>
      </c>
      <c r="D199" s="12" t="s">
        <v>22</v>
      </c>
      <c r="E199" s="12">
        <v>0.12115061941745622</v>
      </c>
      <c r="F199" s="12">
        <v>99529</v>
      </c>
      <c r="G199">
        <f t="shared" si="7"/>
        <v>12058</v>
      </c>
      <c r="H199" s="16" t="s">
        <v>847</v>
      </c>
      <c r="J199" t="s">
        <v>233</v>
      </c>
    </row>
    <row r="200" spans="1:10">
      <c r="A200" t="str">
        <f t="shared" si="6"/>
        <v>مازندرانمحمودآباد</v>
      </c>
      <c r="B200" s="12" t="s">
        <v>56</v>
      </c>
      <c r="C200" s="12" t="s">
        <v>69</v>
      </c>
      <c r="D200" s="12" t="s">
        <v>478</v>
      </c>
      <c r="E200" s="12">
        <v>4.3484813471450529E-2</v>
      </c>
      <c r="F200" s="12">
        <v>99529</v>
      </c>
      <c r="G200">
        <f t="shared" si="7"/>
        <v>4328</v>
      </c>
      <c r="H200" s="16" t="s">
        <v>847</v>
      </c>
      <c r="J200" t="s">
        <v>234</v>
      </c>
    </row>
    <row r="201" spans="1:10">
      <c r="A201" t="str">
        <f t="shared" si="6"/>
        <v>مازندرانمحمودآباد</v>
      </c>
      <c r="B201" s="12" t="s">
        <v>56</v>
      </c>
      <c r="C201" s="12" t="s">
        <v>69</v>
      </c>
      <c r="D201" s="12" t="s">
        <v>20</v>
      </c>
      <c r="E201" s="12">
        <v>3.7285615247817219E-2</v>
      </c>
      <c r="F201" s="12">
        <v>99529</v>
      </c>
      <c r="G201">
        <f t="shared" si="7"/>
        <v>3711</v>
      </c>
      <c r="H201" s="16" t="s">
        <v>847</v>
      </c>
      <c r="J201" t="s">
        <v>235</v>
      </c>
    </row>
    <row r="202" spans="1:10">
      <c r="A202" t="str">
        <f t="shared" si="6"/>
        <v>مازندراننكا</v>
      </c>
      <c r="B202" s="12" t="s">
        <v>56</v>
      </c>
      <c r="C202" s="12" t="s">
        <v>70</v>
      </c>
      <c r="D202" s="12" t="s">
        <v>480</v>
      </c>
      <c r="E202" s="12">
        <v>0.40281131139407972</v>
      </c>
      <c r="F202" s="12">
        <v>120940</v>
      </c>
      <c r="G202">
        <f t="shared" si="7"/>
        <v>48716</v>
      </c>
      <c r="H202" s="16" t="s">
        <v>840</v>
      </c>
      <c r="J202" t="s">
        <v>236</v>
      </c>
    </row>
    <row r="203" spans="1:10">
      <c r="A203" t="str">
        <f t="shared" si="6"/>
        <v>مازندراننكا</v>
      </c>
      <c r="B203" s="12" t="s">
        <v>56</v>
      </c>
      <c r="C203" s="12" t="s">
        <v>70</v>
      </c>
      <c r="D203" s="12" t="s">
        <v>479</v>
      </c>
      <c r="E203" s="12">
        <v>0.41374235157929551</v>
      </c>
      <c r="F203" s="12">
        <v>120940</v>
      </c>
      <c r="G203">
        <f t="shared" si="7"/>
        <v>50038</v>
      </c>
      <c r="H203" s="16" t="s">
        <v>840</v>
      </c>
      <c r="J203" t="s">
        <v>237</v>
      </c>
    </row>
    <row r="204" spans="1:10">
      <c r="A204" t="str">
        <f t="shared" si="6"/>
        <v>مازندراننكا</v>
      </c>
      <c r="B204" s="12" t="s">
        <v>56</v>
      </c>
      <c r="C204" s="12" t="s">
        <v>70</v>
      </c>
      <c r="D204" s="12" t="s">
        <v>22</v>
      </c>
      <c r="E204" s="12">
        <v>0.10985612700512651</v>
      </c>
      <c r="F204" s="12">
        <v>120940</v>
      </c>
      <c r="G204">
        <f t="shared" si="7"/>
        <v>13286</v>
      </c>
      <c r="H204" s="16" t="s">
        <v>840</v>
      </c>
      <c r="J204" t="s">
        <v>238</v>
      </c>
    </row>
    <row r="205" spans="1:10">
      <c r="A205" t="str">
        <f t="shared" si="6"/>
        <v>مازندراننكا</v>
      </c>
      <c r="B205" s="12" t="s">
        <v>56</v>
      </c>
      <c r="C205" s="12" t="s">
        <v>70</v>
      </c>
      <c r="D205" s="12" t="s">
        <v>478</v>
      </c>
      <c r="E205" s="12">
        <v>3.9341822391268398E-2</v>
      </c>
      <c r="F205" s="12">
        <v>120940</v>
      </c>
      <c r="G205">
        <f t="shared" si="7"/>
        <v>4758</v>
      </c>
      <c r="H205" s="16" t="s">
        <v>840</v>
      </c>
      <c r="J205" t="s">
        <v>239</v>
      </c>
    </row>
    <row r="206" spans="1:10">
      <c r="A206" t="str">
        <f t="shared" si="6"/>
        <v>مازندراننكا</v>
      </c>
      <c r="B206" s="12" t="s">
        <v>56</v>
      </c>
      <c r="C206" s="12" t="s">
        <v>70</v>
      </c>
      <c r="D206" s="12" t="s">
        <v>20</v>
      </c>
      <c r="E206" s="12">
        <v>3.4314536133619976E-2</v>
      </c>
      <c r="F206" s="12">
        <v>120940</v>
      </c>
      <c r="G206">
        <f t="shared" si="7"/>
        <v>4150</v>
      </c>
      <c r="H206" s="16" t="s">
        <v>840</v>
      </c>
      <c r="J206" t="s">
        <v>240</v>
      </c>
    </row>
    <row r="207" spans="1:10">
      <c r="A207" t="str">
        <f t="shared" si="6"/>
        <v>مازندرانچالوس</v>
      </c>
      <c r="B207" s="12" t="s">
        <v>56</v>
      </c>
      <c r="C207" s="12" t="s">
        <v>71</v>
      </c>
      <c r="D207" s="12" t="s">
        <v>480</v>
      </c>
      <c r="E207" s="12">
        <v>0.35474525729141004</v>
      </c>
      <c r="F207" s="12">
        <v>117707</v>
      </c>
      <c r="G207">
        <f t="shared" si="7"/>
        <v>41756</v>
      </c>
      <c r="H207" s="16" t="s">
        <v>848</v>
      </c>
      <c r="J207" t="s">
        <v>241</v>
      </c>
    </row>
    <row r="208" spans="1:10">
      <c r="A208" t="str">
        <f t="shared" si="6"/>
        <v>مازندرانچالوس</v>
      </c>
      <c r="B208" s="12" t="s">
        <v>56</v>
      </c>
      <c r="C208" s="12" t="s">
        <v>71</v>
      </c>
      <c r="D208" s="12" t="s">
        <v>479</v>
      </c>
      <c r="E208" s="12">
        <v>0.4299149583287315</v>
      </c>
      <c r="F208" s="12">
        <v>117707</v>
      </c>
      <c r="G208">
        <f t="shared" si="7"/>
        <v>50604</v>
      </c>
      <c r="H208" s="16" t="s">
        <v>848</v>
      </c>
      <c r="J208" t="s">
        <v>243</v>
      </c>
    </row>
    <row r="209" spans="1:10">
      <c r="A209" t="str">
        <f t="shared" si="6"/>
        <v>مازندرانچالوس</v>
      </c>
      <c r="B209" s="12" t="s">
        <v>56</v>
      </c>
      <c r="C209" s="12" t="s">
        <v>71</v>
      </c>
      <c r="D209" s="12" t="s">
        <v>22</v>
      </c>
      <c r="E209" s="12">
        <v>0.1259568249976637</v>
      </c>
      <c r="F209" s="12">
        <v>117707</v>
      </c>
      <c r="G209">
        <f t="shared" si="7"/>
        <v>14826</v>
      </c>
      <c r="H209" s="16" t="s">
        <v>848</v>
      </c>
      <c r="J209" t="s">
        <v>244</v>
      </c>
    </row>
    <row r="210" spans="1:10">
      <c r="A210" t="str">
        <f t="shared" si="6"/>
        <v>مازندرانچالوس</v>
      </c>
      <c r="B210" s="12" t="s">
        <v>56</v>
      </c>
      <c r="C210" s="12" t="s">
        <v>71</v>
      </c>
      <c r="D210" s="12" t="s">
        <v>478</v>
      </c>
      <c r="E210" s="12">
        <v>4.6683714647387159E-2</v>
      </c>
      <c r="F210" s="12">
        <v>117707</v>
      </c>
      <c r="G210">
        <f t="shared" si="7"/>
        <v>5495</v>
      </c>
      <c r="H210" s="16" t="s">
        <v>848</v>
      </c>
      <c r="J210" t="s">
        <v>242</v>
      </c>
    </row>
    <row r="211" spans="1:10">
      <c r="A211" t="str">
        <f t="shared" si="6"/>
        <v>مازندرانچالوس</v>
      </c>
      <c r="B211" s="12" t="s">
        <v>56</v>
      </c>
      <c r="C211" s="12" t="s">
        <v>71</v>
      </c>
      <c r="D211" s="12" t="s">
        <v>20</v>
      </c>
      <c r="E211" s="12">
        <v>4.2716236077718406E-2</v>
      </c>
      <c r="F211" s="12">
        <v>117707</v>
      </c>
      <c r="G211">
        <f t="shared" si="7"/>
        <v>5028</v>
      </c>
      <c r="H211" s="16" t="s">
        <v>848</v>
      </c>
      <c r="J211" t="s">
        <v>245</v>
      </c>
    </row>
    <row r="212" spans="1:10">
      <c r="A212" t="str">
        <f t="shared" si="6"/>
        <v>مازندرانجويبار</v>
      </c>
      <c r="B212" s="12" t="s">
        <v>56</v>
      </c>
      <c r="C212" s="12" t="s">
        <v>72</v>
      </c>
      <c r="D212" s="12" t="s">
        <v>480</v>
      </c>
      <c r="E212" s="12">
        <v>0.38399714234684768</v>
      </c>
      <c r="F212" s="12">
        <v>78386</v>
      </c>
      <c r="G212">
        <f t="shared" si="7"/>
        <v>30100</v>
      </c>
      <c r="H212" s="16" t="s">
        <v>827</v>
      </c>
      <c r="J212" t="s">
        <v>246</v>
      </c>
    </row>
    <row r="213" spans="1:10">
      <c r="A213" t="str">
        <f t="shared" si="6"/>
        <v>مازندرانجويبار</v>
      </c>
      <c r="B213" s="12" t="s">
        <v>56</v>
      </c>
      <c r="C213" s="12" t="s">
        <v>72</v>
      </c>
      <c r="D213" s="12" t="s">
        <v>479</v>
      </c>
      <c r="E213" s="12">
        <v>0.41133620799632586</v>
      </c>
      <c r="F213" s="12">
        <v>78386</v>
      </c>
      <c r="G213">
        <f t="shared" si="7"/>
        <v>32243</v>
      </c>
      <c r="H213" s="16" t="s">
        <v>827</v>
      </c>
      <c r="J213" t="s">
        <v>247</v>
      </c>
    </row>
    <row r="214" spans="1:10">
      <c r="A214" t="str">
        <f t="shared" si="6"/>
        <v>مازندرانجويبار</v>
      </c>
      <c r="B214" s="12" t="s">
        <v>56</v>
      </c>
      <c r="C214" s="12" t="s">
        <v>72</v>
      </c>
      <c r="D214" s="12" t="s">
        <v>22</v>
      </c>
      <c r="E214" s="12">
        <v>0.11902635674737835</v>
      </c>
      <c r="F214" s="12">
        <v>78386</v>
      </c>
      <c r="G214">
        <f t="shared" si="7"/>
        <v>9330</v>
      </c>
      <c r="H214" s="16" t="s">
        <v>827</v>
      </c>
      <c r="J214" t="s">
        <v>248</v>
      </c>
    </row>
    <row r="215" spans="1:10">
      <c r="A215" t="str">
        <f t="shared" si="6"/>
        <v>مازندرانجويبار</v>
      </c>
      <c r="B215" s="12" t="s">
        <v>56</v>
      </c>
      <c r="C215" s="12" t="s">
        <v>72</v>
      </c>
      <c r="D215" s="12" t="s">
        <v>478</v>
      </c>
      <c r="E215" s="12">
        <v>4.415329267981527E-2</v>
      </c>
      <c r="F215" s="12">
        <v>78386</v>
      </c>
      <c r="G215">
        <f t="shared" si="7"/>
        <v>3461</v>
      </c>
      <c r="H215" s="16" t="s">
        <v>827</v>
      </c>
      <c r="J215" t="s">
        <v>249</v>
      </c>
    </row>
    <row r="216" spans="1:10">
      <c r="A216" t="str">
        <f t="shared" si="6"/>
        <v>مازندرانجويبار</v>
      </c>
      <c r="B216" s="12" t="s">
        <v>56</v>
      </c>
      <c r="C216" s="12" t="s">
        <v>72</v>
      </c>
      <c r="D216" s="12" t="s">
        <v>20</v>
      </c>
      <c r="E216" s="12">
        <v>4.1410455948766363E-2</v>
      </c>
      <c r="F216" s="12">
        <v>78386</v>
      </c>
      <c r="G216">
        <f t="shared" si="7"/>
        <v>3246</v>
      </c>
      <c r="H216" s="16" t="s">
        <v>827</v>
      </c>
      <c r="J216" t="s">
        <v>250</v>
      </c>
    </row>
    <row r="217" spans="1:10">
      <c r="A217" t="str">
        <f t="shared" si="6"/>
        <v>مازندرانگلوگاه</v>
      </c>
      <c r="B217" s="12" t="s">
        <v>56</v>
      </c>
      <c r="C217" s="12" t="s">
        <v>73</v>
      </c>
      <c r="D217" s="12" t="s">
        <v>480</v>
      </c>
      <c r="E217" s="12">
        <v>0.36688999028666786</v>
      </c>
      <c r="F217" s="12">
        <v>40151</v>
      </c>
      <c r="G217">
        <f t="shared" si="7"/>
        <v>14731</v>
      </c>
      <c r="H217" s="16" t="s">
        <v>838</v>
      </c>
      <c r="J217" t="s">
        <v>251</v>
      </c>
    </row>
    <row r="218" spans="1:10">
      <c r="A218" t="str">
        <f t="shared" si="6"/>
        <v>مازندرانگلوگاه</v>
      </c>
      <c r="B218" s="12" t="s">
        <v>56</v>
      </c>
      <c r="C218" s="12" t="s">
        <v>73</v>
      </c>
      <c r="D218" s="12" t="s">
        <v>479</v>
      </c>
      <c r="E218" s="12">
        <v>0.41142188239396277</v>
      </c>
      <c r="F218" s="12">
        <v>40151</v>
      </c>
      <c r="G218">
        <f t="shared" si="7"/>
        <v>16519</v>
      </c>
      <c r="H218" s="16" t="s">
        <v>838</v>
      </c>
      <c r="J218" t="s">
        <v>252</v>
      </c>
    </row>
    <row r="219" spans="1:10">
      <c r="A219" t="str">
        <f t="shared" si="6"/>
        <v>مازندرانگلوگاه</v>
      </c>
      <c r="B219" s="12" t="s">
        <v>56</v>
      </c>
      <c r="C219" s="12" t="s">
        <v>73</v>
      </c>
      <c r="D219" s="12" t="s">
        <v>22</v>
      </c>
      <c r="E219" s="12">
        <v>0.12871410425643198</v>
      </c>
      <c r="F219" s="12">
        <v>40151</v>
      </c>
      <c r="G219">
        <f t="shared" si="7"/>
        <v>5168</v>
      </c>
      <c r="H219" s="16" t="s">
        <v>838</v>
      </c>
      <c r="J219" t="s">
        <v>253</v>
      </c>
    </row>
    <row r="220" spans="1:10">
      <c r="A220" t="str">
        <f t="shared" si="6"/>
        <v>مازندرانگلوگاه</v>
      </c>
      <c r="B220" s="12" t="s">
        <v>56</v>
      </c>
      <c r="C220" s="12" t="s">
        <v>73</v>
      </c>
      <c r="D220" s="12" t="s">
        <v>478</v>
      </c>
      <c r="E220" s="12">
        <v>4.7744763517720605E-2</v>
      </c>
      <c r="F220" s="12">
        <v>40151</v>
      </c>
      <c r="G220">
        <f t="shared" si="7"/>
        <v>1917</v>
      </c>
      <c r="H220" s="16" t="s">
        <v>838</v>
      </c>
      <c r="J220" t="s">
        <v>254</v>
      </c>
    </row>
    <row r="221" spans="1:10">
      <c r="A221" t="str">
        <f t="shared" si="6"/>
        <v>مازندرانگلوگاه</v>
      </c>
      <c r="B221" s="12" t="s">
        <v>56</v>
      </c>
      <c r="C221" s="12" t="s">
        <v>73</v>
      </c>
      <c r="D221" s="12" t="s">
        <v>20</v>
      </c>
      <c r="E221" s="12">
        <v>4.5104729645587906E-2</v>
      </c>
      <c r="F221" s="12">
        <v>40151</v>
      </c>
      <c r="G221">
        <f t="shared" si="7"/>
        <v>1811</v>
      </c>
      <c r="H221" s="16" t="s">
        <v>838</v>
      </c>
      <c r="J221" t="s">
        <v>255</v>
      </c>
    </row>
    <row r="222" spans="1:10">
      <c r="A222" t="str">
        <f t="shared" si="6"/>
        <v>مازندرانفريدونكنار</v>
      </c>
      <c r="B222" s="12" t="s">
        <v>56</v>
      </c>
      <c r="C222" s="12" t="s">
        <v>74</v>
      </c>
      <c r="D222" s="12" t="s">
        <v>480</v>
      </c>
      <c r="E222" s="12">
        <v>0.36924574048722558</v>
      </c>
      <c r="F222" s="12">
        <v>60629</v>
      </c>
      <c r="G222">
        <f t="shared" si="7"/>
        <v>22387</v>
      </c>
      <c r="H222" s="16" t="s">
        <v>845</v>
      </c>
      <c r="J222" t="s">
        <v>256</v>
      </c>
    </row>
    <row r="223" spans="1:10">
      <c r="A223" t="str">
        <f t="shared" si="6"/>
        <v>مازندرانفريدونكنار</v>
      </c>
      <c r="B223" s="12" t="s">
        <v>56</v>
      </c>
      <c r="C223" s="12" t="s">
        <v>74</v>
      </c>
      <c r="D223" s="12" t="s">
        <v>479</v>
      </c>
      <c r="E223" s="12">
        <v>0.42720480298207131</v>
      </c>
      <c r="F223" s="12">
        <v>60629</v>
      </c>
      <c r="G223">
        <f t="shared" si="7"/>
        <v>25901</v>
      </c>
      <c r="H223" s="16" t="s">
        <v>845</v>
      </c>
      <c r="J223" t="s">
        <v>257</v>
      </c>
    </row>
    <row r="224" spans="1:10">
      <c r="A224" t="str">
        <f t="shared" si="6"/>
        <v>مازندرانفريدونكنار</v>
      </c>
      <c r="B224" s="12" t="s">
        <v>56</v>
      </c>
      <c r="C224" s="12" t="s">
        <v>74</v>
      </c>
      <c r="D224" s="12" t="s">
        <v>22</v>
      </c>
      <c r="E224" s="12">
        <v>0.12365369707565686</v>
      </c>
      <c r="F224" s="12">
        <v>60629</v>
      </c>
      <c r="G224">
        <f t="shared" si="7"/>
        <v>7497</v>
      </c>
      <c r="H224" s="16" t="s">
        <v>845</v>
      </c>
      <c r="J224" t="s">
        <v>258</v>
      </c>
    </row>
    <row r="225" spans="1:10">
      <c r="A225" t="str">
        <f t="shared" si="6"/>
        <v>مازندرانفريدونكنار</v>
      </c>
      <c r="B225" s="12" t="s">
        <v>56</v>
      </c>
      <c r="C225" s="12" t="s">
        <v>74</v>
      </c>
      <c r="D225" s="12" t="s">
        <v>478</v>
      </c>
      <c r="E225" s="12">
        <v>4.2883768493625164E-2</v>
      </c>
      <c r="F225" s="12">
        <v>60629</v>
      </c>
      <c r="G225">
        <f t="shared" si="7"/>
        <v>2600</v>
      </c>
      <c r="H225" s="16" t="s">
        <v>845</v>
      </c>
      <c r="J225" t="s">
        <v>259</v>
      </c>
    </row>
    <row r="226" spans="1:10">
      <c r="A226" t="str">
        <f t="shared" si="6"/>
        <v>مازندرانفريدونكنار</v>
      </c>
      <c r="B226" s="12" t="s">
        <v>56</v>
      </c>
      <c r="C226" s="12" t="s">
        <v>74</v>
      </c>
      <c r="D226" s="12" t="s">
        <v>20</v>
      </c>
      <c r="E226" s="12">
        <v>3.6946015932969374E-2</v>
      </c>
      <c r="F226" s="12">
        <v>60629</v>
      </c>
      <c r="G226">
        <f t="shared" si="7"/>
        <v>2240</v>
      </c>
      <c r="H226" s="16" t="s">
        <v>845</v>
      </c>
      <c r="J226" t="s">
        <v>260</v>
      </c>
    </row>
    <row r="227" spans="1:10">
      <c r="A227" t="str">
        <f t="shared" si="6"/>
        <v>مازندرانعباس آباد</v>
      </c>
      <c r="B227" s="12" t="s">
        <v>56</v>
      </c>
      <c r="C227" s="12" t="s">
        <v>75</v>
      </c>
      <c r="D227" s="12" t="s">
        <v>480</v>
      </c>
      <c r="E227" s="12">
        <v>0.36603349864321139</v>
      </c>
      <c r="F227" s="12">
        <v>53435</v>
      </c>
      <c r="G227">
        <f t="shared" si="7"/>
        <v>19559</v>
      </c>
      <c r="H227" s="16" t="s">
        <v>832</v>
      </c>
      <c r="J227" t="s">
        <v>261</v>
      </c>
    </row>
    <row r="228" spans="1:10">
      <c r="A228" t="str">
        <f t="shared" si="6"/>
        <v>مازندرانعباس آباد</v>
      </c>
      <c r="B228" s="12" t="s">
        <v>56</v>
      </c>
      <c r="C228" s="12" t="s">
        <v>75</v>
      </c>
      <c r="D228" s="12" t="s">
        <v>479</v>
      </c>
      <c r="E228" s="12">
        <v>0.43608122017404322</v>
      </c>
      <c r="F228" s="12">
        <v>53435</v>
      </c>
      <c r="G228">
        <f t="shared" si="7"/>
        <v>23302</v>
      </c>
      <c r="H228" s="16" t="s">
        <v>832</v>
      </c>
      <c r="J228" t="s">
        <v>262</v>
      </c>
    </row>
    <row r="229" spans="1:10">
      <c r="A229" t="str">
        <f t="shared" si="6"/>
        <v>مازندرانعباس آباد</v>
      </c>
      <c r="B229" s="12" t="s">
        <v>56</v>
      </c>
      <c r="C229" s="12" t="s">
        <v>75</v>
      </c>
      <c r="D229" s="12" t="s">
        <v>22</v>
      </c>
      <c r="E229" s="12">
        <v>0.11913539814728175</v>
      </c>
      <c r="F229" s="12">
        <v>53435</v>
      </c>
      <c r="G229">
        <f t="shared" si="7"/>
        <v>6366</v>
      </c>
      <c r="H229" s="16" t="s">
        <v>832</v>
      </c>
      <c r="J229" t="s">
        <v>263</v>
      </c>
    </row>
    <row r="230" spans="1:10">
      <c r="A230" t="str">
        <f t="shared" si="6"/>
        <v>مازندرانعباس آباد</v>
      </c>
      <c r="B230" s="12" t="s">
        <v>56</v>
      </c>
      <c r="C230" s="12" t="s">
        <v>75</v>
      </c>
      <c r="D230" s="12" t="s">
        <v>478</v>
      </c>
      <c r="E230" s="12">
        <v>4.1920089828763919E-2</v>
      </c>
      <c r="F230" s="12">
        <v>53435</v>
      </c>
      <c r="G230">
        <f t="shared" si="7"/>
        <v>2240</v>
      </c>
      <c r="H230" s="16" t="s">
        <v>832</v>
      </c>
      <c r="J230" t="s">
        <v>264</v>
      </c>
    </row>
    <row r="231" spans="1:10">
      <c r="A231" t="str">
        <f t="shared" si="6"/>
        <v>مازندرانعباس آباد</v>
      </c>
      <c r="B231" s="12" t="s">
        <v>56</v>
      </c>
      <c r="C231" s="12" t="s">
        <v>75</v>
      </c>
      <c r="D231" s="12" t="s">
        <v>20</v>
      </c>
      <c r="E231" s="12">
        <v>3.6829793206699726E-2</v>
      </c>
      <c r="F231" s="12">
        <v>53435</v>
      </c>
      <c r="G231">
        <f t="shared" si="7"/>
        <v>1968</v>
      </c>
      <c r="H231" s="16" t="s">
        <v>832</v>
      </c>
      <c r="J231" t="s">
        <v>265</v>
      </c>
    </row>
    <row r="232" spans="1:10">
      <c r="A232" t="str">
        <f t="shared" si="6"/>
        <v>مازندرانمياندورد</v>
      </c>
      <c r="B232" s="12" t="s">
        <v>56</v>
      </c>
      <c r="C232" s="12" t="s">
        <v>76</v>
      </c>
      <c r="D232" s="12" t="s">
        <v>480</v>
      </c>
      <c r="E232" s="12">
        <v>0.38236090795817756</v>
      </c>
      <c r="F232" s="12">
        <v>55377</v>
      </c>
      <c r="G232">
        <f t="shared" si="7"/>
        <v>21174</v>
      </c>
      <c r="H232" s="16" t="s">
        <v>833</v>
      </c>
      <c r="J232" t="s">
        <v>267</v>
      </c>
    </row>
    <row r="233" spans="1:10">
      <c r="A233" t="str">
        <f t="shared" si="6"/>
        <v>مازندرانمياندورد</v>
      </c>
      <c r="B233" s="12" t="s">
        <v>56</v>
      </c>
      <c r="C233" s="12" t="s">
        <v>76</v>
      </c>
      <c r="D233" s="12" t="s">
        <v>479</v>
      </c>
      <c r="E233" s="12">
        <v>0.41000776495657043</v>
      </c>
      <c r="F233" s="12">
        <v>55377</v>
      </c>
      <c r="G233">
        <f t="shared" si="7"/>
        <v>22705</v>
      </c>
      <c r="H233" s="16" t="s">
        <v>833</v>
      </c>
      <c r="J233" t="s">
        <v>268</v>
      </c>
    </row>
    <row r="234" spans="1:10">
      <c r="A234" t="str">
        <f t="shared" si="6"/>
        <v>مازندرانمياندورد</v>
      </c>
      <c r="B234" s="12" t="s">
        <v>56</v>
      </c>
      <c r="C234" s="12" t="s">
        <v>76</v>
      </c>
      <c r="D234" s="12" t="s">
        <v>22</v>
      </c>
      <c r="E234" s="12">
        <v>0.11920111237517381</v>
      </c>
      <c r="F234" s="12">
        <v>55377</v>
      </c>
      <c r="G234">
        <f t="shared" si="7"/>
        <v>6601</v>
      </c>
      <c r="H234" s="16" t="s">
        <v>833</v>
      </c>
      <c r="J234" t="s">
        <v>269</v>
      </c>
    </row>
    <row r="235" spans="1:10">
      <c r="A235" t="str">
        <f t="shared" si="6"/>
        <v>مازندرانمياندورد</v>
      </c>
      <c r="B235" s="12" t="s">
        <v>56</v>
      </c>
      <c r="C235" s="12" t="s">
        <v>76</v>
      </c>
      <c r="D235" s="12" t="s">
        <v>478</v>
      </c>
      <c r="E235" s="12">
        <v>4.510898026256388E-2</v>
      </c>
      <c r="F235" s="12">
        <v>55377</v>
      </c>
      <c r="G235">
        <f t="shared" si="7"/>
        <v>2498</v>
      </c>
      <c r="H235" s="16" t="s">
        <v>833</v>
      </c>
      <c r="J235" t="s">
        <v>270</v>
      </c>
    </row>
    <row r="236" spans="1:10">
      <c r="A236" t="str">
        <f t="shared" si="6"/>
        <v>مازندرانمياندورد</v>
      </c>
      <c r="B236" s="12" t="s">
        <v>56</v>
      </c>
      <c r="C236" s="12" t="s">
        <v>76</v>
      </c>
      <c r="D236" s="12" t="s">
        <v>20</v>
      </c>
      <c r="E236" s="12">
        <v>4.3375408563121873E-2</v>
      </c>
      <c r="F236" s="12">
        <v>55377</v>
      </c>
      <c r="G236">
        <f t="shared" si="7"/>
        <v>2402</v>
      </c>
      <c r="H236" s="16" t="s">
        <v>833</v>
      </c>
      <c r="J236" t="s">
        <v>271</v>
      </c>
    </row>
    <row r="237" spans="1:10">
      <c r="A237" t="str">
        <f t="shared" si="6"/>
        <v>مازندرانسيمرغ</v>
      </c>
      <c r="B237" s="12" t="s">
        <v>56</v>
      </c>
      <c r="C237" s="12" t="s">
        <v>77</v>
      </c>
      <c r="D237" s="12" t="s">
        <v>480</v>
      </c>
      <c r="E237" s="12">
        <v>0.35953555281545418</v>
      </c>
      <c r="F237" s="12">
        <v>19464</v>
      </c>
      <c r="G237">
        <f t="shared" si="7"/>
        <v>6998</v>
      </c>
      <c r="H237" s="16" t="s">
        <v>828</v>
      </c>
      <c r="J237" t="s">
        <v>272</v>
      </c>
    </row>
    <row r="238" spans="1:10">
      <c r="A238" t="str">
        <f t="shared" si="6"/>
        <v>مازندرانسيمرغ</v>
      </c>
      <c r="B238" s="12" t="s">
        <v>56</v>
      </c>
      <c r="C238" s="12" t="s">
        <v>77</v>
      </c>
      <c r="D238" s="12" t="s">
        <v>479</v>
      </c>
      <c r="E238" s="12">
        <v>0.40449034114262228</v>
      </c>
      <c r="F238" s="12">
        <v>19464</v>
      </c>
      <c r="G238">
        <f t="shared" si="7"/>
        <v>7873</v>
      </c>
      <c r="H238" s="16" t="s">
        <v>828</v>
      </c>
      <c r="J238" t="s">
        <v>273</v>
      </c>
    </row>
    <row r="239" spans="1:10">
      <c r="A239" t="str">
        <f t="shared" si="6"/>
        <v>مازندرانسيمرغ</v>
      </c>
      <c r="B239" s="12" t="s">
        <v>56</v>
      </c>
      <c r="C239" s="12" t="s">
        <v>77</v>
      </c>
      <c r="D239" s="12" t="s">
        <v>22</v>
      </c>
      <c r="E239" s="12">
        <v>0.13455610357583231</v>
      </c>
      <c r="F239" s="12">
        <v>19464</v>
      </c>
      <c r="G239">
        <f t="shared" si="7"/>
        <v>2619</v>
      </c>
      <c r="H239" s="16" t="s">
        <v>828</v>
      </c>
      <c r="J239" t="s">
        <v>274</v>
      </c>
    </row>
    <row r="240" spans="1:10">
      <c r="A240" t="str">
        <f t="shared" si="6"/>
        <v>مازندرانسيمرغ</v>
      </c>
      <c r="B240" s="12" t="s">
        <v>56</v>
      </c>
      <c r="C240" s="12" t="s">
        <v>77</v>
      </c>
      <c r="D240" s="12" t="s">
        <v>478</v>
      </c>
      <c r="E240" s="12">
        <v>4.849979449239622E-2</v>
      </c>
      <c r="F240" s="12">
        <v>19464</v>
      </c>
      <c r="G240">
        <f t="shared" si="7"/>
        <v>944</v>
      </c>
      <c r="H240" s="16" t="s">
        <v>828</v>
      </c>
      <c r="J240" t="s">
        <v>275</v>
      </c>
    </row>
    <row r="241" spans="1:10">
      <c r="A241" t="str">
        <f t="shared" si="6"/>
        <v>مازندرانسيمرغ</v>
      </c>
      <c r="B241" s="12" t="s">
        <v>56</v>
      </c>
      <c r="C241" s="12" t="s">
        <v>77</v>
      </c>
      <c r="D241" s="12" t="s">
        <v>20</v>
      </c>
      <c r="E241" s="12">
        <v>5.2866831072749691E-2</v>
      </c>
      <c r="F241" s="12">
        <v>19464</v>
      </c>
      <c r="G241">
        <f t="shared" si="7"/>
        <v>1029</v>
      </c>
      <c r="H241" s="16" t="s">
        <v>828</v>
      </c>
      <c r="J241" t="s">
        <v>276</v>
      </c>
    </row>
    <row r="242" spans="1:10">
      <c r="A242" t="str">
        <f t="shared" si="6"/>
        <v>مازندرانسوادکوه شمالی</v>
      </c>
      <c r="B242" s="12" t="s">
        <v>56</v>
      </c>
      <c r="C242" s="12" t="s">
        <v>78</v>
      </c>
      <c r="D242" s="12" t="s">
        <v>480</v>
      </c>
      <c r="E242" s="12">
        <v>0.34668597168597171</v>
      </c>
      <c r="F242" s="12">
        <v>24864</v>
      </c>
      <c r="G242">
        <f t="shared" si="7"/>
        <v>8620</v>
      </c>
      <c r="H242" s="16" t="s">
        <v>830</v>
      </c>
      <c r="J242" t="s">
        <v>277</v>
      </c>
    </row>
    <row r="243" spans="1:10">
      <c r="A243" t="str">
        <f t="shared" si="6"/>
        <v>مازندرانسوادکوه شمالی</v>
      </c>
      <c r="B243" s="12" t="s">
        <v>56</v>
      </c>
      <c r="C243" s="12" t="s">
        <v>78</v>
      </c>
      <c r="D243" s="12" t="s">
        <v>479</v>
      </c>
      <c r="E243" s="12">
        <v>0.39667792792792794</v>
      </c>
      <c r="F243" s="12">
        <v>24864</v>
      </c>
      <c r="G243">
        <f t="shared" si="7"/>
        <v>9863</v>
      </c>
      <c r="H243" s="16" t="s">
        <v>830</v>
      </c>
      <c r="J243" t="s">
        <v>278</v>
      </c>
    </row>
    <row r="244" spans="1:10">
      <c r="A244" t="str">
        <f t="shared" si="6"/>
        <v>مازندرانسوادکوه شمالی</v>
      </c>
      <c r="B244" s="12" t="s">
        <v>56</v>
      </c>
      <c r="C244" s="12" t="s">
        <v>78</v>
      </c>
      <c r="D244" s="12" t="s">
        <v>22</v>
      </c>
      <c r="E244" s="12">
        <v>0.133244851994852</v>
      </c>
      <c r="F244" s="12">
        <v>24864</v>
      </c>
      <c r="G244">
        <f t="shared" si="7"/>
        <v>3313</v>
      </c>
      <c r="H244" s="16" t="s">
        <v>830</v>
      </c>
      <c r="J244" t="s">
        <v>279</v>
      </c>
    </row>
    <row r="245" spans="1:10">
      <c r="A245" t="str">
        <f t="shared" si="6"/>
        <v>مازندرانسوادکوه شمالی</v>
      </c>
      <c r="B245" s="12" t="s">
        <v>56</v>
      </c>
      <c r="C245" s="12" t="s">
        <v>78</v>
      </c>
      <c r="D245" s="12" t="s">
        <v>478</v>
      </c>
      <c r="E245" s="12">
        <v>6.0167310167310167E-2</v>
      </c>
      <c r="F245" s="12">
        <v>24864</v>
      </c>
      <c r="G245">
        <f t="shared" si="7"/>
        <v>1496</v>
      </c>
      <c r="H245" s="16" t="s">
        <v>830</v>
      </c>
      <c r="J245" t="s">
        <v>280</v>
      </c>
    </row>
    <row r="246" spans="1:10">
      <c r="A246" t="str">
        <f t="shared" si="6"/>
        <v>مازندرانسوادکوه شمالی</v>
      </c>
      <c r="B246" s="12" t="s">
        <v>56</v>
      </c>
      <c r="C246" s="12" t="s">
        <v>78</v>
      </c>
      <c r="D246" s="12" t="s">
        <v>20</v>
      </c>
      <c r="E246" s="12">
        <v>6.326415701415701E-2</v>
      </c>
      <c r="F246" s="12">
        <v>24864</v>
      </c>
      <c r="G246">
        <f t="shared" si="7"/>
        <v>1573</v>
      </c>
      <c r="H246" s="16" t="s">
        <v>830</v>
      </c>
      <c r="J246" t="s">
        <v>281</v>
      </c>
    </row>
    <row r="247" spans="1:10">
      <c r="A247" t="str">
        <f t="shared" si="6"/>
        <v>مازندرانکلاردشت</v>
      </c>
      <c r="B247" s="12" t="s">
        <v>56</v>
      </c>
      <c r="C247" s="12" t="s">
        <v>80</v>
      </c>
      <c r="D247" s="12" t="s">
        <v>480</v>
      </c>
      <c r="E247" s="12">
        <v>0.34696918099778651</v>
      </c>
      <c r="F247" s="12">
        <v>23492</v>
      </c>
      <c r="G247">
        <f t="shared" si="7"/>
        <v>8151</v>
      </c>
      <c r="H247" s="16" t="s">
        <v>849</v>
      </c>
      <c r="J247" t="s">
        <v>282</v>
      </c>
    </row>
    <row r="248" spans="1:10">
      <c r="A248" t="str">
        <f t="shared" si="6"/>
        <v>مازندرانکلاردشت</v>
      </c>
      <c r="B248" s="12" t="s">
        <v>56</v>
      </c>
      <c r="C248" s="12" t="s">
        <v>80</v>
      </c>
      <c r="D248" s="12" t="s">
        <v>479</v>
      </c>
      <c r="E248" s="12">
        <v>0.41827004937851181</v>
      </c>
      <c r="F248" s="12">
        <v>23492</v>
      </c>
      <c r="G248">
        <f t="shared" si="7"/>
        <v>9826</v>
      </c>
      <c r="H248" s="16" t="s">
        <v>849</v>
      </c>
      <c r="J248" t="s">
        <v>283</v>
      </c>
    </row>
    <row r="249" spans="1:10">
      <c r="A249" t="str">
        <f t="shared" si="6"/>
        <v>مازندرانکلاردشت</v>
      </c>
      <c r="B249" s="12" t="s">
        <v>56</v>
      </c>
      <c r="C249" s="12" t="s">
        <v>80</v>
      </c>
      <c r="D249" s="12" t="s">
        <v>22</v>
      </c>
      <c r="E249" s="12">
        <v>0.13217265452068788</v>
      </c>
      <c r="F249" s="12">
        <v>23492</v>
      </c>
      <c r="G249">
        <f t="shared" si="7"/>
        <v>3105</v>
      </c>
      <c r="H249" s="16" t="s">
        <v>849</v>
      </c>
      <c r="J249" t="s">
        <v>284</v>
      </c>
    </row>
    <row r="250" spans="1:10">
      <c r="A250" t="str">
        <f t="shared" si="6"/>
        <v>مازندرانکلاردشت</v>
      </c>
      <c r="B250" s="12" t="s">
        <v>56</v>
      </c>
      <c r="C250" s="12" t="s">
        <v>80</v>
      </c>
      <c r="D250" s="12" t="s">
        <v>478</v>
      </c>
      <c r="E250" s="12">
        <v>4.9463647199046487E-2</v>
      </c>
      <c r="F250" s="12">
        <v>23492</v>
      </c>
      <c r="G250">
        <f t="shared" si="7"/>
        <v>1162</v>
      </c>
      <c r="H250" s="16" t="s">
        <v>849</v>
      </c>
      <c r="J250" t="s">
        <v>285</v>
      </c>
    </row>
    <row r="251" spans="1:10">
      <c r="A251" t="str">
        <f t="shared" si="6"/>
        <v>مازندرانکلاردشت</v>
      </c>
      <c r="B251" s="12" t="s">
        <v>56</v>
      </c>
      <c r="C251" s="12" t="s">
        <v>80</v>
      </c>
      <c r="D251" s="12" t="s">
        <v>20</v>
      </c>
      <c r="E251" s="12">
        <v>5.3039332538736592E-2</v>
      </c>
      <c r="F251" s="12">
        <v>23492</v>
      </c>
      <c r="G251">
        <f t="shared" si="7"/>
        <v>1246</v>
      </c>
      <c r="H251" s="16" t="s">
        <v>849</v>
      </c>
      <c r="J251" t="s">
        <v>287</v>
      </c>
    </row>
    <row r="252" spans="1:10">
      <c r="A252" t="str">
        <f t="shared" si="6"/>
        <v>آذربايجان شرقياهر</v>
      </c>
      <c r="B252" s="12" t="s">
        <v>79</v>
      </c>
      <c r="C252" s="12" t="s">
        <v>81</v>
      </c>
      <c r="D252" s="12" t="s">
        <v>480</v>
      </c>
      <c r="E252" s="12">
        <v>0.43070612742410858</v>
      </c>
      <c r="F252" s="12">
        <v>155057</v>
      </c>
      <c r="G252">
        <f t="shared" si="7"/>
        <v>66784</v>
      </c>
      <c r="H252" s="16" t="s">
        <v>531</v>
      </c>
      <c r="J252" t="s">
        <v>288</v>
      </c>
    </row>
    <row r="253" spans="1:10">
      <c r="A253" t="str">
        <f t="shared" si="6"/>
        <v>آذربايجان شرقياهر</v>
      </c>
      <c r="B253" s="12" t="s">
        <v>79</v>
      </c>
      <c r="C253" s="12" t="s">
        <v>81</v>
      </c>
      <c r="D253" s="12" t="s">
        <v>479</v>
      </c>
      <c r="E253" s="12">
        <v>0.3821691378009377</v>
      </c>
      <c r="F253" s="12">
        <v>155057</v>
      </c>
      <c r="G253">
        <f t="shared" si="7"/>
        <v>59258</v>
      </c>
      <c r="H253" s="16" t="s">
        <v>531</v>
      </c>
      <c r="J253" t="s">
        <v>289</v>
      </c>
    </row>
    <row r="254" spans="1:10">
      <c r="A254" t="str">
        <f t="shared" si="6"/>
        <v>آذربايجان شرقياهر</v>
      </c>
      <c r="B254" s="12" t="s">
        <v>79</v>
      </c>
      <c r="C254" s="12" t="s">
        <v>81</v>
      </c>
      <c r="D254" s="12" t="s">
        <v>22</v>
      </c>
      <c r="E254" s="12">
        <v>0.10303952739960144</v>
      </c>
      <c r="F254" s="12">
        <v>155057</v>
      </c>
      <c r="G254">
        <f t="shared" si="7"/>
        <v>15977</v>
      </c>
      <c r="H254" s="16" t="s">
        <v>531</v>
      </c>
      <c r="J254" t="s">
        <v>290</v>
      </c>
    </row>
    <row r="255" spans="1:10">
      <c r="A255" t="str">
        <f t="shared" si="6"/>
        <v>آذربايجان شرقياهر</v>
      </c>
      <c r="B255" s="12" t="s">
        <v>79</v>
      </c>
      <c r="C255" s="12" t="s">
        <v>81</v>
      </c>
      <c r="D255" s="12" t="s">
        <v>478</v>
      </c>
      <c r="E255" s="12">
        <v>4.1339636391778505E-2</v>
      </c>
      <c r="F255" s="12">
        <v>155057</v>
      </c>
      <c r="G255">
        <f t="shared" si="7"/>
        <v>6410</v>
      </c>
      <c r="H255" s="16" t="s">
        <v>531</v>
      </c>
      <c r="J255" t="s">
        <v>291</v>
      </c>
    </row>
    <row r="256" spans="1:10">
      <c r="A256" t="str">
        <f t="shared" si="6"/>
        <v>آذربايجان شرقياهر</v>
      </c>
      <c r="B256" s="12" t="s">
        <v>79</v>
      </c>
      <c r="C256" s="12" t="s">
        <v>81</v>
      </c>
      <c r="D256" s="12" t="s">
        <v>20</v>
      </c>
      <c r="E256" s="12">
        <v>4.2732672501080246E-2</v>
      </c>
      <c r="F256" s="12">
        <v>155057</v>
      </c>
      <c r="G256">
        <f t="shared" si="7"/>
        <v>6626</v>
      </c>
      <c r="H256" s="16" t="s">
        <v>531</v>
      </c>
      <c r="J256" t="s">
        <v>292</v>
      </c>
    </row>
    <row r="257" spans="1:10">
      <c r="A257" t="str">
        <f t="shared" si="6"/>
        <v>آذربايجان شرقيتبريز</v>
      </c>
      <c r="B257" s="12" t="s">
        <v>79</v>
      </c>
      <c r="C257" s="12" t="s">
        <v>82</v>
      </c>
      <c r="D257" s="12" t="s">
        <v>480</v>
      </c>
      <c r="E257" s="12">
        <v>0.38192021866688053</v>
      </c>
      <c r="F257" s="12">
        <v>1795608</v>
      </c>
      <c r="G257">
        <f t="shared" si="7"/>
        <v>685779</v>
      </c>
      <c r="H257" s="16" t="s">
        <v>524</v>
      </c>
      <c r="J257" t="s">
        <v>293</v>
      </c>
    </row>
    <row r="258" spans="1:10">
      <c r="A258" t="str">
        <f t="shared" ref="A258:A321" si="8">B258&amp;C258</f>
        <v>آذربايجان شرقيتبريز</v>
      </c>
      <c r="B258" s="12" t="s">
        <v>79</v>
      </c>
      <c r="C258" s="12" t="s">
        <v>82</v>
      </c>
      <c r="D258" s="12" t="s">
        <v>479</v>
      </c>
      <c r="E258" s="12">
        <v>0.4169150505010002</v>
      </c>
      <c r="F258" s="12">
        <v>1795608</v>
      </c>
      <c r="G258">
        <f t="shared" si="7"/>
        <v>748616</v>
      </c>
      <c r="H258" s="16" t="s">
        <v>524</v>
      </c>
      <c r="J258" t="s">
        <v>294</v>
      </c>
    </row>
    <row r="259" spans="1:10">
      <c r="A259" t="str">
        <f t="shared" si="8"/>
        <v>آذربايجان شرقيتبريز</v>
      </c>
      <c r="B259" s="12" t="s">
        <v>79</v>
      </c>
      <c r="C259" s="12" t="s">
        <v>82</v>
      </c>
      <c r="D259" s="12" t="s">
        <v>22</v>
      </c>
      <c r="E259" s="12">
        <v>0.11748165523878262</v>
      </c>
      <c r="F259" s="12">
        <v>1795608</v>
      </c>
      <c r="G259">
        <f t="shared" ref="G259:G322" si="9">IFERROR(ROUND(F259*E259,0),0)</f>
        <v>210951</v>
      </c>
      <c r="H259" s="16" t="s">
        <v>524</v>
      </c>
      <c r="J259" t="s">
        <v>295</v>
      </c>
    </row>
    <row r="260" spans="1:10">
      <c r="A260" t="str">
        <f t="shared" si="8"/>
        <v>آذربايجان شرقيتبريز</v>
      </c>
      <c r="B260" s="12" t="s">
        <v>79</v>
      </c>
      <c r="C260" s="12" t="s">
        <v>82</v>
      </c>
      <c r="D260" s="12" t="s">
        <v>478</v>
      </c>
      <c r="E260" s="12">
        <v>4.363647299410562E-2</v>
      </c>
      <c r="F260" s="12">
        <v>1795608</v>
      </c>
      <c r="G260">
        <f t="shared" si="9"/>
        <v>78354</v>
      </c>
      <c r="H260" s="16" t="s">
        <v>524</v>
      </c>
      <c r="J260" t="s">
        <v>296</v>
      </c>
    </row>
    <row r="261" spans="1:10">
      <c r="A261" t="str">
        <f t="shared" si="8"/>
        <v>آذربايجان شرقيتبريز</v>
      </c>
      <c r="B261" s="12" t="s">
        <v>79</v>
      </c>
      <c r="C261" s="12" t="s">
        <v>82</v>
      </c>
      <c r="D261" s="12" t="s">
        <v>20</v>
      </c>
      <c r="E261" s="12">
        <v>4.004493185595074E-2</v>
      </c>
      <c r="F261" s="12">
        <v>1795608</v>
      </c>
      <c r="G261">
        <f t="shared" si="9"/>
        <v>71905</v>
      </c>
      <c r="H261" s="16" t="s">
        <v>524</v>
      </c>
      <c r="J261" t="s">
        <v>298</v>
      </c>
    </row>
    <row r="262" spans="1:10">
      <c r="A262" t="str">
        <f t="shared" si="8"/>
        <v>آذربايجان شرقيسراب</v>
      </c>
      <c r="B262" s="12" t="s">
        <v>79</v>
      </c>
      <c r="C262" s="12" t="s">
        <v>83</v>
      </c>
      <c r="D262" s="12" t="s">
        <v>480</v>
      </c>
      <c r="E262" s="12">
        <v>0.41838587621691237</v>
      </c>
      <c r="F262" s="12">
        <v>125009</v>
      </c>
      <c r="G262">
        <f t="shared" si="9"/>
        <v>52302</v>
      </c>
      <c r="H262" s="16" t="s">
        <v>522</v>
      </c>
      <c r="J262" t="s">
        <v>299</v>
      </c>
    </row>
    <row r="263" spans="1:10">
      <c r="A263" t="str">
        <f t="shared" si="8"/>
        <v>آذربايجان شرقيسراب</v>
      </c>
      <c r="B263" s="12" t="s">
        <v>79</v>
      </c>
      <c r="C263" s="12" t="s">
        <v>83</v>
      </c>
      <c r="D263" s="12" t="s">
        <v>479</v>
      </c>
      <c r="E263" s="12">
        <v>0.38522826356502332</v>
      </c>
      <c r="F263" s="12">
        <v>125009</v>
      </c>
      <c r="G263">
        <f t="shared" si="9"/>
        <v>48157</v>
      </c>
      <c r="H263" s="16" t="s">
        <v>522</v>
      </c>
      <c r="J263" t="s">
        <v>300</v>
      </c>
    </row>
    <row r="264" spans="1:10">
      <c r="A264" t="str">
        <f t="shared" si="8"/>
        <v>آذربايجان شرقيسراب</v>
      </c>
      <c r="B264" s="12" t="s">
        <v>79</v>
      </c>
      <c r="C264" s="12" t="s">
        <v>83</v>
      </c>
      <c r="D264" s="12" t="s">
        <v>22</v>
      </c>
      <c r="E264" s="12">
        <v>0.10603236566967178</v>
      </c>
      <c r="F264" s="12">
        <v>125009</v>
      </c>
      <c r="G264">
        <f t="shared" si="9"/>
        <v>13255</v>
      </c>
      <c r="H264" s="16" t="s">
        <v>522</v>
      </c>
      <c r="J264" t="s">
        <v>301</v>
      </c>
    </row>
    <row r="265" spans="1:10">
      <c r="A265" t="str">
        <f t="shared" si="8"/>
        <v>آذربايجان شرقيسراب</v>
      </c>
      <c r="B265" s="12" t="s">
        <v>79</v>
      </c>
      <c r="C265" s="12" t="s">
        <v>83</v>
      </c>
      <c r="D265" s="12" t="s">
        <v>478</v>
      </c>
      <c r="E265" s="12">
        <v>4.439680343015303E-2</v>
      </c>
      <c r="F265" s="12">
        <v>125009</v>
      </c>
      <c r="G265">
        <f t="shared" si="9"/>
        <v>5550</v>
      </c>
      <c r="H265" s="16" t="s">
        <v>522</v>
      </c>
      <c r="J265" t="s">
        <v>297</v>
      </c>
    </row>
    <row r="266" spans="1:10">
      <c r="A266" t="str">
        <f t="shared" si="8"/>
        <v>آذربايجان شرقيسراب</v>
      </c>
      <c r="B266" s="12" t="s">
        <v>79</v>
      </c>
      <c r="C266" s="12" t="s">
        <v>83</v>
      </c>
      <c r="D266" s="12" t="s">
        <v>20</v>
      </c>
      <c r="E266" s="12">
        <v>4.5996688238446833E-2</v>
      </c>
      <c r="F266" s="12">
        <v>125009</v>
      </c>
      <c r="G266">
        <f t="shared" si="9"/>
        <v>5750</v>
      </c>
      <c r="H266" s="16" t="s">
        <v>522</v>
      </c>
      <c r="J266" t="s">
        <v>302</v>
      </c>
    </row>
    <row r="267" spans="1:10">
      <c r="A267" t="str">
        <f t="shared" si="8"/>
        <v>آذربايجان شرقيمراغه</v>
      </c>
      <c r="B267" s="12" t="s">
        <v>79</v>
      </c>
      <c r="C267" s="12" t="s">
        <v>84</v>
      </c>
      <c r="D267" s="12" t="s">
        <v>480</v>
      </c>
      <c r="E267" s="12">
        <v>0.41391862712956579</v>
      </c>
      <c r="F267" s="12">
        <v>265371</v>
      </c>
      <c r="G267">
        <f t="shared" si="9"/>
        <v>109842</v>
      </c>
      <c r="H267" s="16" t="s">
        <v>528</v>
      </c>
      <c r="J267" t="s">
        <v>303</v>
      </c>
    </row>
    <row r="268" spans="1:10">
      <c r="A268" t="str">
        <f t="shared" si="8"/>
        <v>آذربايجان شرقيمراغه</v>
      </c>
      <c r="B268" s="12" t="s">
        <v>79</v>
      </c>
      <c r="C268" s="12" t="s">
        <v>84</v>
      </c>
      <c r="D268" s="12" t="s">
        <v>479</v>
      </c>
      <c r="E268" s="12">
        <v>0.40208236770408223</v>
      </c>
      <c r="F268" s="12">
        <v>265371</v>
      </c>
      <c r="G268">
        <f t="shared" si="9"/>
        <v>106701</v>
      </c>
      <c r="H268" s="16" t="s">
        <v>528</v>
      </c>
      <c r="J268" t="s">
        <v>304</v>
      </c>
    </row>
    <row r="269" spans="1:10">
      <c r="A269" t="str">
        <f t="shared" si="8"/>
        <v>آذربايجان شرقيمراغه</v>
      </c>
      <c r="B269" s="12" t="s">
        <v>79</v>
      </c>
      <c r="C269" s="12" t="s">
        <v>84</v>
      </c>
      <c r="D269" s="12" t="s">
        <v>22</v>
      </c>
      <c r="E269" s="12">
        <v>0.10651879821080676</v>
      </c>
      <c r="F269" s="12">
        <v>265371</v>
      </c>
      <c r="G269">
        <f t="shared" si="9"/>
        <v>28267</v>
      </c>
      <c r="H269" s="16" t="s">
        <v>528</v>
      </c>
      <c r="J269" t="s">
        <v>305</v>
      </c>
    </row>
    <row r="270" spans="1:10">
      <c r="A270" t="str">
        <f t="shared" si="8"/>
        <v>آذربايجان شرقيمراغه</v>
      </c>
      <c r="B270" s="12" t="s">
        <v>79</v>
      </c>
      <c r="C270" s="12" t="s">
        <v>84</v>
      </c>
      <c r="D270" s="12" t="s">
        <v>478</v>
      </c>
      <c r="E270" s="12">
        <v>3.9616235383670408E-2</v>
      </c>
      <c r="F270" s="12">
        <v>265371</v>
      </c>
      <c r="G270">
        <f t="shared" si="9"/>
        <v>10513</v>
      </c>
      <c r="H270" s="16" t="s">
        <v>528</v>
      </c>
      <c r="J270" t="s">
        <v>307</v>
      </c>
    </row>
    <row r="271" spans="1:10">
      <c r="A271" t="str">
        <f t="shared" si="8"/>
        <v>آذربايجان شرقيمراغه</v>
      </c>
      <c r="B271" s="12" t="s">
        <v>79</v>
      </c>
      <c r="C271" s="12" t="s">
        <v>84</v>
      </c>
      <c r="D271" s="12" t="s">
        <v>20</v>
      </c>
      <c r="E271" s="12">
        <v>3.7845130025511452E-2</v>
      </c>
      <c r="F271" s="12">
        <v>265371</v>
      </c>
      <c r="G271">
        <f t="shared" si="9"/>
        <v>10043</v>
      </c>
      <c r="H271" s="16" t="s">
        <v>528</v>
      </c>
      <c r="J271" t="s">
        <v>308</v>
      </c>
    </row>
    <row r="272" spans="1:10">
      <c r="A272" t="str">
        <f t="shared" si="8"/>
        <v>آذربايجان شرقيمرند</v>
      </c>
      <c r="B272" s="12" t="s">
        <v>79</v>
      </c>
      <c r="C272" s="12" t="s">
        <v>85</v>
      </c>
      <c r="D272" s="12" t="s">
        <v>480</v>
      </c>
      <c r="E272" s="12">
        <v>0.39767405082539564</v>
      </c>
      <c r="F272" s="12">
        <v>246609</v>
      </c>
      <c r="G272">
        <f t="shared" si="9"/>
        <v>98070</v>
      </c>
      <c r="H272" s="16" t="s">
        <v>535</v>
      </c>
      <c r="J272" t="s">
        <v>309</v>
      </c>
    </row>
    <row r="273" spans="1:10">
      <c r="A273" t="str">
        <f t="shared" si="8"/>
        <v>آذربايجان شرقيمرند</v>
      </c>
      <c r="B273" s="12" t="s">
        <v>79</v>
      </c>
      <c r="C273" s="12" t="s">
        <v>85</v>
      </c>
      <c r="D273" s="12" t="s">
        <v>479</v>
      </c>
      <c r="E273" s="12">
        <v>0.40467703936190486</v>
      </c>
      <c r="F273" s="12">
        <v>246609</v>
      </c>
      <c r="G273">
        <f t="shared" si="9"/>
        <v>99797</v>
      </c>
      <c r="H273" s="16" t="s">
        <v>535</v>
      </c>
      <c r="J273" t="s">
        <v>310</v>
      </c>
    </row>
    <row r="274" spans="1:10">
      <c r="A274" t="str">
        <f t="shared" si="8"/>
        <v>آذربايجان شرقيمرند</v>
      </c>
      <c r="B274" s="12" t="s">
        <v>79</v>
      </c>
      <c r="C274" s="12" t="s">
        <v>85</v>
      </c>
      <c r="D274" s="12" t="s">
        <v>22</v>
      </c>
      <c r="E274" s="12">
        <v>0.11111922111520667</v>
      </c>
      <c r="F274" s="12">
        <v>246609</v>
      </c>
      <c r="G274">
        <f t="shared" si="9"/>
        <v>27403</v>
      </c>
      <c r="H274" s="16" t="s">
        <v>535</v>
      </c>
      <c r="J274" t="s">
        <v>311</v>
      </c>
    </row>
    <row r="275" spans="1:10">
      <c r="A275" t="str">
        <f t="shared" si="8"/>
        <v>آذربايجان شرقيمرند</v>
      </c>
      <c r="B275" s="12" t="s">
        <v>79</v>
      </c>
      <c r="C275" s="12" t="s">
        <v>85</v>
      </c>
      <c r="D275" s="12" t="s">
        <v>478</v>
      </c>
      <c r="E275" s="12">
        <v>4.3583162009496815E-2</v>
      </c>
      <c r="F275" s="12">
        <v>246609</v>
      </c>
      <c r="G275">
        <f t="shared" si="9"/>
        <v>10748</v>
      </c>
      <c r="H275" s="16" t="s">
        <v>535</v>
      </c>
      <c r="J275" t="s">
        <v>312</v>
      </c>
    </row>
    <row r="276" spans="1:10">
      <c r="A276" t="str">
        <f t="shared" si="8"/>
        <v>آذربايجان شرقيمرند</v>
      </c>
      <c r="B276" s="12" t="s">
        <v>79</v>
      </c>
      <c r="C276" s="12" t="s">
        <v>85</v>
      </c>
      <c r="D276" s="12" t="s">
        <v>20</v>
      </c>
      <c r="E276" s="12">
        <v>4.2934361681852648E-2</v>
      </c>
      <c r="F276" s="12">
        <v>246609</v>
      </c>
      <c r="G276">
        <f t="shared" si="9"/>
        <v>10588</v>
      </c>
      <c r="H276" s="16" t="s">
        <v>535</v>
      </c>
      <c r="J276" t="s">
        <v>313</v>
      </c>
    </row>
    <row r="277" spans="1:10">
      <c r="A277" t="str">
        <f t="shared" si="8"/>
        <v>آذربايجان شرقيميانه</v>
      </c>
      <c r="B277" s="12" t="s">
        <v>79</v>
      </c>
      <c r="C277" s="12" t="s">
        <v>86</v>
      </c>
      <c r="D277" s="12" t="s">
        <v>480</v>
      </c>
      <c r="E277" s="12">
        <v>0.39416742997241128</v>
      </c>
      <c r="F277" s="12">
        <v>182321</v>
      </c>
      <c r="G277">
        <f t="shared" si="9"/>
        <v>71865</v>
      </c>
      <c r="H277" s="16" t="s">
        <v>529</v>
      </c>
      <c r="J277" t="s">
        <v>314</v>
      </c>
    </row>
    <row r="278" spans="1:10">
      <c r="A278" t="str">
        <f t="shared" si="8"/>
        <v>آذربايجان شرقيميانه</v>
      </c>
      <c r="B278" s="12" t="s">
        <v>79</v>
      </c>
      <c r="C278" s="12" t="s">
        <v>86</v>
      </c>
      <c r="D278" s="12" t="s">
        <v>479</v>
      </c>
      <c r="E278" s="12">
        <v>0.39316919060338634</v>
      </c>
      <c r="F278" s="12">
        <v>182321</v>
      </c>
      <c r="G278">
        <f t="shared" si="9"/>
        <v>71683</v>
      </c>
      <c r="H278" s="16" t="s">
        <v>529</v>
      </c>
      <c r="J278" t="s">
        <v>315</v>
      </c>
    </row>
    <row r="279" spans="1:10">
      <c r="A279" t="str">
        <f t="shared" si="8"/>
        <v>آذربايجان شرقيميانه</v>
      </c>
      <c r="B279" s="12" t="s">
        <v>79</v>
      </c>
      <c r="C279" s="12" t="s">
        <v>86</v>
      </c>
      <c r="D279" s="12" t="s">
        <v>22</v>
      </c>
      <c r="E279" s="12">
        <v>0.11410643864393021</v>
      </c>
      <c r="F279" s="12">
        <v>182321</v>
      </c>
      <c r="G279">
        <f t="shared" si="9"/>
        <v>20804</v>
      </c>
      <c r="H279" s="16" t="s">
        <v>529</v>
      </c>
      <c r="J279" t="s">
        <v>317</v>
      </c>
    </row>
    <row r="280" spans="1:10">
      <c r="A280" t="str">
        <f t="shared" si="8"/>
        <v>آذربايجان شرقيميانه</v>
      </c>
      <c r="B280" s="12" t="s">
        <v>79</v>
      </c>
      <c r="C280" s="12" t="s">
        <v>86</v>
      </c>
      <c r="D280" s="12" t="s">
        <v>478</v>
      </c>
      <c r="E280" s="12">
        <v>4.7410885196987732E-2</v>
      </c>
      <c r="F280" s="12">
        <v>182321</v>
      </c>
      <c r="G280">
        <f t="shared" si="9"/>
        <v>8644</v>
      </c>
      <c r="H280" s="16" t="s">
        <v>529</v>
      </c>
      <c r="J280" t="s">
        <v>318</v>
      </c>
    </row>
    <row r="281" spans="1:10">
      <c r="A281" t="str">
        <f t="shared" si="8"/>
        <v>آذربايجان شرقيميانه</v>
      </c>
      <c r="B281" s="12" t="s">
        <v>79</v>
      </c>
      <c r="C281" s="12" t="s">
        <v>86</v>
      </c>
      <c r="D281" s="12" t="s">
        <v>20</v>
      </c>
      <c r="E281" s="12">
        <v>5.1173479741774122E-2</v>
      </c>
      <c r="F281" s="12">
        <v>182321</v>
      </c>
      <c r="G281">
        <f t="shared" si="9"/>
        <v>9330</v>
      </c>
      <c r="H281" s="16" t="s">
        <v>529</v>
      </c>
      <c r="J281" t="s">
        <v>319</v>
      </c>
    </row>
    <row r="282" spans="1:10">
      <c r="A282" t="str">
        <f t="shared" si="8"/>
        <v>آذربايجان شرقيهشترود</v>
      </c>
      <c r="B282" s="12" t="s">
        <v>79</v>
      </c>
      <c r="C282" s="12" t="s">
        <v>87</v>
      </c>
      <c r="D282" s="12" t="s">
        <v>480</v>
      </c>
      <c r="E282" s="12">
        <v>0.42596334503172745</v>
      </c>
      <c r="F282" s="12">
        <v>56418</v>
      </c>
      <c r="G282">
        <f t="shared" si="9"/>
        <v>24032</v>
      </c>
      <c r="H282" s="16" t="s">
        <v>523</v>
      </c>
      <c r="J282" t="s">
        <v>320</v>
      </c>
    </row>
    <row r="283" spans="1:10">
      <c r="A283" t="str">
        <f t="shared" si="8"/>
        <v>آذربايجان شرقيهشترود</v>
      </c>
      <c r="B283" s="12" t="s">
        <v>79</v>
      </c>
      <c r="C283" s="12" t="s">
        <v>87</v>
      </c>
      <c r="D283" s="12" t="s">
        <v>479</v>
      </c>
      <c r="E283" s="12">
        <v>0.38946790031550216</v>
      </c>
      <c r="F283" s="12">
        <v>56418</v>
      </c>
      <c r="G283">
        <f t="shared" si="9"/>
        <v>21973</v>
      </c>
      <c r="H283" s="16" t="s">
        <v>523</v>
      </c>
      <c r="J283" t="s">
        <v>321</v>
      </c>
    </row>
    <row r="284" spans="1:10">
      <c r="A284" t="str">
        <f t="shared" si="8"/>
        <v>آذربايجان شرقيهشترود</v>
      </c>
      <c r="B284" s="12" t="s">
        <v>79</v>
      </c>
      <c r="C284" s="12" t="s">
        <v>87</v>
      </c>
      <c r="D284" s="12" t="s">
        <v>22</v>
      </c>
      <c r="E284" s="12">
        <v>0.10250274735013648</v>
      </c>
      <c r="F284" s="12">
        <v>56418</v>
      </c>
      <c r="G284">
        <f t="shared" si="9"/>
        <v>5783</v>
      </c>
      <c r="H284" s="16" t="s">
        <v>523</v>
      </c>
      <c r="J284" t="s">
        <v>322</v>
      </c>
    </row>
    <row r="285" spans="1:10">
      <c r="A285" t="str">
        <f t="shared" si="8"/>
        <v>آذربايجان شرقيهشترود</v>
      </c>
      <c r="B285" s="12" t="s">
        <v>79</v>
      </c>
      <c r="C285" s="12" t="s">
        <v>87</v>
      </c>
      <c r="D285" s="12" t="s">
        <v>478</v>
      </c>
      <c r="E285" s="12">
        <v>4.1121627849267962E-2</v>
      </c>
      <c r="F285" s="12">
        <v>56418</v>
      </c>
      <c r="G285">
        <f t="shared" si="9"/>
        <v>2320</v>
      </c>
      <c r="H285" s="16" t="s">
        <v>523</v>
      </c>
      <c r="J285" t="s">
        <v>323</v>
      </c>
    </row>
    <row r="286" spans="1:10">
      <c r="A286" t="str">
        <f t="shared" si="8"/>
        <v>آذربايجان شرقيهشترود</v>
      </c>
      <c r="B286" s="12" t="s">
        <v>79</v>
      </c>
      <c r="C286" s="12" t="s">
        <v>87</v>
      </c>
      <c r="D286" s="12" t="s">
        <v>20</v>
      </c>
      <c r="E286" s="12">
        <v>4.0926654613775745E-2</v>
      </c>
      <c r="F286" s="12">
        <v>56418</v>
      </c>
      <c r="G286">
        <f t="shared" si="9"/>
        <v>2309</v>
      </c>
      <c r="H286" s="16" t="s">
        <v>523</v>
      </c>
      <c r="J286" t="s">
        <v>324</v>
      </c>
    </row>
    <row r="287" spans="1:10">
      <c r="A287" t="str">
        <f t="shared" si="8"/>
        <v>آذربايجان شرقيبناب</v>
      </c>
      <c r="B287" s="12" t="s">
        <v>79</v>
      </c>
      <c r="C287" s="12" t="s">
        <v>88</v>
      </c>
      <c r="D287" s="12" t="s">
        <v>480</v>
      </c>
      <c r="E287" s="12">
        <v>0.41063267664093372</v>
      </c>
      <c r="F287" s="12">
        <v>135883</v>
      </c>
      <c r="G287">
        <f t="shared" si="9"/>
        <v>55798</v>
      </c>
      <c r="H287" s="16" t="s">
        <v>520</v>
      </c>
      <c r="J287" t="s">
        <v>325</v>
      </c>
    </row>
    <row r="288" spans="1:10">
      <c r="A288" t="str">
        <f t="shared" si="8"/>
        <v>آذربايجان شرقيبناب</v>
      </c>
      <c r="B288" s="12" t="s">
        <v>79</v>
      </c>
      <c r="C288" s="12" t="s">
        <v>88</v>
      </c>
      <c r="D288" s="12" t="s">
        <v>479</v>
      </c>
      <c r="E288" s="12">
        <v>0.40782143461654513</v>
      </c>
      <c r="F288" s="12">
        <v>135883</v>
      </c>
      <c r="G288">
        <f t="shared" si="9"/>
        <v>55416</v>
      </c>
      <c r="H288" s="16" t="s">
        <v>520</v>
      </c>
      <c r="J288" t="s">
        <v>326</v>
      </c>
    </row>
    <row r="289" spans="1:10">
      <c r="A289" t="str">
        <f t="shared" si="8"/>
        <v>آذربايجان شرقيبناب</v>
      </c>
      <c r="B289" s="12" t="s">
        <v>79</v>
      </c>
      <c r="C289" s="12" t="s">
        <v>88</v>
      </c>
      <c r="D289" s="12" t="s">
        <v>22</v>
      </c>
      <c r="E289" s="12">
        <v>0.10826961430053797</v>
      </c>
      <c r="F289" s="12">
        <v>135883</v>
      </c>
      <c r="G289">
        <f t="shared" si="9"/>
        <v>14712</v>
      </c>
      <c r="H289" s="16" t="s">
        <v>520</v>
      </c>
      <c r="J289" t="s">
        <v>327</v>
      </c>
    </row>
    <row r="290" spans="1:10">
      <c r="A290" t="str">
        <f t="shared" si="8"/>
        <v>آذربايجان شرقيبناب</v>
      </c>
      <c r="B290" s="12" t="s">
        <v>79</v>
      </c>
      <c r="C290" s="12" t="s">
        <v>88</v>
      </c>
      <c r="D290" s="12" t="s">
        <v>478</v>
      </c>
      <c r="E290" s="12">
        <v>3.8437479302046614E-2</v>
      </c>
      <c r="F290" s="12">
        <v>135883</v>
      </c>
      <c r="G290">
        <f t="shared" si="9"/>
        <v>5223</v>
      </c>
      <c r="H290" s="16" t="s">
        <v>520</v>
      </c>
      <c r="J290" t="s">
        <v>329</v>
      </c>
    </row>
    <row r="291" spans="1:10">
      <c r="A291" t="str">
        <f t="shared" si="8"/>
        <v>آذربايجان شرقيبناب</v>
      </c>
      <c r="B291" s="12" t="s">
        <v>79</v>
      </c>
      <c r="C291" s="12" t="s">
        <v>88</v>
      </c>
      <c r="D291" s="12" t="s">
        <v>20</v>
      </c>
      <c r="E291" s="12">
        <v>3.4831435867621406E-2</v>
      </c>
      <c r="F291" s="12">
        <v>135883</v>
      </c>
      <c r="G291">
        <f t="shared" si="9"/>
        <v>4733</v>
      </c>
      <c r="H291" s="16" t="s">
        <v>520</v>
      </c>
      <c r="J291" t="s">
        <v>328</v>
      </c>
    </row>
    <row r="292" spans="1:10">
      <c r="A292" t="str">
        <f t="shared" si="8"/>
        <v>آذربايجان شرقيبستان آباد</v>
      </c>
      <c r="B292" s="12" t="s">
        <v>79</v>
      </c>
      <c r="C292" s="12" t="s">
        <v>89</v>
      </c>
      <c r="D292" s="12" t="s">
        <v>480</v>
      </c>
      <c r="E292" s="12">
        <v>0.45560115068956764</v>
      </c>
      <c r="F292" s="12">
        <v>94552</v>
      </c>
      <c r="G292">
        <f t="shared" si="9"/>
        <v>43078</v>
      </c>
      <c r="H292" s="16" t="s">
        <v>532</v>
      </c>
      <c r="J292" t="s">
        <v>330</v>
      </c>
    </row>
    <row r="293" spans="1:10">
      <c r="A293" t="str">
        <f t="shared" si="8"/>
        <v>آذربايجان شرقيبستان آباد</v>
      </c>
      <c r="B293" s="12" t="s">
        <v>79</v>
      </c>
      <c r="C293" s="12" t="s">
        <v>89</v>
      </c>
      <c r="D293" s="12" t="s">
        <v>479</v>
      </c>
      <c r="E293" s="12">
        <v>0.37578263812505286</v>
      </c>
      <c r="F293" s="12">
        <v>94552</v>
      </c>
      <c r="G293">
        <f t="shared" si="9"/>
        <v>35531</v>
      </c>
      <c r="H293" s="16" t="s">
        <v>532</v>
      </c>
      <c r="J293" t="s">
        <v>331</v>
      </c>
    </row>
    <row r="294" spans="1:10">
      <c r="A294" t="str">
        <f t="shared" si="8"/>
        <v>آذربايجان شرقيبستان آباد</v>
      </c>
      <c r="B294" s="12" t="s">
        <v>79</v>
      </c>
      <c r="C294" s="12" t="s">
        <v>89</v>
      </c>
      <c r="D294" s="12" t="s">
        <v>22</v>
      </c>
      <c r="E294" s="12">
        <v>9.4868432185464077E-2</v>
      </c>
      <c r="F294" s="12">
        <v>94552</v>
      </c>
      <c r="G294">
        <f t="shared" si="9"/>
        <v>8970</v>
      </c>
      <c r="H294" s="16" t="s">
        <v>532</v>
      </c>
      <c r="J294" t="s">
        <v>332</v>
      </c>
    </row>
    <row r="295" spans="1:10">
      <c r="A295" t="str">
        <f t="shared" si="8"/>
        <v>آذربايجان شرقيبستان آباد</v>
      </c>
      <c r="B295" s="12" t="s">
        <v>79</v>
      </c>
      <c r="C295" s="12" t="s">
        <v>89</v>
      </c>
      <c r="D295" s="12" t="s">
        <v>478</v>
      </c>
      <c r="E295" s="12">
        <v>3.6265758524409851E-2</v>
      </c>
      <c r="F295" s="12">
        <v>94552</v>
      </c>
      <c r="G295">
        <f t="shared" si="9"/>
        <v>3429</v>
      </c>
      <c r="H295" s="16" t="s">
        <v>532</v>
      </c>
      <c r="J295" t="s">
        <v>333</v>
      </c>
    </row>
    <row r="296" spans="1:10">
      <c r="A296" t="str">
        <f t="shared" si="8"/>
        <v>آذربايجان شرقيبستان آباد</v>
      </c>
      <c r="B296" s="12" t="s">
        <v>79</v>
      </c>
      <c r="C296" s="12" t="s">
        <v>89</v>
      </c>
      <c r="D296" s="12" t="s">
        <v>20</v>
      </c>
      <c r="E296" s="12">
        <v>3.7503172857263727E-2</v>
      </c>
      <c r="F296" s="12">
        <v>94552</v>
      </c>
      <c r="G296">
        <f t="shared" si="9"/>
        <v>3546</v>
      </c>
      <c r="H296" s="16" t="s">
        <v>532</v>
      </c>
      <c r="J296" t="s">
        <v>334</v>
      </c>
    </row>
    <row r="297" spans="1:10">
      <c r="A297" t="str">
        <f t="shared" si="8"/>
        <v>آذربايجان شرقيشبستر</v>
      </c>
      <c r="B297" s="12" t="s">
        <v>79</v>
      </c>
      <c r="C297" s="12" t="s">
        <v>90</v>
      </c>
      <c r="D297" s="12" t="s">
        <v>480</v>
      </c>
      <c r="E297" s="12">
        <v>0.3797195966539611</v>
      </c>
      <c r="F297" s="12">
        <v>136161</v>
      </c>
      <c r="G297">
        <f t="shared" si="9"/>
        <v>51703</v>
      </c>
      <c r="H297" s="16" t="s">
        <v>527</v>
      </c>
      <c r="J297" t="s">
        <v>335</v>
      </c>
    </row>
    <row r="298" spans="1:10">
      <c r="A298" t="str">
        <f t="shared" si="8"/>
        <v>آذربايجان شرقيشبستر</v>
      </c>
      <c r="B298" s="12" t="s">
        <v>79</v>
      </c>
      <c r="C298" s="12" t="s">
        <v>90</v>
      </c>
      <c r="D298" s="12" t="s">
        <v>479</v>
      </c>
      <c r="E298" s="12">
        <v>0.3889219379998678</v>
      </c>
      <c r="F298" s="12">
        <v>136161</v>
      </c>
      <c r="G298">
        <f t="shared" si="9"/>
        <v>52956</v>
      </c>
      <c r="H298" s="16" t="s">
        <v>527</v>
      </c>
      <c r="J298" t="s">
        <v>336</v>
      </c>
    </row>
    <row r="299" spans="1:10">
      <c r="A299" t="str">
        <f t="shared" si="8"/>
        <v>آذربايجان شرقيشبستر</v>
      </c>
      <c r="B299" s="12" t="s">
        <v>79</v>
      </c>
      <c r="C299" s="12" t="s">
        <v>90</v>
      </c>
      <c r="D299" s="12" t="s">
        <v>22</v>
      </c>
      <c r="E299" s="12">
        <v>0.12115804084870117</v>
      </c>
      <c r="F299" s="12">
        <v>136161</v>
      </c>
      <c r="G299">
        <f t="shared" si="9"/>
        <v>16497</v>
      </c>
      <c r="H299" s="16" t="s">
        <v>527</v>
      </c>
      <c r="J299" t="s">
        <v>337</v>
      </c>
    </row>
    <row r="300" spans="1:10">
      <c r="A300" t="str">
        <f t="shared" si="8"/>
        <v>آذربايجان شرقيشبستر</v>
      </c>
      <c r="B300" s="12" t="s">
        <v>79</v>
      </c>
      <c r="C300" s="12" t="s">
        <v>90</v>
      </c>
      <c r="D300" s="12" t="s">
        <v>478</v>
      </c>
      <c r="E300" s="12">
        <v>5.3304543885547256E-2</v>
      </c>
      <c r="F300" s="12">
        <v>136161</v>
      </c>
      <c r="G300">
        <f t="shared" si="9"/>
        <v>7258</v>
      </c>
      <c r="H300" s="16" t="s">
        <v>527</v>
      </c>
      <c r="J300" t="s">
        <v>339</v>
      </c>
    </row>
    <row r="301" spans="1:10">
      <c r="A301" t="str">
        <f t="shared" si="8"/>
        <v>آذربايجان شرقيشبستر</v>
      </c>
      <c r="B301" s="12" t="s">
        <v>79</v>
      </c>
      <c r="C301" s="12" t="s">
        <v>90</v>
      </c>
      <c r="D301" s="12" t="s">
        <v>20</v>
      </c>
      <c r="E301" s="12">
        <v>5.688119211815424E-2</v>
      </c>
      <c r="F301" s="12">
        <v>136161</v>
      </c>
      <c r="G301">
        <f t="shared" si="9"/>
        <v>7745</v>
      </c>
      <c r="H301" s="16" t="s">
        <v>527</v>
      </c>
      <c r="J301" t="s">
        <v>340</v>
      </c>
    </row>
    <row r="302" spans="1:10">
      <c r="A302" t="str">
        <f t="shared" si="8"/>
        <v>آذربايجان شرقيكليبر</v>
      </c>
      <c r="B302" s="12" t="s">
        <v>79</v>
      </c>
      <c r="C302" s="12" t="s">
        <v>91</v>
      </c>
      <c r="D302" s="12" t="s">
        <v>480</v>
      </c>
      <c r="E302" s="12">
        <v>0.42785087719298248</v>
      </c>
      <c r="F302" s="12">
        <v>45600</v>
      </c>
      <c r="G302">
        <f t="shared" si="9"/>
        <v>19510</v>
      </c>
      <c r="H302" s="16" t="s">
        <v>534</v>
      </c>
      <c r="J302" t="s">
        <v>341</v>
      </c>
    </row>
    <row r="303" spans="1:10">
      <c r="A303" t="str">
        <f t="shared" si="8"/>
        <v>آذربايجان شرقيكليبر</v>
      </c>
      <c r="B303" s="12" t="s">
        <v>79</v>
      </c>
      <c r="C303" s="12" t="s">
        <v>91</v>
      </c>
      <c r="D303" s="12" t="s">
        <v>479</v>
      </c>
      <c r="E303" s="12">
        <v>0.36778508771929824</v>
      </c>
      <c r="F303" s="12">
        <v>45600</v>
      </c>
      <c r="G303">
        <f t="shared" si="9"/>
        <v>16771</v>
      </c>
      <c r="H303" s="16" t="s">
        <v>534</v>
      </c>
      <c r="J303" t="s">
        <v>342</v>
      </c>
    </row>
    <row r="304" spans="1:10">
      <c r="A304" t="str">
        <f t="shared" si="8"/>
        <v>آذربايجان شرقيكليبر</v>
      </c>
      <c r="B304" s="12" t="s">
        <v>79</v>
      </c>
      <c r="C304" s="12" t="s">
        <v>91</v>
      </c>
      <c r="D304" s="12" t="s">
        <v>22</v>
      </c>
      <c r="E304" s="12">
        <v>0.10620614035087719</v>
      </c>
      <c r="F304" s="12">
        <v>45600</v>
      </c>
      <c r="G304">
        <f t="shared" si="9"/>
        <v>4843</v>
      </c>
      <c r="H304" s="16" t="s">
        <v>534</v>
      </c>
      <c r="J304" t="s">
        <v>343</v>
      </c>
    </row>
    <row r="305" spans="1:10">
      <c r="A305" t="str">
        <f t="shared" si="8"/>
        <v>آذربايجان شرقيكليبر</v>
      </c>
      <c r="B305" s="12" t="s">
        <v>79</v>
      </c>
      <c r="C305" s="12" t="s">
        <v>91</v>
      </c>
      <c r="D305" s="12" t="s">
        <v>478</v>
      </c>
      <c r="E305" s="12">
        <v>4.5789473684210526E-2</v>
      </c>
      <c r="F305" s="12">
        <v>45600</v>
      </c>
      <c r="G305">
        <f t="shared" si="9"/>
        <v>2088</v>
      </c>
      <c r="H305" s="16" t="s">
        <v>534</v>
      </c>
      <c r="J305" t="s">
        <v>344</v>
      </c>
    </row>
    <row r="306" spans="1:10">
      <c r="A306" t="str">
        <f t="shared" si="8"/>
        <v>آذربايجان شرقيكليبر</v>
      </c>
      <c r="B306" s="12" t="s">
        <v>79</v>
      </c>
      <c r="C306" s="12" t="s">
        <v>91</v>
      </c>
      <c r="D306" s="12" t="s">
        <v>20</v>
      </c>
      <c r="E306" s="12">
        <v>5.239035087719298E-2</v>
      </c>
      <c r="F306" s="12">
        <v>45600</v>
      </c>
      <c r="G306">
        <f t="shared" si="9"/>
        <v>2389</v>
      </c>
      <c r="H306" s="16" t="s">
        <v>534</v>
      </c>
      <c r="J306" t="s">
        <v>345</v>
      </c>
    </row>
    <row r="307" spans="1:10">
      <c r="A307" t="str">
        <f t="shared" si="8"/>
        <v>آذربايجان شرقيهريس</v>
      </c>
      <c r="B307" s="12" t="s">
        <v>79</v>
      </c>
      <c r="C307" s="12" t="s">
        <v>92</v>
      </c>
      <c r="D307" s="12" t="s">
        <v>480</v>
      </c>
      <c r="E307" s="12">
        <v>0.44984249010144217</v>
      </c>
      <c r="F307" s="12">
        <v>69202</v>
      </c>
      <c r="G307">
        <f t="shared" si="9"/>
        <v>31130</v>
      </c>
      <c r="H307" s="16" t="s">
        <v>533</v>
      </c>
      <c r="J307" t="s">
        <v>346</v>
      </c>
    </row>
    <row r="308" spans="1:10">
      <c r="A308" t="str">
        <f t="shared" si="8"/>
        <v>آذربايجان شرقيهريس</v>
      </c>
      <c r="B308" s="12" t="s">
        <v>79</v>
      </c>
      <c r="C308" s="12" t="s">
        <v>92</v>
      </c>
      <c r="D308" s="12" t="s">
        <v>479</v>
      </c>
      <c r="E308" s="12">
        <v>0.37981561226554145</v>
      </c>
      <c r="F308" s="12">
        <v>69202</v>
      </c>
      <c r="G308">
        <f t="shared" si="9"/>
        <v>26284</v>
      </c>
      <c r="H308" s="16" t="s">
        <v>533</v>
      </c>
      <c r="J308" t="s">
        <v>348</v>
      </c>
    </row>
    <row r="309" spans="1:10">
      <c r="A309" t="str">
        <f t="shared" si="8"/>
        <v>آذربايجان شرقيهريس</v>
      </c>
      <c r="B309" s="12" t="s">
        <v>79</v>
      </c>
      <c r="C309" s="12" t="s">
        <v>92</v>
      </c>
      <c r="D309" s="12" t="s">
        <v>22</v>
      </c>
      <c r="E309" s="12">
        <v>9.3031993294991469E-2</v>
      </c>
      <c r="F309" s="12">
        <v>69202</v>
      </c>
      <c r="G309">
        <f t="shared" si="9"/>
        <v>6438</v>
      </c>
      <c r="H309" s="16" t="s">
        <v>533</v>
      </c>
      <c r="J309" t="s">
        <v>347</v>
      </c>
    </row>
    <row r="310" spans="1:10">
      <c r="A310" t="str">
        <f t="shared" si="8"/>
        <v>آذربايجان شرقيهريس</v>
      </c>
      <c r="B310" s="12" t="s">
        <v>79</v>
      </c>
      <c r="C310" s="12" t="s">
        <v>92</v>
      </c>
      <c r="D310" s="12" t="s">
        <v>478</v>
      </c>
      <c r="E310" s="12">
        <v>3.781682610329181E-2</v>
      </c>
      <c r="F310" s="12">
        <v>69202</v>
      </c>
      <c r="G310">
        <f t="shared" si="9"/>
        <v>2617</v>
      </c>
      <c r="H310" s="16" t="s">
        <v>533</v>
      </c>
      <c r="J310" t="s">
        <v>349</v>
      </c>
    </row>
    <row r="311" spans="1:10">
      <c r="A311" t="str">
        <f t="shared" si="8"/>
        <v>آذربايجان شرقيهريس</v>
      </c>
      <c r="B311" s="12" t="s">
        <v>79</v>
      </c>
      <c r="C311" s="12" t="s">
        <v>92</v>
      </c>
      <c r="D311" s="12" t="s">
        <v>20</v>
      </c>
      <c r="E311" s="12">
        <v>3.947862778532412E-2</v>
      </c>
      <c r="F311" s="12">
        <v>69202</v>
      </c>
      <c r="G311">
        <f t="shared" si="9"/>
        <v>2732</v>
      </c>
      <c r="H311" s="16" t="s">
        <v>533</v>
      </c>
      <c r="J311" t="s">
        <v>350</v>
      </c>
    </row>
    <row r="312" spans="1:10">
      <c r="A312" t="str">
        <f t="shared" si="8"/>
        <v>آذربايجان شرقيجلفا</v>
      </c>
      <c r="B312" s="12" t="s">
        <v>79</v>
      </c>
      <c r="C312" s="12" t="s">
        <v>93</v>
      </c>
      <c r="D312" s="12" t="s">
        <v>480</v>
      </c>
      <c r="E312" s="12">
        <v>0.39015530657712055</v>
      </c>
      <c r="F312" s="12">
        <v>61942</v>
      </c>
      <c r="G312">
        <f t="shared" si="9"/>
        <v>24167</v>
      </c>
      <c r="H312" s="16" t="s">
        <v>530</v>
      </c>
      <c r="J312" t="s">
        <v>351</v>
      </c>
    </row>
    <row r="313" spans="1:10">
      <c r="A313" t="str">
        <f t="shared" si="8"/>
        <v>آذربايجان شرقيجلفا</v>
      </c>
      <c r="B313" s="12" t="s">
        <v>79</v>
      </c>
      <c r="C313" s="12" t="s">
        <v>93</v>
      </c>
      <c r="D313" s="12" t="s">
        <v>479</v>
      </c>
      <c r="E313" s="12">
        <v>0.4067999095928449</v>
      </c>
      <c r="F313" s="12">
        <v>61942</v>
      </c>
      <c r="G313">
        <f t="shared" si="9"/>
        <v>25198</v>
      </c>
      <c r="H313" s="16" t="s">
        <v>530</v>
      </c>
      <c r="J313" t="s">
        <v>352</v>
      </c>
    </row>
    <row r="314" spans="1:10">
      <c r="A314" t="str">
        <f t="shared" si="8"/>
        <v>آذربايجان شرقيجلفا</v>
      </c>
      <c r="B314" s="12" t="s">
        <v>79</v>
      </c>
      <c r="C314" s="12" t="s">
        <v>93</v>
      </c>
      <c r="D314" s="12" t="s">
        <v>22</v>
      </c>
      <c r="E314" s="12">
        <v>0.11094249459171483</v>
      </c>
      <c r="F314" s="12">
        <v>61942</v>
      </c>
      <c r="G314">
        <f t="shared" si="9"/>
        <v>6872</v>
      </c>
      <c r="H314" s="16" t="s">
        <v>530</v>
      </c>
      <c r="J314" t="s">
        <v>353</v>
      </c>
    </row>
    <row r="315" spans="1:10">
      <c r="A315" t="str">
        <f t="shared" si="8"/>
        <v>آذربايجان شرقيجلفا</v>
      </c>
      <c r="B315" s="12" t="s">
        <v>79</v>
      </c>
      <c r="C315" s="12" t="s">
        <v>93</v>
      </c>
      <c r="D315" s="12" t="s">
        <v>478</v>
      </c>
      <c r="E315" s="12">
        <v>4.4799974169384263E-2</v>
      </c>
      <c r="F315" s="12">
        <v>61942</v>
      </c>
      <c r="G315">
        <f t="shared" si="9"/>
        <v>2775</v>
      </c>
      <c r="H315" s="16" t="s">
        <v>530</v>
      </c>
      <c r="J315" t="s">
        <v>354</v>
      </c>
    </row>
    <row r="316" spans="1:10">
      <c r="A316" t="str">
        <f t="shared" si="8"/>
        <v>آذربايجان شرقيجلفا</v>
      </c>
      <c r="B316" s="12" t="s">
        <v>79</v>
      </c>
      <c r="C316" s="12" t="s">
        <v>93</v>
      </c>
      <c r="D316" s="12" t="s">
        <v>20</v>
      </c>
      <c r="E316" s="12">
        <v>4.7302315068935459E-2</v>
      </c>
      <c r="F316" s="12">
        <v>61942</v>
      </c>
      <c r="G316">
        <f t="shared" si="9"/>
        <v>2930</v>
      </c>
      <c r="H316" s="16" t="s">
        <v>530</v>
      </c>
      <c r="J316" t="s">
        <v>355</v>
      </c>
    </row>
    <row r="317" spans="1:10">
      <c r="A317" t="str">
        <f t="shared" si="8"/>
        <v>آذربايجان شرقيملكان</v>
      </c>
      <c r="B317" s="12" t="s">
        <v>79</v>
      </c>
      <c r="C317" s="12" t="s">
        <v>94</v>
      </c>
      <c r="D317" s="12" t="s">
        <v>480</v>
      </c>
      <c r="E317" s="12">
        <v>0.42773163052951746</v>
      </c>
      <c r="F317" s="12">
        <v>112442</v>
      </c>
      <c r="G317">
        <f t="shared" si="9"/>
        <v>48095</v>
      </c>
      <c r="H317" s="16" t="s">
        <v>526</v>
      </c>
      <c r="J317" t="s">
        <v>356</v>
      </c>
    </row>
    <row r="318" spans="1:10">
      <c r="A318" t="str">
        <f t="shared" si="8"/>
        <v>آذربايجان شرقيملكان</v>
      </c>
      <c r="B318" s="12" t="s">
        <v>79</v>
      </c>
      <c r="C318" s="12" t="s">
        <v>94</v>
      </c>
      <c r="D318" s="12" t="s">
        <v>479</v>
      </c>
      <c r="E318" s="12">
        <v>0.40331904448515682</v>
      </c>
      <c r="F318" s="12">
        <v>112442</v>
      </c>
      <c r="G318">
        <f t="shared" si="9"/>
        <v>45350</v>
      </c>
      <c r="H318" s="16" t="s">
        <v>526</v>
      </c>
      <c r="J318" t="s">
        <v>358</v>
      </c>
    </row>
    <row r="319" spans="1:10">
      <c r="A319" t="str">
        <f t="shared" si="8"/>
        <v>آذربايجان شرقيملكان</v>
      </c>
      <c r="B319" s="12" t="s">
        <v>79</v>
      </c>
      <c r="C319" s="12" t="s">
        <v>94</v>
      </c>
      <c r="D319" s="12" t="s">
        <v>22</v>
      </c>
      <c r="E319" s="12">
        <v>0.1002828124722079</v>
      </c>
      <c r="F319" s="12">
        <v>112442</v>
      </c>
      <c r="G319">
        <f t="shared" si="9"/>
        <v>11276</v>
      </c>
      <c r="H319" s="16" t="s">
        <v>526</v>
      </c>
      <c r="J319" t="s">
        <v>359</v>
      </c>
    </row>
    <row r="320" spans="1:10">
      <c r="A320" t="str">
        <f t="shared" si="8"/>
        <v>آذربايجان شرقيملكان</v>
      </c>
      <c r="B320" s="12" t="s">
        <v>79</v>
      </c>
      <c r="C320" s="12" t="s">
        <v>94</v>
      </c>
      <c r="D320" s="12" t="s">
        <v>478</v>
      </c>
      <c r="E320" s="12">
        <v>3.5680617562832397E-2</v>
      </c>
      <c r="F320" s="12">
        <v>112442</v>
      </c>
      <c r="G320">
        <f t="shared" si="9"/>
        <v>4012</v>
      </c>
      <c r="H320" s="16" t="s">
        <v>526</v>
      </c>
      <c r="J320" t="s">
        <v>360</v>
      </c>
    </row>
    <row r="321" spans="1:10">
      <c r="A321" t="str">
        <f t="shared" si="8"/>
        <v>آذربايجان شرقيملكان</v>
      </c>
      <c r="B321" s="12" t="s">
        <v>79</v>
      </c>
      <c r="C321" s="12" t="s">
        <v>94</v>
      </c>
      <c r="D321" s="12" t="s">
        <v>20</v>
      </c>
      <c r="E321" s="12">
        <v>3.3003681898223086E-2</v>
      </c>
      <c r="F321" s="12">
        <v>112442</v>
      </c>
      <c r="G321">
        <f t="shared" si="9"/>
        <v>3711</v>
      </c>
      <c r="H321" s="16" t="s">
        <v>526</v>
      </c>
      <c r="J321" t="s">
        <v>357</v>
      </c>
    </row>
    <row r="322" spans="1:10">
      <c r="A322" t="str">
        <f t="shared" ref="A322:A385" si="10">B322&amp;C322</f>
        <v>آذربايجان شرقيآذرشهر</v>
      </c>
      <c r="B322" s="12" t="s">
        <v>79</v>
      </c>
      <c r="C322" s="12" t="s">
        <v>95</v>
      </c>
      <c r="D322" s="12" t="s">
        <v>480</v>
      </c>
      <c r="E322" s="12">
        <v>0.39558922407996772</v>
      </c>
      <c r="F322" s="12">
        <v>111545</v>
      </c>
      <c r="G322">
        <f t="shared" si="9"/>
        <v>44126</v>
      </c>
      <c r="H322" s="16" t="s">
        <v>541</v>
      </c>
      <c r="J322" t="s">
        <v>361</v>
      </c>
    </row>
    <row r="323" spans="1:10">
      <c r="A323" t="str">
        <f t="shared" si="10"/>
        <v>آذربايجان شرقيآذرشهر</v>
      </c>
      <c r="B323" s="12" t="s">
        <v>79</v>
      </c>
      <c r="C323" s="12" t="s">
        <v>95</v>
      </c>
      <c r="D323" s="12" t="s">
        <v>479</v>
      </c>
      <c r="E323" s="12">
        <v>0.40122820386391145</v>
      </c>
      <c r="F323" s="12">
        <v>111545</v>
      </c>
      <c r="G323">
        <f t="shared" ref="G323:G386" si="11">IFERROR(ROUND(F323*E323,0),0)</f>
        <v>44755</v>
      </c>
      <c r="H323" s="16" t="s">
        <v>541</v>
      </c>
      <c r="J323" t="s">
        <v>362</v>
      </c>
    </row>
    <row r="324" spans="1:10">
      <c r="A324" t="str">
        <f t="shared" si="10"/>
        <v>آذربايجان شرقيآذرشهر</v>
      </c>
      <c r="B324" s="12" t="s">
        <v>79</v>
      </c>
      <c r="C324" s="12" t="s">
        <v>95</v>
      </c>
      <c r="D324" s="12" t="s">
        <v>22</v>
      </c>
      <c r="E324" s="12">
        <v>0.11435743421937335</v>
      </c>
      <c r="F324" s="12">
        <v>111545</v>
      </c>
      <c r="G324">
        <f t="shared" si="11"/>
        <v>12756</v>
      </c>
      <c r="H324" s="16" t="s">
        <v>541</v>
      </c>
      <c r="J324" t="s">
        <v>363</v>
      </c>
    </row>
    <row r="325" spans="1:10">
      <c r="A325" t="str">
        <f t="shared" si="10"/>
        <v>آذربايجان شرقيآذرشهر</v>
      </c>
      <c r="B325" s="12" t="s">
        <v>79</v>
      </c>
      <c r="C325" s="12" t="s">
        <v>95</v>
      </c>
      <c r="D325" s="12" t="s">
        <v>478</v>
      </c>
      <c r="E325" s="12">
        <v>4.4690483661302613E-2</v>
      </c>
      <c r="F325" s="12">
        <v>111545</v>
      </c>
      <c r="G325">
        <f t="shared" si="11"/>
        <v>4985</v>
      </c>
      <c r="H325" s="16" t="s">
        <v>541</v>
      </c>
      <c r="J325" t="s">
        <v>364</v>
      </c>
    </row>
    <row r="326" spans="1:10">
      <c r="A326" t="str">
        <f t="shared" si="10"/>
        <v>آذربايجان شرقيآذرشهر</v>
      </c>
      <c r="B326" s="12" t="s">
        <v>79</v>
      </c>
      <c r="C326" s="12" t="s">
        <v>95</v>
      </c>
      <c r="D326" s="12" t="s">
        <v>20</v>
      </c>
      <c r="E326" s="12">
        <v>4.4071899233493209E-2</v>
      </c>
      <c r="F326" s="12">
        <v>111545</v>
      </c>
      <c r="G326">
        <f t="shared" si="11"/>
        <v>4916</v>
      </c>
      <c r="H326" s="16" t="s">
        <v>541</v>
      </c>
      <c r="J326" t="s">
        <v>366</v>
      </c>
    </row>
    <row r="327" spans="1:10">
      <c r="A327" t="str">
        <f t="shared" si="10"/>
        <v>آذربايجان شرقياسكو</v>
      </c>
      <c r="B327" s="12" t="s">
        <v>79</v>
      </c>
      <c r="C327" s="12" t="s">
        <v>96</v>
      </c>
      <c r="D327" s="12" t="s">
        <v>480</v>
      </c>
      <c r="E327" s="12">
        <v>0.4197224429907685</v>
      </c>
      <c r="F327" s="12">
        <v>163570</v>
      </c>
      <c r="G327">
        <f t="shared" si="11"/>
        <v>68654</v>
      </c>
      <c r="H327" s="16" t="s">
        <v>536</v>
      </c>
      <c r="J327" t="s">
        <v>367</v>
      </c>
    </row>
    <row r="328" spans="1:10">
      <c r="A328" t="str">
        <f t="shared" si="10"/>
        <v>آذربايجان شرقياسكو</v>
      </c>
      <c r="B328" s="12" t="s">
        <v>79</v>
      </c>
      <c r="C328" s="12" t="s">
        <v>96</v>
      </c>
      <c r="D328" s="12" t="s">
        <v>479</v>
      </c>
      <c r="E328" s="12">
        <v>0.41702023598459376</v>
      </c>
      <c r="F328" s="12">
        <v>163570</v>
      </c>
      <c r="G328">
        <f t="shared" si="11"/>
        <v>68212</v>
      </c>
      <c r="H328" s="16" t="s">
        <v>536</v>
      </c>
      <c r="J328" t="s">
        <v>365</v>
      </c>
    </row>
    <row r="329" spans="1:10">
      <c r="A329" t="str">
        <f t="shared" si="10"/>
        <v>آذربايجان شرقياسكو</v>
      </c>
      <c r="B329" s="12" t="s">
        <v>79</v>
      </c>
      <c r="C329" s="12" t="s">
        <v>96</v>
      </c>
      <c r="D329" s="12" t="s">
        <v>22</v>
      </c>
      <c r="E329" s="12">
        <v>9.8080332579323831E-2</v>
      </c>
      <c r="F329" s="12">
        <v>163570</v>
      </c>
      <c r="G329">
        <f t="shared" si="11"/>
        <v>16043</v>
      </c>
      <c r="H329" s="16" t="s">
        <v>536</v>
      </c>
      <c r="J329" t="s">
        <v>368</v>
      </c>
    </row>
    <row r="330" spans="1:10">
      <c r="A330" t="str">
        <f t="shared" si="10"/>
        <v>آذربايجان شرقياسكو</v>
      </c>
      <c r="B330" s="12" t="s">
        <v>79</v>
      </c>
      <c r="C330" s="12" t="s">
        <v>96</v>
      </c>
      <c r="D330" s="12" t="s">
        <v>478</v>
      </c>
      <c r="E330" s="12">
        <v>3.4089380693281164E-2</v>
      </c>
      <c r="F330" s="12">
        <v>163570</v>
      </c>
      <c r="G330">
        <f t="shared" si="11"/>
        <v>5576</v>
      </c>
      <c r="H330" s="16" t="s">
        <v>536</v>
      </c>
      <c r="J330" t="s">
        <v>369</v>
      </c>
    </row>
    <row r="331" spans="1:10">
      <c r="A331" t="str">
        <f t="shared" si="10"/>
        <v>آذربايجان شرقياسكو</v>
      </c>
      <c r="B331" s="12" t="s">
        <v>79</v>
      </c>
      <c r="C331" s="12" t="s">
        <v>96</v>
      </c>
      <c r="D331" s="12" t="s">
        <v>20</v>
      </c>
      <c r="E331" s="12">
        <v>3.1093721342544477E-2</v>
      </c>
      <c r="F331" s="12">
        <v>163570</v>
      </c>
      <c r="G331">
        <f t="shared" si="11"/>
        <v>5086</v>
      </c>
      <c r="H331" s="16" t="s">
        <v>536</v>
      </c>
      <c r="J331" t="s">
        <v>370</v>
      </c>
    </row>
    <row r="332" spans="1:10">
      <c r="A332" t="str">
        <f t="shared" si="10"/>
        <v>آذربايجان شرقيچاراويماق</v>
      </c>
      <c r="B332" s="12" t="s">
        <v>79</v>
      </c>
      <c r="C332" s="12" t="s">
        <v>97</v>
      </c>
      <c r="D332" s="12" t="s">
        <v>480</v>
      </c>
      <c r="E332" s="12">
        <v>0.49472316934567301</v>
      </c>
      <c r="F332" s="12">
        <v>30795</v>
      </c>
      <c r="G332">
        <f t="shared" si="11"/>
        <v>15235</v>
      </c>
      <c r="H332" s="16" t="s">
        <v>540</v>
      </c>
      <c r="J332" t="s">
        <v>371</v>
      </c>
    </row>
    <row r="333" spans="1:10">
      <c r="A333" t="str">
        <f t="shared" si="10"/>
        <v>آذربايجان شرقيچاراويماق</v>
      </c>
      <c r="B333" s="12" t="s">
        <v>79</v>
      </c>
      <c r="C333" s="12" t="s">
        <v>97</v>
      </c>
      <c r="D333" s="12" t="s">
        <v>479</v>
      </c>
      <c r="E333" s="12">
        <v>0.35216755966877739</v>
      </c>
      <c r="F333" s="12">
        <v>30795</v>
      </c>
      <c r="G333">
        <f t="shared" si="11"/>
        <v>10845</v>
      </c>
      <c r="H333" s="16" t="s">
        <v>540</v>
      </c>
      <c r="J333" t="s">
        <v>372</v>
      </c>
    </row>
    <row r="334" spans="1:10">
      <c r="A334" t="str">
        <f t="shared" si="10"/>
        <v>آذربايجان شرقيچاراويماق</v>
      </c>
      <c r="B334" s="12" t="s">
        <v>79</v>
      </c>
      <c r="C334" s="12" t="s">
        <v>97</v>
      </c>
      <c r="D334" s="12" t="s">
        <v>22</v>
      </c>
      <c r="E334" s="12">
        <v>8.787140769605456E-2</v>
      </c>
      <c r="F334" s="12">
        <v>30795</v>
      </c>
      <c r="G334">
        <f t="shared" si="11"/>
        <v>2706</v>
      </c>
      <c r="H334" s="16" t="s">
        <v>540</v>
      </c>
      <c r="J334" t="s">
        <v>374</v>
      </c>
    </row>
    <row r="335" spans="1:10">
      <c r="A335" t="str">
        <f t="shared" si="10"/>
        <v>آذربايجان شرقيچاراويماق</v>
      </c>
      <c r="B335" s="12" t="s">
        <v>79</v>
      </c>
      <c r="C335" s="12" t="s">
        <v>97</v>
      </c>
      <c r="D335" s="12" t="s">
        <v>478</v>
      </c>
      <c r="E335" s="12">
        <v>3.2765059262867352E-2</v>
      </c>
      <c r="F335" s="12">
        <v>30795</v>
      </c>
      <c r="G335">
        <f t="shared" si="11"/>
        <v>1009</v>
      </c>
      <c r="H335" s="16" t="s">
        <v>540</v>
      </c>
      <c r="J335" t="s">
        <v>375</v>
      </c>
    </row>
    <row r="336" spans="1:10">
      <c r="A336" t="str">
        <f t="shared" si="10"/>
        <v>آذربايجان شرقيچاراويماق</v>
      </c>
      <c r="B336" s="12" t="s">
        <v>79</v>
      </c>
      <c r="C336" s="12" t="s">
        <v>97</v>
      </c>
      <c r="D336" s="12" t="s">
        <v>20</v>
      </c>
      <c r="E336" s="12">
        <v>3.2440331222601072E-2</v>
      </c>
      <c r="F336" s="12">
        <v>30795</v>
      </c>
      <c r="G336">
        <f t="shared" si="11"/>
        <v>999</v>
      </c>
      <c r="H336" s="16" t="s">
        <v>540</v>
      </c>
      <c r="J336" t="s">
        <v>376</v>
      </c>
    </row>
    <row r="337" spans="1:10">
      <c r="A337" t="str">
        <f t="shared" si="10"/>
        <v>آذربايجان شرقيورزقان</v>
      </c>
      <c r="B337" s="12" t="s">
        <v>79</v>
      </c>
      <c r="C337" s="12" t="s">
        <v>98</v>
      </c>
      <c r="D337" s="12" t="s">
        <v>480</v>
      </c>
      <c r="E337" s="12">
        <v>0.44255916794776901</v>
      </c>
      <c r="F337" s="12">
        <v>52689</v>
      </c>
      <c r="G337">
        <f t="shared" si="11"/>
        <v>23318</v>
      </c>
      <c r="H337" s="16" t="s">
        <v>539</v>
      </c>
      <c r="J337" t="s">
        <v>377</v>
      </c>
    </row>
    <row r="338" spans="1:10">
      <c r="A338" t="str">
        <f t="shared" si="10"/>
        <v>آذربايجان شرقيورزقان</v>
      </c>
      <c r="B338" s="12" t="s">
        <v>79</v>
      </c>
      <c r="C338" s="12" t="s">
        <v>98</v>
      </c>
      <c r="D338" s="12" t="s">
        <v>479</v>
      </c>
      <c r="E338" s="12">
        <v>0.37053274877109071</v>
      </c>
      <c r="F338" s="12">
        <v>52689</v>
      </c>
      <c r="G338">
        <f t="shared" si="11"/>
        <v>19523</v>
      </c>
      <c r="H338" s="16" t="s">
        <v>539</v>
      </c>
      <c r="J338" t="s">
        <v>378</v>
      </c>
    </row>
    <row r="339" spans="1:10">
      <c r="A339" t="str">
        <f t="shared" si="10"/>
        <v>آذربايجان شرقيورزقان</v>
      </c>
      <c r="B339" s="12" t="s">
        <v>79</v>
      </c>
      <c r="C339" s="12" t="s">
        <v>98</v>
      </c>
      <c r="D339" s="12" t="s">
        <v>22</v>
      </c>
      <c r="E339" s="12">
        <v>0.10034352521399154</v>
      </c>
      <c r="F339" s="12">
        <v>52689</v>
      </c>
      <c r="G339">
        <f t="shared" si="11"/>
        <v>5287</v>
      </c>
      <c r="H339" s="16" t="s">
        <v>539</v>
      </c>
      <c r="J339" t="s">
        <v>373</v>
      </c>
    </row>
    <row r="340" spans="1:10">
      <c r="A340" t="str">
        <f t="shared" si="10"/>
        <v>آذربايجان شرقيورزقان</v>
      </c>
      <c r="B340" s="12" t="s">
        <v>79</v>
      </c>
      <c r="C340" s="12" t="s">
        <v>98</v>
      </c>
      <c r="D340" s="12" t="s">
        <v>478</v>
      </c>
      <c r="E340" s="12">
        <v>4.1014253449486608E-2</v>
      </c>
      <c r="F340" s="12">
        <v>52689</v>
      </c>
      <c r="G340">
        <f t="shared" si="11"/>
        <v>2161</v>
      </c>
      <c r="H340" s="16" t="s">
        <v>539</v>
      </c>
      <c r="J340" t="s">
        <v>379</v>
      </c>
    </row>
    <row r="341" spans="1:10">
      <c r="A341" t="str">
        <f t="shared" si="10"/>
        <v>آذربايجان شرقيورزقان</v>
      </c>
      <c r="B341" s="12" t="s">
        <v>79</v>
      </c>
      <c r="C341" s="12" t="s">
        <v>98</v>
      </c>
      <c r="D341" s="12" t="s">
        <v>20</v>
      </c>
      <c r="E341" s="12">
        <v>4.5645201085615594E-2</v>
      </c>
      <c r="F341" s="12">
        <v>52689</v>
      </c>
      <c r="G341">
        <f t="shared" si="11"/>
        <v>2405</v>
      </c>
      <c r="H341" s="16" t="s">
        <v>539</v>
      </c>
      <c r="J341" t="s">
        <v>380</v>
      </c>
    </row>
    <row r="342" spans="1:10">
      <c r="A342" t="str">
        <f t="shared" si="10"/>
        <v>آذربايجان شرقيعجب شير</v>
      </c>
      <c r="B342" s="12" t="s">
        <v>79</v>
      </c>
      <c r="C342" s="12" t="s">
        <v>99</v>
      </c>
      <c r="D342" s="12" t="s">
        <v>480</v>
      </c>
      <c r="E342" s="12">
        <v>0.43315100043184107</v>
      </c>
      <c r="F342" s="12">
        <v>69470</v>
      </c>
      <c r="G342">
        <f t="shared" si="11"/>
        <v>30091</v>
      </c>
      <c r="H342" s="16" t="s">
        <v>525</v>
      </c>
      <c r="J342" t="s">
        <v>381</v>
      </c>
    </row>
    <row r="343" spans="1:10">
      <c r="A343" t="str">
        <f t="shared" si="10"/>
        <v>آذربايجان شرقيعجب شير</v>
      </c>
      <c r="B343" s="12" t="s">
        <v>79</v>
      </c>
      <c r="C343" s="12" t="s">
        <v>99</v>
      </c>
      <c r="D343" s="12" t="s">
        <v>479</v>
      </c>
      <c r="E343" s="12">
        <v>0.38157478048078308</v>
      </c>
      <c r="F343" s="12">
        <v>69470</v>
      </c>
      <c r="G343">
        <f t="shared" si="11"/>
        <v>26508</v>
      </c>
      <c r="H343" s="16" t="s">
        <v>525</v>
      </c>
      <c r="J343" t="s">
        <v>382</v>
      </c>
    </row>
    <row r="344" spans="1:10">
      <c r="A344" t="str">
        <f t="shared" si="10"/>
        <v>آذربايجان شرقيعجب شير</v>
      </c>
      <c r="B344" s="12" t="s">
        <v>79</v>
      </c>
      <c r="C344" s="12" t="s">
        <v>99</v>
      </c>
      <c r="D344" s="12" t="s">
        <v>22</v>
      </c>
      <c r="E344" s="12">
        <v>0.10580106520800346</v>
      </c>
      <c r="F344" s="12">
        <v>69470</v>
      </c>
      <c r="G344">
        <f t="shared" si="11"/>
        <v>7350</v>
      </c>
      <c r="H344" s="16" t="s">
        <v>525</v>
      </c>
      <c r="J344" t="s">
        <v>1003</v>
      </c>
    </row>
    <row r="345" spans="1:10">
      <c r="A345" t="str">
        <f t="shared" si="10"/>
        <v>آذربايجان شرقيعجب شير</v>
      </c>
      <c r="B345" s="12" t="s">
        <v>79</v>
      </c>
      <c r="C345" s="12" t="s">
        <v>99</v>
      </c>
      <c r="D345" s="12" t="s">
        <v>478</v>
      </c>
      <c r="E345" s="12">
        <v>3.9945300129552323E-2</v>
      </c>
      <c r="F345" s="12">
        <v>69470</v>
      </c>
      <c r="G345">
        <f t="shared" si="11"/>
        <v>2775</v>
      </c>
      <c r="H345" s="16" t="s">
        <v>525</v>
      </c>
      <c r="J345" t="s">
        <v>385</v>
      </c>
    </row>
    <row r="346" spans="1:10">
      <c r="A346" t="str">
        <f t="shared" si="10"/>
        <v>آذربايجان شرقيعجب شير</v>
      </c>
      <c r="B346" s="12" t="s">
        <v>79</v>
      </c>
      <c r="C346" s="12" t="s">
        <v>99</v>
      </c>
      <c r="D346" s="12" t="s">
        <v>20</v>
      </c>
      <c r="E346" s="12">
        <v>3.9412696127824963E-2</v>
      </c>
      <c r="F346" s="12">
        <v>69470</v>
      </c>
      <c r="G346">
        <f t="shared" si="11"/>
        <v>2738</v>
      </c>
      <c r="H346" s="16" t="s">
        <v>525</v>
      </c>
      <c r="J346" t="s">
        <v>386</v>
      </c>
    </row>
    <row r="347" spans="1:10">
      <c r="A347" t="str">
        <f t="shared" si="10"/>
        <v>آذربايجان شرقيخداافرين</v>
      </c>
      <c r="B347" s="12" t="s">
        <v>79</v>
      </c>
      <c r="C347" s="12" t="s">
        <v>101</v>
      </c>
      <c r="D347" s="12" t="s">
        <v>480</v>
      </c>
      <c r="E347" s="12">
        <v>0.42027439024390245</v>
      </c>
      <c r="F347" s="12">
        <v>32800</v>
      </c>
      <c r="G347">
        <f t="shared" si="11"/>
        <v>13785</v>
      </c>
      <c r="H347" s="16" t="s">
        <v>537</v>
      </c>
      <c r="J347" t="s">
        <v>387</v>
      </c>
    </row>
    <row r="348" spans="1:10">
      <c r="A348" t="str">
        <f t="shared" si="10"/>
        <v>آذربايجان شرقيخداافرين</v>
      </c>
      <c r="B348" s="12" t="s">
        <v>79</v>
      </c>
      <c r="C348" s="12" t="s">
        <v>101</v>
      </c>
      <c r="D348" s="12" t="s">
        <v>479</v>
      </c>
      <c r="E348" s="12">
        <v>0.37030487804878048</v>
      </c>
      <c r="F348" s="12">
        <v>32800</v>
      </c>
      <c r="G348">
        <f t="shared" si="11"/>
        <v>12146</v>
      </c>
      <c r="H348" s="16" t="s">
        <v>537</v>
      </c>
      <c r="J348" t="s">
        <v>388</v>
      </c>
    </row>
    <row r="349" spans="1:10">
      <c r="A349" t="str">
        <f t="shared" si="10"/>
        <v>آذربايجان شرقيخداافرين</v>
      </c>
      <c r="B349" s="12" t="s">
        <v>79</v>
      </c>
      <c r="C349" s="12" t="s">
        <v>101</v>
      </c>
      <c r="D349" s="12" t="s">
        <v>22</v>
      </c>
      <c r="E349" s="12">
        <v>0.10969512195121951</v>
      </c>
      <c r="F349" s="12">
        <v>32800</v>
      </c>
      <c r="G349">
        <f t="shared" si="11"/>
        <v>3598</v>
      </c>
      <c r="H349" s="16" t="s">
        <v>537</v>
      </c>
      <c r="J349" t="s">
        <v>389</v>
      </c>
    </row>
    <row r="350" spans="1:10">
      <c r="A350" t="str">
        <f t="shared" si="10"/>
        <v>آذربايجان شرقيخداافرين</v>
      </c>
      <c r="B350" s="12" t="s">
        <v>79</v>
      </c>
      <c r="C350" s="12" t="s">
        <v>101</v>
      </c>
      <c r="D350" s="12" t="s">
        <v>478</v>
      </c>
      <c r="E350" s="12">
        <v>4.6585365853658536E-2</v>
      </c>
      <c r="F350" s="12">
        <v>32800</v>
      </c>
      <c r="G350">
        <f t="shared" si="11"/>
        <v>1528</v>
      </c>
      <c r="H350" s="16" t="s">
        <v>537</v>
      </c>
      <c r="J350" t="s">
        <v>390</v>
      </c>
    </row>
    <row r="351" spans="1:10">
      <c r="A351" t="str">
        <f t="shared" si="10"/>
        <v>آذربايجان شرقيخداافرين</v>
      </c>
      <c r="B351" s="12" t="s">
        <v>79</v>
      </c>
      <c r="C351" s="12" t="s">
        <v>101</v>
      </c>
      <c r="D351" s="12" t="s">
        <v>20</v>
      </c>
      <c r="E351" s="12">
        <v>5.3079268292682925E-2</v>
      </c>
      <c r="F351" s="12">
        <v>32800</v>
      </c>
      <c r="G351">
        <f t="shared" si="11"/>
        <v>1741</v>
      </c>
      <c r="H351" s="16" t="s">
        <v>537</v>
      </c>
      <c r="J351" t="s">
        <v>391</v>
      </c>
    </row>
    <row r="352" spans="1:10">
      <c r="A352" t="str">
        <f t="shared" si="10"/>
        <v>آذربايجان غربياروميه</v>
      </c>
      <c r="B352" s="12" t="s">
        <v>100</v>
      </c>
      <c r="C352" s="12" t="s">
        <v>102</v>
      </c>
      <c r="D352" s="12" t="s">
        <v>480</v>
      </c>
      <c r="E352" s="12">
        <v>0.43669060060233056</v>
      </c>
      <c r="F352" s="12">
        <v>1058887</v>
      </c>
      <c r="G352">
        <f t="shared" si="11"/>
        <v>462406</v>
      </c>
      <c r="H352" s="16" t="s">
        <v>555</v>
      </c>
      <c r="J352" t="s">
        <v>392</v>
      </c>
    </row>
    <row r="353" spans="1:10">
      <c r="A353" t="str">
        <f t="shared" si="10"/>
        <v>آذربايجان غربياروميه</v>
      </c>
      <c r="B353" s="12" t="s">
        <v>100</v>
      </c>
      <c r="C353" s="12" t="s">
        <v>102</v>
      </c>
      <c r="D353" s="12" t="s">
        <v>479</v>
      </c>
      <c r="E353" s="12">
        <v>0.39266418418584798</v>
      </c>
      <c r="F353" s="12">
        <v>1058887</v>
      </c>
      <c r="G353">
        <f t="shared" si="11"/>
        <v>415787</v>
      </c>
      <c r="H353" s="16" t="s">
        <v>555</v>
      </c>
      <c r="J353" t="s">
        <v>393</v>
      </c>
    </row>
    <row r="354" spans="1:10">
      <c r="A354" t="str">
        <f t="shared" si="10"/>
        <v>آذربايجان غربياروميه</v>
      </c>
      <c r="B354" s="12" t="s">
        <v>100</v>
      </c>
      <c r="C354" s="12" t="s">
        <v>102</v>
      </c>
      <c r="D354" s="12" t="s">
        <v>22</v>
      </c>
      <c r="E354" s="12">
        <v>0.10318570347921922</v>
      </c>
      <c r="F354" s="12">
        <v>1058887</v>
      </c>
      <c r="G354">
        <f t="shared" si="11"/>
        <v>109262</v>
      </c>
      <c r="H354" s="16" t="s">
        <v>555</v>
      </c>
      <c r="J354" t="s">
        <v>394</v>
      </c>
    </row>
    <row r="355" spans="1:10">
      <c r="A355" t="str">
        <f t="shared" si="10"/>
        <v>آذربايجان غربياروميه</v>
      </c>
      <c r="B355" s="12" t="s">
        <v>100</v>
      </c>
      <c r="C355" s="12" t="s">
        <v>102</v>
      </c>
      <c r="D355" s="12" t="s">
        <v>478</v>
      </c>
      <c r="E355" s="12">
        <v>3.586973869733031E-2</v>
      </c>
      <c r="F355" s="12">
        <v>1058887</v>
      </c>
      <c r="G355">
        <f t="shared" si="11"/>
        <v>37982</v>
      </c>
      <c r="H355" s="16" t="s">
        <v>555</v>
      </c>
      <c r="J355" t="s">
        <v>395</v>
      </c>
    </row>
    <row r="356" spans="1:10">
      <c r="A356" t="str">
        <f t="shared" si="10"/>
        <v>آذربايجان غربياروميه</v>
      </c>
      <c r="B356" s="12" t="s">
        <v>100</v>
      </c>
      <c r="C356" s="12" t="s">
        <v>102</v>
      </c>
      <c r="D356" s="12" t="s">
        <v>20</v>
      </c>
      <c r="E356" s="12">
        <v>3.1588828647438304E-2</v>
      </c>
      <c r="F356" s="12">
        <v>1058887</v>
      </c>
      <c r="G356">
        <f t="shared" si="11"/>
        <v>33449</v>
      </c>
      <c r="H356" s="16" t="s">
        <v>555</v>
      </c>
      <c r="J356" t="s">
        <v>396</v>
      </c>
    </row>
    <row r="357" spans="1:10">
      <c r="A357" t="str">
        <f t="shared" si="10"/>
        <v>آذربايجان غربيپيرانشهر</v>
      </c>
      <c r="B357" s="12" t="s">
        <v>100</v>
      </c>
      <c r="C357" s="12" t="s">
        <v>103</v>
      </c>
      <c r="D357" s="12" t="s">
        <v>480</v>
      </c>
      <c r="E357" s="12">
        <v>0.5122761389175513</v>
      </c>
      <c r="F357" s="12">
        <v>141494</v>
      </c>
      <c r="G357">
        <f t="shared" si="11"/>
        <v>72484</v>
      </c>
      <c r="H357" s="16" t="s">
        <v>542</v>
      </c>
      <c r="J357" t="s">
        <v>398</v>
      </c>
    </row>
    <row r="358" spans="1:10">
      <c r="A358" t="str">
        <f t="shared" si="10"/>
        <v>آذربايجان غربيپيرانشهر</v>
      </c>
      <c r="B358" s="12" t="s">
        <v>100</v>
      </c>
      <c r="C358" s="12" t="s">
        <v>103</v>
      </c>
      <c r="D358" s="12" t="s">
        <v>479</v>
      </c>
      <c r="E358" s="12">
        <v>0.36621340834240323</v>
      </c>
      <c r="F358" s="12">
        <v>141494</v>
      </c>
      <c r="G358">
        <f t="shared" si="11"/>
        <v>51817</v>
      </c>
      <c r="H358" s="16" t="s">
        <v>542</v>
      </c>
      <c r="J358" t="s">
        <v>397</v>
      </c>
    </row>
    <row r="359" spans="1:10">
      <c r="A359" t="str">
        <f t="shared" si="10"/>
        <v>آذربايجان غربيپيرانشهر</v>
      </c>
      <c r="B359" s="12" t="s">
        <v>100</v>
      </c>
      <c r="C359" s="12" t="s">
        <v>103</v>
      </c>
      <c r="D359" s="12" t="s">
        <v>22</v>
      </c>
      <c r="E359" s="12">
        <v>7.4610937566257224E-2</v>
      </c>
      <c r="F359" s="12">
        <v>141494</v>
      </c>
      <c r="G359">
        <f t="shared" si="11"/>
        <v>10557</v>
      </c>
      <c r="H359" s="16" t="s">
        <v>542</v>
      </c>
      <c r="J359" t="s">
        <v>399</v>
      </c>
    </row>
    <row r="360" spans="1:10">
      <c r="A360" t="str">
        <f t="shared" si="10"/>
        <v>آذربايجان غربيپيرانشهر</v>
      </c>
      <c r="B360" s="12" t="s">
        <v>100</v>
      </c>
      <c r="C360" s="12" t="s">
        <v>103</v>
      </c>
      <c r="D360" s="12" t="s">
        <v>478</v>
      </c>
      <c r="E360" s="12">
        <v>2.4213040835653808E-2</v>
      </c>
      <c r="F360" s="12">
        <v>141494</v>
      </c>
      <c r="G360">
        <f t="shared" si="11"/>
        <v>3426</v>
      </c>
      <c r="H360" s="16" t="s">
        <v>542</v>
      </c>
      <c r="J360" t="s">
        <v>400</v>
      </c>
    </row>
    <row r="361" spans="1:10">
      <c r="A361" t="str">
        <f t="shared" si="10"/>
        <v>آذربايجان غربيپيرانشهر</v>
      </c>
      <c r="B361" s="12" t="s">
        <v>100</v>
      </c>
      <c r="C361" s="12" t="s">
        <v>103</v>
      </c>
      <c r="D361" s="12" t="s">
        <v>20</v>
      </c>
      <c r="E361" s="12">
        <v>2.2735946400554086E-2</v>
      </c>
      <c r="F361" s="12">
        <v>141494</v>
      </c>
      <c r="G361">
        <f t="shared" si="11"/>
        <v>3217</v>
      </c>
      <c r="H361" s="16" t="s">
        <v>542</v>
      </c>
      <c r="J361" t="s">
        <v>401</v>
      </c>
    </row>
    <row r="362" spans="1:10">
      <c r="A362" t="str">
        <f t="shared" si="10"/>
        <v>آذربايجان غربيخوئ</v>
      </c>
      <c r="B362" s="12" t="s">
        <v>100</v>
      </c>
      <c r="C362" s="12" t="s">
        <v>104</v>
      </c>
      <c r="D362" s="12" t="s">
        <v>480</v>
      </c>
      <c r="E362" s="12">
        <v>0.44569399817525485</v>
      </c>
      <c r="F362" s="12">
        <v>352926</v>
      </c>
      <c r="G362">
        <f t="shared" si="11"/>
        <v>157297</v>
      </c>
      <c r="H362" s="16" t="s">
        <v>547</v>
      </c>
      <c r="J362" t="s">
        <v>402</v>
      </c>
    </row>
    <row r="363" spans="1:10">
      <c r="A363" t="str">
        <f t="shared" si="10"/>
        <v>آذربايجان غربيخوئ</v>
      </c>
      <c r="B363" s="12" t="s">
        <v>100</v>
      </c>
      <c r="C363" s="12" t="s">
        <v>104</v>
      </c>
      <c r="D363" s="12" t="s">
        <v>479</v>
      </c>
      <c r="E363" s="12">
        <v>0.38387934014495956</v>
      </c>
      <c r="F363" s="12">
        <v>352926</v>
      </c>
      <c r="G363">
        <f t="shared" si="11"/>
        <v>135481</v>
      </c>
      <c r="H363" s="16" t="s">
        <v>547</v>
      </c>
      <c r="J363" t="s">
        <v>403</v>
      </c>
    </row>
    <row r="364" spans="1:10">
      <c r="A364" t="str">
        <f t="shared" si="10"/>
        <v>آذربايجان غربيخوئ</v>
      </c>
      <c r="B364" s="12" t="s">
        <v>100</v>
      </c>
      <c r="C364" s="12" t="s">
        <v>104</v>
      </c>
      <c r="D364" s="12" t="s">
        <v>22</v>
      </c>
      <c r="E364" s="12">
        <v>0.10139519332664639</v>
      </c>
      <c r="F364" s="12">
        <v>352926</v>
      </c>
      <c r="G364">
        <f t="shared" si="11"/>
        <v>35785</v>
      </c>
      <c r="H364" s="16" t="s">
        <v>547</v>
      </c>
      <c r="J364" t="s">
        <v>404</v>
      </c>
    </row>
    <row r="365" spans="1:10">
      <c r="A365" t="str">
        <f t="shared" si="10"/>
        <v>آذربايجان غربيخوئ</v>
      </c>
      <c r="B365" s="12" t="s">
        <v>100</v>
      </c>
      <c r="C365" s="12" t="s">
        <v>104</v>
      </c>
      <c r="D365" s="12" t="s">
        <v>478</v>
      </c>
      <c r="E365" s="12">
        <v>3.74129420898432E-2</v>
      </c>
      <c r="F365" s="12">
        <v>352926</v>
      </c>
      <c r="G365">
        <f t="shared" si="11"/>
        <v>13204</v>
      </c>
      <c r="H365" s="16" t="s">
        <v>547</v>
      </c>
      <c r="J365" t="s">
        <v>405</v>
      </c>
    </row>
    <row r="366" spans="1:10">
      <c r="A366" t="str">
        <f t="shared" si="10"/>
        <v>آذربايجان غربيخوئ</v>
      </c>
      <c r="B366" s="12" t="s">
        <v>100</v>
      </c>
      <c r="C366" s="12" t="s">
        <v>104</v>
      </c>
      <c r="D366" s="12" t="s">
        <v>20</v>
      </c>
      <c r="E366" s="12">
        <v>3.1604358987436458E-2</v>
      </c>
      <c r="F366" s="12">
        <v>352926</v>
      </c>
      <c r="G366">
        <f t="shared" si="11"/>
        <v>11154</v>
      </c>
      <c r="H366" s="16" t="s">
        <v>547</v>
      </c>
      <c r="J366" t="s">
        <v>406</v>
      </c>
    </row>
    <row r="367" spans="1:10">
      <c r="A367" t="str">
        <f t="shared" si="10"/>
        <v>آذربايجان غربيسردشت</v>
      </c>
      <c r="B367" s="12" t="s">
        <v>100</v>
      </c>
      <c r="C367" s="12" t="s">
        <v>105</v>
      </c>
      <c r="D367" s="12" t="s">
        <v>480</v>
      </c>
      <c r="E367" s="12">
        <v>0.49413426387504156</v>
      </c>
      <c r="F367" s="12">
        <v>120360</v>
      </c>
      <c r="G367">
        <f t="shared" si="11"/>
        <v>59474</v>
      </c>
      <c r="H367" s="16" t="s">
        <v>558</v>
      </c>
      <c r="J367" t="s">
        <v>407</v>
      </c>
    </row>
    <row r="368" spans="1:10">
      <c r="A368" t="str">
        <f t="shared" si="10"/>
        <v>آذربايجان غربيسردشت</v>
      </c>
      <c r="B368" s="12" t="s">
        <v>100</v>
      </c>
      <c r="C368" s="12" t="s">
        <v>105</v>
      </c>
      <c r="D368" s="12" t="s">
        <v>479</v>
      </c>
      <c r="E368" s="12">
        <v>0.36870222665337321</v>
      </c>
      <c r="F368" s="12">
        <v>120360</v>
      </c>
      <c r="G368">
        <f t="shared" si="11"/>
        <v>44377</v>
      </c>
      <c r="H368" s="16" t="s">
        <v>558</v>
      </c>
      <c r="J368" t="s">
        <v>408</v>
      </c>
    </row>
    <row r="369" spans="1:10">
      <c r="A369" t="str">
        <f t="shared" si="10"/>
        <v>آذربايجان غربيسردشت</v>
      </c>
      <c r="B369" s="12" t="s">
        <v>100</v>
      </c>
      <c r="C369" s="12" t="s">
        <v>105</v>
      </c>
      <c r="D369" s="12" t="s">
        <v>22</v>
      </c>
      <c r="E369" s="12">
        <v>7.9793951478896646E-2</v>
      </c>
      <c r="F369" s="12">
        <v>120360</v>
      </c>
      <c r="G369">
        <f t="shared" si="11"/>
        <v>9604</v>
      </c>
      <c r="H369" s="16" t="s">
        <v>558</v>
      </c>
      <c r="J369" t="s">
        <v>409</v>
      </c>
    </row>
    <row r="370" spans="1:10">
      <c r="A370" t="str">
        <f t="shared" si="10"/>
        <v>آذربايجان غربيسردشت</v>
      </c>
      <c r="B370" s="12" t="s">
        <v>100</v>
      </c>
      <c r="C370" s="12" t="s">
        <v>105</v>
      </c>
      <c r="D370" s="12" t="s">
        <v>478</v>
      </c>
      <c r="E370" s="12">
        <v>2.9112662013958127E-2</v>
      </c>
      <c r="F370" s="12">
        <v>120360</v>
      </c>
      <c r="G370">
        <f t="shared" si="11"/>
        <v>3504</v>
      </c>
      <c r="H370" s="16" t="s">
        <v>558</v>
      </c>
      <c r="J370" t="s">
        <v>410</v>
      </c>
    </row>
    <row r="371" spans="1:10">
      <c r="A371" t="str">
        <f t="shared" si="10"/>
        <v>آذربايجان غربيسردشت</v>
      </c>
      <c r="B371" s="12" t="s">
        <v>100</v>
      </c>
      <c r="C371" s="12" t="s">
        <v>105</v>
      </c>
      <c r="D371" s="12" t="s">
        <v>20</v>
      </c>
      <c r="E371" s="12">
        <v>2.8215353938185445E-2</v>
      </c>
      <c r="F371" s="12">
        <v>120360</v>
      </c>
      <c r="G371">
        <f t="shared" si="11"/>
        <v>3396</v>
      </c>
      <c r="H371" s="16" t="s">
        <v>558</v>
      </c>
      <c r="J371" t="s">
        <v>411</v>
      </c>
    </row>
    <row r="372" spans="1:10">
      <c r="A372" t="str">
        <f t="shared" si="10"/>
        <v>آذربايجان غربيسلماس</v>
      </c>
      <c r="B372" s="12" t="s">
        <v>100</v>
      </c>
      <c r="C372" s="12" t="s">
        <v>106</v>
      </c>
      <c r="D372" s="12" t="s">
        <v>480</v>
      </c>
      <c r="E372" s="12">
        <v>0.46418059391569061</v>
      </c>
      <c r="F372" s="12">
        <v>198412</v>
      </c>
      <c r="G372">
        <f t="shared" si="11"/>
        <v>92099</v>
      </c>
      <c r="H372" s="16" t="s">
        <v>549</v>
      </c>
      <c r="J372" t="s">
        <v>412</v>
      </c>
    </row>
    <row r="373" spans="1:10">
      <c r="A373" t="str">
        <f t="shared" si="10"/>
        <v>آذربايجان غربيسلماس</v>
      </c>
      <c r="B373" s="12" t="s">
        <v>100</v>
      </c>
      <c r="C373" s="12" t="s">
        <v>106</v>
      </c>
      <c r="D373" s="12" t="s">
        <v>479</v>
      </c>
      <c r="E373" s="12">
        <v>0.37511340039916941</v>
      </c>
      <c r="F373" s="12">
        <v>198412</v>
      </c>
      <c r="G373">
        <f t="shared" si="11"/>
        <v>74427</v>
      </c>
      <c r="H373" s="16" t="s">
        <v>549</v>
      </c>
      <c r="J373" t="s">
        <v>414</v>
      </c>
    </row>
    <row r="374" spans="1:10">
      <c r="A374" t="str">
        <f t="shared" si="10"/>
        <v>آذربايجان غربيسلماس</v>
      </c>
      <c r="B374" s="12" t="s">
        <v>100</v>
      </c>
      <c r="C374" s="12" t="s">
        <v>106</v>
      </c>
      <c r="D374" s="12" t="s">
        <v>22</v>
      </c>
      <c r="E374" s="12">
        <v>9.5649456686087542E-2</v>
      </c>
      <c r="F374" s="12">
        <v>198412</v>
      </c>
      <c r="G374">
        <f t="shared" si="11"/>
        <v>18978</v>
      </c>
      <c r="H374" s="16" t="s">
        <v>549</v>
      </c>
      <c r="J374" t="s">
        <v>413</v>
      </c>
    </row>
    <row r="375" spans="1:10">
      <c r="A375" t="str">
        <f t="shared" si="10"/>
        <v>آذربايجان غربيسلماس</v>
      </c>
      <c r="B375" s="12" t="s">
        <v>100</v>
      </c>
      <c r="C375" s="12" t="s">
        <v>106</v>
      </c>
      <c r="D375" s="12" t="s">
        <v>478</v>
      </c>
      <c r="E375" s="12">
        <v>3.4791242465173476E-2</v>
      </c>
      <c r="F375" s="12">
        <v>198412</v>
      </c>
      <c r="G375">
        <f t="shared" si="11"/>
        <v>6903</v>
      </c>
      <c r="H375" s="16" t="s">
        <v>549</v>
      </c>
      <c r="J375" t="s">
        <v>415</v>
      </c>
    </row>
    <row r="376" spans="1:10">
      <c r="A376" t="str">
        <f t="shared" si="10"/>
        <v>آذربايجان غربيسلماس</v>
      </c>
      <c r="B376" s="12" t="s">
        <v>100</v>
      </c>
      <c r="C376" s="12" t="s">
        <v>106</v>
      </c>
      <c r="D376" s="12" t="s">
        <v>20</v>
      </c>
      <c r="E376" s="12">
        <v>3.0255226498397274E-2</v>
      </c>
      <c r="F376" s="12">
        <v>198412</v>
      </c>
      <c r="G376">
        <f t="shared" si="11"/>
        <v>6003</v>
      </c>
      <c r="H376" s="16" t="s">
        <v>549</v>
      </c>
      <c r="J376" t="s">
        <v>416</v>
      </c>
    </row>
    <row r="377" spans="1:10">
      <c r="A377" t="str">
        <f t="shared" si="10"/>
        <v>آذربايجان غربيماكو</v>
      </c>
      <c r="B377" s="12" t="s">
        <v>100</v>
      </c>
      <c r="C377" s="12" t="s">
        <v>107</v>
      </c>
      <c r="D377" s="12" t="s">
        <v>480</v>
      </c>
      <c r="E377" s="12">
        <v>0.47370677037594616</v>
      </c>
      <c r="F377" s="12">
        <v>95652</v>
      </c>
      <c r="G377">
        <f t="shared" si="11"/>
        <v>45311</v>
      </c>
      <c r="H377" s="16" t="s">
        <v>552</v>
      </c>
      <c r="J377" t="s">
        <v>417</v>
      </c>
    </row>
    <row r="378" spans="1:10">
      <c r="A378" t="str">
        <f t="shared" si="10"/>
        <v>آذربايجان غربيماكو</v>
      </c>
      <c r="B378" s="12" t="s">
        <v>100</v>
      </c>
      <c r="C378" s="12" t="s">
        <v>107</v>
      </c>
      <c r="D378" s="12" t="s">
        <v>479</v>
      </c>
      <c r="E378" s="12">
        <v>0.38042069167398485</v>
      </c>
      <c r="F378" s="12">
        <v>95652</v>
      </c>
      <c r="G378">
        <f t="shared" si="11"/>
        <v>36388</v>
      </c>
      <c r="H378" s="16" t="s">
        <v>552</v>
      </c>
      <c r="J378" t="s">
        <v>418</v>
      </c>
    </row>
    <row r="379" spans="1:10">
      <c r="A379" t="str">
        <f t="shared" si="10"/>
        <v>آذربايجان غربيماكو</v>
      </c>
      <c r="B379" s="12" t="s">
        <v>100</v>
      </c>
      <c r="C379" s="12" t="s">
        <v>107</v>
      </c>
      <c r="D379" s="12" t="s">
        <v>22</v>
      </c>
      <c r="E379" s="12">
        <v>9.1142892987078158E-2</v>
      </c>
      <c r="F379" s="12">
        <v>95652</v>
      </c>
      <c r="G379">
        <f t="shared" si="11"/>
        <v>8718</v>
      </c>
      <c r="H379" s="16" t="s">
        <v>552</v>
      </c>
      <c r="J379" t="s">
        <v>419</v>
      </c>
    </row>
    <row r="380" spans="1:10">
      <c r="A380" t="str">
        <f t="shared" si="10"/>
        <v>آذربايجان غربيماكو</v>
      </c>
      <c r="B380" s="12" t="s">
        <v>100</v>
      </c>
      <c r="C380" s="12" t="s">
        <v>107</v>
      </c>
      <c r="D380" s="12" t="s">
        <v>478</v>
      </c>
      <c r="E380" s="12">
        <v>3.1562330113327479E-2</v>
      </c>
      <c r="F380" s="12">
        <v>95652</v>
      </c>
      <c r="G380">
        <f t="shared" si="11"/>
        <v>3019</v>
      </c>
      <c r="H380" s="16" t="s">
        <v>552</v>
      </c>
      <c r="J380" t="s">
        <v>420</v>
      </c>
    </row>
    <row r="381" spans="1:10">
      <c r="A381" t="str">
        <f t="shared" si="10"/>
        <v>آذربايجان غربيماكو</v>
      </c>
      <c r="B381" s="12" t="s">
        <v>100</v>
      </c>
      <c r="C381" s="12" t="s">
        <v>107</v>
      </c>
      <c r="D381" s="12" t="s">
        <v>20</v>
      </c>
      <c r="E381" s="12">
        <v>2.3115042027349139E-2</v>
      </c>
      <c r="F381" s="12">
        <v>95652</v>
      </c>
      <c r="G381">
        <f t="shared" si="11"/>
        <v>2211</v>
      </c>
      <c r="H381" s="16" t="s">
        <v>552</v>
      </c>
      <c r="J381" t="s">
        <v>421</v>
      </c>
    </row>
    <row r="382" spans="1:10">
      <c r="A382" t="str">
        <f t="shared" si="10"/>
        <v>آذربايجان غربيمهاباد</v>
      </c>
      <c r="B382" s="12" t="s">
        <v>100</v>
      </c>
      <c r="C382" s="12" t="s">
        <v>108</v>
      </c>
      <c r="D382" s="12" t="s">
        <v>480</v>
      </c>
      <c r="E382" s="12">
        <v>0.44289942922326903</v>
      </c>
      <c r="F382" s="12">
        <v>240199</v>
      </c>
      <c r="G382">
        <f t="shared" si="11"/>
        <v>106384</v>
      </c>
      <c r="H382" s="16" t="s">
        <v>551</v>
      </c>
      <c r="J382" t="s">
        <v>422</v>
      </c>
    </row>
    <row r="383" spans="1:10">
      <c r="A383" t="str">
        <f t="shared" si="10"/>
        <v>آذربايجان غربيمهاباد</v>
      </c>
      <c r="B383" s="12" t="s">
        <v>100</v>
      </c>
      <c r="C383" s="12" t="s">
        <v>108</v>
      </c>
      <c r="D383" s="12" t="s">
        <v>479</v>
      </c>
      <c r="E383" s="12">
        <v>0.39334052181732648</v>
      </c>
      <c r="F383" s="12">
        <v>240199</v>
      </c>
      <c r="G383">
        <f t="shared" si="11"/>
        <v>94480</v>
      </c>
      <c r="H383" s="16" t="s">
        <v>551</v>
      </c>
      <c r="J383" t="s">
        <v>424</v>
      </c>
    </row>
    <row r="384" spans="1:10">
      <c r="A384" t="str">
        <f t="shared" si="10"/>
        <v>آذربايجان غربيمهاباد</v>
      </c>
      <c r="B384" s="12" t="s">
        <v>100</v>
      </c>
      <c r="C384" s="12" t="s">
        <v>108</v>
      </c>
      <c r="D384" s="12" t="s">
        <v>22</v>
      </c>
      <c r="E384" s="12">
        <v>9.7627383960799174E-2</v>
      </c>
      <c r="F384" s="12">
        <v>240199</v>
      </c>
      <c r="G384">
        <f t="shared" si="11"/>
        <v>23450</v>
      </c>
      <c r="H384" s="16" t="s">
        <v>551</v>
      </c>
      <c r="J384" t="s">
        <v>423</v>
      </c>
    </row>
    <row r="385" spans="1:10">
      <c r="A385" t="str">
        <f t="shared" si="10"/>
        <v>آذربايجان غربيمهاباد</v>
      </c>
      <c r="B385" s="12" t="s">
        <v>100</v>
      </c>
      <c r="C385" s="12" t="s">
        <v>108</v>
      </c>
      <c r="D385" s="12" t="s">
        <v>478</v>
      </c>
      <c r="E385" s="12">
        <v>3.4875249272478238E-2</v>
      </c>
      <c r="F385" s="12">
        <v>240199</v>
      </c>
      <c r="G385">
        <f t="shared" si="11"/>
        <v>8377</v>
      </c>
      <c r="H385" s="16" t="s">
        <v>551</v>
      </c>
      <c r="J385" t="s">
        <v>426</v>
      </c>
    </row>
    <row r="386" spans="1:10">
      <c r="A386" t="str">
        <f t="shared" ref="A386:A449" si="12">B386&amp;C386</f>
        <v>آذربايجان غربيمهاباد</v>
      </c>
      <c r="B386" s="12" t="s">
        <v>100</v>
      </c>
      <c r="C386" s="12" t="s">
        <v>108</v>
      </c>
      <c r="D386" s="12" t="s">
        <v>20</v>
      </c>
      <c r="E386" s="12">
        <v>3.1261578940794926E-2</v>
      </c>
      <c r="F386" s="12">
        <v>240199</v>
      </c>
      <c r="G386">
        <f t="shared" si="11"/>
        <v>7509</v>
      </c>
      <c r="H386" s="16" t="s">
        <v>551</v>
      </c>
      <c r="J386" t="s">
        <v>427</v>
      </c>
    </row>
    <row r="387" spans="1:10">
      <c r="A387" t="str">
        <f t="shared" si="12"/>
        <v>آذربايجان غربيمياندوآب</v>
      </c>
      <c r="B387" s="12" t="s">
        <v>100</v>
      </c>
      <c r="C387" s="12" t="s">
        <v>109</v>
      </c>
      <c r="D387" s="12" t="s">
        <v>480</v>
      </c>
      <c r="E387" s="12">
        <v>0.42978654242063064</v>
      </c>
      <c r="F387" s="12">
        <v>276870</v>
      </c>
      <c r="G387">
        <f t="shared" ref="G387:G450" si="13">IFERROR(ROUND(F387*E387,0),0)</f>
        <v>118995</v>
      </c>
      <c r="H387" s="16" t="s">
        <v>548</v>
      </c>
      <c r="J387" t="s">
        <v>425</v>
      </c>
    </row>
    <row r="388" spans="1:10">
      <c r="A388" t="str">
        <f t="shared" si="12"/>
        <v>آذربايجان غربيمياندوآب</v>
      </c>
      <c r="B388" s="12" t="s">
        <v>100</v>
      </c>
      <c r="C388" s="12" t="s">
        <v>109</v>
      </c>
      <c r="D388" s="12" t="s">
        <v>479</v>
      </c>
      <c r="E388" s="12">
        <v>0.40457976667750206</v>
      </c>
      <c r="F388" s="12">
        <v>276870</v>
      </c>
      <c r="G388">
        <f t="shared" si="13"/>
        <v>112016</v>
      </c>
      <c r="H388" s="16" t="s">
        <v>548</v>
      </c>
      <c r="J388" t="s">
        <v>428</v>
      </c>
    </row>
    <row r="389" spans="1:10">
      <c r="A389" t="str">
        <f t="shared" si="12"/>
        <v>آذربايجان غربيمياندوآب</v>
      </c>
      <c r="B389" s="12" t="s">
        <v>100</v>
      </c>
      <c r="C389" s="12" t="s">
        <v>109</v>
      </c>
      <c r="D389" s="12" t="s">
        <v>22</v>
      </c>
      <c r="E389" s="12">
        <v>0.10010113049445588</v>
      </c>
      <c r="F389" s="12">
        <v>276870</v>
      </c>
      <c r="G389">
        <f t="shared" si="13"/>
        <v>27715</v>
      </c>
      <c r="H389" s="16" t="s">
        <v>548</v>
      </c>
      <c r="J389" t="s">
        <v>429</v>
      </c>
    </row>
    <row r="390" spans="1:10">
      <c r="A390" t="str">
        <f t="shared" si="12"/>
        <v>آذربايجان غربيمياندوآب</v>
      </c>
      <c r="B390" s="12" t="s">
        <v>100</v>
      </c>
      <c r="C390" s="12" t="s">
        <v>109</v>
      </c>
      <c r="D390" s="12" t="s">
        <v>478</v>
      </c>
      <c r="E390" s="12">
        <v>3.4622747137645828E-2</v>
      </c>
      <c r="F390" s="12">
        <v>276870</v>
      </c>
      <c r="G390">
        <f t="shared" si="13"/>
        <v>9586</v>
      </c>
      <c r="H390" s="16" t="s">
        <v>548</v>
      </c>
      <c r="J390" t="s">
        <v>431</v>
      </c>
    </row>
    <row r="391" spans="1:10">
      <c r="A391" t="str">
        <f t="shared" si="12"/>
        <v>آذربايجان غربيمياندوآب</v>
      </c>
      <c r="B391" s="12" t="s">
        <v>100</v>
      </c>
      <c r="C391" s="12" t="s">
        <v>109</v>
      </c>
      <c r="D391" s="12" t="s">
        <v>20</v>
      </c>
      <c r="E391" s="12">
        <v>3.0906201466392169E-2</v>
      </c>
      <c r="F391" s="12">
        <v>276870</v>
      </c>
      <c r="G391">
        <f t="shared" si="13"/>
        <v>8557</v>
      </c>
      <c r="H391" s="16" t="s">
        <v>548</v>
      </c>
      <c r="J391" t="s">
        <v>432</v>
      </c>
    </row>
    <row r="392" spans="1:10">
      <c r="A392" t="str">
        <f t="shared" si="12"/>
        <v>آذربايجان غربينقده</v>
      </c>
      <c r="B392" s="12" t="s">
        <v>100</v>
      </c>
      <c r="C392" s="12" t="s">
        <v>110</v>
      </c>
      <c r="D392" s="12" t="s">
        <v>480</v>
      </c>
      <c r="E392" s="12">
        <v>0.43190458789777719</v>
      </c>
      <c r="F392" s="12">
        <v>128621</v>
      </c>
      <c r="G392">
        <f t="shared" si="13"/>
        <v>55552</v>
      </c>
      <c r="H392" s="16" t="s">
        <v>550</v>
      </c>
      <c r="J392" t="s">
        <v>433</v>
      </c>
    </row>
    <row r="393" spans="1:10">
      <c r="A393" t="str">
        <f t="shared" si="12"/>
        <v>آذربايجان غربينقده</v>
      </c>
      <c r="B393" s="12" t="s">
        <v>100</v>
      </c>
      <c r="C393" s="12" t="s">
        <v>110</v>
      </c>
      <c r="D393" s="12" t="s">
        <v>479</v>
      </c>
      <c r="E393" s="12">
        <v>0.3946789404529587</v>
      </c>
      <c r="F393" s="12">
        <v>128621</v>
      </c>
      <c r="G393">
        <f t="shared" si="13"/>
        <v>50764</v>
      </c>
      <c r="H393" s="16" t="s">
        <v>550</v>
      </c>
      <c r="J393" t="s">
        <v>434</v>
      </c>
    </row>
    <row r="394" spans="1:10">
      <c r="A394" t="str">
        <f t="shared" si="12"/>
        <v>آذربايجان غربينقده</v>
      </c>
      <c r="B394" s="12" t="s">
        <v>100</v>
      </c>
      <c r="C394" s="12" t="s">
        <v>110</v>
      </c>
      <c r="D394" s="12" t="s">
        <v>22</v>
      </c>
      <c r="E394" s="12">
        <v>0.10258044953778932</v>
      </c>
      <c r="F394" s="12">
        <v>128621</v>
      </c>
      <c r="G394">
        <f t="shared" si="13"/>
        <v>13194</v>
      </c>
      <c r="H394" s="16" t="s">
        <v>550</v>
      </c>
      <c r="J394" t="s">
        <v>435</v>
      </c>
    </row>
    <row r="395" spans="1:10">
      <c r="A395" t="str">
        <f t="shared" si="12"/>
        <v>آذربايجان غربينقده</v>
      </c>
      <c r="B395" s="12" t="s">
        <v>100</v>
      </c>
      <c r="C395" s="12" t="s">
        <v>110</v>
      </c>
      <c r="D395" s="12" t="s">
        <v>478</v>
      </c>
      <c r="E395" s="12">
        <v>3.7311170026667499E-2</v>
      </c>
      <c r="F395" s="12">
        <v>128621</v>
      </c>
      <c r="G395">
        <f t="shared" si="13"/>
        <v>4799</v>
      </c>
      <c r="H395" s="16" t="s">
        <v>550</v>
      </c>
      <c r="J395" t="s">
        <v>436</v>
      </c>
    </row>
    <row r="396" spans="1:10">
      <c r="A396" t="str">
        <f t="shared" si="12"/>
        <v>آذربايجان غربينقده</v>
      </c>
      <c r="B396" s="12" t="s">
        <v>100</v>
      </c>
      <c r="C396" s="12" t="s">
        <v>110</v>
      </c>
      <c r="D396" s="12" t="s">
        <v>20</v>
      </c>
      <c r="E396" s="12">
        <v>3.349375296413494E-2</v>
      </c>
      <c r="F396" s="12">
        <v>128621</v>
      </c>
      <c r="G396">
        <f t="shared" si="13"/>
        <v>4308</v>
      </c>
      <c r="H396" s="16" t="s">
        <v>550</v>
      </c>
      <c r="J396" t="s">
        <v>437</v>
      </c>
    </row>
    <row r="397" spans="1:10">
      <c r="A397" t="str">
        <f t="shared" si="12"/>
        <v>آذربايجان غربيبوكان</v>
      </c>
      <c r="B397" s="12" t="s">
        <v>100</v>
      </c>
      <c r="C397" s="12" t="s">
        <v>111</v>
      </c>
      <c r="D397" s="12" t="s">
        <v>480</v>
      </c>
      <c r="E397" s="12">
        <v>0.44006779105048793</v>
      </c>
      <c r="F397" s="12">
        <v>256081</v>
      </c>
      <c r="G397">
        <f t="shared" si="13"/>
        <v>112693</v>
      </c>
      <c r="H397" s="16" t="s">
        <v>556</v>
      </c>
      <c r="J397" t="s">
        <v>438</v>
      </c>
    </row>
    <row r="398" spans="1:10">
      <c r="A398" t="str">
        <f t="shared" si="12"/>
        <v>آذربايجان غربيبوكان</v>
      </c>
      <c r="B398" s="12" t="s">
        <v>100</v>
      </c>
      <c r="C398" s="12" t="s">
        <v>111</v>
      </c>
      <c r="D398" s="12" t="s">
        <v>479</v>
      </c>
      <c r="E398" s="12">
        <v>0.40190018002116518</v>
      </c>
      <c r="F398" s="12">
        <v>256081</v>
      </c>
      <c r="G398">
        <f t="shared" si="13"/>
        <v>102919</v>
      </c>
      <c r="H398" s="16" t="s">
        <v>556</v>
      </c>
      <c r="J398" t="s">
        <v>439</v>
      </c>
    </row>
    <row r="399" spans="1:10">
      <c r="A399" t="str">
        <f t="shared" si="12"/>
        <v>آذربايجان غربيبوكان</v>
      </c>
      <c r="B399" s="12" t="s">
        <v>100</v>
      </c>
      <c r="C399" s="12" t="s">
        <v>111</v>
      </c>
      <c r="D399" s="12" t="s">
        <v>22</v>
      </c>
      <c r="E399" s="12">
        <v>9.5688473568909832E-2</v>
      </c>
      <c r="F399" s="12">
        <v>256081</v>
      </c>
      <c r="G399">
        <f t="shared" si="13"/>
        <v>24504</v>
      </c>
      <c r="H399" s="16" t="s">
        <v>556</v>
      </c>
      <c r="J399" t="s">
        <v>440</v>
      </c>
    </row>
    <row r="400" spans="1:10">
      <c r="A400" t="str">
        <f t="shared" si="12"/>
        <v>آذربايجان غربيبوكان</v>
      </c>
      <c r="B400" s="12" t="s">
        <v>100</v>
      </c>
      <c r="C400" s="12" t="s">
        <v>111</v>
      </c>
      <c r="D400" s="12" t="s">
        <v>478</v>
      </c>
      <c r="E400" s="12">
        <v>3.2341329501212504E-2</v>
      </c>
      <c r="F400" s="12">
        <v>256081</v>
      </c>
      <c r="G400">
        <f t="shared" si="13"/>
        <v>8282</v>
      </c>
      <c r="H400" s="16" t="s">
        <v>556</v>
      </c>
      <c r="J400" t="s">
        <v>441</v>
      </c>
    </row>
    <row r="401" spans="1:10">
      <c r="A401" t="str">
        <f t="shared" si="12"/>
        <v>آذربايجان غربيبوكان</v>
      </c>
      <c r="B401" s="12" t="s">
        <v>100</v>
      </c>
      <c r="C401" s="12" t="s">
        <v>111</v>
      </c>
      <c r="D401" s="12" t="s">
        <v>20</v>
      </c>
      <c r="E401" s="12">
        <v>2.9974890757221349E-2</v>
      </c>
      <c r="F401" s="12">
        <v>256081</v>
      </c>
      <c r="G401">
        <f t="shared" si="13"/>
        <v>7676</v>
      </c>
      <c r="H401" s="16" t="s">
        <v>556</v>
      </c>
      <c r="J401" t="s">
        <v>442</v>
      </c>
    </row>
    <row r="402" spans="1:10">
      <c r="A402" t="str">
        <f t="shared" si="12"/>
        <v>آذربايجان غربيشاهين دژ</v>
      </c>
      <c r="B402" s="12" t="s">
        <v>100</v>
      </c>
      <c r="C402" s="12" t="s">
        <v>112</v>
      </c>
      <c r="D402" s="12" t="s">
        <v>480</v>
      </c>
      <c r="E402" s="12">
        <v>0.42541323426479299</v>
      </c>
      <c r="F402" s="12">
        <v>92865</v>
      </c>
      <c r="G402">
        <f t="shared" si="13"/>
        <v>39506</v>
      </c>
      <c r="H402" s="16" t="s">
        <v>553</v>
      </c>
      <c r="J402" t="s">
        <v>443</v>
      </c>
    </row>
    <row r="403" spans="1:10">
      <c r="A403" t="str">
        <f t="shared" si="12"/>
        <v>آذربايجان غربيشاهين دژ</v>
      </c>
      <c r="B403" s="12" t="s">
        <v>100</v>
      </c>
      <c r="C403" s="12" t="s">
        <v>112</v>
      </c>
      <c r="D403" s="12" t="s">
        <v>479</v>
      </c>
      <c r="E403" s="12">
        <v>0.39251601787541052</v>
      </c>
      <c r="F403" s="12">
        <v>92865</v>
      </c>
      <c r="G403">
        <f t="shared" si="13"/>
        <v>36451</v>
      </c>
      <c r="H403" s="16" t="s">
        <v>553</v>
      </c>
      <c r="J403" t="s">
        <v>444</v>
      </c>
    </row>
    <row r="404" spans="1:10">
      <c r="A404" t="str">
        <f t="shared" si="12"/>
        <v>آذربايجان غربيشاهين دژ</v>
      </c>
      <c r="B404" s="12" t="s">
        <v>100</v>
      </c>
      <c r="C404" s="12" t="s">
        <v>112</v>
      </c>
      <c r="D404" s="12" t="s">
        <v>22</v>
      </c>
      <c r="E404" s="12">
        <v>0.1076078178000323</v>
      </c>
      <c r="F404" s="12">
        <v>92865</v>
      </c>
      <c r="G404">
        <f t="shared" si="13"/>
        <v>9993</v>
      </c>
      <c r="H404" s="16" t="s">
        <v>553</v>
      </c>
      <c r="J404" t="s">
        <v>446</v>
      </c>
    </row>
    <row r="405" spans="1:10">
      <c r="A405" t="str">
        <f t="shared" si="12"/>
        <v>آذربايجان غربيشاهين دژ</v>
      </c>
      <c r="B405" s="12" t="s">
        <v>100</v>
      </c>
      <c r="C405" s="12" t="s">
        <v>112</v>
      </c>
      <c r="D405" s="12" t="s">
        <v>478</v>
      </c>
      <c r="E405" s="12">
        <v>3.9681257739729713E-2</v>
      </c>
      <c r="F405" s="12">
        <v>92865</v>
      </c>
      <c r="G405">
        <f t="shared" si="13"/>
        <v>3685</v>
      </c>
      <c r="H405" s="16" t="s">
        <v>553</v>
      </c>
      <c r="J405" t="s">
        <v>447</v>
      </c>
    </row>
    <row r="406" spans="1:10">
      <c r="A406" t="str">
        <f t="shared" si="12"/>
        <v>آذربايجان غربيشاهين دژ</v>
      </c>
      <c r="B406" s="12" t="s">
        <v>100</v>
      </c>
      <c r="C406" s="12" t="s">
        <v>112</v>
      </c>
      <c r="D406" s="12" t="s">
        <v>20</v>
      </c>
      <c r="E406" s="12">
        <v>3.4781672320034457E-2</v>
      </c>
      <c r="F406" s="12">
        <v>92865</v>
      </c>
      <c r="G406">
        <f t="shared" si="13"/>
        <v>3230</v>
      </c>
      <c r="H406" s="16" t="s">
        <v>553</v>
      </c>
      <c r="J406" t="s">
        <v>448</v>
      </c>
    </row>
    <row r="407" spans="1:10">
      <c r="A407" t="str">
        <f t="shared" si="12"/>
        <v>آذربايجان غربيتكاب</v>
      </c>
      <c r="B407" s="12" t="s">
        <v>100</v>
      </c>
      <c r="C407" s="12" t="s">
        <v>113</v>
      </c>
      <c r="D407" s="12" t="s">
        <v>480</v>
      </c>
      <c r="E407" s="12">
        <v>0.43411528734629806</v>
      </c>
      <c r="F407" s="12">
        <v>80269</v>
      </c>
      <c r="G407">
        <f t="shared" si="13"/>
        <v>34846</v>
      </c>
      <c r="H407" s="16" t="s">
        <v>546</v>
      </c>
      <c r="J407" t="s">
        <v>449</v>
      </c>
    </row>
    <row r="408" spans="1:10">
      <c r="A408" t="str">
        <f t="shared" si="12"/>
        <v>آذربايجان غربيتكاب</v>
      </c>
      <c r="B408" s="12" t="s">
        <v>100</v>
      </c>
      <c r="C408" s="12" t="s">
        <v>113</v>
      </c>
      <c r="D408" s="12" t="s">
        <v>479</v>
      </c>
      <c r="E408" s="12">
        <v>0.3766709439509649</v>
      </c>
      <c r="F408" s="12">
        <v>80269</v>
      </c>
      <c r="G408">
        <f t="shared" si="13"/>
        <v>30235</v>
      </c>
      <c r="H408" s="16" t="s">
        <v>546</v>
      </c>
      <c r="J408" t="s">
        <v>450</v>
      </c>
    </row>
    <row r="409" spans="1:10">
      <c r="A409" t="str">
        <f t="shared" si="12"/>
        <v>آذربايجان غربيتكاب</v>
      </c>
      <c r="B409" s="12" t="s">
        <v>100</v>
      </c>
      <c r="C409" s="12" t="s">
        <v>113</v>
      </c>
      <c r="D409" s="12" t="s">
        <v>22</v>
      </c>
      <c r="E409" s="12">
        <v>0.10756331834207478</v>
      </c>
      <c r="F409" s="12">
        <v>80269</v>
      </c>
      <c r="G409">
        <f t="shared" si="13"/>
        <v>8634</v>
      </c>
      <c r="H409" s="16" t="s">
        <v>546</v>
      </c>
      <c r="J409" t="s">
        <v>451</v>
      </c>
    </row>
    <row r="410" spans="1:10">
      <c r="A410" t="str">
        <f t="shared" si="12"/>
        <v>آذربايجان غربيتكاب</v>
      </c>
      <c r="B410" s="12" t="s">
        <v>100</v>
      </c>
      <c r="C410" s="12" t="s">
        <v>113</v>
      </c>
      <c r="D410" s="12" t="s">
        <v>478</v>
      </c>
      <c r="E410" s="12">
        <v>4.2245449675466243E-2</v>
      </c>
      <c r="F410" s="12">
        <v>80269</v>
      </c>
      <c r="G410">
        <f t="shared" si="13"/>
        <v>3391</v>
      </c>
      <c r="H410" s="16" t="s">
        <v>546</v>
      </c>
      <c r="J410" t="s">
        <v>452</v>
      </c>
    </row>
    <row r="411" spans="1:10">
      <c r="A411" t="str">
        <f t="shared" si="12"/>
        <v>آذربايجان غربيتكاب</v>
      </c>
      <c r="B411" s="12" t="s">
        <v>100</v>
      </c>
      <c r="C411" s="12" t="s">
        <v>113</v>
      </c>
      <c r="D411" s="12" t="s">
        <v>20</v>
      </c>
      <c r="E411" s="12">
        <v>3.9330252027557341E-2</v>
      </c>
      <c r="F411" s="12">
        <v>80269</v>
      </c>
      <c r="G411">
        <f t="shared" si="13"/>
        <v>3157</v>
      </c>
      <c r="H411" s="16" t="s">
        <v>546</v>
      </c>
      <c r="J411" t="s">
        <v>453</v>
      </c>
    </row>
    <row r="412" spans="1:10">
      <c r="A412" t="str">
        <f t="shared" si="12"/>
        <v>آذربايجان غربياشنويه</v>
      </c>
      <c r="B412" s="12" t="s">
        <v>100</v>
      </c>
      <c r="C412" s="12" t="s">
        <v>114</v>
      </c>
      <c r="D412" s="12" t="s">
        <v>480</v>
      </c>
      <c r="E412" s="12">
        <v>0.4870189553888985</v>
      </c>
      <c r="F412" s="12">
        <v>75071</v>
      </c>
      <c r="G412">
        <f t="shared" si="13"/>
        <v>36561</v>
      </c>
      <c r="H412" s="16" t="s">
        <v>557</v>
      </c>
      <c r="J412" t="s">
        <v>455</v>
      </c>
    </row>
    <row r="413" spans="1:10">
      <c r="A413" t="str">
        <f t="shared" si="12"/>
        <v>آذربايجان غربياشنويه</v>
      </c>
      <c r="B413" s="12" t="s">
        <v>100</v>
      </c>
      <c r="C413" s="12" t="s">
        <v>114</v>
      </c>
      <c r="D413" s="12" t="s">
        <v>479</v>
      </c>
      <c r="E413" s="12">
        <v>0.37431231767260326</v>
      </c>
      <c r="F413" s="12">
        <v>75071</v>
      </c>
      <c r="G413">
        <f t="shared" si="13"/>
        <v>28100</v>
      </c>
      <c r="H413" s="16" t="s">
        <v>557</v>
      </c>
      <c r="J413" t="s">
        <v>456</v>
      </c>
    </row>
    <row r="414" spans="1:10">
      <c r="A414" t="str">
        <f t="shared" si="12"/>
        <v>آذربايجان غربياشنويه</v>
      </c>
      <c r="B414" s="12" t="s">
        <v>100</v>
      </c>
      <c r="C414" s="12" t="s">
        <v>114</v>
      </c>
      <c r="D414" s="12" t="s">
        <v>22</v>
      </c>
      <c r="E414" s="12">
        <v>8.3254519055294324E-2</v>
      </c>
      <c r="F414" s="12">
        <v>75071</v>
      </c>
      <c r="G414">
        <f t="shared" si="13"/>
        <v>6250</v>
      </c>
      <c r="H414" s="16" t="s">
        <v>557</v>
      </c>
      <c r="J414" t="s">
        <v>457</v>
      </c>
    </row>
    <row r="415" spans="1:10">
      <c r="A415" t="str">
        <f t="shared" si="12"/>
        <v>آذربايجان غربياشنويه</v>
      </c>
      <c r="B415" s="12" t="s">
        <v>100</v>
      </c>
      <c r="C415" s="12" t="s">
        <v>114</v>
      </c>
      <c r="D415" s="12" t="s">
        <v>478</v>
      </c>
      <c r="E415" s="12">
        <v>2.8439743709288541E-2</v>
      </c>
      <c r="F415" s="12">
        <v>75071</v>
      </c>
      <c r="G415">
        <f t="shared" si="13"/>
        <v>2135</v>
      </c>
      <c r="H415" s="16" t="s">
        <v>557</v>
      </c>
      <c r="J415" t="s">
        <v>458</v>
      </c>
    </row>
    <row r="416" spans="1:10">
      <c r="A416" t="str">
        <f t="shared" si="12"/>
        <v>آذربايجان غربياشنويه</v>
      </c>
      <c r="B416" s="12" t="s">
        <v>100</v>
      </c>
      <c r="C416" s="12" t="s">
        <v>114</v>
      </c>
      <c r="D416" s="12" t="s">
        <v>20</v>
      </c>
      <c r="E416" s="12">
        <v>2.7001105620013056E-2</v>
      </c>
      <c r="F416" s="12">
        <v>75071</v>
      </c>
      <c r="G416">
        <f t="shared" si="13"/>
        <v>2027</v>
      </c>
      <c r="H416" s="16" t="s">
        <v>557</v>
      </c>
      <c r="J416" t="s">
        <v>459</v>
      </c>
    </row>
    <row r="417" spans="1:10">
      <c r="A417" t="str">
        <f t="shared" si="12"/>
        <v>آذربايجان غربيچالدران</v>
      </c>
      <c r="B417" s="12" t="s">
        <v>100</v>
      </c>
      <c r="C417" s="12" t="s">
        <v>115</v>
      </c>
      <c r="D417" s="12" t="s">
        <v>480</v>
      </c>
      <c r="E417" s="12">
        <v>0.50605739045850462</v>
      </c>
      <c r="F417" s="12">
        <v>45234</v>
      </c>
      <c r="G417">
        <f t="shared" si="13"/>
        <v>22891</v>
      </c>
      <c r="H417" s="16" t="s">
        <v>554</v>
      </c>
      <c r="J417" t="s">
        <v>460</v>
      </c>
    </row>
    <row r="418" spans="1:10">
      <c r="A418" t="str">
        <f t="shared" si="12"/>
        <v>آذربايجان غربيچالدران</v>
      </c>
      <c r="B418" s="12" t="s">
        <v>100</v>
      </c>
      <c r="C418" s="12" t="s">
        <v>115</v>
      </c>
      <c r="D418" s="12" t="s">
        <v>479</v>
      </c>
      <c r="E418" s="12">
        <v>0.35183711367555381</v>
      </c>
      <c r="F418" s="12">
        <v>45234</v>
      </c>
      <c r="G418">
        <f t="shared" si="13"/>
        <v>15915</v>
      </c>
      <c r="H418" s="16" t="s">
        <v>554</v>
      </c>
      <c r="J418" t="s">
        <v>461</v>
      </c>
    </row>
    <row r="419" spans="1:10">
      <c r="A419" t="str">
        <f t="shared" si="12"/>
        <v>آذربايجان غربيچالدران</v>
      </c>
      <c r="B419" s="12" t="s">
        <v>100</v>
      </c>
      <c r="C419" s="12" t="s">
        <v>115</v>
      </c>
      <c r="D419" s="12" t="s">
        <v>22</v>
      </c>
      <c r="E419" s="12">
        <v>8.504664632798338E-2</v>
      </c>
      <c r="F419" s="12">
        <v>45234</v>
      </c>
      <c r="G419">
        <f t="shared" si="13"/>
        <v>3847</v>
      </c>
      <c r="H419" s="16" t="s">
        <v>554</v>
      </c>
      <c r="J419" t="s">
        <v>462</v>
      </c>
    </row>
    <row r="420" spans="1:10">
      <c r="A420" t="str">
        <f t="shared" si="12"/>
        <v>آذربايجان غربيچالدران</v>
      </c>
      <c r="B420" s="12" t="s">
        <v>100</v>
      </c>
      <c r="C420" s="12" t="s">
        <v>115</v>
      </c>
      <c r="D420" s="12" t="s">
        <v>478</v>
      </c>
      <c r="E420" s="12">
        <v>3.0132201441393641E-2</v>
      </c>
      <c r="F420" s="12">
        <v>45234</v>
      </c>
      <c r="G420">
        <f t="shared" si="13"/>
        <v>1363</v>
      </c>
      <c r="H420" s="16" t="s">
        <v>554</v>
      </c>
      <c r="J420" t="s">
        <v>463</v>
      </c>
    </row>
    <row r="421" spans="1:10">
      <c r="A421" t="str">
        <f t="shared" si="12"/>
        <v>آذربايجان غربيچالدران</v>
      </c>
      <c r="B421" s="12" t="s">
        <v>100</v>
      </c>
      <c r="C421" s="12" t="s">
        <v>115</v>
      </c>
      <c r="D421" s="12" t="s">
        <v>20</v>
      </c>
      <c r="E421" s="12">
        <v>2.7037184418800018E-2</v>
      </c>
      <c r="F421" s="12">
        <v>45234</v>
      </c>
      <c r="G421">
        <f t="shared" si="13"/>
        <v>1223</v>
      </c>
      <c r="H421" s="16" t="s">
        <v>554</v>
      </c>
      <c r="J421" t="s">
        <v>464</v>
      </c>
    </row>
    <row r="422" spans="1:10">
      <c r="A422" t="str">
        <f t="shared" si="12"/>
        <v>آذربايجان غربيپلدشت</v>
      </c>
      <c r="B422" s="12" t="s">
        <v>100</v>
      </c>
      <c r="C422" s="12" t="s">
        <v>116</v>
      </c>
      <c r="D422" s="12" t="s">
        <v>480</v>
      </c>
      <c r="E422" s="12">
        <v>0.49066753987930956</v>
      </c>
      <c r="F422" s="12">
        <v>42754</v>
      </c>
      <c r="G422">
        <f t="shared" si="13"/>
        <v>20978</v>
      </c>
      <c r="H422" s="16" t="s">
        <v>559</v>
      </c>
      <c r="J422" t="s">
        <v>465</v>
      </c>
    </row>
    <row r="423" spans="1:10">
      <c r="A423" t="str">
        <f t="shared" si="12"/>
        <v>آذربايجان غربيپلدشت</v>
      </c>
      <c r="B423" s="12" t="s">
        <v>100</v>
      </c>
      <c r="C423" s="12" t="s">
        <v>116</v>
      </c>
      <c r="D423" s="12" t="s">
        <v>479</v>
      </c>
      <c r="E423" s="12">
        <v>0.36480797118398278</v>
      </c>
      <c r="F423" s="12">
        <v>42754</v>
      </c>
      <c r="G423">
        <f t="shared" si="13"/>
        <v>15597</v>
      </c>
      <c r="H423" s="16" t="s">
        <v>559</v>
      </c>
      <c r="J423" t="s">
        <v>466</v>
      </c>
    </row>
    <row r="424" spans="1:10">
      <c r="A424" t="str">
        <f t="shared" si="12"/>
        <v>آذربايجان غربيپلدشت</v>
      </c>
      <c r="B424" s="12" t="s">
        <v>100</v>
      </c>
      <c r="C424" s="12" t="s">
        <v>116</v>
      </c>
      <c r="D424" s="12" t="s">
        <v>22</v>
      </c>
      <c r="E424" s="12">
        <v>8.7968377227861716E-2</v>
      </c>
      <c r="F424" s="12">
        <v>42754</v>
      </c>
      <c r="G424">
        <f t="shared" si="13"/>
        <v>3761</v>
      </c>
      <c r="H424" s="16" t="s">
        <v>559</v>
      </c>
      <c r="J424" t="s">
        <v>467</v>
      </c>
    </row>
    <row r="425" spans="1:10">
      <c r="A425" t="str">
        <f t="shared" si="12"/>
        <v>آذربايجان غربيپلدشت</v>
      </c>
      <c r="B425" s="12" t="s">
        <v>100</v>
      </c>
      <c r="C425" s="12" t="s">
        <v>116</v>
      </c>
      <c r="D425" s="12" t="s">
        <v>478</v>
      </c>
      <c r="E425" s="12">
        <v>3.0219394676521495E-2</v>
      </c>
      <c r="F425" s="12">
        <v>42754</v>
      </c>
      <c r="G425">
        <f t="shared" si="13"/>
        <v>1292</v>
      </c>
      <c r="H425" s="16" t="s">
        <v>559</v>
      </c>
      <c r="J425" t="s">
        <v>468</v>
      </c>
    </row>
    <row r="426" spans="1:10">
      <c r="A426" t="str">
        <f t="shared" si="12"/>
        <v>آذربايجان غربيپلدشت</v>
      </c>
      <c r="B426" s="12" t="s">
        <v>100</v>
      </c>
      <c r="C426" s="12" t="s">
        <v>116</v>
      </c>
      <c r="D426" s="12" t="s">
        <v>20</v>
      </c>
      <c r="E426" s="12">
        <v>2.6289937783599195E-2</v>
      </c>
      <c r="F426" s="12">
        <v>42754</v>
      </c>
      <c r="G426">
        <f t="shared" si="13"/>
        <v>1124</v>
      </c>
      <c r="H426" s="16" t="s">
        <v>559</v>
      </c>
      <c r="J426" t="s">
        <v>469</v>
      </c>
    </row>
    <row r="427" spans="1:10">
      <c r="A427" t="str">
        <f t="shared" si="12"/>
        <v>آذربايجان غربيچايپاره</v>
      </c>
      <c r="B427" s="12" t="s">
        <v>100</v>
      </c>
      <c r="C427" s="12" t="s">
        <v>117</v>
      </c>
      <c r="D427" s="12" t="s">
        <v>480</v>
      </c>
      <c r="E427" s="12">
        <v>0.45766019050816165</v>
      </c>
      <c r="F427" s="12">
        <v>47662</v>
      </c>
      <c r="G427">
        <f t="shared" si="13"/>
        <v>21813</v>
      </c>
      <c r="H427" s="16" t="s">
        <v>545</v>
      </c>
      <c r="J427" t="s">
        <v>470</v>
      </c>
    </row>
    <row r="428" spans="1:10">
      <c r="A428" t="str">
        <f t="shared" si="12"/>
        <v>آذربايجان غربيچايپاره</v>
      </c>
      <c r="B428" s="12" t="s">
        <v>100</v>
      </c>
      <c r="C428" s="12" t="s">
        <v>117</v>
      </c>
      <c r="D428" s="12" t="s">
        <v>479</v>
      </c>
      <c r="E428" s="12">
        <v>0.38055473962485836</v>
      </c>
      <c r="F428" s="12">
        <v>47662</v>
      </c>
      <c r="G428">
        <f t="shared" si="13"/>
        <v>18138</v>
      </c>
      <c r="H428" s="16" t="s">
        <v>545</v>
      </c>
      <c r="J428" t="s">
        <v>471</v>
      </c>
    </row>
    <row r="429" spans="1:10">
      <c r="A429" t="str">
        <f t="shared" si="12"/>
        <v>آذربايجان غربيچايپاره</v>
      </c>
      <c r="B429" s="12" t="s">
        <v>100</v>
      </c>
      <c r="C429" s="12" t="s">
        <v>117</v>
      </c>
      <c r="D429" s="12" t="s">
        <v>22</v>
      </c>
      <c r="E429" s="12">
        <v>9.7184339725567531E-2</v>
      </c>
      <c r="F429" s="12">
        <v>47662</v>
      </c>
      <c r="G429">
        <f t="shared" si="13"/>
        <v>4632</v>
      </c>
      <c r="H429" s="16" t="s">
        <v>545</v>
      </c>
      <c r="J429" t="s">
        <v>472</v>
      </c>
    </row>
    <row r="430" spans="1:10">
      <c r="A430" t="str">
        <f t="shared" si="12"/>
        <v>آذربايجان غربيچايپاره</v>
      </c>
      <c r="B430" s="12" t="s">
        <v>100</v>
      </c>
      <c r="C430" s="12" t="s">
        <v>117</v>
      </c>
      <c r="D430" s="12" t="s">
        <v>478</v>
      </c>
      <c r="E430" s="12">
        <v>3.4933489992027195E-2</v>
      </c>
      <c r="F430" s="12">
        <v>47662</v>
      </c>
      <c r="G430">
        <f t="shared" si="13"/>
        <v>1665</v>
      </c>
      <c r="H430" s="16" t="s">
        <v>545</v>
      </c>
    </row>
    <row r="431" spans="1:10">
      <c r="A431" t="str">
        <f t="shared" si="12"/>
        <v>آذربايجان غربيچايپاره</v>
      </c>
      <c r="B431" s="12" t="s">
        <v>100</v>
      </c>
      <c r="C431" s="12" t="s">
        <v>117</v>
      </c>
      <c r="D431" s="12" t="s">
        <v>20</v>
      </c>
      <c r="E431" s="12">
        <v>2.9688221224455542E-2</v>
      </c>
      <c r="F431" s="12">
        <v>47662</v>
      </c>
      <c r="G431">
        <f t="shared" si="13"/>
        <v>1415</v>
      </c>
      <c r="H431" s="16" t="s">
        <v>545</v>
      </c>
    </row>
    <row r="432" spans="1:10">
      <c r="A432" t="str">
        <f t="shared" si="12"/>
        <v>آذربايجان غربيشوط</v>
      </c>
      <c r="B432" s="12" t="s">
        <v>100</v>
      </c>
      <c r="C432" s="12" t="s">
        <v>119</v>
      </c>
      <c r="D432" s="12" t="s">
        <v>480</v>
      </c>
      <c r="E432" s="12">
        <v>0.48200457195513102</v>
      </c>
      <c r="F432" s="12">
        <v>56431</v>
      </c>
      <c r="G432">
        <f t="shared" si="13"/>
        <v>27200</v>
      </c>
      <c r="H432" s="16" t="s">
        <v>544</v>
      </c>
    </row>
    <row r="433" spans="1:8">
      <c r="A433" t="str">
        <f t="shared" si="12"/>
        <v>آذربايجان غربيشوط</v>
      </c>
      <c r="B433" s="12" t="s">
        <v>100</v>
      </c>
      <c r="C433" s="12" t="s">
        <v>119</v>
      </c>
      <c r="D433" s="12" t="s">
        <v>479</v>
      </c>
      <c r="E433" s="12">
        <v>0.36664244829969345</v>
      </c>
      <c r="F433" s="12">
        <v>56431</v>
      </c>
      <c r="G433">
        <f t="shared" si="13"/>
        <v>20690</v>
      </c>
      <c r="H433" s="16" t="s">
        <v>544</v>
      </c>
    </row>
    <row r="434" spans="1:8">
      <c r="A434" t="str">
        <f t="shared" si="12"/>
        <v>آذربايجان غربيشوط</v>
      </c>
      <c r="B434" s="12" t="s">
        <v>100</v>
      </c>
      <c r="C434" s="12" t="s">
        <v>119</v>
      </c>
      <c r="D434" s="12" t="s">
        <v>22</v>
      </c>
      <c r="E434" s="12">
        <v>8.8621502365720972E-2</v>
      </c>
      <c r="F434" s="12">
        <v>56431</v>
      </c>
      <c r="G434">
        <f t="shared" si="13"/>
        <v>5001</v>
      </c>
      <c r="H434" s="16" t="s">
        <v>544</v>
      </c>
    </row>
    <row r="435" spans="1:8">
      <c r="A435" t="str">
        <f t="shared" si="12"/>
        <v>آذربايجان غربيشوط</v>
      </c>
      <c r="B435" s="12" t="s">
        <v>100</v>
      </c>
      <c r="C435" s="12" t="s">
        <v>119</v>
      </c>
      <c r="D435" s="12" t="s">
        <v>478</v>
      </c>
      <c r="E435" s="12">
        <v>3.4732682390884444E-2</v>
      </c>
      <c r="F435" s="12">
        <v>56431</v>
      </c>
      <c r="G435">
        <f t="shared" si="13"/>
        <v>1960</v>
      </c>
      <c r="H435" s="16" t="s">
        <v>544</v>
      </c>
    </row>
    <row r="436" spans="1:8">
      <c r="A436" t="str">
        <f t="shared" si="12"/>
        <v>آذربايجان غربيشوط</v>
      </c>
      <c r="B436" s="12" t="s">
        <v>100</v>
      </c>
      <c r="C436" s="12" t="s">
        <v>119</v>
      </c>
      <c r="D436" s="12" t="s">
        <v>20</v>
      </c>
      <c r="E436" s="12">
        <v>2.7998794988570112E-2</v>
      </c>
      <c r="F436" s="12">
        <v>56431</v>
      </c>
      <c r="G436">
        <f t="shared" si="13"/>
        <v>1580</v>
      </c>
      <c r="H436" s="16" t="s">
        <v>544</v>
      </c>
    </row>
    <row r="437" spans="1:8">
      <c r="A437" t="str">
        <f t="shared" si="12"/>
        <v>كرمانشاهاسلام آبادغرب</v>
      </c>
      <c r="B437" s="12" t="s">
        <v>118</v>
      </c>
      <c r="C437" s="12" t="s">
        <v>120</v>
      </c>
      <c r="D437" s="12" t="s">
        <v>480</v>
      </c>
      <c r="E437" s="12">
        <v>0.39338062810105345</v>
      </c>
      <c r="F437" s="12">
        <v>140678</v>
      </c>
      <c r="G437">
        <f t="shared" si="13"/>
        <v>55340</v>
      </c>
      <c r="H437" s="16" t="s">
        <v>946</v>
      </c>
    </row>
    <row r="438" spans="1:8">
      <c r="A438" t="str">
        <f t="shared" si="12"/>
        <v>كرمانشاهاسلام آبادغرب</v>
      </c>
      <c r="B438" s="12" t="s">
        <v>118</v>
      </c>
      <c r="C438" s="12" t="s">
        <v>120</v>
      </c>
      <c r="D438" s="12" t="s">
        <v>479</v>
      </c>
      <c r="E438" s="12">
        <v>0.41192652724661993</v>
      </c>
      <c r="F438" s="12">
        <v>140678</v>
      </c>
      <c r="G438">
        <f t="shared" si="13"/>
        <v>57949</v>
      </c>
      <c r="H438" s="16" t="s">
        <v>946</v>
      </c>
    </row>
    <row r="439" spans="1:8">
      <c r="A439" t="str">
        <f t="shared" si="12"/>
        <v>كرمانشاهاسلام آبادغرب</v>
      </c>
      <c r="B439" s="12" t="s">
        <v>118</v>
      </c>
      <c r="C439" s="12" t="s">
        <v>120</v>
      </c>
      <c r="D439" s="12" t="s">
        <v>22</v>
      </c>
      <c r="E439" s="12">
        <v>0.11428226161873214</v>
      </c>
      <c r="F439" s="12">
        <v>140678</v>
      </c>
      <c r="G439">
        <f t="shared" si="13"/>
        <v>16077</v>
      </c>
      <c r="H439" s="16" t="s">
        <v>946</v>
      </c>
    </row>
    <row r="440" spans="1:8">
      <c r="A440" t="str">
        <f t="shared" si="12"/>
        <v>كرمانشاهاسلام آبادغرب</v>
      </c>
      <c r="B440" s="12" t="s">
        <v>118</v>
      </c>
      <c r="C440" s="12" t="s">
        <v>120</v>
      </c>
      <c r="D440" s="12" t="s">
        <v>478</v>
      </c>
      <c r="E440" s="12">
        <v>4.2103242866688463E-2</v>
      </c>
      <c r="F440" s="12">
        <v>140678</v>
      </c>
      <c r="G440">
        <f t="shared" si="13"/>
        <v>5923</v>
      </c>
      <c r="H440" s="16" t="s">
        <v>946</v>
      </c>
    </row>
    <row r="441" spans="1:8">
      <c r="A441" t="str">
        <f t="shared" si="12"/>
        <v>كرمانشاهاسلام آبادغرب</v>
      </c>
      <c r="B441" s="12" t="s">
        <v>118</v>
      </c>
      <c r="C441" s="12" t="s">
        <v>120</v>
      </c>
      <c r="D441" s="12" t="s">
        <v>20</v>
      </c>
      <c r="E441" s="12">
        <v>3.832155703095011E-2</v>
      </c>
      <c r="F441" s="12">
        <v>140678</v>
      </c>
      <c r="G441">
        <f t="shared" si="13"/>
        <v>5391</v>
      </c>
      <c r="H441" s="16" t="s">
        <v>946</v>
      </c>
    </row>
    <row r="442" spans="1:8">
      <c r="A442" t="str">
        <f t="shared" si="12"/>
        <v>كرمانشاهكرمانشاه</v>
      </c>
      <c r="B442" s="12" t="s">
        <v>118</v>
      </c>
      <c r="C442" s="12" t="s">
        <v>118</v>
      </c>
      <c r="D442" s="12" t="s">
        <v>480</v>
      </c>
      <c r="E442" s="12">
        <v>0.40177739697933662</v>
      </c>
      <c r="F442" s="12">
        <v>1097110</v>
      </c>
      <c r="G442">
        <f t="shared" si="13"/>
        <v>440794</v>
      </c>
      <c r="H442" s="16" t="s">
        <v>938</v>
      </c>
    </row>
    <row r="443" spans="1:8">
      <c r="A443" t="str">
        <f t="shared" si="12"/>
        <v>كرمانشاهكرمانشاه</v>
      </c>
      <c r="B443" s="12" t="s">
        <v>118</v>
      </c>
      <c r="C443" s="12" t="s">
        <v>118</v>
      </c>
      <c r="D443" s="12" t="s">
        <v>479</v>
      </c>
      <c r="E443" s="12">
        <v>0.41441058781708306</v>
      </c>
      <c r="F443" s="12">
        <v>1097110</v>
      </c>
      <c r="G443">
        <f t="shared" si="13"/>
        <v>454654</v>
      </c>
      <c r="H443" s="16" t="s">
        <v>938</v>
      </c>
    </row>
    <row r="444" spans="1:8">
      <c r="A444" t="str">
        <f t="shared" si="12"/>
        <v>كرمانشاهكرمانشاه</v>
      </c>
      <c r="B444" s="12" t="s">
        <v>118</v>
      </c>
      <c r="C444" s="12" t="s">
        <v>118</v>
      </c>
      <c r="D444" s="12" t="s">
        <v>22</v>
      </c>
      <c r="E444" s="12">
        <v>0.11147560408710157</v>
      </c>
      <c r="F444" s="12">
        <v>1097110</v>
      </c>
      <c r="G444">
        <f t="shared" si="13"/>
        <v>122301</v>
      </c>
      <c r="H444" s="16" t="s">
        <v>938</v>
      </c>
    </row>
    <row r="445" spans="1:8">
      <c r="A445" t="str">
        <f t="shared" si="12"/>
        <v>كرمانشاهكرمانشاه</v>
      </c>
      <c r="B445" s="12" t="s">
        <v>118</v>
      </c>
      <c r="C445" s="12" t="s">
        <v>118</v>
      </c>
      <c r="D445" s="12" t="s">
        <v>478</v>
      </c>
      <c r="E445" s="12">
        <v>3.9106379487927376E-2</v>
      </c>
      <c r="F445" s="12">
        <v>1097110</v>
      </c>
      <c r="G445">
        <f t="shared" si="13"/>
        <v>42904</v>
      </c>
      <c r="H445" s="16" t="s">
        <v>938</v>
      </c>
    </row>
    <row r="446" spans="1:8">
      <c r="A446" t="str">
        <f t="shared" si="12"/>
        <v>كرمانشاهكرمانشاه</v>
      </c>
      <c r="B446" s="12" t="s">
        <v>118</v>
      </c>
      <c r="C446" s="12" t="s">
        <v>118</v>
      </c>
      <c r="D446" s="12" t="s">
        <v>20</v>
      </c>
      <c r="E446" s="12">
        <v>3.3227297171660092E-2</v>
      </c>
      <c r="F446" s="12">
        <v>1097110</v>
      </c>
      <c r="G446">
        <f t="shared" si="13"/>
        <v>36454</v>
      </c>
      <c r="H446" s="16" t="s">
        <v>938</v>
      </c>
    </row>
    <row r="447" spans="1:8">
      <c r="A447" t="str">
        <f t="shared" si="12"/>
        <v>كرمانشاهپاوه</v>
      </c>
      <c r="B447" s="12" t="s">
        <v>118</v>
      </c>
      <c r="C447" s="12" t="s">
        <v>121</v>
      </c>
      <c r="D447" s="12" t="s">
        <v>480</v>
      </c>
      <c r="E447" s="12">
        <v>0.41273311687252201</v>
      </c>
      <c r="F447" s="12">
        <v>61289</v>
      </c>
      <c r="G447">
        <f t="shared" si="13"/>
        <v>25296</v>
      </c>
      <c r="H447" s="16" t="s">
        <v>942</v>
      </c>
    </row>
    <row r="448" spans="1:8">
      <c r="A448" t="str">
        <f t="shared" si="12"/>
        <v>كرمانشاهپاوه</v>
      </c>
      <c r="B448" s="12" t="s">
        <v>118</v>
      </c>
      <c r="C448" s="12" t="s">
        <v>121</v>
      </c>
      <c r="D448" s="12" t="s">
        <v>479</v>
      </c>
      <c r="E448" s="12">
        <v>0.40550506616195403</v>
      </c>
      <c r="F448" s="12">
        <v>61289</v>
      </c>
      <c r="G448">
        <f t="shared" si="13"/>
        <v>24853</v>
      </c>
      <c r="H448" s="16" t="s">
        <v>942</v>
      </c>
    </row>
    <row r="449" spans="1:8">
      <c r="A449" t="str">
        <f t="shared" si="12"/>
        <v>كرمانشاهپاوه</v>
      </c>
      <c r="B449" s="12" t="s">
        <v>118</v>
      </c>
      <c r="C449" s="12" t="s">
        <v>121</v>
      </c>
      <c r="D449" s="12" t="s">
        <v>22</v>
      </c>
      <c r="E449" s="12">
        <v>0.10594070714157516</v>
      </c>
      <c r="F449" s="12">
        <v>61289</v>
      </c>
      <c r="G449">
        <f t="shared" si="13"/>
        <v>6493</v>
      </c>
      <c r="H449" s="16" t="s">
        <v>942</v>
      </c>
    </row>
    <row r="450" spans="1:8">
      <c r="A450" t="str">
        <f t="shared" ref="A450:A513" si="14">B450&amp;C450</f>
        <v>كرمانشاهپاوه</v>
      </c>
      <c r="B450" s="12" t="s">
        <v>118</v>
      </c>
      <c r="C450" s="12" t="s">
        <v>121</v>
      </c>
      <c r="D450" s="12" t="s">
        <v>478</v>
      </c>
      <c r="E450" s="12">
        <v>3.8489777937313382E-2</v>
      </c>
      <c r="F450" s="12">
        <v>61289</v>
      </c>
      <c r="G450">
        <f t="shared" si="13"/>
        <v>2359</v>
      </c>
      <c r="H450" s="16" t="s">
        <v>942</v>
      </c>
    </row>
    <row r="451" spans="1:8">
      <c r="A451" t="str">
        <f t="shared" si="14"/>
        <v>كرمانشاهپاوه</v>
      </c>
      <c r="B451" s="12" t="s">
        <v>118</v>
      </c>
      <c r="C451" s="12" t="s">
        <v>121</v>
      </c>
      <c r="D451" s="12" t="s">
        <v>20</v>
      </c>
      <c r="E451" s="12">
        <v>3.7347648028194291E-2</v>
      </c>
      <c r="F451" s="12">
        <v>61289</v>
      </c>
      <c r="G451">
        <f t="shared" ref="G451:G514" si="15">IFERROR(ROUND(F451*E451,0),0)</f>
        <v>2289</v>
      </c>
      <c r="H451" s="16" t="s">
        <v>942</v>
      </c>
    </row>
    <row r="452" spans="1:8">
      <c r="A452" t="str">
        <f t="shared" si="14"/>
        <v>كرمانشاهسرپل ذهاب</v>
      </c>
      <c r="B452" s="12" t="s">
        <v>118</v>
      </c>
      <c r="C452" s="12" t="s">
        <v>122</v>
      </c>
      <c r="D452" s="12" t="s">
        <v>480</v>
      </c>
      <c r="E452" s="12">
        <v>0.43432623451750602</v>
      </c>
      <c r="F452" s="12">
        <v>85742</v>
      </c>
      <c r="G452">
        <f t="shared" si="15"/>
        <v>37240</v>
      </c>
      <c r="H452" s="16" t="s">
        <v>947</v>
      </c>
    </row>
    <row r="453" spans="1:8">
      <c r="A453" t="str">
        <f t="shared" si="14"/>
        <v>كرمانشاهسرپل ذهاب</v>
      </c>
      <c r="B453" s="12" t="s">
        <v>118</v>
      </c>
      <c r="C453" s="12" t="s">
        <v>122</v>
      </c>
      <c r="D453" s="12" t="s">
        <v>479</v>
      </c>
      <c r="E453" s="12">
        <v>0.40084206106692172</v>
      </c>
      <c r="F453" s="12">
        <v>85742</v>
      </c>
      <c r="G453">
        <f t="shared" si="15"/>
        <v>34369</v>
      </c>
      <c r="H453" s="16" t="s">
        <v>947</v>
      </c>
    </row>
    <row r="454" spans="1:8">
      <c r="A454" t="str">
        <f t="shared" si="14"/>
        <v>كرمانشاهسرپل ذهاب</v>
      </c>
      <c r="B454" s="12" t="s">
        <v>118</v>
      </c>
      <c r="C454" s="12" t="s">
        <v>122</v>
      </c>
      <c r="D454" s="12" t="s">
        <v>22</v>
      </c>
      <c r="E454" s="12">
        <v>9.9391196846353017E-2</v>
      </c>
      <c r="F454" s="12">
        <v>85742</v>
      </c>
      <c r="G454">
        <f t="shared" si="15"/>
        <v>8522</v>
      </c>
      <c r="H454" s="16" t="s">
        <v>947</v>
      </c>
    </row>
    <row r="455" spans="1:8">
      <c r="A455" t="str">
        <f t="shared" si="14"/>
        <v>كرمانشاهسرپل ذهاب</v>
      </c>
      <c r="B455" s="12" t="s">
        <v>118</v>
      </c>
      <c r="C455" s="12" t="s">
        <v>122</v>
      </c>
      <c r="D455" s="12" t="s">
        <v>478</v>
      </c>
      <c r="E455" s="12">
        <v>3.3834060320496372E-2</v>
      </c>
      <c r="F455" s="12">
        <v>85742</v>
      </c>
      <c r="G455">
        <f t="shared" si="15"/>
        <v>2901</v>
      </c>
      <c r="H455" s="16" t="s">
        <v>947</v>
      </c>
    </row>
    <row r="456" spans="1:8">
      <c r="A456" t="str">
        <f t="shared" si="14"/>
        <v>كرمانشاهسرپل ذهاب</v>
      </c>
      <c r="B456" s="12" t="s">
        <v>118</v>
      </c>
      <c r="C456" s="12" t="s">
        <v>122</v>
      </c>
      <c r="D456" s="12" t="s">
        <v>20</v>
      </c>
      <c r="E456" s="12">
        <v>3.1548132770404233E-2</v>
      </c>
      <c r="F456" s="12">
        <v>85742</v>
      </c>
      <c r="G456">
        <f t="shared" si="15"/>
        <v>2705</v>
      </c>
      <c r="H456" s="16" t="s">
        <v>947</v>
      </c>
    </row>
    <row r="457" spans="1:8">
      <c r="A457" t="str">
        <f t="shared" si="14"/>
        <v>كرمانشاهسنقر</v>
      </c>
      <c r="B457" s="12" t="s">
        <v>118</v>
      </c>
      <c r="C457" s="12" t="s">
        <v>123</v>
      </c>
      <c r="D457" s="12" t="s">
        <v>480</v>
      </c>
      <c r="E457" s="12">
        <v>0.37581322725751887</v>
      </c>
      <c r="F457" s="12">
        <v>80697</v>
      </c>
      <c r="G457">
        <f t="shared" si="15"/>
        <v>30327</v>
      </c>
      <c r="H457" s="16" t="s">
        <v>943</v>
      </c>
    </row>
    <row r="458" spans="1:8">
      <c r="A458" t="str">
        <f t="shared" si="14"/>
        <v>كرمانشاهسنقر</v>
      </c>
      <c r="B458" s="12" t="s">
        <v>118</v>
      </c>
      <c r="C458" s="12" t="s">
        <v>123</v>
      </c>
      <c r="D458" s="12" t="s">
        <v>479</v>
      </c>
      <c r="E458" s="12">
        <v>0.39353383644993001</v>
      </c>
      <c r="F458" s="12">
        <v>80697</v>
      </c>
      <c r="G458">
        <f t="shared" si="15"/>
        <v>31757</v>
      </c>
      <c r="H458" s="16" t="s">
        <v>943</v>
      </c>
    </row>
    <row r="459" spans="1:8">
      <c r="A459" t="str">
        <f t="shared" si="14"/>
        <v>كرمانشاهسنقر</v>
      </c>
      <c r="B459" s="12" t="s">
        <v>118</v>
      </c>
      <c r="C459" s="12" t="s">
        <v>123</v>
      </c>
      <c r="D459" s="12" t="s">
        <v>22</v>
      </c>
      <c r="E459" s="12">
        <v>0.13260716011747647</v>
      </c>
      <c r="F459" s="12">
        <v>80697</v>
      </c>
      <c r="G459">
        <f t="shared" si="15"/>
        <v>10701</v>
      </c>
      <c r="H459" s="16" t="s">
        <v>943</v>
      </c>
    </row>
    <row r="460" spans="1:8">
      <c r="A460" t="str">
        <f t="shared" si="14"/>
        <v>كرمانشاهسنقر</v>
      </c>
      <c r="B460" s="12" t="s">
        <v>118</v>
      </c>
      <c r="C460" s="12" t="s">
        <v>123</v>
      </c>
      <c r="D460" s="12" t="s">
        <v>478</v>
      </c>
      <c r="E460" s="12">
        <v>5.1526079036395403E-2</v>
      </c>
      <c r="F460" s="12">
        <v>80697</v>
      </c>
      <c r="G460">
        <f t="shared" si="15"/>
        <v>4158</v>
      </c>
      <c r="H460" s="16" t="s">
        <v>943</v>
      </c>
    </row>
    <row r="461" spans="1:8">
      <c r="A461" t="str">
        <f t="shared" si="14"/>
        <v>كرمانشاهسنقر</v>
      </c>
      <c r="B461" s="12" t="s">
        <v>118</v>
      </c>
      <c r="C461" s="12" t="s">
        <v>123</v>
      </c>
      <c r="D461" s="12" t="s">
        <v>20</v>
      </c>
      <c r="E461" s="12">
        <v>4.6544481207479831E-2</v>
      </c>
      <c r="F461" s="12">
        <v>80697</v>
      </c>
      <c r="G461">
        <f t="shared" si="15"/>
        <v>3756</v>
      </c>
      <c r="H461" s="16" t="s">
        <v>943</v>
      </c>
    </row>
    <row r="462" spans="1:8">
      <c r="A462" t="str">
        <f t="shared" si="14"/>
        <v>كرمانشاهقصرشيرين</v>
      </c>
      <c r="B462" s="12" t="s">
        <v>118</v>
      </c>
      <c r="C462" s="12" t="s">
        <v>124</v>
      </c>
      <c r="D462" s="12" t="s">
        <v>480</v>
      </c>
      <c r="E462" s="12">
        <v>0.42800298433225564</v>
      </c>
      <c r="F462" s="12">
        <v>24126</v>
      </c>
      <c r="G462">
        <f t="shared" si="15"/>
        <v>10326</v>
      </c>
      <c r="H462" s="16" t="s">
        <v>945</v>
      </c>
    </row>
    <row r="463" spans="1:8">
      <c r="A463" t="str">
        <f t="shared" si="14"/>
        <v>كرمانشاهقصرشيرين</v>
      </c>
      <c r="B463" s="12" t="s">
        <v>118</v>
      </c>
      <c r="C463" s="12" t="s">
        <v>124</v>
      </c>
      <c r="D463" s="12" t="s">
        <v>479</v>
      </c>
      <c r="E463" s="12">
        <v>0.41063582856669156</v>
      </c>
      <c r="F463" s="12">
        <v>24126</v>
      </c>
      <c r="G463">
        <f t="shared" si="15"/>
        <v>9907</v>
      </c>
      <c r="H463" s="16" t="s">
        <v>945</v>
      </c>
    </row>
    <row r="464" spans="1:8">
      <c r="A464" t="str">
        <f t="shared" si="14"/>
        <v>كرمانشاهقصرشيرين</v>
      </c>
      <c r="B464" s="12" t="s">
        <v>118</v>
      </c>
      <c r="C464" s="12" t="s">
        <v>124</v>
      </c>
      <c r="D464" s="12" t="s">
        <v>22</v>
      </c>
      <c r="E464" s="12">
        <v>9.7571085136367405E-2</v>
      </c>
      <c r="F464" s="12">
        <v>24126</v>
      </c>
      <c r="G464">
        <f t="shared" si="15"/>
        <v>2354</v>
      </c>
      <c r="H464" s="16" t="s">
        <v>945</v>
      </c>
    </row>
    <row r="465" spans="1:8">
      <c r="A465" t="str">
        <f t="shared" si="14"/>
        <v>كرمانشاهقصرشيرين</v>
      </c>
      <c r="B465" s="12" t="s">
        <v>118</v>
      </c>
      <c r="C465" s="12" t="s">
        <v>124</v>
      </c>
      <c r="D465" s="12" t="s">
        <v>478</v>
      </c>
      <c r="E465" s="12">
        <v>3.2496062339384894E-2</v>
      </c>
      <c r="F465" s="12">
        <v>24126</v>
      </c>
      <c r="G465">
        <f t="shared" si="15"/>
        <v>784</v>
      </c>
      <c r="H465" s="16" t="s">
        <v>945</v>
      </c>
    </row>
    <row r="466" spans="1:8">
      <c r="A466" t="str">
        <f t="shared" si="14"/>
        <v>كرمانشاهقصرشيرين</v>
      </c>
      <c r="B466" s="12" t="s">
        <v>118</v>
      </c>
      <c r="C466" s="12" t="s">
        <v>124</v>
      </c>
      <c r="D466" s="12" t="s">
        <v>20</v>
      </c>
      <c r="E466" s="12">
        <v>3.1335488684406866E-2</v>
      </c>
      <c r="F466" s="12">
        <v>24126</v>
      </c>
      <c r="G466">
        <f t="shared" si="15"/>
        <v>756</v>
      </c>
      <c r="H466" s="16" t="s">
        <v>945</v>
      </c>
    </row>
    <row r="467" spans="1:8">
      <c r="A467" t="str">
        <f t="shared" si="14"/>
        <v>كرمانشاهكنگاور</v>
      </c>
      <c r="B467" s="12" t="s">
        <v>118</v>
      </c>
      <c r="C467" s="12" t="s">
        <v>125</v>
      </c>
      <c r="D467" s="12" t="s">
        <v>480</v>
      </c>
      <c r="E467" s="12">
        <v>0.39305714023422644</v>
      </c>
      <c r="F467" s="12">
        <v>76251</v>
      </c>
      <c r="G467">
        <f t="shared" si="15"/>
        <v>29971</v>
      </c>
      <c r="H467" s="16" t="s">
        <v>944</v>
      </c>
    </row>
    <row r="468" spans="1:8">
      <c r="A468" t="str">
        <f t="shared" si="14"/>
        <v>كرمانشاهكنگاور</v>
      </c>
      <c r="B468" s="12" t="s">
        <v>118</v>
      </c>
      <c r="C468" s="12" t="s">
        <v>125</v>
      </c>
      <c r="D468" s="12" t="s">
        <v>479</v>
      </c>
      <c r="E468" s="12">
        <v>0.40660450354749444</v>
      </c>
      <c r="F468" s="12">
        <v>76251</v>
      </c>
      <c r="G468">
        <f t="shared" si="15"/>
        <v>31004</v>
      </c>
      <c r="H468" s="16" t="s">
        <v>944</v>
      </c>
    </row>
    <row r="469" spans="1:8">
      <c r="A469" t="str">
        <f t="shared" si="14"/>
        <v>كرمانشاهكنگاور</v>
      </c>
      <c r="B469" s="12" t="s">
        <v>118</v>
      </c>
      <c r="C469" s="12" t="s">
        <v>125</v>
      </c>
      <c r="D469" s="12" t="s">
        <v>22</v>
      </c>
      <c r="E469" s="12">
        <v>0.11763780147145611</v>
      </c>
      <c r="F469" s="12">
        <v>76251</v>
      </c>
      <c r="G469">
        <f t="shared" si="15"/>
        <v>8970</v>
      </c>
      <c r="H469" s="16" t="s">
        <v>944</v>
      </c>
    </row>
    <row r="470" spans="1:8">
      <c r="A470" t="str">
        <f t="shared" si="14"/>
        <v>كرمانشاهكنگاور</v>
      </c>
      <c r="B470" s="12" t="s">
        <v>118</v>
      </c>
      <c r="C470" s="12" t="s">
        <v>125</v>
      </c>
      <c r="D470" s="12" t="s">
        <v>478</v>
      </c>
      <c r="E470" s="12">
        <v>4.3160089703741591E-2</v>
      </c>
      <c r="F470" s="12">
        <v>76251</v>
      </c>
      <c r="G470">
        <f t="shared" si="15"/>
        <v>3291</v>
      </c>
      <c r="H470" s="16" t="s">
        <v>944</v>
      </c>
    </row>
    <row r="471" spans="1:8">
      <c r="A471" t="str">
        <f t="shared" si="14"/>
        <v>كرمانشاهكنگاور</v>
      </c>
      <c r="B471" s="12" t="s">
        <v>118</v>
      </c>
      <c r="C471" s="12" t="s">
        <v>125</v>
      </c>
      <c r="D471" s="12" t="s">
        <v>20</v>
      </c>
      <c r="E471" s="12">
        <v>3.9540465043081403E-2</v>
      </c>
      <c r="F471" s="12">
        <v>76251</v>
      </c>
      <c r="G471">
        <f t="shared" si="15"/>
        <v>3015</v>
      </c>
      <c r="H471" s="16" t="s">
        <v>944</v>
      </c>
    </row>
    <row r="472" spans="1:8">
      <c r="A472" t="str">
        <f t="shared" si="14"/>
        <v>كرمانشاهگيلانغرب</v>
      </c>
      <c r="B472" s="12" t="s">
        <v>118</v>
      </c>
      <c r="C472" s="12" t="s">
        <v>126</v>
      </c>
      <c r="D472" s="12" t="s">
        <v>480</v>
      </c>
      <c r="E472" s="12">
        <v>0.37031768610715982</v>
      </c>
      <c r="F472" s="12">
        <v>56943</v>
      </c>
      <c r="G472">
        <f t="shared" si="15"/>
        <v>21087</v>
      </c>
      <c r="H472" s="16" t="s">
        <v>941</v>
      </c>
    </row>
    <row r="473" spans="1:8">
      <c r="A473" t="str">
        <f t="shared" si="14"/>
        <v>كرمانشاهگيلانغرب</v>
      </c>
      <c r="B473" s="12" t="s">
        <v>118</v>
      </c>
      <c r="C473" s="12" t="s">
        <v>126</v>
      </c>
      <c r="D473" s="12" t="s">
        <v>479</v>
      </c>
      <c r="E473" s="12">
        <v>0.42317756352844071</v>
      </c>
      <c r="F473" s="12">
        <v>56943</v>
      </c>
      <c r="G473">
        <f t="shared" si="15"/>
        <v>24097</v>
      </c>
      <c r="H473" s="16" t="s">
        <v>941</v>
      </c>
    </row>
    <row r="474" spans="1:8">
      <c r="A474" t="str">
        <f t="shared" si="14"/>
        <v>كرمانشاهگيلانغرب</v>
      </c>
      <c r="B474" s="12" t="s">
        <v>118</v>
      </c>
      <c r="C474" s="12" t="s">
        <v>126</v>
      </c>
      <c r="D474" s="12" t="s">
        <v>22</v>
      </c>
      <c r="E474" s="12">
        <v>0.12154259522680576</v>
      </c>
      <c r="F474" s="12">
        <v>56943</v>
      </c>
      <c r="G474">
        <f t="shared" si="15"/>
        <v>6921</v>
      </c>
      <c r="H474" s="16" t="s">
        <v>941</v>
      </c>
    </row>
    <row r="475" spans="1:8">
      <c r="A475" t="str">
        <f t="shared" si="14"/>
        <v>كرمانشاهگيلانغرب</v>
      </c>
      <c r="B475" s="12" t="s">
        <v>118</v>
      </c>
      <c r="C475" s="12" t="s">
        <v>126</v>
      </c>
      <c r="D475" s="12" t="s">
        <v>478</v>
      </c>
      <c r="E475" s="12">
        <v>4.2779621726990145E-2</v>
      </c>
      <c r="F475" s="12">
        <v>56943</v>
      </c>
      <c r="G475">
        <f t="shared" si="15"/>
        <v>2436</v>
      </c>
      <c r="H475" s="16" t="s">
        <v>941</v>
      </c>
    </row>
    <row r="476" spans="1:8">
      <c r="A476" t="str">
        <f t="shared" si="14"/>
        <v>كرمانشاهگيلانغرب</v>
      </c>
      <c r="B476" s="12" t="s">
        <v>118</v>
      </c>
      <c r="C476" s="12" t="s">
        <v>126</v>
      </c>
      <c r="D476" s="12" t="s">
        <v>20</v>
      </c>
      <c r="E476" s="12">
        <v>4.2270340515954553E-2</v>
      </c>
      <c r="F476" s="12">
        <v>56943</v>
      </c>
      <c r="G476">
        <f t="shared" si="15"/>
        <v>2407</v>
      </c>
      <c r="H476" s="16" t="s">
        <v>941</v>
      </c>
    </row>
    <row r="477" spans="1:8">
      <c r="A477" t="str">
        <f t="shared" si="14"/>
        <v>كرمانشاهجوانرود</v>
      </c>
      <c r="B477" s="12" t="s">
        <v>118</v>
      </c>
      <c r="C477" s="12" t="s">
        <v>127</v>
      </c>
      <c r="D477" s="12" t="s">
        <v>480</v>
      </c>
      <c r="E477" s="12">
        <v>0.4673573511037068</v>
      </c>
      <c r="F477" s="12">
        <v>76832</v>
      </c>
      <c r="G477">
        <f t="shared" si="15"/>
        <v>35908</v>
      </c>
      <c r="H477" s="16" t="s">
        <v>936</v>
      </c>
    </row>
    <row r="478" spans="1:8">
      <c r="A478" t="str">
        <f t="shared" si="14"/>
        <v>كرمانشاهجوانرود</v>
      </c>
      <c r="B478" s="12" t="s">
        <v>118</v>
      </c>
      <c r="C478" s="12" t="s">
        <v>127</v>
      </c>
      <c r="D478" s="12" t="s">
        <v>479</v>
      </c>
      <c r="E478" s="12">
        <v>0.39082673885880881</v>
      </c>
      <c r="F478" s="12">
        <v>76832</v>
      </c>
      <c r="G478">
        <f t="shared" si="15"/>
        <v>30028</v>
      </c>
      <c r="H478" s="16" t="s">
        <v>936</v>
      </c>
    </row>
    <row r="479" spans="1:8">
      <c r="A479" t="str">
        <f t="shared" si="14"/>
        <v>كرمانشاهجوانرود</v>
      </c>
      <c r="B479" s="12" t="s">
        <v>118</v>
      </c>
      <c r="C479" s="12" t="s">
        <v>127</v>
      </c>
      <c r="D479" s="12" t="s">
        <v>22</v>
      </c>
      <c r="E479" s="12">
        <v>8.6916909620991259E-2</v>
      </c>
      <c r="F479" s="12">
        <v>76832</v>
      </c>
      <c r="G479">
        <f t="shared" si="15"/>
        <v>6678</v>
      </c>
      <c r="H479" s="16" t="s">
        <v>936</v>
      </c>
    </row>
    <row r="480" spans="1:8">
      <c r="A480" t="str">
        <f t="shared" si="14"/>
        <v>كرمانشاهجوانرود</v>
      </c>
      <c r="B480" s="12" t="s">
        <v>118</v>
      </c>
      <c r="C480" s="12" t="s">
        <v>127</v>
      </c>
      <c r="D480" s="12" t="s">
        <v>478</v>
      </c>
      <c r="E480" s="12">
        <v>2.7983132028321533E-2</v>
      </c>
      <c r="F480" s="12">
        <v>76832</v>
      </c>
      <c r="G480">
        <f t="shared" si="15"/>
        <v>2150</v>
      </c>
      <c r="H480" s="16" t="s">
        <v>936</v>
      </c>
    </row>
    <row r="481" spans="1:8">
      <c r="A481" t="str">
        <f t="shared" si="14"/>
        <v>كرمانشاهجوانرود</v>
      </c>
      <c r="B481" s="12" t="s">
        <v>118</v>
      </c>
      <c r="C481" s="12" t="s">
        <v>127</v>
      </c>
      <c r="D481" s="12" t="s">
        <v>20</v>
      </c>
      <c r="E481" s="12">
        <v>2.6993960849645979E-2</v>
      </c>
      <c r="F481" s="12">
        <v>76832</v>
      </c>
      <c r="G481">
        <f t="shared" si="15"/>
        <v>2074</v>
      </c>
      <c r="H481" s="16" t="s">
        <v>936</v>
      </c>
    </row>
    <row r="482" spans="1:8">
      <c r="A482" t="str">
        <f t="shared" si="14"/>
        <v>كرمانشاهصحنه</v>
      </c>
      <c r="B482" s="12" t="s">
        <v>118</v>
      </c>
      <c r="C482" s="12" t="s">
        <v>128</v>
      </c>
      <c r="D482" s="12" t="s">
        <v>480</v>
      </c>
      <c r="E482" s="12">
        <v>0.38774701879959828</v>
      </c>
      <c r="F482" s="12">
        <v>70693</v>
      </c>
      <c r="G482">
        <f t="shared" si="15"/>
        <v>27411</v>
      </c>
      <c r="H482" s="16" t="s">
        <v>948</v>
      </c>
    </row>
    <row r="483" spans="1:8">
      <c r="A483" t="str">
        <f t="shared" si="14"/>
        <v>كرمانشاهصحنه</v>
      </c>
      <c r="B483" s="12" t="s">
        <v>118</v>
      </c>
      <c r="C483" s="12" t="s">
        <v>128</v>
      </c>
      <c r="D483" s="12" t="s">
        <v>479</v>
      </c>
      <c r="E483" s="12">
        <v>0.39940305263604597</v>
      </c>
      <c r="F483" s="12">
        <v>70693</v>
      </c>
      <c r="G483">
        <f t="shared" si="15"/>
        <v>28235</v>
      </c>
      <c r="H483" s="16" t="s">
        <v>948</v>
      </c>
    </row>
    <row r="484" spans="1:8">
      <c r="A484" t="str">
        <f t="shared" si="14"/>
        <v>كرمانشاهصحنه</v>
      </c>
      <c r="B484" s="12" t="s">
        <v>118</v>
      </c>
      <c r="C484" s="12" t="s">
        <v>128</v>
      </c>
      <c r="D484" s="12" t="s">
        <v>22</v>
      </c>
      <c r="E484" s="12">
        <v>0.12135572121709363</v>
      </c>
      <c r="F484" s="12">
        <v>70693</v>
      </c>
      <c r="G484">
        <f t="shared" si="15"/>
        <v>8579</v>
      </c>
      <c r="H484" s="16" t="s">
        <v>948</v>
      </c>
    </row>
    <row r="485" spans="1:8">
      <c r="A485" t="str">
        <f t="shared" si="14"/>
        <v>كرمانشاهصحنه</v>
      </c>
      <c r="B485" s="12" t="s">
        <v>118</v>
      </c>
      <c r="C485" s="12" t="s">
        <v>128</v>
      </c>
      <c r="D485" s="12" t="s">
        <v>478</v>
      </c>
      <c r="E485" s="12">
        <v>4.7062651181870904E-2</v>
      </c>
      <c r="F485" s="12">
        <v>70693</v>
      </c>
      <c r="G485">
        <f t="shared" si="15"/>
        <v>3327</v>
      </c>
      <c r="H485" s="16" t="s">
        <v>948</v>
      </c>
    </row>
    <row r="486" spans="1:8">
      <c r="A486" t="str">
        <f t="shared" si="14"/>
        <v>كرمانشاهصحنه</v>
      </c>
      <c r="B486" s="12" t="s">
        <v>118</v>
      </c>
      <c r="C486" s="12" t="s">
        <v>128</v>
      </c>
      <c r="D486" s="12" t="s">
        <v>20</v>
      </c>
      <c r="E486" s="12">
        <v>4.4403264821127976E-2</v>
      </c>
      <c r="F486" s="12">
        <v>70693</v>
      </c>
      <c r="G486">
        <f t="shared" si="15"/>
        <v>3139</v>
      </c>
      <c r="H486" s="16" t="s">
        <v>948</v>
      </c>
    </row>
    <row r="487" spans="1:8">
      <c r="A487" t="str">
        <f t="shared" si="14"/>
        <v>كرمانشاههرسين</v>
      </c>
      <c r="B487" s="12" t="s">
        <v>118</v>
      </c>
      <c r="C487" s="12" t="s">
        <v>129</v>
      </c>
      <c r="D487" s="12" t="s">
        <v>480</v>
      </c>
      <c r="E487" s="12">
        <v>0.42757748260594558</v>
      </c>
      <c r="F487" s="12">
        <v>77469</v>
      </c>
      <c r="G487">
        <f t="shared" si="15"/>
        <v>33124</v>
      </c>
      <c r="H487" s="16" t="s">
        <v>937</v>
      </c>
    </row>
    <row r="488" spans="1:8">
      <c r="A488" t="str">
        <f t="shared" si="14"/>
        <v>كرمانشاههرسين</v>
      </c>
      <c r="B488" s="12" t="s">
        <v>118</v>
      </c>
      <c r="C488" s="12" t="s">
        <v>129</v>
      </c>
      <c r="D488" s="12" t="s">
        <v>479</v>
      </c>
      <c r="E488" s="12">
        <v>0.3888910402870826</v>
      </c>
      <c r="F488" s="12">
        <v>77469</v>
      </c>
      <c r="G488">
        <f t="shared" si="15"/>
        <v>30127</v>
      </c>
      <c r="H488" s="16" t="s">
        <v>937</v>
      </c>
    </row>
    <row r="489" spans="1:8">
      <c r="A489" t="str">
        <f t="shared" si="14"/>
        <v>كرمانشاههرسين</v>
      </c>
      <c r="B489" s="12" t="s">
        <v>118</v>
      </c>
      <c r="C489" s="12" t="s">
        <v>129</v>
      </c>
      <c r="D489" s="12" t="s">
        <v>22</v>
      </c>
      <c r="E489" s="12">
        <v>0.10353818946933613</v>
      </c>
      <c r="F489" s="12">
        <v>77469</v>
      </c>
      <c r="G489">
        <f t="shared" si="15"/>
        <v>8021</v>
      </c>
      <c r="H489" s="16" t="s">
        <v>937</v>
      </c>
    </row>
    <row r="490" spans="1:8">
      <c r="A490" t="str">
        <f t="shared" si="14"/>
        <v>كرمانشاههرسين</v>
      </c>
      <c r="B490" s="12" t="s">
        <v>118</v>
      </c>
      <c r="C490" s="12" t="s">
        <v>129</v>
      </c>
      <c r="D490" s="12" t="s">
        <v>478</v>
      </c>
      <c r="E490" s="12">
        <v>4.0867960087260707E-2</v>
      </c>
      <c r="F490" s="12">
        <v>77469</v>
      </c>
      <c r="G490">
        <f t="shared" si="15"/>
        <v>3166</v>
      </c>
      <c r="H490" s="16" t="s">
        <v>937</v>
      </c>
    </row>
    <row r="491" spans="1:8">
      <c r="A491" t="str">
        <f t="shared" si="14"/>
        <v>كرمانشاههرسين</v>
      </c>
      <c r="B491" s="12" t="s">
        <v>118</v>
      </c>
      <c r="C491" s="12" t="s">
        <v>129</v>
      </c>
      <c r="D491" s="12" t="s">
        <v>20</v>
      </c>
      <c r="E491" s="12">
        <v>3.9086602382888642E-2</v>
      </c>
      <c r="F491" s="12">
        <v>77469</v>
      </c>
      <c r="G491">
        <f t="shared" si="15"/>
        <v>3028</v>
      </c>
      <c r="H491" s="16" t="s">
        <v>937</v>
      </c>
    </row>
    <row r="492" spans="1:8">
      <c r="A492" t="str">
        <f t="shared" si="14"/>
        <v>كرمانشاهثلاث باباجاني</v>
      </c>
      <c r="B492" s="12" t="s">
        <v>118</v>
      </c>
      <c r="C492" s="12" t="s">
        <v>130</v>
      </c>
      <c r="D492" s="12" t="s">
        <v>480</v>
      </c>
      <c r="E492" s="12">
        <v>0.50631942870097479</v>
      </c>
      <c r="F492" s="12">
        <v>35288</v>
      </c>
      <c r="G492">
        <f t="shared" si="15"/>
        <v>17867</v>
      </c>
      <c r="H492" s="16" t="s">
        <v>940</v>
      </c>
    </row>
    <row r="493" spans="1:8">
      <c r="A493" t="str">
        <f t="shared" si="14"/>
        <v>كرمانشاهثلاث باباجاني</v>
      </c>
      <c r="B493" s="12" t="s">
        <v>118</v>
      </c>
      <c r="C493" s="12" t="s">
        <v>130</v>
      </c>
      <c r="D493" s="12" t="s">
        <v>479</v>
      </c>
      <c r="E493" s="12">
        <v>0.36196440716390843</v>
      </c>
      <c r="F493" s="12">
        <v>35288</v>
      </c>
      <c r="G493">
        <f t="shared" si="15"/>
        <v>12773</v>
      </c>
      <c r="H493" s="16" t="s">
        <v>940</v>
      </c>
    </row>
    <row r="494" spans="1:8">
      <c r="A494" t="str">
        <f t="shared" si="14"/>
        <v>كرمانشاهثلاث باباجاني</v>
      </c>
      <c r="B494" s="12" t="s">
        <v>118</v>
      </c>
      <c r="C494" s="12" t="s">
        <v>130</v>
      </c>
      <c r="D494" s="12" t="s">
        <v>22</v>
      </c>
      <c r="E494" s="12">
        <v>7.9063704375425078E-2</v>
      </c>
      <c r="F494" s="12">
        <v>35288</v>
      </c>
      <c r="G494">
        <f t="shared" si="15"/>
        <v>2790</v>
      </c>
      <c r="H494" s="16" t="s">
        <v>940</v>
      </c>
    </row>
    <row r="495" spans="1:8">
      <c r="A495" t="str">
        <f t="shared" si="14"/>
        <v>كرمانشاهثلاث باباجاني</v>
      </c>
      <c r="B495" s="12" t="s">
        <v>118</v>
      </c>
      <c r="C495" s="12" t="s">
        <v>130</v>
      </c>
      <c r="D495" s="12" t="s">
        <v>478</v>
      </c>
      <c r="E495" s="12">
        <v>2.6326229879845842E-2</v>
      </c>
      <c r="F495" s="12">
        <v>35288</v>
      </c>
      <c r="G495">
        <f t="shared" si="15"/>
        <v>929</v>
      </c>
      <c r="H495" s="16" t="s">
        <v>940</v>
      </c>
    </row>
    <row r="496" spans="1:8">
      <c r="A496" t="str">
        <f t="shared" si="14"/>
        <v>كرمانشاهثلاث باباجاني</v>
      </c>
      <c r="B496" s="12" t="s">
        <v>118</v>
      </c>
      <c r="C496" s="12" t="s">
        <v>130</v>
      </c>
      <c r="D496" s="12" t="s">
        <v>20</v>
      </c>
      <c r="E496" s="12">
        <v>2.6326229879845842E-2</v>
      </c>
      <c r="F496" s="12">
        <v>35288</v>
      </c>
      <c r="G496">
        <f t="shared" si="15"/>
        <v>929</v>
      </c>
      <c r="H496" s="16" t="s">
        <v>940</v>
      </c>
    </row>
    <row r="497" spans="1:8">
      <c r="A497" t="str">
        <f t="shared" si="14"/>
        <v>كرمانشاهدالاهو</v>
      </c>
      <c r="B497" s="12" t="s">
        <v>118</v>
      </c>
      <c r="C497" s="12" t="s">
        <v>131</v>
      </c>
      <c r="D497" s="12" t="s">
        <v>480</v>
      </c>
      <c r="E497" s="12">
        <v>0.38638855311612741</v>
      </c>
      <c r="F497" s="12">
        <v>35573</v>
      </c>
      <c r="G497">
        <f t="shared" si="15"/>
        <v>13745</v>
      </c>
      <c r="H497" s="16" t="s">
        <v>939</v>
      </c>
    </row>
    <row r="498" spans="1:8">
      <c r="A498" t="str">
        <f t="shared" si="14"/>
        <v>كرمانشاهدالاهو</v>
      </c>
      <c r="B498" s="12" t="s">
        <v>118</v>
      </c>
      <c r="C498" s="12" t="s">
        <v>131</v>
      </c>
      <c r="D498" s="12" t="s">
        <v>479</v>
      </c>
      <c r="E498" s="12">
        <v>0.39260113007055913</v>
      </c>
      <c r="F498" s="12">
        <v>35573</v>
      </c>
      <c r="G498">
        <f t="shared" si="15"/>
        <v>13966</v>
      </c>
      <c r="H498" s="16" t="s">
        <v>939</v>
      </c>
    </row>
    <row r="499" spans="1:8">
      <c r="A499" t="str">
        <f t="shared" si="14"/>
        <v>كرمانشاهدالاهو</v>
      </c>
      <c r="B499" s="12" t="s">
        <v>118</v>
      </c>
      <c r="C499" s="12" t="s">
        <v>131</v>
      </c>
      <c r="D499" s="12" t="s">
        <v>22</v>
      </c>
      <c r="E499" s="12">
        <v>0.12118741742332668</v>
      </c>
      <c r="F499" s="12">
        <v>35573</v>
      </c>
      <c r="G499">
        <f t="shared" si="15"/>
        <v>4311</v>
      </c>
      <c r="H499" s="16" t="s">
        <v>939</v>
      </c>
    </row>
    <row r="500" spans="1:8">
      <c r="A500" t="str">
        <f t="shared" si="14"/>
        <v>كرمانشاهدالاهو</v>
      </c>
      <c r="B500" s="12" t="s">
        <v>118</v>
      </c>
      <c r="C500" s="12" t="s">
        <v>131</v>
      </c>
      <c r="D500" s="12" t="s">
        <v>478</v>
      </c>
      <c r="E500" s="12">
        <v>4.8266944030584992E-2</v>
      </c>
      <c r="F500" s="12">
        <v>35573</v>
      </c>
      <c r="G500">
        <f t="shared" si="15"/>
        <v>1717</v>
      </c>
      <c r="H500" s="16" t="s">
        <v>939</v>
      </c>
    </row>
    <row r="501" spans="1:8">
      <c r="A501" t="str">
        <f t="shared" si="14"/>
        <v>كرمانشاهدالاهو</v>
      </c>
      <c r="B501" s="12" t="s">
        <v>118</v>
      </c>
      <c r="C501" s="12" t="s">
        <v>131</v>
      </c>
      <c r="D501" s="12" t="s">
        <v>20</v>
      </c>
      <c r="E501" s="12">
        <v>5.1527844151463185E-2</v>
      </c>
      <c r="F501" s="12">
        <v>35573</v>
      </c>
      <c r="G501">
        <f t="shared" si="15"/>
        <v>1833</v>
      </c>
      <c r="H501" s="16" t="s">
        <v>939</v>
      </c>
    </row>
    <row r="502" spans="1:8">
      <c r="A502" t="str">
        <f t="shared" si="14"/>
        <v>كرمانشاهروانسر</v>
      </c>
      <c r="B502" s="12" t="s">
        <v>118</v>
      </c>
      <c r="C502" s="12" t="s">
        <v>133</v>
      </c>
      <c r="D502" s="12" t="s">
        <v>480</v>
      </c>
      <c r="E502" s="12">
        <v>0.42315841954381156</v>
      </c>
      <c r="F502" s="12">
        <v>48138</v>
      </c>
      <c r="G502">
        <f t="shared" si="15"/>
        <v>20370</v>
      </c>
      <c r="H502" s="16" t="s">
        <v>934</v>
      </c>
    </row>
    <row r="503" spans="1:8">
      <c r="A503" t="str">
        <f t="shared" si="14"/>
        <v>كرمانشاهروانسر</v>
      </c>
      <c r="B503" s="12" t="s">
        <v>118</v>
      </c>
      <c r="C503" s="12" t="s">
        <v>133</v>
      </c>
      <c r="D503" s="12" t="s">
        <v>479</v>
      </c>
      <c r="E503" s="12">
        <v>0.40548007810877063</v>
      </c>
      <c r="F503" s="12">
        <v>48138</v>
      </c>
      <c r="G503">
        <f t="shared" si="15"/>
        <v>19519</v>
      </c>
      <c r="H503" s="16" t="s">
        <v>934</v>
      </c>
    </row>
    <row r="504" spans="1:8">
      <c r="A504" t="str">
        <f t="shared" si="14"/>
        <v>كرمانشاهروانسر</v>
      </c>
      <c r="B504" s="12" t="s">
        <v>118</v>
      </c>
      <c r="C504" s="12" t="s">
        <v>133</v>
      </c>
      <c r="D504" s="12" t="s">
        <v>22</v>
      </c>
      <c r="E504" s="12">
        <v>0.10000415472184138</v>
      </c>
      <c r="F504" s="12">
        <v>48138</v>
      </c>
      <c r="G504">
        <f t="shared" si="15"/>
        <v>4814</v>
      </c>
      <c r="H504" s="16" t="s">
        <v>934</v>
      </c>
    </row>
    <row r="505" spans="1:8">
      <c r="A505" t="str">
        <f t="shared" si="14"/>
        <v>كرمانشاهروانسر</v>
      </c>
      <c r="B505" s="12" t="s">
        <v>118</v>
      </c>
      <c r="C505" s="12" t="s">
        <v>133</v>
      </c>
      <c r="D505" s="12" t="s">
        <v>478</v>
      </c>
      <c r="E505" s="12">
        <v>3.6291495284390712E-2</v>
      </c>
      <c r="F505" s="12">
        <v>48138</v>
      </c>
      <c r="G505">
        <f t="shared" si="15"/>
        <v>1747</v>
      </c>
      <c r="H505" s="16" t="s">
        <v>934</v>
      </c>
    </row>
    <row r="506" spans="1:8">
      <c r="A506" t="str">
        <f t="shared" si="14"/>
        <v>كرمانشاهروانسر</v>
      </c>
      <c r="B506" s="12" t="s">
        <v>118</v>
      </c>
      <c r="C506" s="12" t="s">
        <v>133</v>
      </c>
      <c r="D506" s="12" t="s">
        <v>20</v>
      </c>
      <c r="E506" s="12">
        <v>3.496198429515144E-2</v>
      </c>
      <c r="F506" s="12">
        <v>48138</v>
      </c>
      <c r="G506">
        <f t="shared" si="15"/>
        <v>1683</v>
      </c>
      <c r="H506" s="16" t="s">
        <v>934</v>
      </c>
    </row>
    <row r="507" spans="1:8">
      <c r="A507" t="str">
        <f t="shared" si="14"/>
        <v>خوزستانآبادان</v>
      </c>
      <c r="B507" s="12" t="s">
        <v>132</v>
      </c>
      <c r="C507" s="12" t="s">
        <v>134</v>
      </c>
      <c r="D507" s="12" t="s">
        <v>480</v>
      </c>
      <c r="E507" s="12">
        <v>0.4543966910620526</v>
      </c>
      <c r="F507" s="12">
        <v>298827</v>
      </c>
      <c r="G507">
        <f t="shared" si="15"/>
        <v>135786</v>
      </c>
      <c r="H507" s="16" t="s">
        <v>736</v>
      </c>
    </row>
    <row r="508" spans="1:8">
      <c r="A508" t="str">
        <f t="shared" si="14"/>
        <v>خوزستانآبادان</v>
      </c>
      <c r="B508" s="12" t="s">
        <v>132</v>
      </c>
      <c r="C508" s="12" t="s">
        <v>134</v>
      </c>
      <c r="D508" s="12" t="s">
        <v>479</v>
      </c>
      <c r="E508" s="12">
        <v>0.39294307408634427</v>
      </c>
      <c r="F508" s="12">
        <v>298827</v>
      </c>
      <c r="G508">
        <f t="shared" si="15"/>
        <v>117422</v>
      </c>
      <c r="H508" s="16" t="s">
        <v>736</v>
      </c>
    </row>
    <row r="509" spans="1:8">
      <c r="A509" t="str">
        <f t="shared" si="14"/>
        <v>خوزستانآبادان</v>
      </c>
      <c r="B509" s="12" t="s">
        <v>132</v>
      </c>
      <c r="C509" s="12" t="s">
        <v>134</v>
      </c>
      <c r="D509" s="12" t="s">
        <v>22</v>
      </c>
      <c r="E509" s="12">
        <v>9.5024880616544016E-2</v>
      </c>
      <c r="F509" s="12">
        <v>298827</v>
      </c>
      <c r="G509">
        <f t="shared" si="15"/>
        <v>28396</v>
      </c>
      <c r="H509" s="16" t="s">
        <v>736</v>
      </c>
    </row>
    <row r="510" spans="1:8">
      <c r="A510" t="str">
        <f t="shared" si="14"/>
        <v>خوزستانآبادان</v>
      </c>
      <c r="B510" s="12" t="s">
        <v>132</v>
      </c>
      <c r="C510" s="12" t="s">
        <v>134</v>
      </c>
      <c r="D510" s="12" t="s">
        <v>478</v>
      </c>
      <c r="E510" s="12">
        <v>3.218584666044233E-2</v>
      </c>
      <c r="F510" s="12">
        <v>298827</v>
      </c>
      <c r="G510">
        <f t="shared" si="15"/>
        <v>9618</v>
      </c>
      <c r="H510" s="16" t="s">
        <v>736</v>
      </c>
    </row>
    <row r="511" spans="1:8">
      <c r="A511" t="str">
        <f t="shared" si="14"/>
        <v>خوزستانآبادان</v>
      </c>
      <c r="B511" s="12" t="s">
        <v>132</v>
      </c>
      <c r="C511" s="12" t="s">
        <v>134</v>
      </c>
      <c r="D511" s="12" t="s">
        <v>20</v>
      </c>
      <c r="E511" s="12">
        <v>2.5442814738962677E-2</v>
      </c>
      <c r="F511" s="12">
        <v>298827</v>
      </c>
      <c r="G511">
        <f t="shared" si="15"/>
        <v>7603</v>
      </c>
      <c r="H511" s="16" t="s">
        <v>736</v>
      </c>
    </row>
    <row r="512" spans="1:8">
      <c r="A512" t="str">
        <f t="shared" si="14"/>
        <v>خوزستانانديمشک</v>
      </c>
      <c r="B512" s="12" t="s">
        <v>132</v>
      </c>
      <c r="C512" s="12" t="s">
        <v>135</v>
      </c>
      <c r="D512" s="12" t="s">
        <v>480</v>
      </c>
      <c r="E512" s="12">
        <v>0.42846730107309172</v>
      </c>
      <c r="F512" s="12">
        <v>172865</v>
      </c>
      <c r="G512">
        <f t="shared" si="15"/>
        <v>74067</v>
      </c>
      <c r="H512" s="16" t="s">
        <v>730</v>
      </c>
    </row>
    <row r="513" spans="1:8">
      <c r="A513" t="str">
        <f t="shared" si="14"/>
        <v>خوزستانانديمشک</v>
      </c>
      <c r="B513" s="12" t="s">
        <v>132</v>
      </c>
      <c r="C513" s="12" t="s">
        <v>135</v>
      </c>
      <c r="D513" s="12" t="s">
        <v>479</v>
      </c>
      <c r="E513" s="12">
        <v>0.41246637549532872</v>
      </c>
      <c r="F513" s="12">
        <v>172865</v>
      </c>
      <c r="G513">
        <f t="shared" si="15"/>
        <v>71301</v>
      </c>
      <c r="H513" s="16" t="s">
        <v>730</v>
      </c>
    </row>
    <row r="514" spans="1:8">
      <c r="A514" t="str">
        <f t="shared" ref="A514:A577" si="16">B514&amp;C514</f>
        <v>خوزستانانديمشک</v>
      </c>
      <c r="B514" s="12" t="s">
        <v>132</v>
      </c>
      <c r="C514" s="12" t="s">
        <v>135</v>
      </c>
      <c r="D514" s="12" t="s">
        <v>22</v>
      </c>
      <c r="E514" s="12">
        <v>9.6861712897347643E-2</v>
      </c>
      <c r="F514" s="12">
        <v>172865</v>
      </c>
      <c r="G514">
        <f t="shared" si="15"/>
        <v>16744</v>
      </c>
      <c r="H514" s="16" t="s">
        <v>730</v>
      </c>
    </row>
    <row r="515" spans="1:8">
      <c r="A515" t="str">
        <f t="shared" si="16"/>
        <v>خوزستانانديمشک</v>
      </c>
      <c r="B515" s="12" t="s">
        <v>132</v>
      </c>
      <c r="C515" s="12" t="s">
        <v>135</v>
      </c>
      <c r="D515" s="12" t="s">
        <v>478</v>
      </c>
      <c r="E515" s="12">
        <v>3.2453070314985684E-2</v>
      </c>
      <c r="F515" s="12">
        <v>172865</v>
      </c>
      <c r="G515">
        <f t="shared" ref="G515:G578" si="17">IFERROR(ROUND(F515*E515,0),0)</f>
        <v>5610</v>
      </c>
      <c r="H515" s="16" t="s">
        <v>730</v>
      </c>
    </row>
    <row r="516" spans="1:8">
      <c r="A516" t="str">
        <f t="shared" si="16"/>
        <v>خوزستانانديمشک</v>
      </c>
      <c r="B516" s="12" t="s">
        <v>132</v>
      </c>
      <c r="C516" s="12" t="s">
        <v>135</v>
      </c>
      <c r="D516" s="12" t="s">
        <v>20</v>
      </c>
      <c r="E516" s="12">
        <v>2.9797819107395946E-2</v>
      </c>
      <c r="F516" s="12">
        <v>172865</v>
      </c>
      <c r="G516">
        <f t="shared" si="17"/>
        <v>5151</v>
      </c>
      <c r="H516" s="16" t="s">
        <v>730</v>
      </c>
    </row>
    <row r="517" spans="1:8">
      <c r="A517" t="str">
        <f t="shared" si="16"/>
        <v>خوزستاناهواز</v>
      </c>
      <c r="B517" s="12" t="s">
        <v>132</v>
      </c>
      <c r="C517" s="12" t="s">
        <v>136</v>
      </c>
      <c r="D517" s="12" t="s">
        <v>480</v>
      </c>
      <c r="E517" s="12">
        <v>0.45253797000036883</v>
      </c>
      <c r="F517" s="12">
        <v>1328483</v>
      </c>
      <c r="G517">
        <f t="shared" si="17"/>
        <v>601189</v>
      </c>
      <c r="H517" s="16" t="s">
        <v>711</v>
      </c>
    </row>
    <row r="518" spans="1:8">
      <c r="A518" t="str">
        <f t="shared" si="16"/>
        <v>خوزستاناهواز</v>
      </c>
      <c r="B518" s="12" t="s">
        <v>132</v>
      </c>
      <c r="C518" s="12" t="s">
        <v>136</v>
      </c>
      <c r="D518" s="12" t="s">
        <v>479</v>
      </c>
      <c r="E518" s="12">
        <v>0.39647402337854531</v>
      </c>
      <c r="F518" s="12">
        <v>1328483</v>
      </c>
      <c r="G518">
        <f t="shared" si="17"/>
        <v>526709</v>
      </c>
      <c r="H518" s="16" t="s">
        <v>711</v>
      </c>
    </row>
    <row r="519" spans="1:8">
      <c r="A519" t="str">
        <f t="shared" si="16"/>
        <v>خوزستاناهواز</v>
      </c>
      <c r="B519" s="12" t="s">
        <v>132</v>
      </c>
      <c r="C519" s="12" t="s">
        <v>136</v>
      </c>
      <c r="D519" s="12" t="s">
        <v>22</v>
      </c>
      <c r="E519" s="12">
        <v>9.4908252495515558E-2</v>
      </c>
      <c r="F519" s="12">
        <v>1328483</v>
      </c>
      <c r="G519">
        <f t="shared" si="17"/>
        <v>126084</v>
      </c>
      <c r="H519" s="16" t="s">
        <v>711</v>
      </c>
    </row>
    <row r="520" spans="1:8">
      <c r="A520" t="str">
        <f t="shared" si="16"/>
        <v>خوزستاناهواز</v>
      </c>
      <c r="B520" s="12" t="s">
        <v>132</v>
      </c>
      <c r="C520" s="12" t="s">
        <v>136</v>
      </c>
      <c r="D520" s="12" t="s">
        <v>478</v>
      </c>
      <c r="E520" s="12">
        <v>3.1365098386656055E-2</v>
      </c>
      <c r="F520" s="12">
        <v>1328483</v>
      </c>
      <c r="G520">
        <f t="shared" si="17"/>
        <v>41668</v>
      </c>
      <c r="H520" s="16" t="s">
        <v>711</v>
      </c>
    </row>
    <row r="521" spans="1:8">
      <c r="A521" t="str">
        <f t="shared" si="16"/>
        <v>خوزستاناهواز</v>
      </c>
      <c r="B521" s="12" t="s">
        <v>132</v>
      </c>
      <c r="C521" s="12" t="s">
        <v>136</v>
      </c>
      <c r="D521" s="12" t="s">
        <v>20</v>
      </c>
      <c r="E521" s="12">
        <v>2.4714655738914234E-2</v>
      </c>
      <c r="F521" s="12">
        <v>1328483</v>
      </c>
      <c r="G521">
        <f t="shared" si="17"/>
        <v>32833</v>
      </c>
      <c r="H521" s="16" t="s">
        <v>711</v>
      </c>
    </row>
    <row r="522" spans="1:8">
      <c r="A522" t="str">
        <f t="shared" si="16"/>
        <v>خوزستانايذه</v>
      </c>
      <c r="B522" s="12" t="s">
        <v>132</v>
      </c>
      <c r="C522" s="12" t="s">
        <v>137</v>
      </c>
      <c r="D522" s="12" t="s">
        <v>480</v>
      </c>
      <c r="E522" s="12">
        <v>0.49299620783647352</v>
      </c>
      <c r="F522" s="12">
        <v>200677</v>
      </c>
      <c r="G522">
        <f t="shared" si="17"/>
        <v>98933</v>
      </c>
      <c r="H522" s="16" t="s">
        <v>727</v>
      </c>
    </row>
    <row r="523" spans="1:8">
      <c r="A523" t="str">
        <f t="shared" si="16"/>
        <v>خوزستانايذه</v>
      </c>
      <c r="B523" s="12" t="s">
        <v>132</v>
      </c>
      <c r="C523" s="12" t="s">
        <v>137</v>
      </c>
      <c r="D523" s="12" t="s">
        <v>479</v>
      </c>
      <c r="E523" s="12">
        <v>0.36049472535467442</v>
      </c>
      <c r="F523" s="12">
        <v>200677</v>
      </c>
      <c r="G523">
        <f t="shared" si="17"/>
        <v>72343</v>
      </c>
      <c r="H523" s="16" t="s">
        <v>727</v>
      </c>
    </row>
    <row r="524" spans="1:8">
      <c r="A524" t="str">
        <f t="shared" si="16"/>
        <v>خوزستانايذه</v>
      </c>
      <c r="B524" s="12" t="s">
        <v>132</v>
      </c>
      <c r="C524" s="12" t="s">
        <v>137</v>
      </c>
      <c r="D524" s="12" t="s">
        <v>22</v>
      </c>
      <c r="E524" s="12">
        <v>8.5281322722584055E-2</v>
      </c>
      <c r="F524" s="12">
        <v>200677</v>
      </c>
      <c r="G524">
        <f t="shared" si="17"/>
        <v>17114</v>
      </c>
      <c r="H524" s="16" t="s">
        <v>727</v>
      </c>
    </row>
    <row r="525" spans="1:8">
      <c r="A525" t="str">
        <f t="shared" si="16"/>
        <v>خوزستانايذه</v>
      </c>
      <c r="B525" s="12" t="s">
        <v>132</v>
      </c>
      <c r="C525" s="12" t="s">
        <v>137</v>
      </c>
      <c r="D525" s="12" t="s">
        <v>478</v>
      </c>
      <c r="E525" s="12">
        <v>2.9649635982200252E-2</v>
      </c>
      <c r="F525" s="12">
        <v>200677</v>
      </c>
      <c r="G525">
        <f t="shared" si="17"/>
        <v>5950</v>
      </c>
      <c r="H525" s="16" t="s">
        <v>727</v>
      </c>
    </row>
    <row r="526" spans="1:8">
      <c r="A526" t="str">
        <f t="shared" si="16"/>
        <v>خوزستانايذه</v>
      </c>
      <c r="B526" s="12" t="s">
        <v>132</v>
      </c>
      <c r="C526" s="12" t="s">
        <v>137</v>
      </c>
      <c r="D526" s="12" t="s">
        <v>20</v>
      </c>
      <c r="E526" s="12">
        <v>3.1588074368263427E-2</v>
      </c>
      <c r="F526" s="12">
        <v>200677</v>
      </c>
      <c r="G526">
        <f t="shared" si="17"/>
        <v>6339</v>
      </c>
      <c r="H526" s="16" t="s">
        <v>727</v>
      </c>
    </row>
    <row r="527" spans="1:8">
      <c r="A527" t="str">
        <f t="shared" si="16"/>
        <v>خوزستانبندرماهشهر</v>
      </c>
      <c r="B527" s="12" t="s">
        <v>132</v>
      </c>
      <c r="C527" s="12" t="s">
        <v>138</v>
      </c>
      <c r="D527" s="12" t="s">
        <v>480</v>
      </c>
      <c r="E527" s="12">
        <v>0.47537675767702881</v>
      </c>
      <c r="F527" s="12">
        <v>301321</v>
      </c>
      <c r="G527">
        <f t="shared" si="17"/>
        <v>143241</v>
      </c>
      <c r="H527" s="16" t="s">
        <v>728</v>
      </c>
    </row>
    <row r="528" spans="1:8">
      <c r="A528" t="str">
        <f t="shared" si="16"/>
        <v>خوزستانبندرماهشهر</v>
      </c>
      <c r="B528" s="12" t="s">
        <v>132</v>
      </c>
      <c r="C528" s="12" t="s">
        <v>138</v>
      </c>
      <c r="D528" s="12" t="s">
        <v>479</v>
      </c>
      <c r="E528" s="12">
        <v>0.39705496795775935</v>
      </c>
      <c r="F528" s="12">
        <v>301321</v>
      </c>
      <c r="G528">
        <f t="shared" si="17"/>
        <v>119641</v>
      </c>
      <c r="H528" s="16" t="s">
        <v>728</v>
      </c>
    </row>
    <row r="529" spans="1:8">
      <c r="A529" t="str">
        <f t="shared" si="16"/>
        <v>خوزستانبندرماهشهر</v>
      </c>
      <c r="B529" s="12" t="s">
        <v>132</v>
      </c>
      <c r="C529" s="12" t="s">
        <v>138</v>
      </c>
      <c r="D529" s="12" t="s">
        <v>22</v>
      </c>
      <c r="E529" s="12">
        <v>8.2035437291128069E-2</v>
      </c>
      <c r="F529" s="12">
        <v>301321</v>
      </c>
      <c r="G529">
        <f t="shared" si="17"/>
        <v>24719</v>
      </c>
      <c r="H529" s="16" t="s">
        <v>728</v>
      </c>
    </row>
    <row r="530" spans="1:8">
      <c r="A530" t="str">
        <f t="shared" si="16"/>
        <v>خوزستانبندرماهشهر</v>
      </c>
      <c r="B530" s="12" t="s">
        <v>132</v>
      </c>
      <c r="C530" s="12" t="s">
        <v>138</v>
      </c>
      <c r="D530" s="12" t="s">
        <v>478</v>
      </c>
      <c r="E530" s="12">
        <v>2.607850100059405E-2</v>
      </c>
      <c r="F530" s="12">
        <v>301321</v>
      </c>
      <c r="G530">
        <f t="shared" si="17"/>
        <v>7858</v>
      </c>
      <c r="H530" s="16" t="s">
        <v>728</v>
      </c>
    </row>
    <row r="531" spans="1:8">
      <c r="A531" t="str">
        <f t="shared" si="16"/>
        <v>خوزستانبندرماهشهر</v>
      </c>
      <c r="B531" s="12" t="s">
        <v>132</v>
      </c>
      <c r="C531" s="12" t="s">
        <v>138</v>
      </c>
      <c r="D531" s="12" t="s">
        <v>20</v>
      </c>
      <c r="E531" s="12">
        <v>1.9457654793393092E-2</v>
      </c>
      <c r="F531" s="12">
        <v>301321</v>
      </c>
      <c r="G531">
        <f t="shared" si="17"/>
        <v>5863</v>
      </c>
      <c r="H531" s="16" t="s">
        <v>728</v>
      </c>
    </row>
    <row r="532" spans="1:8">
      <c r="A532" t="str">
        <f t="shared" si="16"/>
        <v>خوزستانبهبهان</v>
      </c>
      <c r="B532" s="12" t="s">
        <v>132</v>
      </c>
      <c r="C532" s="12" t="s">
        <v>139</v>
      </c>
      <c r="D532" s="12" t="s">
        <v>480</v>
      </c>
      <c r="E532" s="12">
        <v>0.4135397706090046</v>
      </c>
      <c r="F532" s="12">
        <v>182396</v>
      </c>
      <c r="G532">
        <f t="shared" si="17"/>
        <v>75428</v>
      </c>
      <c r="H532" s="16" t="s">
        <v>707</v>
      </c>
    </row>
    <row r="533" spans="1:8">
      <c r="A533" t="str">
        <f t="shared" si="16"/>
        <v>خوزستانبهبهان</v>
      </c>
      <c r="B533" s="12" t="s">
        <v>132</v>
      </c>
      <c r="C533" s="12" t="s">
        <v>139</v>
      </c>
      <c r="D533" s="12" t="s">
        <v>479</v>
      </c>
      <c r="E533" s="12">
        <v>0.40412618697778457</v>
      </c>
      <c r="F533" s="12">
        <v>182396</v>
      </c>
      <c r="G533">
        <f t="shared" si="17"/>
        <v>73711</v>
      </c>
      <c r="H533" s="16" t="s">
        <v>707</v>
      </c>
    </row>
    <row r="534" spans="1:8">
      <c r="A534" t="str">
        <f t="shared" si="16"/>
        <v>خوزستانبهبهان</v>
      </c>
      <c r="B534" s="12" t="s">
        <v>132</v>
      </c>
      <c r="C534" s="12" t="s">
        <v>139</v>
      </c>
      <c r="D534" s="12" t="s">
        <v>22</v>
      </c>
      <c r="E534" s="12">
        <v>0.10684444834316542</v>
      </c>
      <c r="F534" s="12">
        <v>182396</v>
      </c>
      <c r="G534">
        <f t="shared" si="17"/>
        <v>19488</v>
      </c>
      <c r="H534" s="16" t="s">
        <v>707</v>
      </c>
    </row>
    <row r="535" spans="1:8">
      <c r="A535" t="str">
        <f t="shared" si="16"/>
        <v>خوزستانبهبهان</v>
      </c>
      <c r="B535" s="12" t="s">
        <v>132</v>
      </c>
      <c r="C535" s="12" t="s">
        <v>139</v>
      </c>
      <c r="D535" s="12" t="s">
        <v>478</v>
      </c>
      <c r="E535" s="12">
        <v>3.9759643851838854E-2</v>
      </c>
      <c r="F535" s="12">
        <v>182396</v>
      </c>
      <c r="G535">
        <f t="shared" si="17"/>
        <v>7252</v>
      </c>
      <c r="H535" s="16" t="s">
        <v>707</v>
      </c>
    </row>
    <row r="536" spans="1:8">
      <c r="A536" t="str">
        <f t="shared" si="16"/>
        <v>خوزستانبهبهان</v>
      </c>
      <c r="B536" s="12" t="s">
        <v>132</v>
      </c>
      <c r="C536" s="12" t="s">
        <v>139</v>
      </c>
      <c r="D536" s="12" t="s">
        <v>20</v>
      </c>
      <c r="E536" s="12">
        <v>3.5718985065461964E-2</v>
      </c>
      <c r="F536" s="12">
        <v>182396</v>
      </c>
      <c r="G536">
        <f t="shared" si="17"/>
        <v>6515</v>
      </c>
      <c r="H536" s="16" t="s">
        <v>707</v>
      </c>
    </row>
    <row r="537" spans="1:8">
      <c r="A537" t="str">
        <f t="shared" si="16"/>
        <v>خوزستانخرمشهر</v>
      </c>
      <c r="B537" s="12" t="s">
        <v>132</v>
      </c>
      <c r="C537" s="12" t="s">
        <v>140</v>
      </c>
      <c r="D537" s="12" t="s">
        <v>480</v>
      </c>
      <c r="E537" s="12">
        <v>0.4839104247462363</v>
      </c>
      <c r="F537" s="12">
        <v>172503</v>
      </c>
      <c r="G537">
        <f t="shared" si="17"/>
        <v>83476</v>
      </c>
      <c r="H537" s="16" t="s">
        <v>708</v>
      </c>
    </row>
    <row r="538" spans="1:8">
      <c r="A538" t="str">
        <f t="shared" si="16"/>
        <v>خوزستانخرمشهر</v>
      </c>
      <c r="B538" s="12" t="s">
        <v>132</v>
      </c>
      <c r="C538" s="12" t="s">
        <v>140</v>
      </c>
      <c r="D538" s="12" t="s">
        <v>479</v>
      </c>
      <c r="E538" s="12">
        <v>0.37805719320823405</v>
      </c>
      <c r="F538" s="12">
        <v>172503</v>
      </c>
      <c r="G538">
        <f t="shared" si="17"/>
        <v>65216</v>
      </c>
      <c r="H538" s="16" t="s">
        <v>708</v>
      </c>
    </row>
    <row r="539" spans="1:8">
      <c r="A539" t="str">
        <f t="shared" si="16"/>
        <v>خوزستانخرمشهر</v>
      </c>
      <c r="B539" s="12" t="s">
        <v>132</v>
      </c>
      <c r="C539" s="12" t="s">
        <v>140</v>
      </c>
      <c r="D539" s="12" t="s">
        <v>22</v>
      </c>
      <c r="E539" s="12">
        <v>8.6027489376996336E-2</v>
      </c>
      <c r="F539" s="12">
        <v>172503</v>
      </c>
      <c r="G539">
        <f t="shared" si="17"/>
        <v>14840</v>
      </c>
      <c r="H539" s="16" t="s">
        <v>708</v>
      </c>
    </row>
    <row r="540" spans="1:8">
      <c r="A540" t="str">
        <f t="shared" si="16"/>
        <v>خوزستانخرمشهر</v>
      </c>
      <c r="B540" s="12" t="s">
        <v>132</v>
      </c>
      <c r="C540" s="12" t="s">
        <v>140</v>
      </c>
      <c r="D540" s="12" t="s">
        <v>478</v>
      </c>
      <c r="E540" s="12">
        <v>2.8585010115766103E-2</v>
      </c>
      <c r="F540" s="12">
        <v>172503</v>
      </c>
      <c r="G540">
        <f t="shared" si="17"/>
        <v>4931</v>
      </c>
      <c r="H540" s="16" t="s">
        <v>708</v>
      </c>
    </row>
    <row r="541" spans="1:8">
      <c r="A541" t="str">
        <f t="shared" si="16"/>
        <v>خوزستانخرمشهر</v>
      </c>
      <c r="B541" s="12" t="s">
        <v>132</v>
      </c>
      <c r="C541" s="12" t="s">
        <v>140</v>
      </c>
      <c r="D541" s="12" t="s">
        <v>20</v>
      </c>
      <c r="E541" s="12">
        <v>2.3408288551503453E-2</v>
      </c>
      <c r="F541" s="12">
        <v>172503</v>
      </c>
      <c r="G541">
        <f t="shared" si="17"/>
        <v>4038</v>
      </c>
      <c r="H541" s="16" t="s">
        <v>708</v>
      </c>
    </row>
    <row r="542" spans="1:8">
      <c r="A542" t="str">
        <f t="shared" si="16"/>
        <v>خوزستاندزفول</v>
      </c>
      <c r="B542" s="12" t="s">
        <v>132</v>
      </c>
      <c r="C542" s="12" t="s">
        <v>141</v>
      </c>
      <c r="D542" s="12" t="s">
        <v>480</v>
      </c>
      <c r="E542" s="12">
        <v>0.4487318013211099</v>
      </c>
      <c r="F542" s="12">
        <v>448865</v>
      </c>
      <c r="G542">
        <f t="shared" si="17"/>
        <v>201420</v>
      </c>
      <c r="H542" s="16" t="s">
        <v>723</v>
      </c>
    </row>
    <row r="543" spans="1:8">
      <c r="A543" t="str">
        <f t="shared" si="16"/>
        <v>خوزستاندزفول</v>
      </c>
      <c r="B543" s="12" t="s">
        <v>132</v>
      </c>
      <c r="C543" s="12" t="s">
        <v>141</v>
      </c>
      <c r="D543" s="12" t="s">
        <v>479</v>
      </c>
      <c r="E543" s="12">
        <v>0.39595646798035045</v>
      </c>
      <c r="F543" s="12">
        <v>448865</v>
      </c>
      <c r="G543">
        <f t="shared" si="17"/>
        <v>177731</v>
      </c>
      <c r="H543" s="16" t="s">
        <v>723</v>
      </c>
    </row>
    <row r="544" spans="1:8">
      <c r="A544" t="str">
        <f t="shared" si="16"/>
        <v>خوزستاندزفول</v>
      </c>
      <c r="B544" s="12" t="s">
        <v>132</v>
      </c>
      <c r="C544" s="12" t="s">
        <v>141</v>
      </c>
      <c r="D544" s="12" t="s">
        <v>22</v>
      </c>
      <c r="E544" s="12">
        <v>9.4353536141156033E-2</v>
      </c>
      <c r="F544" s="12">
        <v>448865</v>
      </c>
      <c r="G544">
        <f t="shared" si="17"/>
        <v>42352</v>
      </c>
      <c r="H544" s="16" t="s">
        <v>723</v>
      </c>
    </row>
    <row r="545" spans="1:8">
      <c r="A545" t="str">
        <f t="shared" si="16"/>
        <v>خوزستاندزفول</v>
      </c>
      <c r="B545" s="12" t="s">
        <v>132</v>
      </c>
      <c r="C545" s="12" t="s">
        <v>141</v>
      </c>
      <c r="D545" s="12" t="s">
        <v>478</v>
      </c>
      <c r="E545" s="12">
        <v>3.2354939681195904E-2</v>
      </c>
      <c r="F545" s="12">
        <v>448865</v>
      </c>
      <c r="G545">
        <f t="shared" si="17"/>
        <v>14523</v>
      </c>
      <c r="H545" s="16" t="s">
        <v>723</v>
      </c>
    </row>
    <row r="546" spans="1:8">
      <c r="A546" t="str">
        <f t="shared" si="16"/>
        <v>خوزستاندزفول</v>
      </c>
      <c r="B546" s="12" t="s">
        <v>132</v>
      </c>
      <c r="C546" s="12" t="s">
        <v>141</v>
      </c>
      <c r="D546" s="12" t="s">
        <v>20</v>
      </c>
      <c r="E546" s="12">
        <v>2.8601027034854579E-2</v>
      </c>
      <c r="F546" s="12">
        <v>448865</v>
      </c>
      <c r="G546">
        <f t="shared" si="17"/>
        <v>12838</v>
      </c>
      <c r="H546" s="16" t="s">
        <v>723</v>
      </c>
    </row>
    <row r="547" spans="1:8">
      <c r="A547" t="str">
        <f t="shared" si="16"/>
        <v>خوزستاندشت آزادگان</v>
      </c>
      <c r="B547" s="12" t="s">
        <v>132</v>
      </c>
      <c r="C547" s="12" t="s">
        <v>142</v>
      </c>
      <c r="D547" s="12" t="s">
        <v>480</v>
      </c>
      <c r="E547" s="12">
        <v>0.53176727219401321</v>
      </c>
      <c r="F547" s="12">
        <v>109106</v>
      </c>
      <c r="G547">
        <f t="shared" si="17"/>
        <v>58019</v>
      </c>
      <c r="H547" s="16" t="s">
        <v>715</v>
      </c>
    </row>
    <row r="548" spans="1:8">
      <c r="A548" t="str">
        <f t="shared" si="16"/>
        <v>خوزستاندشت آزادگان</v>
      </c>
      <c r="B548" s="12" t="s">
        <v>132</v>
      </c>
      <c r="C548" s="12" t="s">
        <v>142</v>
      </c>
      <c r="D548" s="12" t="s">
        <v>479</v>
      </c>
      <c r="E548" s="12">
        <v>0.35079647315454693</v>
      </c>
      <c r="F548" s="12">
        <v>109106</v>
      </c>
      <c r="G548">
        <f t="shared" si="17"/>
        <v>38274</v>
      </c>
      <c r="H548" s="16" t="s">
        <v>715</v>
      </c>
    </row>
    <row r="549" spans="1:8">
      <c r="A549" t="str">
        <f t="shared" si="16"/>
        <v>خوزستاندشت آزادگان</v>
      </c>
      <c r="B549" s="12" t="s">
        <v>132</v>
      </c>
      <c r="C549" s="12" t="s">
        <v>142</v>
      </c>
      <c r="D549" s="12" t="s">
        <v>22</v>
      </c>
      <c r="E549" s="12">
        <v>7.1150990779608819E-2</v>
      </c>
      <c r="F549" s="12">
        <v>109106</v>
      </c>
      <c r="G549">
        <f t="shared" si="17"/>
        <v>7763</v>
      </c>
      <c r="H549" s="16" t="s">
        <v>715</v>
      </c>
    </row>
    <row r="550" spans="1:8">
      <c r="A550" t="str">
        <f t="shared" si="16"/>
        <v>خوزستاندشت آزادگان</v>
      </c>
      <c r="B550" s="12" t="s">
        <v>132</v>
      </c>
      <c r="C550" s="12" t="s">
        <v>142</v>
      </c>
      <c r="D550" s="12" t="s">
        <v>478</v>
      </c>
      <c r="E550" s="12">
        <v>2.5241508258024306E-2</v>
      </c>
      <c r="F550" s="12">
        <v>109106</v>
      </c>
      <c r="G550">
        <f t="shared" si="17"/>
        <v>2754</v>
      </c>
      <c r="H550" s="16" t="s">
        <v>715</v>
      </c>
    </row>
    <row r="551" spans="1:8">
      <c r="A551" t="str">
        <f t="shared" si="16"/>
        <v>خوزستاندشت آزادگان</v>
      </c>
      <c r="B551" s="12" t="s">
        <v>132</v>
      </c>
      <c r="C551" s="12" t="s">
        <v>142</v>
      </c>
      <c r="D551" s="12" t="s">
        <v>20</v>
      </c>
      <c r="E551" s="12">
        <v>2.1025424816233755E-2</v>
      </c>
      <c r="F551" s="12">
        <v>109106</v>
      </c>
      <c r="G551">
        <f t="shared" si="17"/>
        <v>2294</v>
      </c>
      <c r="H551" s="16" t="s">
        <v>715</v>
      </c>
    </row>
    <row r="552" spans="1:8">
      <c r="A552" t="str">
        <f t="shared" si="16"/>
        <v>خوزستانرامهرمز</v>
      </c>
      <c r="B552" s="12" t="s">
        <v>132</v>
      </c>
      <c r="C552" s="12" t="s">
        <v>143</v>
      </c>
      <c r="D552" s="12" t="s">
        <v>480</v>
      </c>
      <c r="E552" s="12">
        <v>0.4736271832878256</v>
      </c>
      <c r="F552" s="12">
        <v>115365</v>
      </c>
      <c r="G552">
        <f t="shared" si="17"/>
        <v>54640</v>
      </c>
      <c r="H552" s="16" t="s">
        <v>732</v>
      </c>
    </row>
    <row r="553" spans="1:8">
      <c r="A553" t="str">
        <f t="shared" si="16"/>
        <v>خوزستانرامهرمز</v>
      </c>
      <c r="B553" s="12" t="s">
        <v>132</v>
      </c>
      <c r="C553" s="12" t="s">
        <v>143</v>
      </c>
      <c r="D553" s="12" t="s">
        <v>479</v>
      </c>
      <c r="E553" s="12">
        <v>0.38064404282061282</v>
      </c>
      <c r="F553" s="12">
        <v>115365</v>
      </c>
      <c r="G553">
        <f t="shared" si="17"/>
        <v>43913</v>
      </c>
      <c r="H553" s="16" t="s">
        <v>732</v>
      </c>
    </row>
    <row r="554" spans="1:8">
      <c r="A554" t="str">
        <f t="shared" si="16"/>
        <v>خوزستانرامهرمز</v>
      </c>
      <c r="B554" s="12" t="s">
        <v>132</v>
      </c>
      <c r="C554" s="12" t="s">
        <v>143</v>
      </c>
      <c r="D554" s="12" t="s">
        <v>22</v>
      </c>
      <c r="E554" s="12">
        <v>8.750487582889091E-2</v>
      </c>
      <c r="F554" s="12">
        <v>115365</v>
      </c>
      <c r="G554">
        <f t="shared" si="17"/>
        <v>10095</v>
      </c>
      <c r="H554" s="16" t="s">
        <v>732</v>
      </c>
    </row>
    <row r="555" spans="1:8">
      <c r="A555" t="str">
        <f t="shared" si="16"/>
        <v>خوزستانرامهرمز</v>
      </c>
      <c r="B555" s="12" t="s">
        <v>132</v>
      </c>
      <c r="C555" s="12" t="s">
        <v>143</v>
      </c>
      <c r="D555" s="12" t="s">
        <v>478</v>
      </c>
      <c r="E555" s="12">
        <v>3.0624539505049193E-2</v>
      </c>
      <c r="F555" s="12">
        <v>115365</v>
      </c>
      <c r="G555">
        <f t="shared" si="17"/>
        <v>3533</v>
      </c>
      <c r="H555" s="16" t="s">
        <v>732</v>
      </c>
    </row>
    <row r="556" spans="1:8">
      <c r="A556" t="str">
        <f t="shared" si="16"/>
        <v>خوزستانرامهرمز</v>
      </c>
      <c r="B556" s="12" t="s">
        <v>132</v>
      </c>
      <c r="C556" s="12" t="s">
        <v>143</v>
      </c>
      <c r="D556" s="12" t="s">
        <v>20</v>
      </c>
      <c r="E556" s="12">
        <v>2.7590690417370951E-2</v>
      </c>
      <c r="F556" s="12">
        <v>115365</v>
      </c>
      <c r="G556">
        <f t="shared" si="17"/>
        <v>3183</v>
      </c>
      <c r="H556" s="16" t="s">
        <v>732</v>
      </c>
    </row>
    <row r="557" spans="1:8">
      <c r="A557" t="str">
        <f t="shared" si="16"/>
        <v>خوزستانشادگان</v>
      </c>
      <c r="B557" s="12" t="s">
        <v>132</v>
      </c>
      <c r="C557" s="12" t="s">
        <v>144</v>
      </c>
      <c r="D557" s="12" t="s">
        <v>480</v>
      </c>
      <c r="E557" s="12">
        <v>0.53257455431229117</v>
      </c>
      <c r="F557" s="12">
        <v>140401</v>
      </c>
      <c r="G557">
        <f t="shared" si="17"/>
        <v>74774</v>
      </c>
      <c r="H557" s="16" t="s">
        <v>717</v>
      </c>
    </row>
    <row r="558" spans="1:8">
      <c r="A558" t="str">
        <f t="shared" si="16"/>
        <v>خوزستانشادگان</v>
      </c>
      <c r="B558" s="12" t="s">
        <v>132</v>
      </c>
      <c r="C558" s="12" t="s">
        <v>144</v>
      </c>
      <c r="D558" s="12" t="s">
        <v>479</v>
      </c>
      <c r="E558" s="12">
        <v>0.35120120227063911</v>
      </c>
      <c r="F558" s="12">
        <v>140401</v>
      </c>
      <c r="G558">
        <f t="shared" si="17"/>
        <v>49309</v>
      </c>
      <c r="H558" s="16" t="s">
        <v>717</v>
      </c>
    </row>
    <row r="559" spans="1:8">
      <c r="A559" t="str">
        <f t="shared" si="16"/>
        <v>خوزستانشادگان</v>
      </c>
      <c r="B559" s="12" t="s">
        <v>132</v>
      </c>
      <c r="C559" s="12" t="s">
        <v>144</v>
      </c>
      <c r="D559" s="12" t="s">
        <v>22</v>
      </c>
      <c r="E559" s="12">
        <v>7.1865585002955826E-2</v>
      </c>
      <c r="F559" s="12">
        <v>140401</v>
      </c>
      <c r="G559">
        <f t="shared" si="17"/>
        <v>10090</v>
      </c>
      <c r="H559" s="16" t="s">
        <v>717</v>
      </c>
    </row>
    <row r="560" spans="1:8">
      <c r="A560" t="str">
        <f t="shared" si="16"/>
        <v>خوزستانشادگان</v>
      </c>
      <c r="B560" s="12" t="s">
        <v>132</v>
      </c>
      <c r="C560" s="12" t="s">
        <v>144</v>
      </c>
      <c r="D560" s="12" t="s">
        <v>478</v>
      </c>
      <c r="E560" s="12">
        <v>2.3119493450901345E-2</v>
      </c>
      <c r="F560" s="12">
        <v>140401</v>
      </c>
      <c r="G560">
        <f t="shared" si="17"/>
        <v>3246</v>
      </c>
      <c r="H560" s="16" t="s">
        <v>717</v>
      </c>
    </row>
    <row r="561" spans="1:8">
      <c r="A561" t="str">
        <f t="shared" si="16"/>
        <v>خوزستانشادگان</v>
      </c>
      <c r="B561" s="12" t="s">
        <v>132</v>
      </c>
      <c r="C561" s="12" t="s">
        <v>144</v>
      </c>
      <c r="D561" s="12" t="s">
        <v>20</v>
      </c>
      <c r="E561" s="12">
        <v>2.122492005042699E-2</v>
      </c>
      <c r="F561" s="12">
        <v>140401</v>
      </c>
      <c r="G561">
        <f t="shared" si="17"/>
        <v>2980</v>
      </c>
      <c r="H561" s="16" t="s">
        <v>717</v>
      </c>
    </row>
    <row r="562" spans="1:8">
      <c r="A562" t="str">
        <f t="shared" si="16"/>
        <v>خوزستانشوشتر</v>
      </c>
      <c r="B562" s="12" t="s">
        <v>132</v>
      </c>
      <c r="C562" s="12" t="s">
        <v>145</v>
      </c>
      <c r="D562" s="12" t="s">
        <v>480</v>
      </c>
      <c r="E562" s="12">
        <v>0.46650436404133538</v>
      </c>
      <c r="F562" s="12">
        <v>193055</v>
      </c>
      <c r="G562">
        <f t="shared" si="17"/>
        <v>90061</v>
      </c>
      <c r="H562" s="16" t="s">
        <v>729</v>
      </c>
    </row>
    <row r="563" spans="1:8">
      <c r="A563" t="str">
        <f t="shared" si="16"/>
        <v>خوزستانشوشتر</v>
      </c>
      <c r="B563" s="12" t="s">
        <v>132</v>
      </c>
      <c r="C563" s="12" t="s">
        <v>145</v>
      </c>
      <c r="D563" s="12" t="s">
        <v>479</v>
      </c>
      <c r="E563" s="12">
        <v>0.38578643391779543</v>
      </c>
      <c r="F563" s="12">
        <v>193055</v>
      </c>
      <c r="G563">
        <f t="shared" si="17"/>
        <v>74478</v>
      </c>
      <c r="H563" s="16" t="s">
        <v>729</v>
      </c>
    </row>
    <row r="564" spans="1:8">
      <c r="A564" t="str">
        <f t="shared" si="16"/>
        <v>خوزستانشوشتر</v>
      </c>
      <c r="B564" s="12" t="s">
        <v>132</v>
      </c>
      <c r="C564" s="12" t="s">
        <v>145</v>
      </c>
      <c r="D564" s="12" t="s">
        <v>22</v>
      </c>
      <c r="E564" s="12">
        <v>9.0326590867887385E-2</v>
      </c>
      <c r="F564" s="12">
        <v>193055</v>
      </c>
      <c r="G564">
        <f t="shared" si="17"/>
        <v>17438</v>
      </c>
      <c r="H564" s="16" t="s">
        <v>729</v>
      </c>
    </row>
    <row r="565" spans="1:8">
      <c r="A565" t="str">
        <f t="shared" si="16"/>
        <v>خوزستانشوشتر</v>
      </c>
      <c r="B565" s="12" t="s">
        <v>132</v>
      </c>
      <c r="C565" s="12" t="s">
        <v>145</v>
      </c>
      <c r="D565" s="12" t="s">
        <v>478</v>
      </c>
      <c r="E565" s="12">
        <v>3.0240087021833156E-2</v>
      </c>
      <c r="F565" s="12">
        <v>193055</v>
      </c>
      <c r="G565">
        <f t="shared" si="17"/>
        <v>5838</v>
      </c>
      <c r="H565" s="16" t="s">
        <v>729</v>
      </c>
    </row>
    <row r="566" spans="1:8">
      <c r="A566" t="str">
        <f t="shared" si="16"/>
        <v>خوزستانشوشتر</v>
      </c>
      <c r="B566" s="12" t="s">
        <v>132</v>
      </c>
      <c r="C566" s="12" t="s">
        <v>145</v>
      </c>
      <c r="D566" s="12" t="s">
        <v>20</v>
      </c>
      <c r="E566" s="12">
        <v>2.7152883893191058E-2</v>
      </c>
      <c r="F566" s="12">
        <v>193055</v>
      </c>
      <c r="G566">
        <f t="shared" si="17"/>
        <v>5242</v>
      </c>
      <c r="H566" s="16" t="s">
        <v>729</v>
      </c>
    </row>
    <row r="567" spans="1:8">
      <c r="A567" t="str">
        <f t="shared" si="16"/>
        <v>خوزستانمسجدسليمان</v>
      </c>
      <c r="B567" s="12" t="s">
        <v>132</v>
      </c>
      <c r="C567" s="12" t="s">
        <v>146</v>
      </c>
      <c r="D567" s="12" t="s">
        <v>480</v>
      </c>
      <c r="E567" s="12">
        <v>0.44257201865897516</v>
      </c>
      <c r="F567" s="12">
        <v>112332</v>
      </c>
      <c r="G567">
        <f t="shared" si="17"/>
        <v>49715</v>
      </c>
      <c r="H567" s="16" t="s">
        <v>733</v>
      </c>
    </row>
    <row r="568" spans="1:8">
      <c r="A568" t="str">
        <f t="shared" si="16"/>
        <v>خوزستانمسجدسليمان</v>
      </c>
      <c r="B568" s="12" t="s">
        <v>132</v>
      </c>
      <c r="C568" s="12" t="s">
        <v>146</v>
      </c>
      <c r="D568" s="12" t="s">
        <v>479</v>
      </c>
      <c r="E568" s="12">
        <v>0.39189189189189189</v>
      </c>
      <c r="F568" s="12">
        <v>112332</v>
      </c>
      <c r="G568">
        <f t="shared" si="17"/>
        <v>44022</v>
      </c>
      <c r="H568" s="16" t="s">
        <v>733</v>
      </c>
    </row>
    <row r="569" spans="1:8">
      <c r="A569" t="str">
        <f t="shared" si="16"/>
        <v>خوزستانمسجدسليمان</v>
      </c>
      <c r="B569" s="12" t="s">
        <v>132</v>
      </c>
      <c r="C569" s="12" t="s">
        <v>146</v>
      </c>
      <c r="D569" s="12" t="s">
        <v>22</v>
      </c>
      <c r="E569" s="12">
        <v>9.6998183954705691E-2</v>
      </c>
      <c r="F569" s="12">
        <v>112332</v>
      </c>
      <c r="G569">
        <f t="shared" si="17"/>
        <v>10896</v>
      </c>
      <c r="H569" s="16" t="s">
        <v>733</v>
      </c>
    </row>
    <row r="570" spans="1:8">
      <c r="A570" t="str">
        <f t="shared" si="16"/>
        <v>خوزستانمسجدسليمان</v>
      </c>
      <c r="B570" s="12" t="s">
        <v>132</v>
      </c>
      <c r="C570" s="12" t="s">
        <v>146</v>
      </c>
      <c r="D570" s="12" t="s">
        <v>478</v>
      </c>
      <c r="E570" s="12">
        <v>3.4887654452871841E-2</v>
      </c>
      <c r="F570" s="12">
        <v>112332</v>
      </c>
      <c r="G570">
        <f t="shared" si="17"/>
        <v>3919</v>
      </c>
      <c r="H570" s="16" t="s">
        <v>733</v>
      </c>
    </row>
    <row r="571" spans="1:8">
      <c r="A571" t="str">
        <f t="shared" si="16"/>
        <v>خوزستانمسجدسليمان</v>
      </c>
      <c r="B571" s="12" t="s">
        <v>132</v>
      </c>
      <c r="C571" s="12" t="s">
        <v>146</v>
      </c>
      <c r="D571" s="12" t="s">
        <v>20</v>
      </c>
      <c r="E571" s="12">
        <v>3.365025104155539E-2</v>
      </c>
      <c r="F571" s="12">
        <v>112332</v>
      </c>
      <c r="G571">
        <f t="shared" si="17"/>
        <v>3780</v>
      </c>
      <c r="H571" s="16" t="s">
        <v>733</v>
      </c>
    </row>
    <row r="572" spans="1:8">
      <c r="A572" t="str">
        <f t="shared" si="16"/>
        <v>خوزستانشوش</v>
      </c>
      <c r="B572" s="12" t="s">
        <v>132</v>
      </c>
      <c r="C572" s="12" t="s">
        <v>147</v>
      </c>
      <c r="D572" s="12" t="s">
        <v>480</v>
      </c>
      <c r="E572" s="12">
        <v>0.49161675206273603</v>
      </c>
      <c r="F572" s="12">
        <v>207855</v>
      </c>
      <c r="G572">
        <f t="shared" si="17"/>
        <v>102185</v>
      </c>
      <c r="H572" s="16" t="s">
        <v>714</v>
      </c>
    </row>
    <row r="573" spans="1:8">
      <c r="A573" t="str">
        <f t="shared" si="16"/>
        <v>خوزستانشوش</v>
      </c>
      <c r="B573" s="12" t="s">
        <v>132</v>
      </c>
      <c r="C573" s="12" t="s">
        <v>147</v>
      </c>
      <c r="D573" s="12" t="s">
        <v>479</v>
      </c>
      <c r="E573" s="12">
        <v>0.37950494334993146</v>
      </c>
      <c r="F573" s="12">
        <v>207855</v>
      </c>
      <c r="G573">
        <f t="shared" si="17"/>
        <v>78882</v>
      </c>
      <c r="H573" s="16" t="s">
        <v>714</v>
      </c>
    </row>
    <row r="574" spans="1:8">
      <c r="A574" t="str">
        <f t="shared" si="16"/>
        <v>خوزستانشوش</v>
      </c>
      <c r="B574" s="12" t="s">
        <v>132</v>
      </c>
      <c r="C574" s="12" t="s">
        <v>147</v>
      </c>
      <c r="D574" s="12" t="s">
        <v>22</v>
      </c>
      <c r="E574" s="12">
        <v>7.9290851795722983E-2</v>
      </c>
      <c r="F574" s="12">
        <v>207855</v>
      </c>
      <c r="G574">
        <f t="shared" si="17"/>
        <v>16481</v>
      </c>
      <c r="H574" s="16" t="s">
        <v>714</v>
      </c>
    </row>
    <row r="575" spans="1:8">
      <c r="A575" t="str">
        <f t="shared" si="16"/>
        <v>خوزستانشوش</v>
      </c>
      <c r="B575" s="12" t="s">
        <v>132</v>
      </c>
      <c r="C575" s="12" t="s">
        <v>147</v>
      </c>
      <c r="D575" s="12" t="s">
        <v>478</v>
      </c>
      <c r="E575" s="12">
        <v>2.6157657982728344E-2</v>
      </c>
      <c r="F575" s="12">
        <v>207855</v>
      </c>
      <c r="G575">
        <f t="shared" si="17"/>
        <v>5437</v>
      </c>
      <c r="H575" s="16" t="s">
        <v>714</v>
      </c>
    </row>
    <row r="576" spans="1:8">
      <c r="A576" t="str">
        <f t="shared" si="16"/>
        <v>خوزستانشوش</v>
      </c>
      <c r="B576" s="12" t="s">
        <v>132</v>
      </c>
      <c r="C576" s="12" t="s">
        <v>147</v>
      </c>
      <c r="D576" s="12" t="s">
        <v>20</v>
      </c>
      <c r="E576" s="12">
        <v>2.3405739578071252E-2</v>
      </c>
      <c r="F576" s="12">
        <v>207855</v>
      </c>
      <c r="G576">
        <f t="shared" si="17"/>
        <v>4865</v>
      </c>
      <c r="H576" s="16" t="s">
        <v>714</v>
      </c>
    </row>
    <row r="577" spans="1:8">
      <c r="A577" t="str">
        <f t="shared" si="16"/>
        <v>خوزستانباغ ملک</v>
      </c>
      <c r="B577" s="12" t="s">
        <v>132</v>
      </c>
      <c r="C577" s="12" t="s">
        <v>148</v>
      </c>
      <c r="D577" s="12" t="s">
        <v>480</v>
      </c>
      <c r="E577" s="12">
        <v>0.51839209436969003</v>
      </c>
      <c r="F577" s="12">
        <v>106051</v>
      </c>
      <c r="G577">
        <f t="shared" si="17"/>
        <v>54976</v>
      </c>
      <c r="H577" s="16" t="s">
        <v>724</v>
      </c>
    </row>
    <row r="578" spans="1:8">
      <c r="A578" t="str">
        <f t="shared" ref="A578:A641" si="18">B578&amp;C578</f>
        <v>خوزستانباغ ملک</v>
      </c>
      <c r="B578" s="12" t="s">
        <v>132</v>
      </c>
      <c r="C578" s="12" t="s">
        <v>148</v>
      </c>
      <c r="D578" s="12" t="s">
        <v>479</v>
      </c>
      <c r="E578" s="12">
        <v>0.34472093615336019</v>
      </c>
      <c r="F578" s="12">
        <v>106051</v>
      </c>
      <c r="G578">
        <f t="shared" si="17"/>
        <v>36558</v>
      </c>
      <c r="H578" s="16" t="s">
        <v>724</v>
      </c>
    </row>
    <row r="579" spans="1:8">
      <c r="A579" t="str">
        <f t="shared" si="18"/>
        <v>خوزستانباغ ملک</v>
      </c>
      <c r="B579" s="12" t="s">
        <v>132</v>
      </c>
      <c r="C579" s="12" t="s">
        <v>148</v>
      </c>
      <c r="D579" s="12" t="s">
        <v>22</v>
      </c>
      <c r="E579" s="12">
        <v>7.9405191841661088E-2</v>
      </c>
      <c r="F579" s="12">
        <v>106051</v>
      </c>
      <c r="G579">
        <f t="shared" ref="G579:G642" si="19">IFERROR(ROUND(F579*E579,0),0)</f>
        <v>8421</v>
      </c>
      <c r="H579" s="16" t="s">
        <v>724</v>
      </c>
    </row>
    <row r="580" spans="1:8">
      <c r="A580" t="str">
        <f t="shared" si="18"/>
        <v>خوزستانباغ ملک</v>
      </c>
      <c r="B580" s="12" t="s">
        <v>132</v>
      </c>
      <c r="C580" s="12" t="s">
        <v>148</v>
      </c>
      <c r="D580" s="12" t="s">
        <v>478</v>
      </c>
      <c r="E580" s="12">
        <v>2.8307135246249445E-2</v>
      </c>
      <c r="F580" s="12">
        <v>106051</v>
      </c>
      <c r="G580">
        <f t="shared" si="19"/>
        <v>3002</v>
      </c>
      <c r="H580" s="16" t="s">
        <v>724</v>
      </c>
    </row>
    <row r="581" spans="1:8">
      <c r="A581" t="str">
        <f t="shared" si="18"/>
        <v>خوزستانباغ ملک</v>
      </c>
      <c r="B581" s="12" t="s">
        <v>132</v>
      </c>
      <c r="C581" s="12" t="s">
        <v>148</v>
      </c>
      <c r="D581" s="12" t="s">
        <v>20</v>
      </c>
      <c r="E581" s="12">
        <v>2.9221789516364768E-2</v>
      </c>
      <c r="F581" s="12">
        <v>106051</v>
      </c>
      <c r="G581">
        <f t="shared" si="19"/>
        <v>3099</v>
      </c>
      <c r="H581" s="16" t="s">
        <v>724</v>
      </c>
    </row>
    <row r="582" spans="1:8">
      <c r="A582" t="str">
        <f t="shared" si="18"/>
        <v>خوزستاناميديه</v>
      </c>
      <c r="B582" s="12" t="s">
        <v>132</v>
      </c>
      <c r="C582" s="12" t="s">
        <v>149</v>
      </c>
      <c r="D582" s="12" t="s">
        <v>480</v>
      </c>
      <c r="E582" s="12">
        <v>0.46156241610738252</v>
      </c>
      <c r="F582" s="12">
        <v>93125</v>
      </c>
      <c r="G582">
        <f t="shared" si="19"/>
        <v>42983</v>
      </c>
      <c r="H582" s="16" t="s">
        <v>734</v>
      </c>
    </row>
    <row r="583" spans="1:8">
      <c r="A583" t="str">
        <f t="shared" si="18"/>
        <v>خوزستاناميديه</v>
      </c>
      <c r="B583" s="12" t="s">
        <v>132</v>
      </c>
      <c r="C583" s="12" t="s">
        <v>149</v>
      </c>
      <c r="D583" s="12" t="s">
        <v>479</v>
      </c>
      <c r="E583" s="12">
        <v>0.39818523489932883</v>
      </c>
      <c r="F583" s="12">
        <v>93125</v>
      </c>
      <c r="G583">
        <f t="shared" si="19"/>
        <v>37081</v>
      </c>
      <c r="H583" s="16" t="s">
        <v>734</v>
      </c>
    </row>
    <row r="584" spans="1:8">
      <c r="A584" t="str">
        <f t="shared" si="18"/>
        <v>خوزستاناميديه</v>
      </c>
      <c r="B584" s="12" t="s">
        <v>132</v>
      </c>
      <c r="C584" s="12" t="s">
        <v>149</v>
      </c>
      <c r="D584" s="12" t="s">
        <v>22</v>
      </c>
      <c r="E584" s="12">
        <v>8.8955704697986582E-2</v>
      </c>
      <c r="F584" s="12">
        <v>93125</v>
      </c>
      <c r="G584">
        <f t="shared" si="19"/>
        <v>8284</v>
      </c>
      <c r="H584" s="16" t="s">
        <v>734</v>
      </c>
    </row>
    <row r="585" spans="1:8">
      <c r="A585" t="str">
        <f t="shared" si="18"/>
        <v>خوزستاناميديه</v>
      </c>
      <c r="B585" s="12" t="s">
        <v>132</v>
      </c>
      <c r="C585" s="12" t="s">
        <v>149</v>
      </c>
      <c r="D585" s="12" t="s">
        <v>478</v>
      </c>
      <c r="E585" s="12">
        <v>2.8467114093959731E-2</v>
      </c>
      <c r="F585" s="12">
        <v>93125</v>
      </c>
      <c r="G585">
        <f t="shared" si="19"/>
        <v>2651</v>
      </c>
      <c r="H585" s="16" t="s">
        <v>734</v>
      </c>
    </row>
    <row r="586" spans="1:8">
      <c r="A586" t="str">
        <f t="shared" si="18"/>
        <v>خوزستاناميديه</v>
      </c>
      <c r="B586" s="12" t="s">
        <v>132</v>
      </c>
      <c r="C586" s="12" t="s">
        <v>149</v>
      </c>
      <c r="D586" s="12" t="s">
        <v>20</v>
      </c>
      <c r="E586" s="12">
        <v>2.2883221476510066E-2</v>
      </c>
      <c r="F586" s="12">
        <v>93125</v>
      </c>
      <c r="G586">
        <f t="shared" si="19"/>
        <v>2131</v>
      </c>
      <c r="H586" s="16" t="s">
        <v>734</v>
      </c>
    </row>
    <row r="587" spans="1:8">
      <c r="A587" t="str">
        <f t="shared" si="18"/>
        <v>خوزستانلالي</v>
      </c>
      <c r="B587" s="12" t="s">
        <v>132</v>
      </c>
      <c r="C587" s="12" t="s">
        <v>150</v>
      </c>
      <c r="D587" s="12" t="s">
        <v>480</v>
      </c>
      <c r="E587" s="12">
        <v>0.51255546854607148</v>
      </c>
      <c r="F587" s="12">
        <v>38310</v>
      </c>
      <c r="G587">
        <f t="shared" si="19"/>
        <v>19636</v>
      </c>
      <c r="H587" s="16" t="s">
        <v>735</v>
      </c>
    </row>
    <row r="588" spans="1:8">
      <c r="A588" t="str">
        <f t="shared" si="18"/>
        <v>خوزستانلالي</v>
      </c>
      <c r="B588" s="12" t="s">
        <v>132</v>
      </c>
      <c r="C588" s="12" t="s">
        <v>150</v>
      </c>
      <c r="D588" s="12" t="s">
        <v>479</v>
      </c>
      <c r="E588" s="12">
        <v>0.34701122422344033</v>
      </c>
      <c r="F588" s="12">
        <v>38310</v>
      </c>
      <c r="G588">
        <f t="shared" si="19"/>
        <v>13294</v>
      </c>
      <c r="H588" s="16" t="s">
        <v>735</v>
      </c>
    </row>
    <row r="589" spans="1:8">
      <c r="A589" t="str">
        <f t="shared" si="18"/>
        <v>خوزستانلالي</v>
      </c>
      <c r="B589" s="12" t="s">
        <v>132</v>
      </c>
      <c r="C589" s="12" t="s">
        <v>150</v>
      </c>
      <c r="D589" s="12" t="s">
        <v>22</v>
      </c>
      <c r="E589" s="12">
        <v>7.9770294962150878E-2</v>
      </c>
      <c r="F589" s="12">
        <v>38310</v>
      </c>
      <c r="G589">
        <f t="shared" si="19"/>
        <v>3056</v>
      </c>
      <c r="H589" s="16" t="s">
        <v>735</v>
      </c>
    </row>
    <row r="590" spans="1:8">
      <c r="A590" t="str">
        <f t="shared" si="18"/>
        <v>خوزستانلالي</v>
      </c>
      <c r="B590" s="12" t="s">
        <v>132</v>
      </c>
      <c r="C590" s="12" t="s">
        <v>150</v>
      </c>
      <c r="D590" s="12" t="s">
        <v>478</v>
      </c>
      <c r="E590" s="12">
        <v>2.9548420777864789E-2</v>
      </c>
      <c r="F590" s="12">
        <v>38310</v>
      </c>
      <c r="G590">
        <f t="shared" si="19"/>
        <v>1132</v>
      </c>
      <c r="H590" s="16" t="s">
        <v>735</v>
      </c>
    </row>
    <row r="591" spans="1:8">
      <c r="A591" t="str">
        <f t="shared" si="18"/>
        <v>خوزستانلالي</v>
      </c>
      <c r="B591" s="12" t="s">
        <v>132</v>
      </c>
      <c r="C591" s="12" t="s">
        <v>150</v>
      </c>
      <c r="D591" s="12" t="s">
        <v>20</v>
      </c>
      <c r="E591" s="12">
        <v>3.0931871574001565E-2</v>
      </c>
      <c r="F591" s="12">
        <v>38310</v>
      </c>
      <c r="G591">
        <f t="shared" si="19"/>
        <v>1185</v>
      </c>
      <c r="H591" s="16" t="s">
        <v>735</v>
      </c>
    </row>
    <row r="592" spans="1:8">
      <c r="A592" t="str">
        <f t="shared" si="18"/>
        <v>خوزستانهنديجان</v>
      </c>
      <c r="B592" s="12" t="s">
        <v>132</v>
      </c>
      <c r="C592" s="12" t="s">
        <v>151</v>
      </c>
      <c r="D592" s="12" t="s">
        <v>480</v>
      </c>
      <c r="E592" s="12">
        <v>0.45993807098804923</v>
      </c>
      <c r="F592" s="12">
        <v>39077</v>
      </c>
      <c r="G592">
        <f t="shared" si="19"/>
        <v>17973</v>
      </c>
      <c r="H592" s="16" t="s">
        <v>716</v>
      </c>
    </row>
    <row r="593" spans="1:8">
      <c r="A593" t="str">
        <f t="shared" si="18"/>
        <v>خوزستانهنديجان</v>
      </c>
      <c r="B593" s="12" t="s">
        <v>132</v>
      </c>
      <c r="C593" s="12" t="s">
        <v>151</v>
      </c>
      <c r="D593" s="12" t="s">
        <v>479</v>
      </c>
      <c r="E593" s="12">
        <v>0.38767049671162063</v>
      </c>
      <c r="F593" s="12">
        <v>39077</v>
      </c>
      <c r="G593">
        <f t="shared" si="19"/>
        <v>15149</v>
      </c>
      <c r="H593" s="16" t="s">
        <v>716</v>
      </c>
    </row>
    <row r="594" spans="1:8">
      <c r="A594" t="str">
        <f t="shared" si="18"/>
        <v>خوزستانهنديجان</v>
      </c>
      <c r="B594" s="12" t="s">
        <v>132</v>
      </c>
      <c r="C594" s="12" t="s">
        <v>151</v>
      </c>
      <c r="D594" s="12" t="s">
        <v>22</v>
      </c>
      <c r="E594" s="12">
        <v>8.8594313790720886E-2</v>
      </c>
      <c r="F594" s="12">
        <v>39077</v>
      </c>
      <c r="G594">
        <f t="shared" si="19"/>
        <v>3462</v>
      </c>
      <c r="H594" s="16" t="s">
        <v>716</v>
      </c>
    </row>
    <row r="595" spans="1:8">
      <c r="A595" t="str">
        <f t="shared" si="18"/>
        <v>خوزستانهنديجان</v>
      </c>
      <c r="B595" s="12" t="s">
        <v>132</v>
      </c>
      <c r="C595" s="12" t="s">
        <v>151</v>
      </c>
      <c r="D595" s="12" t="s">
        <v>478</v>
      </c>
      <c r="E595" s="12">
        <v>3.2602298026972384E-2</v>
      </c>
      <c r="F595" s="12">
        <v>39077</v>
      </c>
      <c r="G595">
        <f t="shared" si="19"/>
        <v>1274</v>
      </c>
      <c r="H595" s="16" t="s">
        <v>716</v>
      </c>
    </row>
    <row r="596" spans="1:8">
      <c r="A596" t="str">
        <f t="shared" si="18"/>
        <v>خوزستانهنديجان</v>
      </c>
      <c r="B596" s="12" t="s">
        <v>132</v>
      </c>
      <c r="C596" s="12" t="s">
        <v>151</v>
      </c>
      <c r="D596" s="12" t="s">
        <v>20</v>
      </c>
      <c r="E596" s="12">
        <v>3.1041277477800239E-2</v>
      </c>
      <c r="F596" s="12">
        <v>39077</v>
      </c>
      <c r="G596">
        <f t="shared" si="19"/>
        <v>1213</v>
      </c>
      <c r="H596" s="16" t="s">
        <v>716</v>
      </c>
    </row>
    <row r="597" spans="1:8">
      <c r="A597" t="str">
        <f t="shared" si="18"/>
        <v>خوزستانرامشير</v>
      </c>
      <c r="B597" s="12" t="s">
        <v>132</v>
      </c>
      <c r="C597" s="12" t="s">
        <v>152</v>
      </c>
      <c r="D597" s="12" t="s">
        <v>480</v>
      </c>
      <c r="E597" s="12">
        <v>0.50430372248856969</v>
      </c>
      <c r="F597" s="12">
        <v>54023</v>
      </c>
      <c r="G597">
        <f t="shared" si="19"/>
        <v>27244</v>
      </c>
      <c r="H597" s="16" t="s">
        <v>712</v>
      </c>
    </row>
    <row r="598" spans="1:8">
      <c r="A598" t="str">
        <f t="shared" si="18"/>
        <v>خوزستانرامشير</v>
      </c>
      <c r="B598" s="12" t="s">
        <v>132</v>
      </c>
      <c r="C598" s="12" t="s">
        <v>152</v>
      </c>
      <c r="D598" s="12" t="s">
        <v>479</v>
      </c>
      <c r="E598" s="12">
        <v>0.36952779371749067</v>
      </c>
      <c r="F598" s="12">
        <v>54023</v>
      </c>
      <c r="G598">
        <f t="shared" si="19"/>
        <v>19963</v>
      </c>
      <c r="H598" s="16" t="s">
        <v>712</v>
      </c>
    </row>
    <row r="599" spans="1:8">
      <c r="A599" t="str">
        <f t="shared" si="18"/>
        <v>خوزستانرامشير</v>
      </c>
      <c r="B599" s="12" t="s">
        <v>132</v>
      </c>
      <c r="C599" s="12" t="s">
        <v>152</v>
      </c>
      <c r="D599" s="12" t="s">
        <v>22</v>
      </c>
      <c r="E599" s="12">
        <v>7.7115302741424946E-2</v>
      </c>
      <c r="F599" s="12">
        <v>54023</v>
      </c>
      <c r="G599">
        <f t="shared" si="19"/>
        <v>4166</v>
      </c>
      <c r="H599" s="16" t="s">
        <v>712</v>
      </c>
    </row>
    <row r="600" spans="1:8">
      <c r="A600" t="str">
        <f t="shared" si="18"/>
        <v>خوزستانرامشير</v>
      </c>
      <c r="B600" s="12" t="s">
        <v>132</v>
      </c>
      <c r="C600" s="12" t="s">
        <v>152</v>
      </c>
      <c r="D600" s="12" t="s">
        <v>478</v>
      </c>
      <c r="E600" s="12">
        <v>2.6988504896062786E-2</v>
      </c>
      <c r="F600" s="12">
        <v>54023</v>
      </c>
      <c r="G600">
        <f t="shared" si="19"/>
        <v>1458</v>
      </c>
      <c r="H600" s="16" t="s">
        <v>712</v>
      </c>
    </row>
    <row r="601" spans="1:8">
      <c r="A601" t="str">
        <f t="shared" si="18"/>
        <v>خوزستانرامشير</v>
      </c>
      <c r="B601" s="12" t="s">
        <v>132</v>
      </c>
      <c r="C601" s="12" t="s">
        <v>152</v>
      </c>
      <c r="D601" s="12" t="s">
        <v>20</v>
      </c>
      <c r="E601" s="12">
        <v>2.2027654887733002E-2</v>
      </c>
      <c r="F601" s="12">
        <v>54023</v>
      </c>
      <c r="G601">
        <f t="shared" si="19"/>
        <v>1190</v>
      </c>
      <c r="H601" s="16" t="s">
        <v>712</v>
      </c>
    </row>
    <row r="602" spans="1:8">
      <c r="A602" t="str">
        <f t="shared" si="18"/>
        <v>خوزستانگتوند</v>
      </c>
      <c r="B602" s="12" t="s">
        <v>132</v>
      </c>
      <c r="C602" s="12" t="s">
        <v>153</v>
      </c>
      <c r="D602" s="12" t="s">
        <v>480</v>
      </c>
      <c r="E602" s="12">
        <v>0.47271229594129099</v>
      </c>
      <c r="F602" s="12">
        <v>66770</v>
      </c>
      <c r="G602">
        <f t="shared" si="19"/>
        <v>31563</v>
      </c>
      <c r="H602" s="16" t="s">
        <v>726</v>
      </c>
    </row>
    <row r="603" spans="1:8">
      <c r="A603" t="str">
        <f t="shared" si="18"/>
        <v>خوزستانگتوند</v>
      </c>
      <c r="B603" s="12" t="s">
        <v>132</v>
      </c>
      <c r="C603" s="12" t="s">
        <v>153</v>
      </c>
      <c r="D603" s="12" t="s">
        <v>479</v>
      </c>
      <c r="E603" s="12">
        <v>0.38394488542758726</v>
      </c>
      <c r="F603" s="12">
        <v>66770</v>
      </c>
      <c r="G603">
        <f t="shared" si="19"/>
        <v>25636</v>
      </c>
      <c r="H603" s="16" t="s">
        <v>726</v>
      </c>
    </row>
    <row r="604" spans="1:8">
      <c r="A604" t="str">
        <f t="shared" si="18"/>
        <v>خوزستانگتوند</v>
      </c>
      <c r="B604" s="12" t="s">
        <v>132</v>
      </c>
      <c r="C604" s="12" t="s">
        <v>153</v>
      </c>
      <c r="D604" s="12" t="s">
        <v>22</v>
      </c>
      <c r="E604" s="12">
        <v>8.4199490789276618E-2</v>
      </c>
      <c r="F604" s="12">
        <v>66770</v>
      </c>
      <c r="G604">
        <f t="shared" si="19"/>
        <v>5622</v>
      </c>
      <c r="H604" s="16" t="s">
        <v>726</v>
      </c>
    </row>
    <row r="605" spans="1:8">
      <c r="A605" t="str">
        <f t="shared" si="18"/>
        <v>خوزستانگتوند</v>
      </c>
      <c r="B605" s="12" t="s">
        <v>132</v>
      </c>
      <c r="C605" s="12" t="s">
        <v>153</v>
      </c>
      <c r="D605" s="12" t="s">
        <v>478</v>
      </c>
      <c r="E605" s="12">
        <v>2.9728920173730716E-2</v>
      </c>
      <c r="F605" s="12">
        <v>66770</v>
      </c>
      <c r="G605">
        <f t="shared" si="19"/>
        <v>1985</v>
      </c>
      <c r="H605" s="16" t="s">
        <v>726</v>
      </c>
    </row>
    <row r="606" spans="1:8">
      <c r="A606" t="str">
        <f t="shared" si="18"/>
        <v>خوزستانگتوند</v>
      </c>
      <c r="B606" s="12" t="s">
        <v>132</v>
      </c>
      <c r="C606" s="12" t="s">
        <v>153</v>
      </c>
      <c r="D606" s="12" t="s">
        <v>20</v>
      </c>
      <c r="E606" s="12">
        <v>2.9384454096150966E-2</v>
      </c>
      <c r="F606" s="12">
        <v>66770</v>
      </c>
      <c r="G606">
        <f t="shared" si="19"/>
        <v>1962</v>
      </c>
      <c r="H606" s="16" t="s">
        <v>726</v>
      </c>
    </row>
    <row r="607" spans="1:8">
      <c r="A607" t="str">
        <f t="shared" si="18"/>
        <v>خوزستانانديکا</v>
      </c>
      <c r="B607" s="12" t="s">
        <v>132</v>
      </c>
      <c r="C607" s="12" t="s">
        <v>154</v>
      </c>
      <c r="D607" s="12" t="s">
        <v>480</v>
      </c>
      <c r="E607" s="12">
        <v>0.52240336521356967</v>
      </c>
      <c r="F607" s="12">
        <v>47783</v>
      </c>
      <c r="G607">
        <f t="shared" si="19"/>
        <v>24962</v>
      </c>
      <c r="H607" s="16" t="s">
        <v>718</v>
      </c>
    </row>
    <row r="608" spans="1:8">
      <c r="A608" t="str">
        <f t="shared" si="18"/>
        <v>خوزستانانديکا</v>
      </c>
      <c r="B608" s="12" t="s">
        <v>132</v>
      </c>
      <c r="C608" s="12" t="s">
        <v>154</v>
      </c>
      <c r="D608" s="12" t="s">
        <v>479</v>
      </c>
      <c r="E608" s="12">
        <v>0.33319381369943285</v>
      </c>
      <c r="F608" s="12">
        <v>47783</v>
      </c>
      <c r="G608">
        <f t="shared" si="19"/>
        <v>15921</v>
      </c>
      <c r="H608" s="16" t="s">
        <v>718</v>
      </c>
    </row>
    <row r="609" spans="1:8">
      <c r="A609" t="str">
        <f t="shared" si="18"/>
        <v>خوزستانانديکا</v>
      </c>
      <c r="B609" s="12" t="s">
        <v>132</v>
      </c>
      <c r="C609" s="12" t="s">
        <v>154</v>
      </c>
      <c r="D609" s="12" t="s">
        <v>22</v>
      </c>
      <c r="E609" s="12">
        <v>8.0363309126676857E-2</v>
      </c>
      <c r="F609" s="12">
        <v>47783</v>
      </c>
      <c r="G609">
        <f t="shared" si="19"/>
        <v>3840</v>
      </c>
      <c r="H609" s="16" t="s">
        <v>718</v>
      </c>
    </row>
    <row r="610" spans="1:8">
      <c r="A610" t="str">
        <f t="shared" si="18"/>
        <v>خوزستانانديکا</v>
      </c>
      <c r="B610" s="12" t="s">
        <v>132</v>
      </c>
      <c r="C610" s="12" t="s">
        <v>154</v>
      </c>
      <c r="D610" s="12" t="s">
        <v>478</v>
      </c>
      <c r="E610" s="12">
        <v>3.0868719000481343E-2</v>
      </c>
      <c r="F610" s="12">
        <v>47783</v>
      </c>
      <c r="G610">
        <f t="shared" si="19"/>
        <v>1475</v>
      </c>
      <c r="H610" s="16" t="s">
        <v>718</v>
      </c>
    </row>
    <row r="611" spans="1:8">
      <c r="A611" t="str">
        <f t="shared" si="18"/>
        <v>خوزستانانديکا</v>
      </c>
      <c r="B611" s="12" t="s">
        <v>132</v>
      </c>
      <c r="C611" s="12" t="s">
        <v>154</v>
      </c>
      <c r="D611" s="12" t="s">
        <v>20</v>
      </c>
      <c r="E611" s="12">
        <v>3.3254504740179561E-2</v>
      </c>
      <c r="F611" s="12">
        <v>47783</v>
      </c>
      <c r="G611">
        <f t="shared" si="19"/>
        <v>1589</v>
      </c>
      <c r="H611" s="16" t="s">
        <v>718</v>
      </c>
    </row>
    <row r="612" spans="1:8">
      <c r="A612" t="str">
        <f t="shared" si="18"/>
        <v>خوزستانهفتگل</v>
      </c>
      <c r="B612" s="12" t="s">
        <v>132</v>
      </c>
      <c r="C612" s="12" t="s">
        <v>155</v>
      </c>
      <c r="D612" s="12" t="s">
        <v>480</v>
      </c>
      <c r="E612" s="12">
        <v>0.45181896434558055</v>
      </c>
      <c r="F612" s="12">
        <v>22073</v>
      </c>
      <c r="G612">
        <f t="shared" si="19"/>
        <v>9973</v>
      </c>
      <c r="H612" s="16" t="s">
        <v>737</v>
      </c>
    </row>
    <row r="613" spans="1:8">
      <c r="A613" t="str">
        <f t="shared" si="18"/>
        <v>خوزستانهفتگل</v>
      </c>
      <c r="B613" s="12" t="s">
        <v>132</v>
      </c>
      <c r="C613" s="12" t="s">
        <v>155</v>
      </c>
      <c r="D613" s="12" t="s">
        <v>479</v>
      </c>
      <c r="E613" s="12">
        <v>0.38821184252253887</v>
      </c>
      <c r="F613" s="12">
        <v>22073</v>
      </c>
      <c r="G613">
        <f t="shared" si="19"/>
        <v>8569</v>
      </c>
      <c r="H613" s="16" t="s">
        <v>737</v>
      </c>
    </row>
    <row r="614" spans="1:8">
      <c r="A614" t="str">
        <f t="shared" si="18"/>
        <v>خوزستانهفتگل</v>
      </c>
      <c r="B614" s="12" t="s">
        <v>132</v>
      </c>
      <c r="C614" s="12" t="s">
        <v>155</v>
      </c>
      <c r="D614" s="12" t="s">
        <v>22</v>
      </c>
      <c r="E614" s="12">
        <v>9.2692429665201831E-2</v>
      </c>
      <c r="F614" s="12">
        <v>22073</v>
      </c>
      <c r="G614">
        <f t="shared" si="19"/>
        <v>2046</v>
      </c>
      <c r="H614" s="16" t="s">
        <v>737</v>
      </c>
    </row>
    <row r="615" spans="1:8">
      <c r="A615" t="str">
        <f t="shared" si="18"/>
        <v>خوزستانهفتگل</v>
      </c>
      <c r="B615" s="12" t="s">
        <v>132</v>
      </c>
      <c r="C615" s="12" t="s">
        <v>155</v>
      </c>
      <c r="D615" s="12" t="s">
        <v>478</v>
      </c>
      <c r="E615" s="12">
        <v>3.4159380238300188E-2</v>
      </c>
      <c r="F615" s="12">
        <v>22073</v>
      </c>
      <c r="G615">
        <f t="shared" si="19"/>
        <v>754</v>
      </c>
      <c r="H615" s="16" t="s">
        <v>737</v>
      </c>
    </row>
    <row r="616" spans="1:8">
      <c r="A616" t="str">
        <f t="shared" si="18"/>
        <v>خوزستانهفتگل</v>
      </c>
      <c r="B616" s="12" t="s">
        <v>132</v>
      </c>
      <c r="C616" s="12" t="s">
        <v>155</v>
      </c>
      <c r="D616" s="12" t="s">
        <v>20</v>
      </c>
      <c r="E616" s="12">
        <v>3.30267747927332E-2</v>
      </c>
      <c r="F616" s="12">
        <v>22073</v>
      </c>
      <c r="G616">
        <f t="shared" si="19"/>
        <v>729</v>
      </c>
      <c r="H616" s="16" t="s">
        <v>737</v>
      </c>
    </row>
    <row r="617" spans="1:8">
      <c r="A617" t="str">
        <f t="shared" si="18"/>
        <v>خوزستانهويزه</v>
      </c>
      <c r="B617" s="12" t="s">
        <v>132</v>
      </c>
      <c r="C617" s="12" t="s">
        <v>156</v>
      </c>
      <c r="D617" s="12" t="s">
        <v>480</v>
      </c>
      <c r="E617" s="12">
        <v>0.55464674601164854</v>
      </c>
      <c r="F617" s="12">
        <v>39490</v>
      </c>
      <c r="G617">
        <f t="shared" si="19"/>
        <v>21903</v>
      </c>
      <c r="H617" s="16" t="s">
        <v>709</v>
      </c>
    </row>
    <row r="618" spans="1:8">
      <c r="A618" t="str">
        <f t="shared" si="18"/>
        <v>خوزستانهويزه</v>
      </c>
      <c r="B618" s="12" t="s">
        <v>132</v>
      </c>
      <c r="C618" s="12" t="s">
        <v>156</v>
      </c>
      <c r="D618" s="12" t="s">
        <v>479</v>
      </c>
      <c r="E618" s="12">
        <v>0.33833881995441883</v>
      </c>
      <c r="F618" s="12">
        <v>39490</v>
      </c>
      <c r="G618">
        <f t="shared" si="19"/>
        <v>13361</v>
      </c>
      <c r="H618" s="16" t="s">
        <v>709</v>
      </c>
    </row>
    <row r="619" spans="1:8">
      <c r="A619" t="str">
        <f t="shared" si="18"/>
        <v>خوزستانهويزه</v>
      </c>
      <c r="B619" s="12" t="s">
        <v>132</v>
      </c>
      <c r="C619" s="12" t="s">
        <v>156</v>
      </c>
      <c r="D619" s="12" t="s">
        <v>22</v>
      </c>
      <c r="E619" s="12">
        <v>6.5662192960243101E-2</v>
      </c>
      <c r="F619" s="12">
        <v>39490</v>
      </c>
      <c r="G619">
        <f t="shared" si="19"/>
        <v>2593</v>
      </c>
      <c r="H619" s="16" t="s">
        <v>709</v>
      </c>
    </row>
    <row r="620" spans="1:8">
      <c r="A620" t="str">
        <f t="shared" si="18"/>
        <v>خوزستانهويزه</v>
      </c>
      <c r="B620" s="12" t="s">
        <v>132</v>
      </c>
      <c r="C620" s="12" t="s">
        <v>156</v>
      </c>
      <c r="D620" s="12" t="s">
        <v>478</v>
      </c>
      <c r="E620" s="12">
        <v>2.071410483666751E-2</v>
      </c>
      <c r="F620" s="12">
        <v>39490</v>
      </c>
      <c r="G620">
        <f t="shared" si="19"/>
        <v>818</v>
      </c>
      <c r="H620" s="16" t="s">
        <v>709</v>
      </c>
    </row>
    <row r="621" spans="1:8">
      <c r="A621" t="str">
        <f t="shared" si="18"/>
        <v>خوزستانهويزه</v>
      </c>
      <c r="B621" s="12" t="s">
        <v>132</v>
      </c>
      <c r="C621" s="12" t="s">
        <v>156</v>
      </c>
      <c r="D621" s="12" t="s">
        <v>20</v>
      </c>
      <c r="E621" s="12">
        <v>2.056216763737655E-2</v>
      </c>
      <c r="F621" s="12">
        <v>39490</v>
      </c>
      <c r="G621">
        <f t="shared" si="19"/>
        <v>812</v>
      </c>
      <c r="H621" s="16" t="s">
        <v>709</v>
      </c>
    </row>
    <row r="622" spans="1:8">
      <c r="A622" t="str">
        <f t="shared" si="18"/>
        <v>خوزستانباوي</v>
      </c>
      <c r="B622" s="12" t="s">
        <v>132</v>
      </c>
      <c r="C622" s="12" t="s">
        <v>157</v>
      </c>
      <c r="D622" s="12" t="s">
        <v>480</v>
      </c>
      <c r="E622" s="12">
        <v>0.52541871820748853</v>
      </c>
      <c r="F622" s="12">
        <v>98097</v>
      </c>
      <c r="G622">
        <f t="shared" si="19"/>
        <v>51542</v>
      </c>
      <c r="H622" s="16" t="s">
        <v>710</v>
      </c>
    </row>
    <row r="623" spans="1:8">
      <c r="A623" t="str">
        <f t="shared" si="18"/>
        <v>خوزستانباوي</v>
      </c>
      <c r="B623" s="12" t="s">
        <v>132</v>
      </c>
      <c r="C623" s="12" t="s">
        <v>157</v>
      </c>
      <c r="D623" s="12" t="s">
        <v>479</v>
      </c>
      <c r="E623" s="12">
        <v>0.35732998970406843</v>
      </c>
      <c r="F623" s="12">
        <v>98097</v>
      </c>
      <c r="G623">
        <f t="shared" si="19"/>
        <v>35053</v>
      </c>
      <c r="H623" s="16" t="s">
        <v>710</v>
      </c>
    </row>
    <row r="624" spans="1:8">
      <c r="A624" t="str">
        <f t="shared" si="18"/>
        <v>خوزستانباوي</v>
      </c>
      <c r="B624" s="12" t="s">
        <v>132</v>
      </c>
      <c r="C624" s="12" t="s">
        <v>157</v>
      </c>
      <c r="D624" s="12" t="s">
        <v>22</v>
      </c>
      <c r="E624" s="12">
        <v>7.3254024078208302E-2</v>
      </c>
      <c r="F624" s="12">
        <v>98097</v>
      </c>
      <c r="G624">
        <f t="shared" si="19"/>
        <v>7186</v>
      </c>
      <c r="H624" s="16" t="s">
        <v>710</v>
      </c>
    </row>
    <row r="625" spans="1:8">
      <c r="A625" t="str">
        <f t="shared" si="18"/>
        <v>خوزستانباوي</v>
      </c>
      <c r="B625" s="12" t="s">
        <v>132</v>
      </c>
      <c r="C625" s="12" t="s">
        <v>157</v>
      </c>
      <c r="D625" s="12" t="s">
        <v>478</v>
      </c>
      <c r="E625" s="12">
        <v>2.3466568804346718E-2</v>
      </c>
      <c r="F625" s="12">
        <v>98097</v>
      </c>
      <c r="G625">
        <f t="shared" si="19"/>
        <v>2302</v>
      </c>
      <c r="H625" s="16" t="s">
        <v>710</v>
      </c>
    </row>
    <row r="626" spans="1:8">
      <c r="A626" t="str">
        <f t="shared" si="18"/>
        <v>خوزستانباوي</v>
      </c>
      <c r="B626" s="12" t="s">
        <v>132</v>
      </c>
      <c r="C626" s="12" t="s">
        <v>157</v>
      </c>
      <c r="D626" s="12" t="s">
        <v>20</v>
      </c>
      <c r="E626" s="12">
        <v>2.0520505214226735E-2</v>
      </c>
      <c r="F626" s="12">
        <v>98097</v>
      </c>
      <c r="G626">
        <f t="shared" si="19"/>
        <v>2013</v>
      </c>
      <c r="H626" s="16" t="s">
        <v>710</v>
      </c>
    </row>
    <row r="627" spans="1:8">
      <c r="A627" t="str">
        <f t="shared" si="18"/>
        <v>خوزستانحميديه</v>
      </c>
      <c r="B627" s="12" t="s">
        <v>132</v>
      </c>
      <c r="C627" s="12" t="s">
        <v>158</v>
      </c>
      <c r="D627" s="12" t="s">
        <v>480</v>
      </c>
      <c r="E627" s="12">
        <v>0.55021208407955513</v>
      </c>
      <c r="F627" s="12">
        <v>53045</v>
      </c>
      <c r="G627">
        <f t="shared" si="19"/>
        <v>29186</v>
      </c>
      <c r="H627" s="16" t="s">
        <v>722</v>
      </c>
    </row>
    <row r="628" spans="1:8">
      <c r="A628" t="str">
        <f t="shared" si="18"/>
        <v>خوزستانحميديه</v>
      </c>
      <c r="B628" s="12" t="s">
        <v>132</v>
      </c>
      <c r="C628" s="12" t="s">
        <v>158</v>
      </c>
      <c r="D628" s="12" t="s">
        <v>479</v>
      </c>
      <c r="E628" s="12">
        <v>0.34506551041568478</v>
      </c>
      <c r="F628" s="12">
        <v>53045</v>
      </c>
      <c r="G628">
        <f t="shared" si="19"/>
        <v>18304</v>
      </c>
      <c r="H628" s="16" t="s">
        <v>722</v>
      </c>
    </row>
    <row r="629" spans="1:8">
      <c r="A629" t="str">
        <f t="shared" si="18"/>
        <v>خوزستانحميديه</v>
      </c>
      <c r="B629" s="12" t="s">
        <v>132</v>
      </c>
      <c r="C629" s="12" t="s">
        <v>158</v>
      </c>
      <c r="D629" s="12" t="s">
        <v>22</v>
      </c>
      <c r="E629" s="12">
        <v>6.4850598548402305E-2</v>
      </c>
      <c r="F629" s="12">
        <v>53045</v>
      </c>
      <c r="G629">
        <f t="shared" si="19"/>
        <v>3440</v>
      </c>
      <c r="H629" s="16" t="s">
        <v>722</v>
      </c>
    </row>
    <row r="630" spans="1:8">
      <c r="A630" t="str">
        <f t="shared" si="18"/>
        <v>خوزستانحميديه</v>
      </c>
      <c r="B630" s="12" t="s">
        <v>132</v>
      </c>
      <c r="C630" s="12" t="s">
        <v>158</v>
      </c>
      <c r="D630" s="12" t="s">
        <v>478</v>
      </c>
      <c r="E630" s="12">
        <v>2.0925629182769346E-2</v>
      </c>
      <c r="F630" s="12">
        <v>53045</v>
      </c>
      <c r="G630">
        <f t="shared" si="19"/>
        <v>1110</v>
      </c>
      <c r="H630" s="16" t="s">
        <v>722</v>
      </c>
    </row>
    <row r="631" spans="1:8">
      <c r="A631" t="str">
        <f t="shared" si="18"/>
        <v>خوزستانحميديه</v>
      </c>
      <c r="B631" s="12" t="s">
        <v>132</v>
      </c>
      <c r="C631" s="12" t="s">
        <v>158</v>
      </c>
      <c r="D631" s="12" t="s">
        <v>20</v>
      </c>
      <c r="E631" s="12">
        <v>1.8870770100857762E-2</v>
      </c>
      <c r="F631" s="12">
        <v>53045</v>
      </c>
      <c r="G631">
        <f t="shared" si="19"/>
        <v>1001</v>
      </c>
      <c r="H631" s="16" t="s">
        <v>722</v>
      </c>
    </row>
    <row r="632" spans="1:8">
      <c r="A632" t="str">
        <f t="shared" si="18"/>
        <v>خوزستانآغاجاري</v>
      </c>
      <c r="B632" s="12" t="s">
        <v>132</v>
      </c>
      <c r="C632" s="12" t="s">
        <v>159</v>
      </c>
      <c r="D632" s="12" t="s">
        <v>480</v>
      </c>
      <c r="E632" s="12">
        <v>0.45855300056085252</v>
      </c>
      <c r="F632" s="12">
        <v>17830</v>
      </c>
      <c r="G632">
        <f t="shared" si="19"/>
        <v>8176</v>
      </c>
      <c r="H632" s="16" t="s">
        <v>713</v>
      </c>
    </row>
    <row r="633" spans="1:8">
      <c r="A633" t="str">
        <f t="shared" si="18"/>
        <v>خوزستانآغاجاري</v>
      </c>
      <c r="B633" s="12" t="s">
        <v>132</v>
      </c>
      <c r="C633" s="12" t="s">
        <v>159</v>
      </c>
      <c r="D633" s="12" t="s">
        <v>479</v>
      </c>
      <c r="E633" s="12">
        <v>0.38642736960179475</v>
      </c>
      <c r="F633" s="12">
        <v>17830</v>
      </c>
      <c r="G633">
        <f t="shared" si="19"/>
        <v>6890</v>
      </c>
      <c r="H633" s="16" t="s">
        <v>713</v>
      </c>
    </row>
    <row r="634" spans="1:8">
      <c r="A634" t="str">
        <f t="shared" si="18"/>
        <v>خوزستانآغاجاري</v>
      </c>
      <c r="B634" s="12" t="s">
        <v>132</v>
      </c>
      <c r="C634" s="12" t="s">
        <v>159</v>
      </c>
      <c r="D634" s="12" t="s">
        <v>22</v>
      </c>
      <c r="E634" s="12">
        <v>9.2484576556365675E-2</v>
      </c>
      <c r="F634" s="12">
        <v>17830</v>
      </c>
      <c r="G634">
        <f t="shared" si="19"/>
        <v>1649</v>
      </c>
      <c r="H634" s="16" t="s">
        <v>713</v>
      </c>
    </row>
    <row r="635" spans="1:8">
      <c r="A635" t="str">
        <f t="shared" si="18"/>
        <v>خوزستانآغاجاري</v>
      </c>
      <c r="B635" s="12" t="s">
        <v>132</v>
      </c>
      <c r="C635" s="12" t="s">
        <v>159</v>
      </c>
      <c r="D635" s="12" t="s">
        <v>478</v>
      </c>
      <c r="E635" s="12">
        <v>3.2361189007291083E-2</v>
      </c>
      <c r="F635" s="12">
        <v>17830</v>
      </c>
      <c r="G635">
        <f t="shared" si="19"/>
        <v>577</v>
      </c>
      <c r="H635" s="16" t="s">
        <v>713</v>
      </c>
    </row>
    <row r="636" spans="1:8">
      <c r="A636" t="str">
        <f t="shared" si="18"/>
        <v>خوزستانآغاجاري</v>
      </c>
      <c r="B636" s="12" t="s">
        <v>132</v>
      </c>
      <c r="C636" s="12" t="s">
        <v>159</v>
      </c>
      <c r="D636" s="12" t="s">
        <v>20</v>
      </c>
      <c r="E636" s="12">
        <v>3.0061693774537296E-2</v>
      </c>
      <c r="F636" s="12">
        <v>17830</v>
      </c>
      <c r="G636">
        <f t="shared" si="19"/>
        <v>536</v>
      </c>
      <c r="H636" s="16" t="s">
        <v>713</v>
      </c>
    </row>
    <row r="637" spans="1:8">
      <c r="A637" t="str">
        <f t="shared" si="18"/>
        <v>خوزستانکارون</v>
      </c>
      <c r="B637" s="12" t="s">
        <v>132</v>
      </c>
      <c r="C637" s="12" t="s">
        <v>161</v>
      </c>
      <c r="D637" s="12" t="s">
        <v>480</v>
      </c>
      <c r="E637" s="12">
        <v>0.52135851045804549</v>
      </c>
      <c r="F637" s="12">
        <v>106234</v>
      </c>
      <c r="G637">
        <f t="shared" si="19"/>
        <v>55386</v>
      </c>
      <c r="H637" s="16" t="s">
        <v>720</v>
      </c>
    </row>
    <row r="638" spans="1:8">
      <c r="A638" t="str">
        <f t="shared" si="18"/>
        <v>خوزستانکارون</v>
      </c>
      <c r="B638" s="12" t="s">
        <v>132</v>
      </c>
      <c r="C638" s="12" t="s">
        <v>161</v>
      </c>
      <c r="D638" s="12" t="s">
        <v>479</v>
      </c>
      <c r="E638" s="12">
        <v>0.36366888190221586</v>
      </c>
      <c r="F638" s="12">
        <v>106234</v>
      </c>
      <c r="G638">
        <f t="shared" si="19"/>
        <v>38634</v>
      </c>
      <c r="H638" s="16" t="s">
        <v>720</v>
      </c>
    </row>
    <row r="639" spans="1:8">
      <c r="A639" t="str">
        <f t="shared" si="18"/>
        <v>خوزستانکارون</v>
      </c>
      <c r="B639" s="12" t="s">
        <v>132</v>
      </c>
      <c r="C639" s="12" t="s">
        <v>161</v>
      </c>
      <c r="D639" s="12" t="s">
        <v>22</v>
      </c>
      <c r="E639" s="12">
        <v>7.2349718545851607E-2</v>
      </c>
      <c r="F639" s="12">
        <v>106234</v>
      </c>
      <c r="G639">
        <f t="shared" si="19"/>
        <v>7686</v>
      </c>
      <c r="H639" s="16" t="s">
        <v>720</v>
      </c>
    </row>
    <row r="640" spans="1:8">
      <c r="A640" t="str">
        <f t="shared" si="18"/>
        <v>خوزستانکارون</v>
      </c>
      <c r="B640" s="12" t="s">
        <v>132</v>
      </c>
      <c r="C640" s="12" t="s">
        <v>161</v>
      </c>
      <c r="D640" s="12" t="s">
        <v>478</v>
      </c>
      <c r="E640" s="12">
        <v>2.3740045559801946E-2</v>
      </c>
      <c r="F640" s="12">
        <v>106234</v>
      </c>
      <c r="G640">
        <f t="shared" si="19"/>
        <v>2522</v>
      </c>
      <c r="H640" s="16" t="s">
        <v>720</v>
      </c>
    </row>
    <row r="641" spans="1:8">
      <c r="A641" t="str">
        <f t="shared" si="18"/>
        <v>خوزستانکارون</v>
      </c>
      <c r="B641" s="12" t="s">
        <v>132</v>
      </c>
      <c r="C641" s="12" t="s">
        <v>161</v>
      </c>
      <c r="D641" s="12" t="s">
        <v>20</v>
      </c>
      <c r="E641" s="12">
        <v>1.8892256716305515E-2</v>
      </c>
      <c r="F641" s="12">
        <v>106234</v>
      </c>
      <c r="G641">
        <f t="shared" si="19"/>
        <v>2007</v>
      </c>
      <c r="H641" s="16" t="s">
        <v>720</v>
      </c>
    </row>
    <row r="642" spans="1:8">
      <c r="A642" t="str">
        <f t="shared" ref="A642:A705" si="20">B642&amp;C642</f>
        <v>فارسآباده</v>
      </c>
      <c r="B642" s="12" t="s">
        <v>160</v>
      </c>
      <c r="C642" s="12" t="s">
        <v>162</v>
      </c>
      <c r="D642" s="12" t="s">
        <v>480</v>
      </c>
      <c r="E642" s="12">
        <v>0.39515986052833757</v>
      </c>
      <c r="F642" s="12">
        <v>101526</v>
      </c>
      <c r="G642">
        <f t="shared" si="19"/>
        <v>40119</v>
      </c>
      <c r="H642" s="16" t="s">
        <v>792</v>
      </c>
    </row>
    <row r="643" spans="1:8">
      <c r="A643" t="str">
        <f t="shared" si="20"/>
        <v>فارسآباده</v>
      </c>
      <c r="B643" s="12" t="s">
        <v>160</v>
      </c>
      <c r="C643" s="12" t="s">
        <v>162</v>
      </c>
      <c r="D643" s="12" t="s">
        <v>479</v>
      </c>
      <c r="E643" s="12">
        <v>0.39743513976715322</v>
      </c>
      <c r="F643" s="12">
        <v>101526</v>
      </c>
      <c r="G643">
        <f t="shared" ref="G643:G706" si="21">IFERROR(ROUND(F643*E643,0),0)</f>
        <v>40350</v>
      </c>
      <c r="H643" s="16" t="s">
        <v>792</v>
      </c>
    </row>
    <row r="644" spans="1:8">
      <c r="A644" t="str">
        <f t="shared" si="20"/>
        <v>فارسآباده</v>
      </c>
      <c r="B644" s="12" t="s">
        <v>160</v>
      </c>
      <c r="C644" s="12" t="s">
        <v>162</v>
      </c>
      <c r="D644" s="12" t="s">
        <v>22</v>
      </c>
      <c r="E644" s="12">
        <v>0.11593089454917951</v>
      </c>
      <c r="F644" s="12">
        <v>101526</v>
      </c>
      <c r="G644">
        <f t="shared" si="21"/>
        <v>11770</v>
      </c>
      <c r="H644" s="16" t="s">
        <v>792</v>
      </c>
    </row>
    <row r="645" spans="1:8">
      <c r="A645" t="str">
        <f t="shared" si="20"/>
        <v>فارسآباده</v>
      </c>
      <c r="B645" s="12" t="s">
        <v>160</v>
      </c>
      <c r="C645" s="12" t="s">
        <v>162</v>
      </c>
      <c r="D645" s="12" t="s">
        <v>478</v>
      </c>
      <c r="E645" s="12">
        <v>4.6608750467860449E-2</v>
      </c>
      <c r="F645" s="12">
        <v>101526</v>
      </c>
      <c r="G645">
        <f t="shared" si="21"/>
        <v>4732</v>
      </c>
      <c r="H645" s="16" t="s">
        <v>792</v>
      </c>
    </row>
    <row r="646" spans="1:8">
      <c r="A646" t="str">
        <f t="shared" si="20"/>
        <v>فارسآباده</v>
      </c>
      <c r="B646" s="12" t="s">
        <v>160</v>
      </c>
      <c r="C646" s="12" t="s">
        <v>162</v>
      </c>
      <c r="D646" s="12" t="s">
        <v>20</v>
      </c>
      <c r="E646" s="12">
        <v>4.4835805606445636E-2</v>
      </c>
      <c r="F646" s="12">
        <v>101526</v>
      </c>
      <c r="G646">
        <f t="shared" si="21"/>
        <v>4552</v>
      </c>
      <c r="H646" s="16" t="s">
        <v>792</v>
      </c>
    </row>
    <row r="647" spans="1:8">
      <c r="A647" t="str">
        <f t="shared" si="20"/>
        <v>فارساستهبان</v>
      </c>
      <c r="B647" s="12" t="s">
        <v>160</v>
      </c>
      <c r="C647" s="12" t="s">
        <v>163</v>
      </c>
      <c r="D647" s="12" t="s">
        <v>480</v>
      </c>
      <c r="E647" s="12">
        <v>0.4245315853587795</v>
      </c>
      <c r="F647" s="12">
        <v>68956</v>
      </c>
      <c r="G647">
        <f t="shared" si="21"/>
        <v>29274</v>
      </c>
      <c r="H647" s="16" t="s">
        <v>791</v>
      </c>
    </row>
    <row r="648" spans="1:8">
      <c r="A648" t="str">
        <f t="shared" si="20"/>
        <v>فارساستهبان</v>
      </c>
      <c r="B648" s="12" t="s">
        <v>160</v>
      </c>
      <c r="C648" s="12" t="s">
        <v>163</v>
      </c>
      <c r="D648" s="12" t="s">
        <v>479</v>
      </c>
      <c r="E648" s="12">
        <v>0.39278670456523002</v>
      </c>
      <c r="F648" s="12">
        <v>68956</v>
      </c>
      <c r="G648">
        <f t="shared" si="21"/>
        <v>27085</v>
      </c>
      <c r="H648" s="16" t="s">
        <v>791</v>
      </c>
    </row>
    <row r="649" spans="1:8">
      <c r="A649" t="str">
        <f t="shared" si="20"/>
        <v>فارساستهبان</v>
      </c>
      <c r="B649" s="12" t="s">
        <v>160</v>
      </c>
      <c r="C649" s="12" t="s">
        <v>163</v>
      </c>
      <c r="D649" s="12" t="s">
        <v>22</v>
      </c>
      <c r="E649" s="12">
        <v>0.10493648123441035</v>
      </c>
      <c r="F649" s="12">
        <v>68956</v>
      </c>
      <c r="G649">
        <f t="shared" si="21"/>
        <v>7236</v>
      </c>
      <c r="H649" s="16" t="s">
        <v>791</v>
      </c>
    </row>
    <row r="650" spans="1:8">
      <c r="A650" t="str">
        <f t="shared" si="20"/>
        <v>فارساستهبان</v>
      </c>
      <c r="B650" s="12" t="s">
        <v>160</v>
      </c>
      <c r="C650" s="12" t="s">
        <v>163</v>
      </c>
      <c r="D650" s="12" t="s">
        <v>478</v>
      </c>
      <c r="E650" s="12">
        <v>3.9068391438018449E-2</v>
      </c>
      <c r="F650" s="12">
        <v>68956</v>
      </c>
      <c r="G650">
        <f t="shared" si="21"/>
        <v>2694</v>
      </c>
      <c r="H650" s="16" t="s">
        <v>791</v>
      </c>
    </row>
    <row r="651" spans="1:8">
      <c r="A651" t="str">
        <f t="shared" si="20"/>
        <v>فارساستهبان</v>
      </c>
      <c r="B651" s="12" t="s">
        <v>160</v>
      </c>
      <c r="C651" s="12" t="s">
        <v>163</v>
      </c>
      <c r="D651" s="12" t="s">
        <v>20</v>
      </c>
      <c r="E651" s="12">
        <v>3.8517315389523757E-2</v>
      </c>
      <c r="F651" s="12">
        <v>68956</v>
      </c>
      <c r="G651">
        <f t="shared" si="21"/>
        <v>2656</v>
      </c>
      <c r="H651" s="16" t="s">
        <v>791</v>
      </c>
    </row>
    <row r="652" spans="1:8">
      <c r="A652" t="str">
        <f t="shared" si="20"/>
        <v>فارساقليد</v>
      </c>
      <c r="B652" s="12" t="s">
        <v>160</v>
      </c>
      <c r="C652" s="12" t="s">
        <v>164</v>
      </c>
      <c r="D652" s="12" t="s">
        <v>480</v>
      </c>
      <c r="E652" s="12">
        <v>0.41567296816933269</v>
      </c>
      <c r="F652" s="12">
        <v>92835</v>
      </c>
      <c r="G652">
        <f t="shared" si="21"/>
        <v>38589</v>
      </c>
      <c r="H652" s="16" t="s">
        <v>800</v>
      </c>
    </row>
    <row r="653" spans="1:8">
      <c r="A653" t="str">
        <f t="shared" si="20"/>
        <v>فارساقليد</v>
      </c>
      <c r="B653" s="12" t="s">
        <v>160</v>
      </c>
      <c r="C653" s="12" t="s">
        <v>164</v>
      </c>
      <c r="D653" s="12" t="s">
        <v>479</v>
      </c>
      <c r="E653" s="12">
        <v>0.39827651209134485</v>
      </c>
      <c r="F653" s="12">
        <v>92835</v>
      </c>
      <c r="G653">
        <f t="shared" si="21"/>
        <v>36974</v>
      </c>
      <c r="H653" s="16" t="s">
        <v>800</v>
      </c>
    </row>
    <row r="654" spans="1:8">
      <c r="A654" t="str">
        <f t="shared" si="20"/>
        <v>فارساقليد</v>
      </c>
      <c r="B654" s="12" t="s">
        <v>160</v>
      </c>
      <c r="C654" s="12" t="s">
        <v>164</v>
      </c>
      <c r="D654" s="12" t="s">
        <v>22</v>
      </c>
      <c r="E654" s="12">
        <v>0.10745947110464803</v>
      </c>
      <c r="F654" s="12">
        <v>92835</v>
      </c>
      <c r="G654">
        <f t="shared" si="21"/>
        <v>9976</v>
      </c>
      <c r="H654" s="16" t="s">
        <v>800</v>
      </c>
    </row>
    <row r="655" spans="1:8">
      <c r="A655" t="str">
        <f t="shared" si="20"/>
        <v>فارساقليد</v>
      </c>
      <c r="B655" s="12" t="s">
        <v>160</v>
      </c>
      <c r="C655" s="12" t="s">
        <v>164</v>
      </c>
      <c r="D655" s="12" t="s">
        <v>478</v>
      </c>
      <c r="E655" s="12">
        <v>4.0264986265955725E-2</v>
      </c>
      <c r="F655" s="12">
        <v>92835</v>
      </c>
      <c r="G655">
        <f t="shared" si="21"/>
        <v>3738</v>
      </c>
      <c r="H655" s="16" t="s">
        <v>800</v>
      </c>
    </row>
    <row r="656" spans="1:8">
      <c r="A656" t="str">
        <f t="shared" si="20"/>
        <v>فارساقليد</v>
      </c>
      <c r="B656" s="12" t="s">
        <v>160</v>
      </c>
      <c r="C656" s="12" t="s">
        <v>164</v>
      </c>
      <c r="D656" s="12" t="s">
        <v>20</v>
      </c>
      <c r="E656" s="12">
        <v>3.8326062368718695E-2</v>
      </c>
      <c r="F656" s="12">
        <v>92835</v>
      </c>
      <c r="G656">
        <f t="shared" si="21"/>
        <v>3558</v>
      </c>
      <c r="H656" s="16" t="s">
        <v>800</v>
      </c>
    </row>
    <row r="657" spans="1:8">
      <c r="A657" t="str">
        <f t="shared" si="20"/>
        <v>فارسجهرم</v>
      </c>
      <c r="B657" s="12" t="s">
        <v>160</v>
      </c>
      <c r="C657" s="12" t="s">
        <v>165</v>
      </c>
      <c r="D657" s="12" t="s">
        <v>480</v>
      </c>
      <c r="E657" s="12">
        <v>0.42101908342330857</v>
      </c>
      <c r="F657" s="12">
        <v>230619</v>
      </c>
      <c r="G657">
        <f t="shared" si="21"/>
        <v>97095</v>
      </c>
      <c r="H657" s="16" t="s">
        <v>785</v>
      </c>
    </row>
    <row r="658" spans="1:8">
      <c r="A658" t="str">
        <f t="shared" si="20"/>
        <v>فارسجهرم</v>
      </c>
      <c r="B658" s="12" t="s">
        <v>160</v>
      </c>
      <c r="C658" s="12" t="s">
        <v>165</v>
      </c>
      <c r="D658" s="12" t="s">
        <v>479</v>
      </c>
      <c r="E658" s="12">
        <v>0.39928193253808231</v>
      </c>
      <c r="F658" s="12">
        <v>230619</v>
      </c>
      <c r="G658">
        <f t="shared" si="21"/>
        <v>92082</v>
      </c>
      <c r="H658" s="16" t="s">
        <v>785</v>
      </c>
    </row>
    <row r="659" spans="1:8">
      <c r="A659" t="str">
        <f t="shared" si="20"/>
        <v>فارسجهرم</v>
      </c>
      <c r="B659" s="12" t="s">
        <v>160</v>
      </c>
      <c r="C659" s="12" t="s">
        <v>165</v>
      </c>
      <c r="D659" s="12" t="s">
        <v>22</v>
      </c>
      <c r="E659" s="12">
        <v>0.10314414683959257</v>
      </c>
      <c r="F659" s="12">
        <v>230619</v>
      </c>
      <c r="G659">
        <f t="shared" si="21"/>
        <v>23787</v>
      </c>
      <c r="H659" s="16" t="s">
        <v>785</v>
      </c>
    </row>
    <row r="660" spans="1:8">
      <c r="A660" t="str">
        <f t="shared" si="20"/>
        <v>فارسجهرم</v>
      </c>
      <c r="B660" s="12" t="s">
        <v>160</v>
      </c>
      <c r="C660" s="12" t="s">
        <v>165</v>
      </c>
      <c r="D660" s="12" t="s">
        <v>478</v>
      </c>
      <c r="E660" s="12">
        <v>3.9419995750566955E-2</v>
      </c>
      <c r="F660" s="12">
        <v>230619</v>
      </c>
      <c r="G660">
        <f t="shared" si="21"/>
        <v>9091</v>
      </c>
      <c r="H660" s="16" t="s">
        <v>785</v>
      </c>
    </row>
    <row r="661" spans="1:8">
      <c r="A661" t="str">
        <f t="shared" si="20"/>
        <v>فارسجهرم</v>
      </c>
      <c r="B661" s="12" t="s">
        <v>160</v>
      </c>
      <c r="C661" s="12" t="s">
        <v>165</v>
      </c>
      <c r="D661" s="12" t="s">
        <v>20</v>
      </c>
      <c r="E661" s="12">
        <v>3.7152186073133607E-2</v>
      </c>
      <c r="F661" s="12">
        <v>230619</v>
      </c>
      <c r="G661">
        <f t="shared" si="21"/>
        <v>8568</v>
      </c>
      <c r="H661" s="16" t="s">
        <v>785</v>
      </c>
    </row>
    <row r="662" spans="1:8">
      <c r="A662" t="str">
        <f t="shared" si="20"/>
        <v>فارسداراب</v>
      </c>
      <c r="B662" s="12" t="s">
        <v>160</v>
      </c>
      <c r="C662" s="12" t="s">
        <v>166</v>
      </c>
      <c r="D662" s="12" t="s">
        <v>480</v>
      </c>
      <c r="E662" s="12">
        <v>0.45942821877954049</v>
      </c>
      <c r="F662" s="12">
        <v>204169</v>
      </c>
      <c r="G662">
        <f t="shared" si="21"/>
        <v>93801</v>
      </c>
      <c r="H662" s="16" t="s">
        <v>793</v>
      </c>
    </row>
    <row r="663" spans="1:8">
      <c r="A663" t="str">
        <f t="shared" si="20"/>
        <v>فارسداراب</v>
      </c>
      <c r="B663" s="12" t="s">
        <v>160</v>
      </c>
      <c r="C663" s="12" t="s">
        <v>166</v>
      </c>
      <c r="D663" s="12" t="s">
        <v>479</v>
      </c>
      <c r="E663" s="12">
        <v>0.3871302695316135</v>
      </c>
      <c r="F663" s="12">
        <v>204169</v>
      </c>
      <c r="G663">
        <f t="shared" si="21"/>
        <v>79040</v>
      </c>
      <c r="H663" s="16" t="s">
        <v>793</v>
      </c>
    </row>
    <row r="664" spans="1:8">
      <c r="A664" t="str">
        <f t="shared" si="20"/>
        <v>فارسداراب</v>
      </c>
      <c r="B664" s="12" t="s">
        <v>160</v>
      </c>
      <c r="C664" s="12" t="s">
        <v>166</v>
      </c>
      <c r="D664" s="12" t="s">
        <v>22</v>
      </c>
      <c r="E664" s="12">
        <v>9.2252006915839332E-2</v>
      </c>
      <c r="F664" s="12">
        <v>204169</v>
      </c>
      <c r="G664">
        <f t="shared" si="21"/>
        <v>18835</v>
      </c>
      <c r="H664" s="16" t="s">
        <v>793</v>
      </c>
    </row>
    <row r="665" spans="1:8">
      <c r="A665" t="str">
        <f t="shared" si="20"/>
        <v>فارسداراب</v>
      </c>
      <c r="B665" s="12" t="s">
        <v>160</v>
      </c>
      <c r="C665" s="12" t="s">
        <v>166</v>
      </c>
      <c r="D665" s="12" t="s">
        <v>478</v>
      </c>
      <c r="E665" s="12">
        <v>3.2438812944178594E-2</v>
      </c>
      <c r="F665" s="12">
        <v>204169</v>
      </c>
      <c r="G665">
        <f t="shared" si="21"/>
        <v>6623</v>
      </c>
      <c r="H665" s="16" t="s">
        <v>793</v>
      </c>
    </row>
    <row r="666" spans="1:8">
      <c r="A666" t="str">
        <f t="shared" si="20"/>
        <v>فارسداراب</v>
      </c>
      <c r="B666" s="12" t="s">
        <v>160</v>
      </c>
      <c r="C666" s="12" t="s">
        <v>166</v>
      </c>
      <c r="D666" s="12" t="s">
        <v>20</v>
      </c>
      <c r="E666" s="12">
        <v>2.8740896022412806E-2</v>
      </c>
      <c r="F666" s="12">
        <v>204169</v>
      </c>
      <c r="G666">
        <f t="shared" si="21"/>
        <v>5868</v>
      </c>
      <c r="H666" s="16" t="s">
        <v>793</v>
      </c>
    </row>
    <row r="667" spans="1:8">
      <c r="A667" t="str">
        <f t="shared" si="20"/>
        <v>فارسسپيدان</v>
      </c>
      <c r="B667" s="12" t="s">
        <v>160</v>
      </c>
      <c r="C667" s="12" t="s">
        <v>167</v>
      </c>
      <c r="D667" s="12" t="s">
        <v>480</v>
      </c>
      <c r="E667" s="12">
        <v>0.43704101541092139</v>
      </c>
      <c r="F667" s="12">
        <v>91234</v>
      </c>
      <c r="G667">
        <f t="shared" si="21"/>
        <v>39873</v>
      </c>
      <c r="H667" s="16" t="s">
        <v>799</v>
      </c>
    </row>
    <row r="668" spans="1:8">
      <c r="A668" t="str">
        <f t="shared" si="20"/>
        <v>فارسسپيدان</v>
      </c>
      <c r="B668" s="12" t="s">
        <v>160</v>
      </c>
      <c r="C668" s="12" t="s">
        <v>167</v>
      </c>
      <c r="D668" s="12" t="s">
        <v>479</v>
      </c>
      <c r="E668" s="12">
        <v>0.39056711313764603</v>
      </c>
      <c r="F668" s="12">
        <v>91234</v>
      </c>
      <c r="G668">
        <f t="shared" si="21"/>
        <v>35633</v>
      </c>
      <c r="H668" s="16" t="s">
        <v>799</v>
      </c>
    </row>
    <row r="669" spans="1:8">
      <c r="A669" t="str">
        <f t="shared" si="20"/>
        <v>فارسسپيدان</v>
      </c>
      <c r="B669" s="12" t="s">
        <v>160</v>
      </c>
      <c r="C669" s="12" t="s">
        <v>167</v>
      </c>
      <c r="D669" s="12" t="s">
        <v>22</v>
      </c>
      <c r="E669" s="12">
        <v>9.5698971874520464E-2</v>
      </c>
      <c r="F669" s="12">
        <v>91234</v>
      </c>
      <c r="G669">
        <f t="shared" si="21"/>
        <v>8731</v>
      </c>
      <c r="H669" s="16" t="s">
        <v>799</v>
      </c>
    </row>
    <row r="670" spans="1:8">
      <c r="A670" t="str">
        <f t="shared" si="20"/>
        <v>فارسسپيدان</v>
      </c>
      <c r="B670" s="12" t="s">
        <v>160</v>
      </c>
      <c r="C670" s="12" t="s">
        <v>167</v>
      </c>
      <c r="D670" s="12" t="s">
        <v>478</v>
      </c>
      <c r="E670" s="12">
        <v>3.8077909551263785E-2</v>
      </c>
      <c r="F670" s="12">
        <v>91234</v>
      </c>
      <c r="G670">
        <f t="shared" si="21"/>
        <v>3474</v>
      </c>
      <c r="H670" s="16" t="s">
        <v>799</v>
      </c>
    </row>
    <row r="671" spans="1:8">
      <c r="A671" t="str">
        <f t="shared" si="20"/>
        <v>فارسسپيدان</v>
      </c>
      <c r="B671" s="12" t="s">
        <v>160</v>
      </c>
      <c r="C671" s="12" t="s">
        <v>167</v>
      </c>
      <c r="D671" s="12" t="s">
        <v>20</v>
      </c>
      <c r="E671" s="12">
        <v>3.8604029199640483E-2</v>
      </c>
      <c r="F671" s="12">
        <v>91234</v>
      </c>
      <c r="G671">
        <f t="shared" si="21"/>
        <v>3522</v>
      </c>
      <c r="H671" s="16" t="s">
        <v>799</v>
      </c>
    </row>
    <row r="672" spans="1:8">
      <c r="A672" t="str">
        <f t="shared" si="20"/>
        <v>فارسشيراز</v>
      </c>
      <c r="B672" s="12" t="s">
        <v>160</v>
      </c>
      <c r="C672" s="12" t="s">
        <v>168</v>
      </c>
      <c r="D672" s="12" t="s">
        <v>480</v>
      </c>
      <c r="E672" s="12">
        <v>0.3998611722693447</v>
      </c>
      <c r="F672" s="12">
        <v>1903078</v>
      </c>
      <c r="G672">
        <f t="shared" si="21"/>
        <v>760967</v>
      </c>
      <c r="H672" s="16" t="s">
        <v>789</v>
      </c>
    </row>
    <row r="673" spans="1:8">
      <c r="A673" t="str">
        <f t="shared" si="20"/>
        <v>فارسشيراز</v>
      </c>
      <c r="B673" s="12" t="s">
        <v>160</v>
      </c>
      <c r="C673" s="12" t="s">
        <v>168</v>
      </c>
      <c r="D673" s="12" t="s">
        <v>479</v>
      </c>
      <c r="E673" s="12">
        <v>0.41504131727653831</v>
      </c>
      <c r="F673" s="12">
        <v>1903078</v>
      </c>
      <c r="G673">
        <f t="shared" si="21"/>
        <v>789856</v>
      </c>
      <c r="H673" s="16" t="s">
        <v>789</v>
      </c>
    </row>
    <row r="674" spans="1:8">
      <c r="A674" t="str">
        <f t="shared" si="20"/>
        <v>فارسشيراز</v>
      </c>
      <c r="B674" s="12" t="s">
        <v>160</v>
      </c>
      <c r="C674" s="12" t="s">
        <v>168</v>
      </c>
      <c r="D674" s="12" t="s">
        <v>22</v>
      </c>
      <c r="E674" s="12">
        <v>0.11200329150985928</v>
      </c>
      <c r="F674" s="12">
        <v>1903078</v>
      </c>
      <c r="G674">
        <f t="shared" si="21"/>
        <v>213151</v>
      </c>
      <c r="H674" s="16" t="s">
        <v>789</v>
      </c>
    </row>
    <row r="675" spans="1:8">
      <c r="A675" t="str">
        <f t="shared" si="20"/>
        <v>فارسشيراز</v>
      </c>
      <c r="B675" s="12" t="s">
        <v>160</v>
      </c>
      <c r="C675" s="12" t="s">
        <v>168</v>
      </c>
      <c r="D675" s="12" t="s">
        <v>478</v>
      </c>
      <c r="E675" s="12">
        <v>3.986699441641383E-2</v>
      </c>
      <c r="F675" s="12">
        <v>1903078</v>
      </c>
      <c r="G675">
        <f t="shared" si="21"/>
        <v>75870</v>
      </c>
      <c r="H675" s="16" t="s">
        <v>789</v>
      </c>
    </row>
    <row r="676" spans="1:8">
      <c r="A676" t="str">
        <f t="shared" si="20"/>
        <v>فارسشيراز</v>
      </c>
      <c r="B676" s="12" t="s">
        <v>160</v>
      </c>
      <c r="C676" s="12" t="s">
        <v>168</v>
      </c>
      <c r="D676" s="12" t="s">
        <v>20</v>
      </c>
      <c r="E676" s="12">
        <v>3.322880092145461E-2</v>
      </c>
      <c r="F676" s="12">
        <v>1903078</v>
      </c>
      <c r="G676">
        <f t="shared" si="21"/>
        <v>63237</v>
      </c>
      <c r="H676" s="16" t="s">
        <v>789</v>
      </c>
    </row>
    <row r="677" spans="1:8">
      <c r="A677" t="str">
        <f t="shared" si="20"/>
        <v>فارسفسا</v>
      </c>
      <c r="B677" s="12" t="s">
        <v>160</v>
      </c>
      <c r="C677" s="12" t="s">
        <v>169</v>
      </c>
      <c r="D677" s="12" t="s">
        <v>480</v>
      </c>
      <c r="E677" s="12">
        <v>0.42314445870196526</v>
      </c>
      <c r="F677" s="12">
        <v>207298</v>
      </c>
      <c r="G677">
        <f t="shared" si="21"/>
        <v>87717</v>
      </c>
      <c r="H677" s="16" t="s">
        <v>801</v>
      </c>
    </row>
    <row r="678" spans="1:8">
      <c r="A678" t="str">
        <f t="shared" si="20"/>
        <v>فارسفسا</v>
      </c>
      <c r="B678" s="12" t="s">
        <v>160</v>
      </c>
      <c r="C678" s="12" t="s">
        <v>169</v>
      </c>
      <c r="D678" s="12" t="s">
        <v>479</v>
      </c>
      <c r="E678" s="12">
        <v>0.39846018774903763</v>
      </c>
      <c r="F678" s="12">
        <v>207298</v>
      </c>
      <c r="G678">
        <f t="shared" si="21"/>
        <v>82600</v>
      </c>
      <c r="H678" s="16" t="s">
        <v>801</v>
      </c>
    </row>
    <row r="679" spans="1:8">
      <c r="A679" t="str">
        <f t="shared" si="20"/>
        <v>فارسفسا</v>
      </c>
      <c r="B679" s="12" t="s">
        <v>160</v>
      </c>
      <c r="C679" s="12" t="s">
        <v>169</v>
      </c>
      <c r="D679" s="12" t="s">
        <v>22</v>
      </c>
      <c r="E679" s="12">
        <v>0.10524462368184932</v>
      </c>
      <c r="F679" s="12">
        <v>207298</v>
      </c>
      <c r="G679">
        <f t="shared" si="21"/>
        <v>21817</v>
      </c>
      <c r="H679" s="16" t="s">
        <v>801</v>
      </c>
    </row>
    <row r="680" spans="1:8">
      <c r="A680" t="str">
        <f t="shared" si="20"/>
        <v>فارسفسا</v>
      </c>
      <c r="B680" s="12" t="s">
        <v>160</v>
      </c>
      <c r="C680" s="12" t="s">
        <v>169</v>
      </c>
      <c r="D680" s="12" t="s">
        <v>478</v>
      </c>
      <c r="E680" s="12">
        <v>3.7998437032677593E-2</v>
      </c>
      <c r="F680" s="12">
        <v>207298</v>
      </c>
      <c r="G680">
        <f t="shared" si="21"/>
        <v>7877</v>
      </c>
      <c r="H680" s="16" t="s">
        <v>801</v>
      </c>
    </row>
    <row r="681" spans="1:8">
      <c r="A681" t="str">
        <f t="shared" si="20"/>
        <v>فارسفسا</v>
      </c>
      <c r="B681" s="12" t="s">
        <v>160</v>
      </c>
      <c r="C681" s="12" t="s">
        <v>169</v>
      </c>
      <c r="D681" s="12" t="s">
        <v>20</v>
      </c>
      <c r="E681" s="12">
        <v>3.5171588727339387E-2</v>
      </c>
      <c r="F681" s="12">
        <v>207298</v>
      </c>
      <c r="G681">
        <f t="shared" si="21"/>
        <v>7291</v>
      </c>
      <c r="H681" s="16" t="s">
        <v>801</v>
      </c>
    </row>
    <row r="682" spans="1:8">
      <c r="A682" t="str">
        <f t="shared" si="20"/>
        <v>فارسفيروزآباد</v>
      </c>
      <c r="B682" s="12" t="s">
        <v>160</v>
      </c>
      <c r="C682" s="12" t="s">
        <v>170</v>
      </c>
      <c r="D682" s="12" t="s">
        <v>480</v>
      </c>
      <c r="E682" s="12">
        <v>0.41949180274223635</v>
      </c>
      <c r="F682" s="12">
        <v>122236</v>
      </c>
      <c r="G682">
        <f t="shared" si="21"/>
        <v>51277</v>
      </c>
      <c r="H682" s="16" t="s">
        <v>795</v>
      </c>
    </row>
    <row r="683" spans="1:8">
      <c r="A683" t="str">
        <f t="shared" si="20"/>
        <v>فارسفيروزآباد</v>
      </c>
      <c r="B683" s="12" t="s">
        <v>160</v>
      </c>
      <c r="C683" s="12" t="s">
        <v>170</v>
      </c>
      <c r="D683" s="12" t="s">
        <v>479</v>
      </c>
      <c r="E683" s="12">
        <v>0.39733793645080007</v>
      </c>
      <c r="F683" s="12">
        <v>122236</v>
      </c>
      <c r="G683">
        <f t="shared" si="21"/>
        <v>48569</v>
      </c>
      <c r="H683" s="16" t="s">
        <v>795</v>
      </c>
    </row>
    <row r="684" spans="1:8">
      <c r="A684" t="str">
        <f t="shared" si="20"/>
        <v>فارسفيروزآباد</v>
      </c>
      <c r="B684" s="12" t="s">
        <v>160</v>
      </c>
      <c r="C684" s="12" t="s">
        <v>170</v>
      </c>
      <c r="D684" s="12" t="s">
        <v>22</v>
      </c>
      <c r="E684" s="12">
        <v>0.10324290716319251</v>
      </c>
      <c r="F684" s="12">
        <v>122236</v>
      </c>
      <c r="G684">
        <f t="shared" si="21"/>
        <v>12620</v>
      </c>
      <c r="H684" s="16" t="s">
        <v>795</v>
      </c>
    </row>
    <row r="685" spans="1:8">
      <c r="A685" t="str">
        <f t="shared" si="20"/>
        <v>فارسفيروزآباد</v>
      </c>
      <c r="B685" s="12" t="s">
        <v>160</v>
      </c>
      <c r="C685" s="12" t="s">
        <v>170</v>
      </c>
      <c r="D685" s="12" t="s">
        <v>478</v>
      </c>
      <c r="E685" s="12">
        <v>4.092084165057757E-2</v>
      </c>
      <c r="F685" s="12">
        <v>122236</v>
      </c>
      <c r="G685">
        <f t="shared" si="21"/>
        <v>5002</v>
      </c>
      <c r="H685" s="16" t="s">
        <v>795</v>
      </c>
    </row>
    <row r="686" spans="1:8">
      <c r="A686" t="str">
        <f t="shared" si="20"/>
        <v>فارسفيروزآباد</v>
      </c>
      <c r="B686" s="12" t="s">
        <v>160</v>
      </c>
      <c r="C686" s="12" t="s">
        <v>170</v>
      </c>
      <c r="D686" s="12" t="s">
        <v>20</v>
      </c>
      <c r="E686" s="12">
        <v>3.9006511993193493E-2</v>
      </c>
      <c r="F686" s="12">
        <v>122236</v>
      </c>
      <c r="G686">
        <f t="shared" si="21"/>
        <v>4768</v>
      </c>
      <c r="H686" s="16" t="s">
        <v>795</v>
      </c>
    </row>
    <row r="687" spans="1:8">
      <c r="A687" t="str">
        <f t="shared" si="20"/>
        <v>فارسكازرون</v>
      </c>
      <c r="B687" s="12" t="s">
        <v>160</v>
      </c>
      <c r="C687" s="12" t="s">
        <v>171</v>
      </c>
      <c r="D687" s="12" t="s">
        <v>480</v>
      </c>
      <c r="E687" s="12">
        <v>0.41474382130708332</v>
      </c>
      <c r="F687" s="12">
        <v>265752</v>
      </c>
      <c r="G687">
        <f t="shared" si="21"/>
        <v>110219</v>
      </c>
      <c r="H687" s="16" t="s">
        <v>797</v>
      </c>
    </row>
    <row r="688" spans="1:8">
      <c r="A688" t="str">
        <f t="shared" si="20"/>
        <v>فارسكازرون</v>
      </c>
      <c r="B688" s="12" t="s">
        <v>160</v>
      </c>
      <c r="C688" s="12" t="s">
        <v>171</v>
      </c>
      <c r="D688" s="12" t="s">
        <v>479</v>
      </c>
      <c r="E688" s="12">
        <v>0.40029425930943136</v>
      </c>
      <c r="F688" s="12">
        <v>265752</v>
      </c>
      <c r="G688">
        <f t="shared" si="21"/>
        <v>106379</v>
      </c>
      <c r="H688" s="16" t="s">
        <v>797</v>
      </c>
    </row>
    <row r="689" spans="1:8">
      <c r="A689" t="str">
        <f t="shared" si="20"/>
        <v>فارسكازرون</v>
      </c>
      <c r="B689" s="12" t="s">
        <v>160</v>
      </c>
      <c r="C689" s="12" t="s">
        <v>171</v>
      </c>
      <c r="D689" s="12" t="s">
        <v>22</v>
      </c>
      <c r="E689" s="12">
        <v>0.10594840302236672</v>
      </c>
      <c r="F689" s="12">
        <v>265752</v>
      </c>
      <c r="G689">
        <f t="shared" si="21"/>
        <v>28156</v>
      </c>
      <c r="H689" s="16" t="s">
        <v>797</v>
      </c>
    </row>
    <row r="690" spans="1:8">
      <c r="A690" t="str">
        <f t="shared" si="20"/>
        <v>فارسكازرون</v>
      </c>
      <c r="B690" s="12" t="s">
        <v>160</v>
      </c>
      <c r="C690" s="12" t="s">
        <v>171</v>
      </c>
      <c r="D690" s="12" t="s">
        <v>478</v>
      </c>
      <c r="E690" s="12">
        <v>4.0447484873114781E-2</v>
      </c>
      <c r="F690" s="12">
        <v>265752</v>
      </c>
      <c r="G690">
        <f t="shared" si="21"/>
        <v>10749</v>
      </c>
      <c r="H690" s="16" t="s">
        <v>797</v>
      </c>
    </row>
    <row r="691" spans="1:8">
      <c r="A691" t="str">
        <f t="shared" si="20"/>
        <v>فارسكازرون</v>
      </c>
      <c r="B691" s="12" t="s">
        <v>160</v>
      </c>
      <c r="C691" s="12" t="s">
        <v>171</v>
      </c>
      <c r="D691" s="12" t="s">
        <v>20</v>
      </c>
      <c r="E691" s="12">
        <v>3.8562268581233634E-2</v>
      </c>
      <c r="F691" s="12">
        <v>265752</v>
      </c>
      <c r="G691">
        <f t="shared" si="21"/>
        <v>10248</v>
      </c>
      <c r="H691" s="16" t="s">
        <v>797</v>
      </c>
    </row>
    <row r="692" spans="1:8">
      <c r="A692" t="str">
        <f t="shared" si="20"/>
        <v>فارسلارستان</v>
      </c>
      <c r="B692" s="12" t="s">
        <v>160</v>
      </c>
      <c r="C692" s="12" t="s">
        <v>172</v>
      </c>
      <c r="D692" s="12" t="s">
        <v>480</v>
      </c>
      <c r="E692" s="12">
        <v>0.46377861621463984</v>
      </c>
      <c r="F692" s="12">
        <v>219456</v>
      </c>
      <c r="G692">
        <f t="shared" si="21"/>
        <v>101779</v>
      </c>
      <c r="H692" s="16" t="s">
        <v>804</v>
      </c>
    </row>
    <row r="693" spans="1:8">
      <c r="A693" t="str">
        <f t="shared" si="20"/>
        <v>فارسلارستان</v>
      </c>
      <c r="B693" s="12" t="s">
        <v>160</v>
      </c>
      <c r="C693" s="12" t="s">
        <v>172</v>
      </c>
      <c r="D693" s="12" t="s">
        <v>479</v>
      </c>
      <c r="E693" s="12">
        <v>0.37467191601049871</v>
      </c>
      <c r="F693" s="12">
        <v>219456</v>
      </c>
      <c r="G693">
        <f t="shared" si="21"/>
        <v>82224</v>
      </c>
      <c r="H693" s="16" t="s">
        <v>804</v>
      </c>
    </row>
    <row r="694" spans="1:8">
      <c r="A694" t="str">
        <f t="shared" si="20"/>
        <v>فارسلارستان</v>
      </c>
      <c r="B694" s="12" t="s">
        <v>160</v>
      </c>
      <c r="C694" s="12" t="s">
        <v>172</v>
      </c>
      <c r="D694" s="12" t="s">
        <v>22</v>
      </c>
      <c r="E694" s="12">
        <v>9.5217264508603086E-2</v>
      </c>
      <c r="F694" s="12">
        <v>219456</v>
      </c>
      <c r="G694">
        <f t="shared" si="21"/>
        <v>20896</v>
      </c>
      <c r="H694" s="16" t="s">
        <v>804</v>
      </c>
    </row>
    <row r="695" spans="1:8">
      <c r="A695" t="str">
        <f t="shared" si="20"/>
        <v>فارسلارستان</v>
      </c>
      <c r="B695" s="12" t="s">
        <v>160</v>
      </c>
      <c r="C695" s="12" t="s">
        <v>172</v>
      </c>
      <c r="D695" s="12" t="s">
        <v>478</v>
      </c>
      <c r="E695" s="12">
        <v>3.4690325167687372E-2</v>
      </c>
      <c r="F695" s="12">
        <v>219456</v>
      </c>
      <c r="G695">
        <f t="shared" si="21"/>
        <v>7613</v>
      </c>
      <c r="H695" s="16" t="s">
        <v>804</v>
      </c>
    </row>
    <row r="696" spans="1:8">
      <c r="A696" t="str">
        <f t="shared" si="20"/>
        <v>فارسلارستان</v>
      </c>
      <c r="B696" s="12" t="s">
        <v>160</v>
      </c>
      <c r="C696" s="12" t="s">
        <v>172</v>
      </c>
      <c r="D696" s="12" t="s">
        <v>20</v>
      </c>
      <c r="E696" s="12">
        <v>3.1646434820647419E-2</v>
      </c>
      <c r="F696" s="12">
        <v>219456</v>
      </c>
      <c r="G696">
        <f t="shared" si="21"/>
        <v>6945</v>
      </c>
      <c r="H696" s="16" t="s">
        <v>804</v>
      </c>
    </row>
    <row r="697" spans="1:8">
      <c r="A697" t="str">
        <f t="shared" si="20"/>
        <v>فارسمرودشت</v>
      </c>
      <c r="B697" s="12" t="s">
        <v>160</v>
      </c>
      <c r="C697" s="12" t="s">
        <v>173</v>
      </c>
      <c r="D697" s="12" t="s">
        <v>480</v>
      </c>
      <c r="E697" s="12">
        <v>0.43329687265418426</v>
      </c>
      <c r="F697" s="12">
        <v>326379</v>
      </c>
      <c r="G697">
        <f t="shared" si="21"/>
        <v>141419</v>
      </c>
      <c r="H697" s="16" t="s">
        <v>782</v>
      </c>
    </row>
    <row r="698" spans="1:8">
      <c r="A698" t="str">
        <f t="shared" si="20"/>
        <v>فارسمرودشت</v>
      </c>
      <c r="B698" s="12" t="s">
        <v>160</v>
      </c>
      <c r="C698" s="12" t="s">
        <v>173</v>
      </c>
      <c r="D698" s="12" t="s">
        <v>479</v>
      </c>
      <c r="E698" s="12">
        <v>0.4067541110181721</v>
      </c>
      <c r="F698" s="12">
        <v>326379</v>
      </c>
      <c r="G698">
        <f t="shared" si="21"/>
        <v>132756</v>
      </c>
      <c r="H698" s="16" t="s">
        <v>782</v>
      </c>
    </row>
    <row r="699" spans="1:8">
      <c r="A699" t="str">
        <f t="shared" si="20"/>
        <v>فارسمرودشت</v>
      </c>
      <c r="B699" s="12" t="s">
        <v>160</v>
      </c>
      <c r="C699" s="12" t="s">
        <v>173</v>
      </c>
      <c r="D699" s="12" t="s">
        <v>22</v>
      </c>
      <c r="E699" s="12">
        <v>9.7420483548267503E-2</v>
      </c>
      <c r="F699" s="12">
        <v>326379</v>
      </c>
      <c r="G699">
        <f t="shared" si="21"/>
        <v>31796</v>
      </c>
      <c r="H699" s="16" t="s">
        <v>782</v>
      </c>
    </row>
    <row r="700" spans="1:8">
      <c r="A700" t="str">
        <f t="shared" si="20"/>
        <v>فارسمرودشت</v>
      </c>
      <c r="B700" s="12" t="s">
        <v>160</v>
      </c>
      <c r="C700" s="12" t="s">
        <v>173</v>
      </c>
      <c r="D700" s="12" t="s">
        <v>478</v>
      </c>
      <c r="E700" s="12">
        <v>3.347029067433873E-2</v>
      </c>
      <c r="F700" s="12">
        <v>326379</v>
      </c>
      <c r="G700">
        <f t="shared" si="21"/>
        <v>10924</v>
      </c>
      <c r="H700" s="16" t="s">
        <v>782</v>
      </c>
    </row>
    <row r="701" spans="1:8">
      <c r="A701" t="str">
        <f t="shared" si="20"/>
        <v>فارسمرودشت</v>
      </c>
      <c r="B701" s="12" t="s">
        <v>160</v>
      </c>
      <c r="C701" s="12" t="s">
        <v>173</v>
      </c>
      <c r="D701" s="12" t="s">
        <v>20</v>
      </c>
      <c r="E701" s="12">
        <v>2.9061306027654967E-2</v>
      </c>
      <c r="F701" s="12">
        <v>326379</v>
      </c>
      <c r="G701">
        <f t="shared" si="21"/>
        <v>9485</v>
      </c>
      <c r="H701" s="16" t="s">
        <v>782</v>
      </c>
    </row>
    <row r="702" spans="1:8">
      <c r="A702" t="str">
        <f t="shared" si="20"/>
        <v>فارسممسني</v>
      </c>
      <c r="B702" s="12" t="s">
        <v>160</v>
      </c>
      <c r="C702" s="12" t="s">
        <v>174</v>
      </c>
      <c r="D702" s="12" t="s">
        <v>480</v>
      </c>
      <c r="E702" s="12">
        <v>0.39797369205227534</v>
      </c>
      <c r="F702" s="12">
        <v>117455</v>
      </c>
      <c r="G702">
        <f t="shared" si="21"/>
        <v>46744</v>
      </c>
      <c r="H702" s="16" t="s">
        <v>779</v>
      </c>
    </row>
    <row r="703" spans="1:8">
      <c r="A703" t="str">
        <f t="shared" si="20"/>
        <v>فارسممسني</v>
      </c>
      <c r="B703" s="12" t="s">
        <v>160</v>
      </c>
      <c r="C703" s="12" t="s">
        <v>174</v>
      </c>
      <c r="D703" s="12" t="s">
        <v>479</v>
      </c>
      <c r="E703" s="12">
        <v>0.40548295091737263</v>
      </c>
      <c r="F703" s="12">
        <v>117455</v>
      </c>
      <c r="G703">
        <f t="shared" si="21"/>
        <v>47626</v>
      </c>
      <c r="H703" s="16" t="s">
        <v>779</v>
      </c>
    </row>
    <row r="704" spans="1:8">
      <c r="A704" t="str">
        <f t="shared" si="20"/>
        <v>فارسممسني</v>
      </c>
      <c r="B704" s="12" t="s">
        <v>160</v>
      </c>
      <c r="C704" s="12" t="s">
        <v>174</v>
      </c>
      <c r="D704" s="12" t="s">
        <v>22</v>
      </c>
      <c r="E704" s="12">
        <v>0.11149802051849644</v>
      </c>
      <c r="F704" s="12">
        <v>117455</v>
      </c>
      <c r="G704">
        <f t="shared" si="21"/>
        <v>13096</v>
      </c>
      <c r="H704" s="16" t="s">
        <v>779</v>
      </c>
    </row>
    <row r="705" spans="1:8">
      <c r="A705" t="str">
        <f t="shared" si="20"/>
        <v>فارسممسني</v>
      </c>
      <c r="B705" s="12" t="s">
        <v>160</v>
      </c>
      <c r="C705" s="12" t="s">
        <v>174</v>
      </c>
      <c r="D705" s="12" t="s">
        <v>478</v>
      </c>
      <c r="E705" s="12">
        <v>4.3531565280320123E-2</v>
      </c>
      <c r="F705" s="12">
        <v>117455</v>
      </c>
      <c r="G705">
        <f t="shared" si="21"/>
        <v>5113</v>
      </c>
      <c r="H705" s="16" t="s">
        <v>779</v>
      </c>
    </row>
    <row r="706" spans="1:8">
      <c r="A706" t="str">
        <f t="shared" ref="A706:A769" si="22">B706&amp;C706</f>
        <v>فارسممسني</v>
      </c>
      <c r="B706" s="12" t="s">
        <v>160</v>
      </c>
      <c r="C706" s="12" t="s">
        <v>174</v>
      </c>
      <c r="D706" s="12" t="s">
        <v>20</v>
      </c>
      <c r="E706" s="12">
        <v>4.1522285130475504E-2</v>
      </c>
      <c r="F706" s="12">
        <v>117455</v>
      </c>
      <c r="G706">
        <f t="shared" si="21"/>
        <v>4877</v>
      </c>
      <c r="H706" s="16" t="s">
        <v>779</v>
      </c>
    </row>
    <row r="707" spans="1:8">
      <c r="A707" t="str">
        <f t="shared" si="22"/>
        <v>فارسني ريز</v>
      </c>
      <c r="B707" s="12" t="s">
        <v>160</v>
      </c>
      <c r="C707" s="12" t="s">
        <v>175</v>
      </c>
      <c r="D707" s="12" t="s">
        <v>480</v>
      </c>
      <c r="E707" s="12">
        <v>0.4381141205139179</v>
      </c>
      <c r="F707" s="12">
        <v>114493</v>
      </c>
      <c r="G707">
        <f t="shared" ref="G707:G770" si="23">IFERROR(ROUND(F707*E707,0),0)</f>
        <v>50161</v>
      </c>
      <c r="H707" s="16" t="s">
        <v>794</v>
      </c>
    </row>
    <row r="708" spans="1:8">
      <c r="A708" t="str">
        <f t="shared" si="22"/>
        <v>فارسني ريز</v>
      </c>
      <c r="B708" s="12" t="s">
        <v>160</v>
      </c>
      <c r="C708" s="12" t="s">
        <v>175</v>
      </c>
      <c r="D708" s="12" t="s">
        <v>479</v>
      </c>
      <c r="E708" s="12">
        <v>0.39323801455110791</v>
      </c>
      <c r="F708" s="12">
        <v>114493</v>
      </c>
      <c r="G708">
        <f t="shared" si="23"/>
        <v>45023</v>
      </c>
      <c r="H708" s="16" t="s">
        <v>794</v>
      </c>
    </row>
    <row r="709" spans="1:8">
      <c r="A709" t="str">
        <f t="shared" si="22"/>
        <v>فارسني ريز</v>
      </c>
      <c r="B709" s="12" t="s">
        <v>160</v>
      </c>
      <c r="C709" s="12" t="s">
        <v>175</v>
      </c>
      <c r="D709" s="12" t="s">
        <v>22</v>
      </c>
      <c r="E709" s="12">
        <v>9.9281178762020389E-2</v>
      </c>
      <c r="F709" s="12">
        <v>114493</v>
      </c>
      <c r="G709">
        <f t="shared" si="23"/>
        <v>11367</v>
      </c>
      <c r="H709" s="16" t="s">
        <v>794</v>
      </c>
    </row>
    <row r="710" spans="1:8">
      <c r="A710" t="str">
        <f t="shared" si="22"/>
        <v>فارسني ريز</v>
      </c>
      <c r="B710" s="12" t="s">
        <v>160</v>
      </c>
      <c r="C710" s="12" t="s">
        <v>175</v>
      </c>
      <c r="D710" s="12" t="s">
        <v>478</v>
      </c>
      <c r="E710" s="12">
        <v>3.6631060414173792E-2</v>
      </c>
      <c r="F710" s="12">
        <v>114493</v>
      </c>
      <c r="G710">
        <f t="shared" si="23"/>
        <v>4194</v>
      </c>
      <c r="H710" s="16" t="s">
        <v>794</v>
      </c>
    </row>
    <row r="711" spans="1:8">
      <c r="A711" t="str">
        <f t="shared" si="22"/>
        <v>فارسني ريز</v>
      </c>
      <c r="B711" s="12" t="s">
        <v>160</v>
      </c>
      <c r="C711" s="12" t="s">
        <v>175</v>
      </c>
      <c r="D711" s="12" t="s">
        <v>20</v>
      </c>
      <c r="E711" s="12">
        <v>3.2709423283519515E-2</v>
      </c>
      <c r="F711" s="12">
        <v>114493</v>
      </c>
      <c r="G711">
        <f t="shared" si="23"/>
        <v>3745</v>
      </c>
      <c r="H711" s="16" t="s">
        <v>794</v>
      </c>
    </row>
    <row r="712" spans="1:8">
      <c r="A712" t="str">
        <f t="shared" si="22"/>
        <v>فارسلامرد</v>
      </c>
      <c r="B712" s="12" t="s">
        <v>160</v>
      </c>
      <c r="C712" s="12" t="s">
        <v>176</v>
      </c>
      <c r="D712" s="12" t="s">
        <v>480</v>
      </c>
      <c r="E712" s="12">
        <v>0.47494607153972462</v>
      </c>
      <c r="F712" s="12">
        <v>93179</v>
      </c>
      <c r="G712">
        <f t="shared" si="23"/>
        <v>44255</v>
      </c>
      <c r="H712" s="16" t="s">
        <v>805</v>
      </c>
    </row>
    <row r="713" spans="1:8">
      <c r="A713" t="str">
        <f t="shared" si="22"/>
        <v>فارسلامرد</v>
      </c>
      <c r="B713" s="12" t="s">
        <v>160</v>
      </c>
      <c r="C713" s="12" t="s">
        <v>176</v>
      </c>
      <c r="D713" s="12" t="s">
        <v>479</v>
      </c>
      <c r="E713" s="12">
        <v>0.38241449253587184</v>
      </c>
      <c r="F713" s="12">
        <v>93179</v>
      </c>
      <c r="G713">
        <f t="shared" si="23"/>
        <v>35633</v>
      </c>
      <c r="H713" s="16" t="s">
        <v>805</v>
      </c>
    </row>
    <row r="714" spans="1:8">
      <c r="A714" t="str">
        <f t="shared" si="22"/>
        <v>فارسلامرد</v>
      </c>
      <c r="B714" s="12" t="s">
        <v>160</v>
      </c>
      <c r="C714" s="12" t="s">
        <v>176</v>
      </c>
      <c r="D714" s="12" t="s">
        <v>22</v>
      </c>
      <c r="E714" s="12">
        <v>8.4149862093390135E-2</v>
      </c>
      <c r="F714" s="12">
        <v>93179</v>
      </c>
      <c r="G714">
        <f t="shared" si="23"/>
        <v>7841</v>
      </c>
      <c r="H714" s="16" t="s">
        <v>805</v>
      </c>
    </row>
    <row r="715" spans="1:8">
      <c r="A715" t="str">
        <f t="shared" si="22"/>
        <v>فارسلامرد</v>
      </c>
      <c r="B715" s="12" t="s">
        <v>160</v>
      </c>
      <c r="C715" s="12" t="s">
        <v>176</v>
      </c>
      <c r="D715" s="12" t="s">
        <v>478</v>
      </c>
      <c r="E715" s="12">
        <v>3.1112160465340905E-2</v>
      </c>
      <c r="F715" s="12">
        <v>93179</v>
      </c>
      <c r="G715">
        <f t="shared" si="23"/>
        <v>2899</v>
      </c>
      <c r="H715" s="16" t="s">
        <v>805</v>
      </c>
    </row>
    <row r="716" spans="1:8">
      <c r="A716" t="str">
        <f t="shared" si="22"/>
        <v>فارسلامرد</v>
      </c>
      <c r="B716" s="12" t="s">
        <v>160</v>
      </c>
      <c r="C716" s="12" t="s">
        <v>176</v>
      </c>
      <c r="D716" s="12" t="s">
        <v>20</v>
      </c>
      <c r="E716" s="12">
        <v>2.7441805557046117E-2</v>
      </c>
      <c r="F716" s="12">
        <v>93179</v>
      </c>
      <c r="G716">
        <f t="shared" si="23"/>
        <v>2557</v>
      </c>
      <c r="H716" s="16" t="s">
        <v>805</v>
      </c>
    </row>
    <row r="717" spans="1:8">
      <c r="A717" t="str">
        <f t="shared" si="22"/>
        <v>فارسبوانات</v>
      </c>
      <c r="B717" s="12" t="s">
        <v>160</v>
      </c>
      <c r="C717" s="12" t="s">
        <v>177</v>
      </c>
      <c r="D717" s="12" t="s">
        <v>480</v>
      </c>
      <c r="E717" s="12">
        <v>0.42570990927300578</v>
      </c>
      <c r="F717" s="12">
        <v>50922</v>
      </c>
      <c r="G717">
        <f t="shared" si="23"/>
        <v>21678</v>
      </c>
      <c r="H717" s="16" t="s">
        <v>790</v>
      </c>
    </row>
    <row r="718" spans="1:8">
      <c r="A718" t="str">
        <f t="shared" si="22"/>
        <v>فارسبوانات</v>
      </c>
      <c r="B718" s="12" t="s">
        <v>160</v>
      </c>
      <c r="C718" s="12" t="s">
        <v>177</v>
      </c>
      <c r="D718" s="12" t="s">
        <v>479</v>
      </c>
      <c r="E718" s="12">
        <v>0.38977259337810771</v>
      </c>
      <c r="F718" s="12">
        <v>50922</v>
      </c>
      <c r="G718">
        <f t="shared" si="23"/>
        <v>19848</v>
      </c>
      <c r="H718" s="16" t="s">
        <v>790</v>
      </c>
    </row>
    <row r="719" spans="1:8">
      <c r="A719" t="str">
        <f t="shared" si="22"/>
        <v>فارسبوانات</v>
      </c>
      <c r="B719" s="12" t="s">
        <v>160</v>
      </c>
      <c r="C719" s="12" t="s">
        <v>177</v>
      </c>
      <c r="D719" s="12" t="s">
        <v>22</v>
      </c>
      <c r="E719" s="12">
        <v>0.10042810573033266</v>
      </c>
      <c r="F719" s="12">
        <v>50922</v>
      </c>
      <c r="G719">
        <f t="shared" si="23"/>
        <v>5114</v>
      </c>
      <c r="H719" s="16" t="s">
        <v>790</v>
      </c>
    </row>
    <row r="720" spans="1:8">
      <c r="A720" t="str">
        <f t="shared" si="22"/>
        <v>فارسبوانات</v>
      </c>
      <c r="B720" s="12" t="s">
        <v>160</v>
      </c>
      <c r="C720" s="12" t="s">
        <v>177</v>
      </c>
      <c r="D720" s="12" t="s">
        <v>478</v>
      </c>
      <c r="E720" s="12">
        <v>4.1514473115745652E-2</v>
      </c>
      <c r="F720" s="12">
        <v>50922</v>
      </c>
      <c r="G720">
        <f t="shared" si="23"/>
        <v>2114</v>
      </c>
      <c r="H720" s="16" t="s">
        <v>790</v>
      </c>
    </row>
    <row r="721" spans="1:8">
      <c r="A721" t="str">
        <f t="shared" si="22"/>
        <v>فارسبوانات</v>
      </c>
      <c r="B721" s="12" t="s">
        <v>160</v>
      </c>
      <c r="C721" s="12" t="s">
        <v>177</v>
      </c>
      <c r="D721" s="12" t="s">
        <v>20</v>
      </c>
      <c r="E721" s="12">
        <v>4.2555280625270024E-2</v>
      </c>
      <c r="F721" s="12">
        <v>50922</v>
      </c>
      <c r="G721">
        <f t="shared" si="23"/>
        <v>2167</v>
      </c>
      <c r="H721" s="16" t="s">
        <v>790</v>
      </c>
    </row>
    <row r="722" spans="1:8">
      <c r="A722" t="str">
        <f t="shared" si="22"/>
        <v>فارسارسنجان</v>
      </c>
      <c r="B722" s="12" t="s">
        <v>160</v>
      </c>
      <c r="C722" s="12" t="s">
        <v>178</v>
      </c>
      <c r="D722" s="12" t="s">
        <v>480</v>
      </c>
      <c r="E722" s="12">
        <v>0.41729717145850309</v>
      </c>
      <c r="F722" s="12">
        <v>42955</v>
      </c>
      <c r="G722">
        <f t="shared" si="23"/>
        <v>17925</v>
      </c>
      <c r="H722" s="16" t="s">
        <v>802</v>
      </c>
    </row>
    <row r="723" spans="1:8">
      <c r="A723" t="str">
        <f t="shared" si="22"/>
        <v>فارسارسنجان</v>
      </c>
      <c r="B723" s="12" t="s">
        <v>160</v>
      </c>
      <c r="C723" s="12" t="s">
        <v>178</v>
      </c>
      <c r="D723" s="12" t="s">
        <v>479</v>
      </c>
      <c r="E723" s="12">
        <v>0.4144337096961937</v>
      </c>
      <c r="F723" s="12">
        <v>42955</v>
      </c>
      <c r="G723">
        <f t="shared" si="23"/>
        <v>17802</v>
      </c>
      <c r="H723" s="16" t="s">
        <v>802</v>
      </c>
    </row>
    <row r="724" spans="1:8">
      <c r="A724" t="str">
        <f t="shared" si="22"/>
        <v>فارسارسنجان</v>
      </c>
      <c r="B724" s="12" t="s">
        <v>160</v>
      </c>
      <c r="C724" s="12" t="s">
        <v>178</v>
      </c>
      <c r="D724" s="12" t="s">
        <v>22</v>
      </c>
      <c r="E724" s="12">
        <v>0.10115236875800256</v>
      </c>
      <c r="F724" s="12">
        <v>42955</v>
      </c>
      <c r="G724">
        <f t="shared" si="23"/>
        <v>4345</v>
      </c>
      <c r="H724" s="16" t="s">
        <v>802</v>
      </c>
    </row>
    <row r="725" spans="1:8">
      <c r="A725" t="str">
        <f t="shared" si="22"/>
        <v>فارسارسنجان</v>
      </c>
      <c r="B725" s="12" t="s">
        <v>160</v>
      </c>
      <c r="C725" s="12" t="s">
        <v>178</v>
      </c>
      <c r="D725" s="12" t="s">
        <v>478</v>
      </c>
      <c r="E725" s="12">
        <v>3.433826097078338E-2</v>
      </c>
      <c r="F725" s="12">
        <v>42955</v>
      </c>
      <c r="G725">
        <f t="shared" si="23"/>
        <v>1475</v>
      </c>
      <c r="H725" s="16" t="s">
        <v>802</v>
      </c>
    </row>
    <row r="726" spans="1:8">
      <c r="A726" t="str">
        <f t="shared" si="22"/>
        <v>فارسارسنجان</v>
      </c>
      <c r="B726" s="12" t="s">
        <v>160</v>
      </c>
      <c r="C726" s="12" t="s">
        <v>178</v>
      </c>
      <c r="D726" s="12" t="s">
        <v>20</v>
      </c>
      <c r="E726" s="12">
        <v>3.2825049470375976E-2</v>
      </c>
      <c r="F726" s="12">
        <v>42955</v>
      </c>
      <c r="G726">
        <f t="shared" si="23"/>
        <v>1410</v>
      </c>
      <c r="H726" s="16" t="s">
        <v>802</v>
      </c>
    </row>
    <row r="727" spans="1:8">
      <c r="A727" t="str">
        <f t="shared" si="22"/>
        <v>فارسخرم بيد</v>
      </c>
      <c r="B727" s="12" t="s">
        <v>160</v>
      </c>
      <c r="C727" s="12" t="s">
        <v>179</v>
      </c>
      <c r="D727" s="12" t="s">
        <v>480</v>
      </c>
      <c r="E727" s="12">
        <v>0.44448334889511359</v>
      </c>
      <c r="F727" s="12">
        <v>51408</v>
      </c>
      <c r="G727">
        <f t="shared" si="23"/>
        <v>22850</v>
      </c>
      <c r="H727" s="16" t="s">
        <v>780</v>
      </c>
    </row>
    <row r="728" spans="1:8">
      <c r="A728" t="str">
        <f t="shared" si="22"/>
        <v>فارسخرم بيد</v>
      </c>
      <c r="B728" s="12" t="s">
        <v>160</v>
      </c>
      <c r="C728" s="12" t="s">
        <v>179</v>
      </c>
      <c r="D728" s="12" t="s">
        <v>479</v>
      </c>
      <c r="E728" s="12">
        <v>0.39104808590102708</v>
      </c>
      <c r="F728" s="12">
        <v>51408</v>
      </c>
      <c r="G728">
        <f t="shared" si="23"/>
        <v>20103</v>
      </c>
      <c r="H728" s="16" t="s">
        <v>780</v>
      </c>
    </row>
    <row r="729" spans="1:8">
      <c r="A729" t="str">
        <f t="shared" si="22"/>
        <v>فارسخرم بيد</v>
      </c>
      <c r="B729" s="12" t="s">
        <v>160</v>
      </c>
      <c r="C729" s="12" t="s">
        <v>179</v>
      </c>
      <c r="D729" s="12" t="s">
        <v>22</v>
      </c>
      <c r="E729" s="12">
        <v>9.6191254279489574E-2</v>
      </c>
      <c r="F729" s="12">
        <v>51408</v>
      </c>
      <c r="G729">
        <f t="shared" si="23"/>
        <v>4945</v>
      </c>
      <c r="H729" s="16" t="s">
        <v>780</v>
      </c>
    </row>
    <row r="730" spans="1:8">
      <c r="A730" t="str">
        <f t="shared" si="22"/>
        <v>فارسخرم بيد</v>
      </c>
      <c r="B730" s="12" t="s">
        <v>160</v>
      </c>
      <c r="C730" s="12" t="s">
        <v>179</v>
      </c>
      <c r="D730" s="12" t="s">
        <v>478</v>
      </c>
      <c r="E730" s="12">
        <v>3.4916744475568008E-2</v>
      </c>
      <c r="F730" s="12">
        <v>51408</v>
      </c>
      <c r="G730">
        <f t="shared" si="23"/>
        <v>1795</v>
      </c>
      <c r="H730" s="16" t="s">
        <v>780</v>
      </c>
    </row>
    <row r="731" spans="1:8">
      <c r="A731" t="str">
        <f t="shared" si="22"/>
        <v>فارسخرم بيد</v>
      </c>
      <c r="B731" s="12" t="s">
        <v>160</v>
      </c>
      <c r="C731" s="12" t="s">
        <v>179</v>
      </c>
      <c r="D731" s="12" t="s">
        <v>20</v>
      </c>
      <c r="E731" s="12">
        <v>3.3224400871459697E-2</v>
      </c>
      <c r="F731" s="12">
        <v>51408</v>
      </c>
      <c r="G731">
        <f t="shared" si="23"/>
        <v>1708</v>
      </c>
      <c r="H731" s="16" t="s">
        <v>780</v>
      </c>
    </row>
    <row r="732" spans="1:8">
      <c r="A732" t="str">
        <f t="shared" si="22"/>
        <v>فارسزرين دشت</v>
      </c>
      <c r="B732" s="12" t="s">
        <v>160</v>
      </c>
      <c r="C732" s="12" t="s">
        <v>180</v>
      </c>
      <c r="D732" s="12" t="s">
        <v>480</v>
      </c>
      <c r="E732" s="12">
        <v>0.49763916834339372</v>
      </c>
      <c r="F732" s="12">
        <v>74550</v>
      </c>
      <c r="G732">
        <f t="shared" si="23"/>
        <v>37099</v>
      </c>
      <c r="H732" s="16" t="s">
        <v>777</v>
      </c>
    </row>
    <row r="733" spans="1:8">
      <c r="A733" t="str">
        <f t="shared" si="22"/>
        <v>فارسزرين دشت</v>
      </c>
      <c r="B733" s="12" t="s">
        <v>160</v>
      </c>
      <c r="C733" s="12" t="s">
        <v>180</v>
      </c>
      <c r="D733" s="12" t="s">
        <v>479</v>
      </c>
      <c r="E733" s="12">
        <v>0.36934942991281017</v>
      </c>
      <c r="F733" s="12">
        <v>74550</v>
      </c>
      <c r="G733">
        <f t="shared" si="23"/>
        <v>27535</v>
      </c>
      <c r="H733" s="16" t="s">
        <v>777</v>
      </c>
    </row>
    <row r="734" spans="1:8">
      <c r="A734" t="str">
        <f t="shared" si="22"/>
        <v>فارسزرين دشت</v>
      </c>
      <c r="B734" s="12" t="s">
        <v>160</v>
      </c>
      <c r="C734" s="12" t="s">
        <v>180</v>
      </c>
      <c r="D734" s="12" t="s">
        <v>22</v>
      </c>
      <c r="E734" s="12">
        <v>8.0751173708920182E-2</v>
      </c>
      <c r="F734" s="12">
        <v>74550</v>
      </c>
      <c r="G734">
        <f t="shared" si="23"/>
        <v>6020</v>
      </c>
      <c r="H734" s="16" t="s">
        <v>777</v>
      </c>
    </row>
    <row r="735" spans="1:8">
      <c r="A735" t="str">
        <f t="shared" si="22"/>
        <v>فارسزرين دشت</v>
      </c>
      <c r="B735" s="12" t="s">
        <v>160</v>
      </c>
      <c r="C735" s="12" t="s">
        <v>180</v>
      </c>
      <c r="D735" s="12" t="s">
        <v>478</v>
      </c>
      <c r="E735" s="12">
        <v>2.7860496311200536E-2</v>
      </c>
      <c r="F735" s="12">
        <v>74550</v>
      </c>
      <c r="G735">
        <f t="shared" si="23"/>
        <v>2077</v>
      </c>
      <c r="H735" s="16" t="s">
        <v>777</v>
      </c>
    </row>
    <row r="736" spans="1:8">
      <c r="A736" t="str">
        <f t="shared" si="22"/>
        <v>فارسزرين دشت</v>
      </c>
      <c r="B736" s="12" t="s">
        <v>160</v>
      </c>
      <c r="C736" s="12" t="s">
        <v>180</v>
      </c>
      <c r="D736" s="12" t="s">
        <v>20</v>
      </c>
      <c r="E736" s="12">
        <v>2.4359490274983232E-2</v>
      </c>
      <c r="F736" s="12">
        <v>74550</v>
      </c>
      <c r="G736">
        <f t="shared" si="23"/>
        <v>1816</v>
      </c>
      <c r="H736" s="16" t="s">
        <v>777</v>
      </c>
    </row>
    <row r="737" spans="1:8">
      <c r="A737" t="str">
        <f t="shared" si="22"/>
        <v>فارسقيروكارزين</v>
      </c>
      <c r="B737" s="12" t="s">
        <v>160</v>
      </c>
      <c r="C737" s="12" t="s">
        <v>181</v>
      </c>
      <c r="D737" s="12" t="s">
        <v>480</v>
      </c>
      <c r="E737" s="12">
        <v>0.45515019663626477</v>
      </c>
      <c r="F737" s="12">
        <v>71706</v>
      </c>
      <c r="G737">
        <f t="shared" si="23"/>
        <v>32637</v>
      </c>
      <c r="H737" s="16" t="s">
        <v>803</v>
      </c>
    </row>
    <row r="738" spans="1:8">
      <c r="A738" t="str">
        <f t="shared" si="22"/>
        <v>فارسقيروكارزين</v>
      </c>
      <c r="B738" s="12" t="s">
        <v>160</v>
      </c>
      <c r="C738" s="12" t="s">
        <v>181</v>
      </c>
      <c r="D738" s="12" t="s">
        <v>479</v>
      </c>
      <c r="E738" s="12">
        <v>0.39779097983432349</v>
      </c>
      <c r="F738" s="12">
        <v>71706</v>
      </c>
      <c r="G738">
        <f t="shared" si="23"/>
        <v>28524</v>
      </c>
      <c r="H738" s="16" t="s">
        <v>803</v>
      </c>
    </row>
    <row r="739" spans="1:8">
      <c r="A739" t="str">
        <f t="shared" si="22"/>
        <v>فارسقيروكارزين</v>
      </c>
      <c r="B739" s="12" t="s">
        <v>160</v>
      </c>
      <c r="C739" s="12" t="s">
        <v>181</v>
      </c>
      <c r="D739" s="12" t="s">
        <v>22</v>
      </c>
      <c r="E739" s="12">
        <v>8.6729144004685801E-2</v>
      </c>
      <c r="F739" s="12">
        <v>71706</v>
      </c>
      <c r="G739">
        <f t="shared" si="23"/>
        <v>6219</v>
      </c>
      <c r="H739" s="16" t="s">
        <v>803</v>
      </c>
    </row>
    <row r="740" spans="1:8">
      <c r="A740" t="str">
        <f t="shared" si="22"/>
        <v>فارسقيروكارزين</v>
      </c>
      <c r="B740" s="12" t="s">
        <v>160</v>
      </c>
      <c r="C740" s="12" t="s">
        <v>181</v>
      </c>
      <c r="D740" s="12" t="s">
        <v>478</v>
      </c>
      <c r="E740" s="12">
        <v>3.1406019022118092E-2</v>
      </c>
      <c r="F740" s="12">
        <v>71706</v>
      </c>
      <c r="G740">
        <f t="shared" si="23"/>
        <v>2252</v>
      </c>
      <c r="H740" s="16" t="s">
        <v>803</v>
      </c>
    </row>
    <row r="741" spans="1:8">
      <c r="A741" t="str">
        <f t="shared" si="22"/>
        <v>فارسقيروكارزين</v>
      </c>
      <c r="B741" s="12" t="s">
        <v>160</v>
      </c>
      <c r="C741" s="12" t="s">
        <v>181</v>
      </c>
      <c r="D741" s="12" t="s">
        <v>20</v>
      </c>
      <c r="E741" s="12">
        <v>2.8895768833849329E-2</v>
      </c>
      <c r="F741" s="12">
        <v>71706</v>
      </c>
      <c r="G741">
        <f t="shared" si="23"/>
        <v>2072</v>
      </c>
      <c r="H741" s="16" t="s">
        <v>803</v>
      </c>
    </row>
    <row r="742" spans="1:8">
      <c r="A742" t="str">
        <f t="shared" si="22"/>
        <v>فارسمهر</v>
      </c>
      <c r="B742" s="12" t="s">
        <v>160</v>
      </c>
      <c r="C742" s="12" t="s">
        <v>182</v>
      </c>
      <c r="D742" s="12" t="s">
        <v>480</v>
      </c>
      <c r="E742" s="12">
        <v>0.49230491220672828</v>
      </c>
      <c r="F742" s="12">
        <v>66406</v>
      </c>
      <c r="G742">
        <f t="shared" si="23"/>
        <v>32692</v>
      </c>
      <c r="H742" s="16" t="s">
        <v>778</v>
      </c>
    </row>
    <row r="743" spans="1:8">
      <c r="A743" t="str">
        <f t="shared" si="22"/>
        <v>فارسمهر</v>
      </c>
      <c r="B743" s="12" t="s">
        <v>160</v>
      </c>
      <c r="C743" s="12" t="s">
        <v>182</v>
      </c>
      <c r="D743" s="12" t="s">
        <v>479</v>
      </c>
      <c r="E743" s="12">
        <v>0.37231575460048788</v>
      </c>
      <c r="F743" s="12">
        <v>66406</v>
      </c>
      <c r="G743">
        <f t="shared" si="23"/>
        <v>24724</v>
      </c>
      <c r="H743" s="16" t="s">
        <v>778</v>
      </c>
    </row>
    <row r="744" spans="1:8">
      <c r="A744" t="str">
        <f t="shared" si="22"/>
        <v>فارسمهر</v>
      </c>
      <c r="B744" s="12" t="s">
        <v>160</v>
      </c>
      <c r="C744" s="12" t="s">
        <v>182</v>
      </c>
      <c r="D744" s="12" t="s">
        <v>22</v>
      </c>
      <c r="E744" s="12">
        <v>8.1438424238773607E-2</v>
      </c>
      <c r="F744" s="12">
        <v>66406</v>
      </c>
      <c r="G744">
        <f t="shared" si="23"/>
        <v>5408</v>
      </c>
      <c r="H744" s="16" t="s">
        <v>778</v>
      </c>
    </row>
    <row r="745" spans="1:8">
      <c r="A745" t="str">
        <f t="shared" si="22"/>
        <v>فارسمهر</v>
      </c>
      <c r="B745" s="12" t="s">
        <v>160</v>
      </c>
      <c r="C745" s="12" t="s">
        <v>182</v>
      </c>
      <c r="D745" s="12" t="s">
        <v>478</v>
      </c>
      <c r="E745" s="12">
        <v>2.9650935156461767E-2</v>
      </c>
      <c r="F745" s="12">
        <v>66406</v>
      </c>
      <c r="G745">
        <f t="shared" si="23"/>
        <v>1969</v>
      </c>
      <c r="H745" s="16" t="s">
        <v>778</v>
      </c>
    </row>
    <row r="746" spans="1:8">
      <c r="A746" t="str">
        <f t="shared" si="22"/>
        <v>فارسمهر</v>
      </c>
      <c r="B746" s="12" t="s">
        <v>160</v>
      </c>
      <c r="C746" s="12" t="s">
        <v>182</v>
      </c>
      <c r="D746" s="12" t="s">
        <v>20</v>
      </c>
      <c r="E746" s="12">
        <v>2.4395385959100083E-2</v>
      </c>
      <c r="F746" s="12">
        <v>66406</v>
      </c>
      <c r="G746">
        <f t="shared" si="23"/>
        <v>1620</v>
      </c>
      <c r="H746" s="16" t="s">
        <v>778</v>
      </c>
    </row>
    <row r="747" spans="1:8">
      <c r="A747" t="str">
        <f t="shared" si="22"/>
        <v>فارسفراشبند</v>
      </c>
      <c r="B747" s="12" t="s">
        <v>160</v>
      </c>
      <c r="C747" s="12" t="s">
        <v>183</v>
      </c>
      <c r="D747" s="12" t="s">
        <v>480</v>
      </c>
      <c r="E747" s="12">
        <v>0.44666696039124115</v>
      </c>
      <c r="F747" s="12">
        <v>45394</v>
      </c>
      <c r="G747">
        <f t="shared" si="23"/>
        <v>20276</v>
      </c>
      <c r="H747" s="16" t="s">
        <v>796</v>
      </c>
    </row>
    <row r="748" spans="1:8">
      <c r="A748" t="str">
        <f t="shared" si="22"/>
        <v>فارسفراشبند</v>
      </c>
      <c r="B748" s="12" t="s">
        <v>160</v>
      </c>
      <c r="C748" s="12" t="s">
        <v>183</v>
      </c>
      <c r="D748" s="12" t="s">
        <v>479</v>
      </c>
      <c r="E748" s="12">
        <v>0.39196810151121292</v>
      </c>
      <c r="F748" s="12">
        <v>45394</v>
      </c>
      <c r="G748">
        <f t="shared" si="23"/>
        <v>17793</v>
      </c>
      <c r="H748" s="16" t="s">
        <v>796</v>
      </c>
    </row>
    <row r="749" spans="1:8">
      <c r="A749" t="str">
        <f t="shared" si="22"/>
        <v>فارسفراشبند</v>
      </c>
      <c r="B749" s="12" t="s">
        <v>160</v>
      </c>
      <c r="C749" s="12" t="s">
        <v>183</v>
      </c>
      <c r="D749" s="12" t="s">
        <v>22</v>
      </c>
      <c r="E749" s="12">
        <v>9.4968498039388463E-2</v>
      </c>
      <c r="F749" s="12">
        <v>45394</v>
      </c>
      <c r="G749">
        <f t="shared" si="23"/>
        <v>4311</v>
      </c>
      <c r="H749" s="16" t="s">
        <v>796</v>
      </c>
    </row>
    <row r="750" spans="1:8">
      <c r="A750" t="str">
        <f t="shared" si="22"/>
        <v>فارسفراشبند</v>
      </c>
      <c r="B750" s="12" t="s">
        <v>160</v>
      </c>
      <c r="C750" s="12" t="s">
        <v>183</v>
      </c>
      <c r="D750" s="12" t="s">
        <v>478</v>
      </c>
      <c r="E750" s="12">
        <v>3.4762303388112967E-2</v>
      </c>
      <c r="F750" s="12">
        <v>45394</v>
      </c>
      <c r="G750">
        <f t="shared" si="23"/>
        <v>1578</v>
      </c>
      <c r="H750" s="16" t="s">
        <v>796</v>
      </c>
    </row>
    <row r="751" spans="1:8">
      <c r="A751" t="str">
        <f t="shared" si="22"/>
        <v>فارسفراشبند</v>
      </c>
      <c r="B751" s="12" t="s">
        <v>160</v>
      </c>
      <c r="C751" s="12" t="s">
        <v>183</v>
      </c>
      <c r="D751" s="12" t="s">
        <v>20</v>
      </c>
      <c r="E751" s="12">
        <v>3.1568048640789534E-2</v>
      </c>
      <c r="F751" s="12">
        <v>45394</v>
      </c>
      <c r="G751">
        <f t="shared" si="23"/>
        <v>1433</v>
      </c>
      <c r="H751" s="16" t="s">
        <v>796</v>
      </c>
    </row>
    <row r="752" spans="1:8">
      <c r="A752" t="str">
        <f t="shared" si="22"/>
        <v>فارسپاسارگاد</v>
      </c>
      <c r="B752" s="12" t="s">
        <v>160</v>
      </c>
      <c r="C752" s="12" t="s">
        <v>184</v>
      </c>
      <c r="D752" s="12" t="s">
        <v>480</v>
      </c>
      <c r="E752" s="12">
        <v>0.43244849445324879</v>
      </c>
      <c r="F752" s="12">
        <v>30288</v>
      </c>
      <c r="G752">
        <f t="shared" si="23"/>
        <v>13098</v>
      </c>
      <c r="H752" s="16" t="s">
        <v>798</v>
      </c>
    </row>
    <row r="753" spans="1:8">
      <c r="A753" t="str">
        <f t="shared" si="22"/>
        <v>فارسپاسارگاد</v>
      </c>
      <c r="B753" s="12" t="s">
        <v>160</v>
      </c>
      <c r="C753" s="12" t="s">
        <v>184</v>
      </c>
      <c r="D753" s="12" t="s">
        <v>479</v>
      </c>
      <c r="E753" s="12">
        <v>0.40055467511885895</v>
      </c>
      <c r="F753" s="12">
        <v>30288</v>
      </c>
      <c r="G753">
        <f t="shared" si="23"/>
        <v>12132</v>
      </c>
      <c r="H753" s="16" t="s">
        <v>798</v>
      </c>
    </row>
    <row r="754" spans="1:8">
      <c r="A754" t="str">
        <f t="shared" si="22"/>
        <v>فارسپاسارگاد</v>
      </c>
      <c r="B754" s="12" t="s">
        <v>160</v>
      </c>
      <c r="C754" s="12" t="s">
        <v>184</v>
      </c>
      <c r="D754" s="12" t="s">
        <v>22</v>
      </c>
      <c r="E754" s="12">
        <v>9.7596407818277872E-2</v>
      </c>
      <c r="F754" s="12">
        <v>30288</v>
      </c>
      <c r="G754">
        <f t="shared" si="23"/>
        <v>2956</v>
      </c>
      <c r="H754" s="16" t="s">
        <v>798</v>
      </c>
    </row>
    <row r="755" spans="1:8">
      <c r="A755" t="str">
        <f t="shared" si="22"/>
        <v>فارسپاسارگاد</v>
      </c>
      <c r="B755" s="12" t="s">
        <v>160</v>
      </c>
      <c r="C755" s="12" t="s">
        <v>184</v>
      </c>
      <c r="D755" s="12" t="s">
        <v>478</v>
      </c>
      <c r="E755" s="12">
        <v>3.6020866349709454E-2</v>
      </c>
      <c r="F755" s="12">
        <v>30288</v>
      </c>
      <c r="G755">
        <f t="shared" si="23"/>
        <v>1091</v>
      </c>
      <c r="H755" s="16" t="s">
        <v>798</v>
      </c>
    </row>
    <row r="756" spans="1:8">
      <c r="A756" t="str">
        <f t="shared" si="22"/>
        <v>فارسپاسارگاد</v>
      </c>
      <c r="B756" s="12" t="s">
        <v>160</v>
      </c>
      <c r="C756" s="12" t="s">
        <v>184</v>
      </c>
      <c r="D756" s="12" t="s">
        <v>20</v>
      </c>
      <c r="E756" s="12">
        <v>3.3346539883782354E-2</v>
      </c>
      <c r="F756" s="12">
        <v>30288</v>
      </c>
      <c r="G756">
        <f t="shared" si="23"/>
        <v>1010</v>
      </c>
      <c r="H756" s="16" t="s">
        <v>798</v>
      </c>
    </row>
    <row r="757" spans="1:8">
      <c r="A757" t="str">
        <f t="shared" si="22"/>
        <v>فارسخنج</v>
      </c>
      <c r="B757" s="12" t="s">
        <v>160</v>
      </c>
      <c r="C757" s="12" t="s">
        <v>185</v>
      </c>
      <c r="D757" s="12" t="s">
        <v>480</v>
      </c>
      <c r="E757" s="12">
        <v>0.48478516703893171</v>
      </c>
      <c r="F757" s="12">
        <v>41637</v>
      </c>
      <c r="G757">
        <f t="shared" si="23"/>
        <v>20185</v>
      </c>
      <c r="H757" s="16" t="s">
        <v>783</v>
      </c>
    </row>
    <row r="758" spans="1:8">
      <c r="A758" t="str">
        <f t="shared" si="22"/>
        <v>فارسخنج</v>
      </c>
      <c r="B758" s="12" t="s">
        <v>160</v>
      </c>
      <c r="C758" s="12" t="s">
        <v>185</v>
      </c>
      <c r="D758" s="12" t="s">
        <v>479</v>
      </c>
      <c r="E758" s="12">
        <v>0.37089607800754137</v>
      </c>
      <c r="F758" s="12">
        <v>41637</v>
      </c>
      <c r="G758">
        <f t="shared" si="23"/>
        <v>15443</v>
      </c>
      <c r="H758" s="16" t="s">
        <v>783</v>
      </c>
    </row>
    <row r="759" spans="1:8">
      <c r="A759" t="str">
        <f t="shared" si="22"/>
        <v>فارسخنج</v>
      </c>
      <c r="B759" s="12" t="s">
        <v>160</v>
      </c>
      <c r="C759" s="12" t="s">
        <v>185</v>
      </c>
      <c r="D759" s="12" t="s">
        <v>22</v>
      </c>
      <c r="E759" s="12">
        <v>8.3219252107500544E-2</v>
      </c>
      <c r="F759" s="12">
        <v>41637</v>
      </c>
      <c r="G759">
        <f t="shared" si="23"/>
        <v>3465</v>
      </c>
      <c r="H759" s="16" t="s">
        <v>783</v>
      </c>
    </row>
    <row r="760" spans="1:8">
      <c r="A760" t="str">
        <f t="shared" si="22"/>
        <v>فارسخنج</v>
      </c>
      <c r="B760" s="12" t="s">
        <v>160</v>
      </c>
      <c r="C760" s="12" t="s">
        <v>185</v>
      </c>
      <c r="D760" s="12" t="s">
        <v>478</v>
      </c>
      <c r="E760" s="12">
        <v>3.1846674832480729E-2</v>
      </c>
      <c r="F760" s="12">
        <v>41637</v>
      </c>
      <c r="G760">
        <f t="shared" si="23"/>
        <v>1326</v>
      </c>
      <c r="H760" s="16" t="s">
        <v>783</v>
      </c>
    </row>
    <row r="761" spans="1:8">
      <c r="A761" t="str">
        <f t="shared" si="22"/>
        <v>فارسخنج</v>
      </c>
      <c r="B761" s="12" t="s">
        <v>160</v>
      </c>
      <c r="C761" s="12" t="s">
        <v>185</v>
      </c>
      <c r="D761" s="12" t="s">
        <v>20</v>
      </c>
      <c r="E761" s="12">
        <v>2.9252828013545645E-2</v>
      </c>
      <c r="F761" s="12">
        <v>41637</v>
      </c>
      <c r="G761">
        <f t="shared" si="23"/>
        <v>1218</v>
      </c>
      <c r="H761" s="16" t="s">
        <v>783</v>
      </c>
    </row>
    <row r="762" spans="1:8">
      <c r="A762" t="str">
        <f t="shared" si="22"/>
        <v>فارسسروستان</v>
      </c>
      <c r="B762" s="12" t="s">
        <v>160</v>
      </c>
      <c r="C762" s="12" t="s">
        <v>186</v>
      </c>
      <c r="D762" s="12" t="s">
        <v>480</v>
      </c>
      <c r="E762" s="12">
        <v>0.42460969597370585</v>
      </c>
      <c r="F762" s="12">
        <v>38944</v>
      </c>
      <c r="G762">
        <f t="shared" si="23"/>
        <v>16536</v>
      </c>
      <c r="H762" s="16" t="s">
        <v>786</v>
      </c>
    </row>
    <row r="763" spans="1:8">
      <c r="A763" t="str">
        <f t="shared" si="22"/>
        <v>فارسسروستان</v>
      </c>
      <c r="B763" s="12" t="s">
        <v>160</v>
      </c>
      <c r="C763" s="12" t="s">
        <v>186</v>
      </c>
      <c r="D763" s="12" t="s">
        <v>479</v>
      </c>
      <c r="E763" s="12">
        <v>0.39983052588331963</v>
      </c>
      <c r="F763" s="12">
        <v>38944</v>
      </c>
      <c r="G763">
        <f t="shared" si="23"/>
        <v>15571</v>
      </c>
      <c r="H763" s="16" t="s">
        <v>786</v>
      </c>
    </row>
    <row r="764" spans="1:8">
      <c r="A764" t="str">
        <f t="shared" si="22"/>
        <v>فارسسروستان</v>
      </c>
      <c r="B764" s="12" t="s">
        <v>160</v>
      </c>
      <c r="C764" s="12" t="s">
        <v>186</v>
      </c>
      <c r="D764" s="12" t="s">
        <v>22</v>
      </c>
      <c r="E764" s="12">
        <v>0.10091413311421528</v>
      </c>
      <c r="F764" s="12">
        <v>38944</v>
      </c>
      <c r="G764">
        <f t="shared" si="23"/>
        <v>3930</v>
      </c>
      <c r="H764" s="16" t="s">
        <v>786</v>
      </c>
    </row>
    <row r="765" spans="1:8">
      <c r="A765" t="str">
        <f t="shared" si="22"/>
        <v>فارسسروستان</v>
      </c>
      <c r="B765" s="12" t="s">
        <v>160</v>
      </c>
      <c r="C765" s="12" t="s">
        <v>186</v>
      </c>
      <c r="D765" s="12" t="s">
        <v>478</v>
      </c>
      <c r="E765" s="12">
        <v>3.710456039441249E-2</v>
      </c>
      <c r="F765" s="12">
        <v>38944</v>
      </c>
      <c r="G765">
        <f t="shared" si="23"/>
        <v>1445</v>
      </c>
      <c r="H765" s="16" t="s">
        <v>786</v>
      </c>
    </row>
    <row r="766" spans="1:8">
      <c r="A766" t="str">
        <f t="shared" si="22"/>
        <v>فارسسروستان</v>
      </c>
      <c r="B766" s="12" t="s">
        <v>160</v>
      </c>
      <c r="C766" s="12" t="s">
        <v>186</v>
      </c>
      <c r="D766" s="12" t="s">
        <v>20</v>
      </c>
      <c r="E766" s="12">
        <v>3.7464050944946592E-2</v>
      </c>
      <c r="F766" s="12">
        <v>38944</v>
      </c>
      <c r="G766">
        <f t="shared" si="23"/>
        <v>1459</v>
      </c>
      <c r="H766" s="16" t="s">
        <v>786</v>
      </c>
    </row>
    <row r="767" spans="1:8">
      <c r="A767" t="str">
        <f t="shared" si="22"/>
        <v>فارسرستم</v>
      </c>
      <c r="B767" s="12" t="s">
        <v>160</v>
      </c>
      <c r="C767" s="12" t="s">
        <v>187</v>
      </c>
      <c r="D767" s="12" t="s">
        <v>480</v>
      </c>
      <c r="E767" s="12">
        <v>0.41762144053601341</v>
      </c>
      <c r="F767" s="12">
        <v>44775</v>
      </c>
      <c r="G767">
        <f t="shared" si="23"/>
        <v>18699</v>
      </c>
      <c r="H767" s="16" t="s">
        <v>788</v>
      </c>
    </row>
    <row r="768" spans="1:8">
      <c r="A768" t="str">
        <f t="shared" si="22"/>
        <v>فارسرستم</v>
      </c>
      <c r="B768" s="12" t="s">
        <v>160</v>
      </c>
      <c r="C768" s="12" t="s">
        <v>187</v>
      </c>
      <c r="D768" s="12" t="s">
        <v>479</v>
      </c>
      <c r="E768" s="12">
        <v>0.40216638749302064</v>
      </c>
      <c r="F768" s="12">
        <v>44775</v>
      </c>
      <c r="G768">
        <f t="shared" si="23"/>
        <v>18007</v>
      </c>
      <c r="H768" s="16" t="s">
        <v>788</v>
      </c>
    </row>
    <row r="769" spans="1:8">
      <c r="A769" t="str">
        <f t="shared" si="22"/>
        <v>فارسرستم</v>
      </c>
      <c r="B769" s="12" t="s">
        <v>160</v>
      </c>
      <c r="C769" s="12" t="s">
        <v>187</v>
      </c>
      <c r="D769" s="12" t="s">
        <v>22</v>
      </c>
      <c r="E769" s="12">
        <v>0.10063651591289782</v>
      </c>
      <c r="F769" s="12">
        <v>44775</v>
      </c>
      <c r="G769">
        <f t="shared" si="23"/>
        <v>4506</v>
      </c>
      <c r="H769" s="16" t="s">
        <v>788</v>
      </c>
    </row>
    <row r="770" spans="1:8">
      <c r="A770" t="str">
        <f t="shared" ref="A770:A833" si="24">B770&amp;C770</f>
        <v>فارسرستم</v>
      </c>
      <c r="B770" s="12" t="s">
        <v>160</v>
      </c>
      <c r="C770" s="12" t="s">
        <v>187</v>
      </c>
      <c r="D770" s="12" t="s">
        <v>478</v>
      </c>
      <c r="E770" s="12">
        <v>3.9374651032942493E-2</v>
      </c>
      <c r="F770" s="12">
        <v>44775</v>
      </c>
      <c r="G770">
        <f t="shared" si="23"/>
        <v>1763</v>
      </c>
      <c r="H770" s="16" t="s">
        <v>788</v>
      </c>
    </row>
    <row r="771" spans="1:8">
      <c r="A771" t="str">
        <f t="shared" si="24"/>
        <v>فارسرستم</v>
      </c>
      <c r="B771" s="12" t="s">
        <v>160</v>
      </c>
      <c r="C771" s="12" t="s">
        <v>187</v>
      </c>
      <c r="D771" s="12" t="s">
        <v>20</v>
      </c>
      <c r="E771" s="12">
        <v>4.0201005025125629E-2</v>
      </c>
      <c r="F771" s="12">
        <v>44775</v>
      </c>
      <c r="G771">
        <f t="shared" ref="G771:G834" si="25">IFERROR(ROUND(F771*E771,0),0)</f>
        <v>1800</v>
      </c>
      <c r="H771" s="16" t="s">
        <v>788</v>
      </c>
    </row>
    <row r="772" spans="1:8">
      <c r="A772" t="str">
        <f t="shared" si="24"/>
        <v>فارسگراش</v>
      </c>
      <c r="B772" s="12" t="s">
        <v>160</v>
      </c>
      <c r="C772" s="12" t="s">
        <v>188</v>
      </c>
      <c r="D772" s="12" t="s">
        <v>480</v>
      </c>
      <c r="E772" s="12">
        <v>0.47190037899296156</v>
      </c>
      <c r="F772" s="12">
        <v>55410</v>
      </c>
      <c r="G772">
        <f t="shared" si="25"/>
        <v>26148</v>
      </c>
      <c r="H772" s="16" t="s">
        <v>781</v>
      </c>
    </row>
    <row r="773" spans="1:8">
      <c r="A773" t="str">
        <f t="shared" si="24"/>
        <v>فارسگراش</v>
      </c>
      <c r="B773" s="12" t="s">
        <v>160</v>
      </c>
      <c r="C773" s="12" t="s">
        <v>188</v>
      </c>
      <c r="D773" s="12" t="s">
        <v>479</v>
      </c>
      <c r="E773" s="12">
        <v>0.3749684172532034</v>
      </c>
      <c r="F773" s="12">
        <v>55410</v>
      </c>
      <c r="G773">
        <f t="shared" si="25"/>
        <v>20777</v>
      </c>
      <c r="H773" s="16" t="s">
        <v>781</v>
      </c>
    </row>
    <row r="774" spans="1:8">
      <c r="A774" t="str">
        <f t="shared" si="24"/>
        <v>فارسگراش</v>
      </c>
      <c r="B774" s="12" t="s">
        <v>160</v>
      </c>
      <c r="C774" s="12" t="s">
        <v>188</v>
      </c>
      <c r="D774" s="12" t="s">
        <v>22</v>
      </c>
      <c r="E774" s="12">
        <v>9.2311857065511635E-2</v>
      </c>
      <c r="F774" s="12">
        <v>55410</v>
      </c>
      <c r="G774">
        <f t="shared" si="25"/>
        <v>5115</v>
      </c>
      <c r="H774" s="16" t="s">
        <v>781</v>
      </c>
    </row>
    <row r="775" spans="1:8">
      <c r="A775" t="str">
        <f t="shared" si="24"/>
        <v>فارسگراش</v>
      </c>
      <c r="B775" s="12" t="s">
        <v>160</v>
      </c>
      <c r="C775" s="12" t="s">
        <v>188</v>
      </c>
      <c r="D775" s="12" t="s">
        <v>478</v>
      </c>
      <c r="E775" s="12">
        <v>3.2232449016423026E-2</v>
      </c>
      <c r="F775" s="12">
        <v>55410</v>
      </c>
      <c r="G775">
        <f t="shared" si="25"/>
        <v>1786</v>
      </c>
      <c r="H775" s="16" t="s">
        <v>781</v>
      </c>
    </row>
    <row r="776" spans="1:8">
      <c r="A776" t="str">
        <f t="shared" si="24"/>
        <v>فارسگراش</v>
      </c>
      <c r="B776" s="12" t="s">
        <v>160</v>
      </c>
      <c r="C776" s="12" t="s">
        <v>188</v>
      </c>
      <c r="D776" s="12" t="s">
        <v>20</v>
      </c>
      <c r="E776" s="12">
        <v>2.8550803104132827E-2</v>
      </c>
      <c r="F776" s="12">
        <v>55410</v>
      </c>
      <c r="G776">
        <f t="shared" si="25"/>
        <v>1582</v>
      </c>
      <c r="H776" s="16" t="s">
        <v>781</v>
      </c>
    </row>
    <row r="777" spans="1:8">
      <c r="A777" t="str">
        <f t="shared" si="24"/>
        <v>فارسكوار</v>
      </c>
      <c r="B777" s="12" t="s">
        <v>160</v>
      </c>
      <c r="C777" s="12" t="s">
        <v>189</v>
      </c>
      <c r="D777" s="12" t="s">
        <v>480</v>
      </c>
      <c r="E777" s="12">
        <v>0.48032566039946112</v>
      </c>
      <c r="F777" s="12">
        <v>85365</v>
      </c>
      <c r="G777">
        <f t="shared" si="25"/>
        <v>41003</v>
      </c>
      <c r="H777" s="16" t="s">
        <v>787</v>
      </c>
    </row>
    <row r="778" spans="1:8">
      <c r="A778" t="str">
        <f t="shared" si="24"/>
        <v>فارسكوار</v>
      </c>
      <c r="B778" s="12" t="s">
        <v>160</v>
      </c>
      <c r="C778" s="12" t="s">
        <v>189</v>
      </c>
      <c r="D778" s="12" t="s">
        <v>479</v>
      </c>
      <c r="E778" s="12">
        <v>0.38010894394658234</v>
      </c>
      <c r="F778" s="12">
        <v>85365</v>
      </c>
      <c r="G778">
        <f t="shared" si="25"/>
        <v>32448</v>
      </c>
      <c r="H778" s="16" t="s">
        <v>787</v>
      </c>
    </row>
    <row r="779" spans="1:8">
      <c r="A779" t="str">
        <f t="shared" si="24"/>
        <v>فارسكوار</v>
      </c>
      <c r="B779" s="12" t="s">
        <v>160</v>
      </c>
      <c r="C779" s="12" t="s">
        <v>189</v>
      </c>
      <c r="D779" s="12" t="s">
        <v>22</v>
      </c>
      <c r="E779" s="12">
        <v>8.5069993557078422E-2</v>
      </c>
      <c r="F779" s="12">
        <v>85365</v>
      </c>
      <c r="G779">
        <f t="shared" si="25"/>
        <v>7262</v>
      </c>
      <c r="H779" s="16" t="s">
        <v>787</v>
      </c>
    </row>
    <row r="780" spans="1:8">
      <c r="A780" t="str">
        <f t="shared" si="24"/>
        <v>فارسكوار</v>
      </c>
      <c r="B780" s="12" t="s">
        <v>160</v>
      </c>
      <c r="C780" s="12" t="s">
        <v>189</v>
      </c>
      <c r="D780" s="12" t="s">
        <v>478</v>
      </c>
      <c r="E780" s="12">
        <v>2.8688572600011713E-2</v>
      </c>
      <c r="F780" s="12">
        <v>85365</v>
      </c>
      <c r="G780">
        <f t="shared" si="25"/>
        <v>2449</v>
      </c>
      <c r="H780" s="16" t="s">
        <v>787</v>
      </c>
    </row>
    <row r="781" spans="1:8">
      <c r="A781" t="str">
        <f t="shared" si="24"/>
        <v>فارسكوار</v>
      </c>
      <c r="B781" s="12" t="s">
        <v>160</v>
      </c>
      <c r="C781" s="12" t="s">
        <v>189</v>
      </c>
      <c r="D781" s="12" t="s">
        <v>20</v>
      </c>
      <c r="E781" s="12">
        <v>2.5771686288291455E-2</v>
      </c>
      <c r="F781" s="12">
        <v>85365</v>
      </c>
      <c r="G781">
        <f t="shared" si="25"/>
        <v>2200</v>
      </c>
      <c r="H781" s="16" t="s">
        <v>787</v>
      </c>
    </row>
    <row r="782" spans="1:8">
      <c r="A782" t="str">
        <f t="shared" si="24"/>
        <v>فارسخرامه</v>
      </c>
      <c r="B782" s="12" t="s">
        <v>160</v>
      </c>
      <c r="C782" s="12" t="s">
        <v>191</v>
      </c>
      <c r="D782" s="12" t="s">
        <v>480</v>
      </c>
      <c r="E782" s="12">
        <v>0.43187809193659049</v>
      </c>
      <c r="F782" s="12">
        <v>55386</v>
      </c>
      <c r="G782">
        <f t="shared" si="25"/>
        <v>23920</v>
      </c>
      <c r="H782" s="16" t="s">
        <v>784</v>
      </c>
    </row>
    <row r="783" spans="1:8">
      <c r="A783" t="str">
        <f t="shared" si="24"/>
        <v>فارسخرامه</v>
      </c>
      <c r="B783" s="12" t="s">
        <v>160</v>
      </c>
      <c r="C783" s="12" t="s">
        <v>191</v>
      </c>
      <c r="D783" s="12" t="s">
        <v>479</v>
      </c>
      <c r="E783" s="12">
        <v>0.39910807785360919</v>
      </c>
      <c r="F783" s="12">
        <v>55386</v>
      </c>
      <c r="G783">
        <f t="shared" si="25"/>
        <v>22105</v>
      </c>
      <c r="H783" s="16" t="s">
        <v>784</v>
      </c>
    </row>
    <row r="784" spans="1:8">
      <c r="A784" t="str">
        <f t="shared" si="24"/>
        <v>فارسخرامه</v>
      </c>
      <c r="B784" s="12" t="s">
        <v>160</v>
      </c>
      <c r="C784" s="12" t="s">
        <v>191</v>
      </c>
      <c r="D784" s="12" t="s">
        <v>22</v>
      </c>
      <c r="E784" s="12">
        <v>9.8165601415520165E-2</v>
      </c>
      <c r="F784" s="12">
        <v>55386</v>
      </c>
      <c r="G784">
        <f t="shared" si="25"/>
        <v>5437</v>
      </c>
      <c r="H784" s="16" t="s">
        <v>784</v>
      </c>
    </row>
    <row r="785" spans="1:8">
      <c r="A785" t="str">
        <f t="shared" si="24"/>
        <v>فارسخرامه</v>
      </c>
      <c r="B785" s="12" t="s">
        <v>160</v>
      </c>
      <c r="C785" s="12" t="s">
        <v>191</v>
      </c>
      <c r="D785" s="12" t="s">
        <v>478</v>
      </c>
      <c r="E785" s="12">
        <v>3.7157404398223376E-2</v>
      </c>
      <c r="F785" s="12">
        <v>55386</v>
      </c>
      <c r="G785">
        <f t="shared" si="25"/>
        <v>2058</v>
      </c>
      <c r="H785" s="16" t="s">
        <v>784</v>
      </c>
    </row>
    <row r="786" spans="1:8">
      <c r="A786" t="str">
        <f t="shared" si="24"/>
        <v>فارسخرامه</v>
      </c>
      <c r="B786" s="12" t="s">
        <v>160</v>
      </c>
      <c r="C786" s="12" t="s">
        <v>191</v>
      </c>
      <c r="D786" s="12" t="s">
        <v>20</v>
      </c>
      <c r="E786" s="12">
        <v>3.3799155021124475E-2</v>
      </c>
      <c r="F786" s="12">
        <v>55386</v>
      </c>
      <c r="G786">
        <f t="shared" si="25"/>
        <v>1872</v>
      </c>
      <c r="H786" s="16" t="s">
        <v>784</v>
      </c>
    </row>
    <row r="787" spans="1:8">
      <c r="A787" t="str">
        <f t="shared" si="24"/>
        <v>كرمانبافت</v>
      </c>
      <c r="B787" s="12" t="s">
        <v>190</v>
      </c>
      <c r="C787" s="12" t="s">
        <v>192</v>
      </c>
      <c r="D787" s="12" t="s">
        <v>480</v>
      </c>
      <c r="E787" s="12">
        <v>0.41716083182850816</v>
      </c>
      <c r="F787" s="12">
        <v>85835</v>
      </c>
      <c r="G787">
        <f t="shared" si="25"/>
        <v>35807</v>
      </c>
      <c r="H787" s="16" t="s">
        <v>931</v>
      </c>
    </row>
    <row r="788" spans="1:8">
      <c r="A788" t="str">
        <f t="shared" si="24"/>
        <v>كرمانبافت</v>
      </c>
      <c r="B788" s="12" t="s">
        <v>190</v>
      </c>
      <c r="C788" s="12" t="s">
        <v>192</v>
      </c>
      <c r="D788" s="12" t="s">
        <v>479</v>
      </c>
      <c r="E788" s="12">
        <v>0.38796528222752957</v>
      </c>
      <c r="F788" s="12">
        <v>85835</v>
      </c>
      <c r="G788">
        <f t="shared" si="25"/>
        <v>33301</v>
      </c>
      <c r="H788" s="16" t="s">
        <v>931</v>
      </c>
    </row>
    <row r="789" spans="1:8">
      <c r="A789" t="str">
        <f t="shared" si="24"/>
        <v>كرمانبافت</v>
      </c>
      <c r="B789" s="12" t="s">
        <v>190</v>
      </c>
      <c r="C789" s="12" t="s">
        <v>192</v>
      </c>
      <c r="D789" s="12" t="s">
        <v>22</v>
      </c>
      <c r="E789" s="12">
        <v>0.10726393662258986</v>
      </c>
      <c r="F789" s="12">
        <v>85835</v>
      </c>
      <c r="G789">
        <f t="shared" si="25"/>
        <v>9207</v>
      </c>
      <c r="H789" s="16" t="s">
        <v>931</v>
      </c>
    </row>
    <row r="790" spans="1:8">
      <c r="A790" t="str">
        <f t="shared" si="24"/>
        <v>كرمانبافت</v>
      </c>
      <c r="B790" s="12" t="s">
        <v>190</v>
      </c>
      <c r="C790" s="12" t="s">
        <v>192</v>
      </c>
      <c r="D790" s="12" t="s">
        <v>478</v>
      </c>
      <c r="E790" s="12">
        <v>4.2791402108696919E-2</v>
      </c>
      <c r="F790" s="12">
        <v>85835</v>
      </c>
      <c r="G790">
        <f t="shared" si="25"/>
        <v>3673</v>
      </c>
      <c r="H790" s="16" t="s">
        <v>931</v>
      </c>
    </row>
    <row r="791" spans="1:8">
      <c r="A791" t="str">
        <f t="shared" si="24"/>
        <v>كرمانبافت</v>
      </c>
      <c r="B791" s="12" t="s">
        <v>190</v>
      </c>
      <c r="C791" s="12" t="s">
        <v>192</v>
      </c>
      <c r="D791" s="12" t="s">
        <v>20</v>
      </c>
      <c r="E791" s="12">
        <v>4.4806896953457215E-2</v>
      </c>
      <c r="F791" s="12">
        <v>85835</v>
      </c>
      <c r="G791">
        <f t="shared" si="25"/>
        <v>3846</v>
      </c>
      <c r="H791" s="16" t="s">
        <v>931</v>
      </c>
    </row>
    <row r="792" spans="1:8">
      <c r="A792" t="str">
        <f t="shared" si="24"/>
        <v>كرمانبم</v>
      </c>
      <c r="B792" s="12" t="s">
        <v>190</v>
      </c>
      <c r="C792" s="12" t="s">
        <v>193</v>
      </c>
      <c r="D792" s="12" t="s">
        <v>480</v>
      </c>
      <c r="E792" s="12">
        <v>0.47986309660454535</v>
      </c>
      <c r="F792" s="12">
        <v>239585</v>
      </c>
      <c r="G792">
        <f t="shared" si="25"/>
        <v>114968</v>
      </c>
      <c r="H792" s="16" t="s">
        <v>925</v>
      </c>
    </row>
    <row r="793" spans="1:8">
      <c r="A793" t="str">
        <f t="shared" si="24"/>
        <v>كرمانبم</v>
      </c>
      <c r="B793" s="12" t="s">
        <v>190</v>
      </c>
      <c r="C793" s="12" t="s">
        <v>193</v>
      </c>
      <c r="D793" s="12" t="s">
        <v>479</v>
      </c>
      <c r="E793" s="12">
        <v>0.38459002024333744</v>
      </c>
      <c r="F793" s="12">
        <v>239585</v>
      </c>
      <c r="G793">
        <f t="shared" si="25"/>
        <v>92142</v>
      </c>
      <c r="H793" s="16" t="s">
        <v>925</v>
      </c>
    </row>
    <row r="794" spans="1:8">
      <c r="A794" t="str">
        <f t="shared" si="24"/>
        <v>كرمانبم</v>
      </c>
      <c r="B794" s="12" t="s">
        <v>190</v>
      </c>
      <c r="C794" s="12" t="s">
        <v>193</v>
      </c>
      <c r="D794" s="12" t="s">
        <v>22</v>
      </c>
      <c r="E794" s="12">
        <v>8.4450195129077366E-2</v>
      </c>
      <c r="F794" s="12">
        <v>239585</v>
      </c>
      <c r="G794">
        <f t="shared" si="25"/>
        <v>20233</v>
      </c>
      <c r="H794" s="16" t="s">
        <v>925</v>
      </c>
    </row>
    <row r="795" spans="1:8">
      <c r="A795" t="str">
        <f t="shared" si="24"/>
        <v>كرمانبم</v>
      </c>
      <c r="B795" s="12" t="s">
        <v>190</v>
      </c>
      <c r="C795" s="12" t="s">
        <v>193</v>
      </c>
      <c r="D795" s="12" t="s">
        <v>478</v>
      </c>
      <c r="E795" s="12">
        <v>2.7601894943339523E-2</v>
      </c>
      <c r="F795" s="12">
        <v>239585</v>
      </c>
      <c r="G795">
        <f t="shared" si="25"/>
        <v>6613</v>
      </c>
      <c r="H795" s="16" t="s">
        <v>925</v>
      </c>
    </row>
    <row r="796" spans="1:8">
      <c r="A796" t="str">
        <f t="shared" si="24"/>
        <v>كرمانبم</v>
      </c>
      <c r="B796" s="12" t="s">
        <v>190</v>
      </c>
      <c r="C796" s="12" t="s">
        <v>193</v>
      </c>
      <c r="D796" s="12" t="s">
        <v>20</v>
      </c>
      <c r="E796" s="12">
        <v>2.3494793079700316E-2</v>
      </c>
      <c r="F796" s="12">
        <v>239585</v>
      </c>
      <c r="G796">
        <f t="shared" si="25"/>
        <v>5629</v>
      </c>
      <c r="H796" s="16" t="s">
        <v>925</v>
      </c>
    </row>
    <row r="797" spans="1:8">
      <c r="A797" t="str">
        <f t="shared" si="24"/>
        <v>كرمانجيرفت</v>
      </c>
      <c r="B797" s="12" t="s">
        <v>190</v>
      </c>
      <c r="C797" s="12" t="s">
        <v>194</v>
      </c>
      <c r="D797" s="12" t="s">
        <v>480</v>
      </c>
      <c r="E797" s="12">
        <v>0.45603443141459071</v>
      </c>
      <c r="F797" s="12">
        <v>319011</v>
      </c>
      <c r="G797">
        <f t="shared" si="25"/>
        <v>145480</v>
      </c>
      <c r="H797" s="16" t="s">
        <v>921</v>
      </c>
    </row>
    <row r="798" spans="1:8">
      <c r="A798" t="str">
        <f t="shared" si="24"/>
        <v>كرمانجيرفت</v>
      </c>
      <c r="B798" s="12" t="s">
        <v>190</v>
      </c>
      <c r="C798" s="12" t="s">
        <v>194</v>
      </c>
      <c r="D798" s="12" t="s">
        <v>479</v>
      </c>
      <c r="E798" s="12">
        <v>0.39826526358025272</v>
      </c>
      <c r="F798" s="12">
        <v>319011</v>
      </c>
      <c r="G798">
        <f t="shared" si="25"/>
        <v>127051</v>
      </c>
      <c r="H798" s="16" t="s">
        <v>921</v>
      </c>
    </row>
    <row r="799" spans="1:8">
      <c r="A799" t="str">
        <f t="shared" si="24"/>
        <v>كرمانجيرفت</v>
      </c>
      <c r="B799" s="12" t="s">
        <v>190</v>
      </c>
      <c r="C799" s="12" t="s">
        <v>194</v>
      </c>
      <c r="D799" s="12" t="s">
        <v>22</v>
      </c>
      <c r="E799" s="12">
        <v>8.8213259103918043E-2</v>
      </c>
      <c r="F799" s="12">
        <v>319011</v>
      </c>
      <c r="G799">
        <f t="shared" si="25"/>
        <v>28141</v>
      </c>
      <c r="H799" s="16" t="s">
        <v>921</v>
      </c>
    </row>
    <row r="800" spans="1:8">
      <c r="A800" t="str">
        <f t="shared" si="24"/>
        <v>كرمانجيرفت</v>
      </c>
      <c r="B800" s="12" t="s">
        <v>190</v>
      </c>
      <c r="C800" s="12" t="s">
        <v>194</v>
      </c>
      <c r="D800" s="12" t="s">
        <v>478</v>
      </c>
      <c r="E800" s="12">
        <v>2.9682362050211436E-2</v>
      </c>
      <c r="F800" s="12">
        <v>319011</v>
      </c>
      <c r="G800">
        <f t="shared" si="25"/>
        <v>9469</v>
      </c>
      <c r="H800" s="16" t="s">
        <v>921</v>
      </c>
    </row>
    <row r="801" spans="1:8">
      <c r="A801" t="str">
        <f t="shared" si="24"/>
        <v>كرمانجيرفت</v>
      </c>
      <c r="B801" s="12" t="s">
        <v>190</v>
      </c>
      <c r="C801" s="12" t="s">
        <v>194</v>
      </c>
      <c r="D801" s="12" t="s">
        <v>20</v>
      </c>
      <c r="E801" s="12">
        <v>2.781408791546373E-2</v>
      </c>
      <c r="F801" s="12">
        <v>319011</v>
      </c>
      <c r="G801">
        <f t="shared" si="25"/>
        <v>8873</v>
      </c>
      <c r="H801" s="16" t="s">
        <v>921</v>
      </c>
    </row>
    <row r="802" spans="1:8">
      <c r="A802" t="str">
        <f t="shared" si="24"/>
        <v>كرمانرفسنجان</v>
      </c>
      <c r="B802" s="12" t="s">
        <v>190</v>
      </c>
      <c r="C802" s="12" t="s">
        <v>195</v>
      </c>
      <c r="D802" s="12" t="s">
        <v>480</v>
      </c>
      <c r="E802" s="12">
        <v>0.44627788585432404</v>
      </c>
      <c r="F802" s="12">
        <v>316648</v>
      </c>
      <c r="G802">
        <f t="shared" si="25"/>
        <v>141313</v>
      </c>
      <c r="H802" s="16" t="s">
        <v>917</v>
      </c>
    </row>
    <row r="803" spans="1:8">
      <c r="A803" t="str">
        <f t="shared" si="24"/>
        <v>كرمانرفسنجان</v>
      </c>
      <c r="B803" s="12" t="s">
        <v>190</v>
      </c>
      <c r="C803" s="12" t="s">
        <v>195</v>
      </c>
      <c r="D803" s="12" t="s">
        <v>479</v>
      </c>
      <c r="E803" s="12">
        <v>0.39206942725044847</v>
      </c>
      <c r="F803" s="12">
        <v>316648</v>
      </c>
      <c r="G803">
        <f t="shared" si="25"/>
        <v>124148</v>
      </c>
      <c r="H803" s="16" t="s">
        <v>917</v>
      </c>
    </row>
    <row r="804" spans="1:8">
      <c r="A804" t="str">
        <f t="shared" si="24"/>
        <v>كرمانرفسنجان</v>
      </c>
      <c r="B804" s="12" t="s">
        <v>190</v>
      </c>
      <c r="C804" s="12" t="s">
        <v>195</v>
      </c>
      <c r="D804" s="12" t="s">
        <v>22</v>
      </c>
      <c r="E804" s="12">
        <v>9.5882494125969525E-2</v>
      </c>
      <c r="F804" s="12">
        <v>316648</v>
      </c>
      <c r="G804">
        <f t="shared" si="25"/>
        <v>30361</v>
      </c>
      <c r="H804" s="16" t="s">
        <v>917</v>
      </c>
    </row>
    <row r="805" spans="1:8">
      <c r="A805" t="str">
        <f t="shared" si="24"/>
        <v>كرمانرفسنجان</v>
      </c>
      <c r="B805" s="12" t="s">
        <v>190</v>
      </c>
      <c r="C805" s="12" t="s">
        <v>195</v>
      </c>
      <c r="D805" s="12" t="s">
        <v>478</v>
      </c>
      <c r="E805" s="12">
        <v>3.5165230792551981E-2</v>
      </c>
      <c r="F805" s="12">
        <v>316648</v>
      </c>
      <c r="G805">
        <f t="shared" si="25"/>
        <v>11135</v>
      </c>
      <c r="H805" s="16" t="s">
        <v>917</v>
      </c>
    </row>
    <row r="806" spans="1:8">
      <c r="A806" t="str">
        <f t="shared" si="24"/>
        <v>كرمانرفسنجان</v>
      </c>
      <c r="B806" s="12" t="s">
        <v>190</v>
      </c>
      <c r="C806" s="12" t="s">
        <v>195</v>
      </c>
      <c r="D806" s="12" t="s">
        <v>20</v>
      </c>
      <c r="E806" s="12">
        <v>3.0614436219398196E-2</v>
      </c>
      <c r="F806" s="12">
        <v>316648</v>
      </c>
      <c r="G806">
        <f t="shared" si="25"/>
        <v>9694</v>
      </c>
      <c r="H806" s="16" t="s">
        <v>917</v>
      </c>
    </row>
    <row r="807" spans="1:8">
      <c r="A807" t="str">
        <f t="shared" si="24"/>
        <v>كرمانزرند</v>
      </c>
      <c r="B807" s="12" t="s">
        <v>190</v>
      </c>
      <c r="C807" s="12" t="s">
        <v>196</v>
      </c>
      <c r="D807" s="12" t="s">
        <v>480</v>
      </c>
      <c r="E807" s="12">
        <v>0.46267224338957802</v>
      </c>
      <c r="F807" s="12">
        <v>139628</v>
      </c>
      <c r="G807">
        <f t="shared" si="25"/>
        <v>64602</v>
      </c>
      <c r="H807" s="16" t="s">
        <v>923</v>
      </c>
    </row>
    <row r="808" spans="1:8">
      <c r="A808" t="str">
        <f t="shared" si="24"/>
        <v>كرمانزرند</v>
      </c>
      <c r="B808" s="12" t="s">
        <v>190</v>
      </c>
      <c r="C808" s="12" t="s">
        <v>196</v>
      </c>
      <c r="D808" s="12" t="s">
        <v>479</v>
      </c>
      <c r="E808" s="12">
        <v>0.38193628785057437</v>
      </c>
      <c r="F808" s="12">
        <v>139628</v>
      </c>
      <c r="G808">
        <f t="shared" si="25"/>
        <v>53329</v>
      </c>
      <c r="H808" s="16" t="s">
        <v>923</v>
      </c>
    </row>
    <row r="809" spans="1:8">
      <c r="A809" t="str">
        <f t="shared" si="24"/>
        <v>كرمانزرند</v>
      </c>
      <c r="B809" s="12" t="s">
        <v>190</v>
      </c>
      <c r="C809" s="12" t="s">
        <v>196</v>
      </c>
      <c r="D809" s="12" t="s">
        <v>22</v>
      </c>
      <c r="E809" s="12">
        <v>9.1271091758100095E-2</v>
      </c>
      <c r="F809" s="12">
        <v>139628</v>
      </c>
      <c r="G809">
        <f t="shared" si="25"/>
        <v>12744</v>
      </c>
      <c r="H809" s="16" t="s">
        <v>923</v>
      </c>
    </row>
    <row r="810" spans="1:8">
      <c r="A810" t="str">
        <f t="shared" si="24"/>
        <v>كرمانزرند</v>
      </c>
      <c r="B810" s="12" t="s">
        <v>190</v>
      </c>
      <c r="C810" s="12" t="s">
        <v>196</v>
      </c>
      <c r="D810" s="12" t="s">
        <v>478</v>
      </c>
      <c r="E810" s="12">
        <v>3.3553442003036643E-2</v>
      </c>
      <c r="F810" s="12">
        <v>139628</v>
      </c>
      <c r="G810">
        <f t="shared" si="25"/>
        <v>4685</v>
      </c>
      <c r="H810" s="16" t="s">
        <v>923</v>
      </c>
    </row>
    <row r="811" spans="1:8">
      <c r="A811" t="str">
        <f t="shared" si="24"/>
        <v>كرمانزرند</v>
      </c>
      <c r="B811" s="12" t="s">
        <v>190</v>
      </c>
      <c r="C811" s="12" t="s">
        <v>196</v>
      </c>
      <c r="D811" s="12" t="s">
        <v>20</v>
      </c>
      <c r="E811" s="12">
        <v>3.0538287449508695E-2</v>
      </c>
      <c r="F811" s="12">
        <v>139628</v>
      </c>
      <c r="G811">
        <f t="shared" si="25"/>
        <v>4264</v>
      </c>
      <c r="H811" s="16" t="s">
        <v>923</v>
      </c>
    </row>
    <row r="812" spans="1:8">
      <c r="A812" t="str">
        <f t="shared" si="24"/>
        <v>كرمانسيرجان</v>
      </c>
      <c r="B812" s="12" t="s">
        <v>190</v>
      </c>
      <c r="C812" s="12" t="s">
        <v>197</v>
      </c>
      <c r="D812" s="12" t="s">
        <v>480</v>
      </c>
      <c r="E812" s="12">
        <v>0.46048611510638876</v>
      </c>
      <c r="F812" s="12">
        <v>330251</v>
      </c>
      <c r="G812">
        <f t="shared" si="25"/>
        <v>152076</v>
      </c>
      <c r="H812" s="16" t="s">
        <v>928</v>
      </c>
    </row>
    <row r="813" spans="1:8">
      <c r="A813" t="str">
        <f t="shared" si="24"/>
        <v>كرمانسيرجان</v>
      </c>
      <c r="B813" s="12" t="s">
        <v>190</v>
      </c>
      <c r="C813" s="12" t="s">
        <v>197</v>
      </c>
      <c r="D813" s="12" t="s">
        <v>479</v>
      </c>
      <c r="E813" s="12">
        <v>0.39043939306769698</v>
      </c>
      <c r="F813" s="12">
        <v>330251</v>
      </c>
      <c r="G813">
        <f t="shared" si="25"/>
        <v>128943</v>
      </c>
      <c r="H813" s="16" t="s">
        <v>928</v>
      </c>
    </row>
    <row r="814" spans="1:8">
      <c r="A814" t="str">
        <f t="shared" si="24"/>
        <v>كرمانسيرجان</v>
      </c>
      <c r="B814" s="12" t="s">
        <v>190</v>
      </c>
      <c r="C814" s="12" t="s">
        <v>197</v>
      </c>
      <c r="D814" s="12" t="s">
        <v>22</v>
      </c>
      <c r="E814" s="12">
        <v>9.1315393443168982E-2</v>
      </c>
      <c r="F814" s="12">
        <v>330251</v>
      </c>
      <c r="G814">
        <f t="shared" si="25"/>
        <v>30157</v>
      </c>
      <c r="H814" s="16" t="s">
        <v>928</v>
      </c>
    </row>
    <row r="815" spans="1:8">
      <c r="A815" t="str">
        <f t="shared" si="24"/>
        <v>كرمانسيرجان</v>
      </c>
      <c r="B815" s="12" t="s">
        <v>190</v>
      </c>
      <c r="C815" s="12" t="s">
        <v>197</v>
      </c>
      <c r="D815" s="12" t="s">
        <v>478</v>
      </c>
      <c r="E815" s="12">
        <v>3.0906795134609737E-2</v>
      </c>
      <c r="F815" s="12">
        <v>330251</v>
      </c>
      <c r="G815">
        <f t="shared" si="25"/>
        <v>10207</v>
      </c>
      <c r="H815" s="16" t="s">
        <v>928</v>
      </c>
    </row>
    <row r="816" spans="1:8">
      <c r="A816" t="str">
        <f t="shared" si="24"/>
        <v>كرمانسيرجان</v>
      </c>
      <c r="B816" s="12" t="s">
        <v>190</v>
      </c>
      <c r="C816" s="12" t="s">
        <v>197</v>
      </c>
      <c r="D816" s="12" t="s">
        <v>20</v>
      </c>
      <c r="E816" s="12">
        <v>2.6870471247626804E-2</v>
      </c>
      <c r="F816" s="12">
        <v>330251</v>
      </c>
      <c r="G816">
        <f t="shared" si="25"/>
        <v>8874</v>
      </c>
      <c r="H816" s="16" t="s">
        <v>928</v>
      </c>
    </row>
    <row r="817" spans="1:8">
      <c r="A817" t="str">
        <f t="shared" si="24"/>
        <v>كرمانشهربابك</v>
      </c>
      <c r="B817" s="12" t="s">
        <v>190</v>
      </c>
      <c r="C817" s="12" t="s">
        <v>198</v>
      </c>
      <c r="D817" s="12" t="s">
        <v>480</v>
      </c>
      <c r="E817" s="12">
        <v>0.4251443716809023</v>
      </c>
      <c r="F817" s="12">
        <v>103379</v>
      </c>
      <c r="G817">
        <f t="shared" si="25"/>
        <v>43951</v>
      </c>
      <c r="H817" s="16" t="s">
        <v>930</v>
      </c>
    </row>
    <row r="818" spans="1:8">
      <c r="A818" t="str">
        <f t="shared" si="24"/>
        <v>كرمانشهربابك</v>
      </c>
      <c r="B818" s="12" t="s">
        <v>190</v>
      </c>
      <c r="C818" s="12" t="s">
        <v>198</v>
      </c>
      <c r="D818" s="12" t="s">
        <v>479</v>
      </c>
      <c r="E818" s="12">
        <v>0.40137745576954703</v>
      </c>
      <c r="F818" s="12">
        <v>103379</v>
      </c>
      <c r="G818">
        <f t="shared" si="25"/>
        <v>41494</v>
      </c>
      <c r="H818" s="16" t="s">
        <v>930</v>
      </c>
    </row>
    <row r="819" spans="1:8">
      <c r="A819" t="str">
        <f t="shared" si="24"/>
        <v>كرمانشهربابك</v>
      </c>
      <c r="B819" s="12" t="s">
        <v>190</v>
      </c>
      <c r="C819" s="12" t="s">
        <v>198</v>
      </c>
      <c r="D819" s="12" t="s">
        <v>22</v>
      </c>
      <c r="E819" s="12">
        <v>0.10065874113698139</v>
      </c>
      <c r="F819" s="12">
        <v>103379</v>
      </c>
      <c r="G819">
        <f t="shared" si="25"/>
        <v>10406</v>
      </c>
      <c r="H819" s="16" t="s">
        <v>930</v>
      </c>
    </row>
    <row r="820" spans="1:8">
      <c r="A820" t="str">
        <f t="shared" si="24"/>
        <v>كرمانشهربابك</v>
      </c>
      <c r="B820" s="12" t="s">
        <v>190</v>
      </c>
      <c r="C820" s="12" t="s">
        <v>198</v>
      </c>
      <c r="D820" s="12" t="s">
        <v>478</v>
      </c>
      <c r="E820" s="12">
        <v>3.6283964828446785E-2</v>
      </c>
      <c r="F820" s="12">
        <v>103379</v>
      </c>
      <c r="G820">
        <f t="shared" si="25"/>
        <v>3751</v>
      </c>
      <c r="H820" s="16" t="s">
        <v>930</v>
      </c>
    </row>
    <row r="821" spans="1:8">
      <c r="A821" t="str">
        <f t="shared" si="24"/>
        <v>كرمانشهربابك</v>
      </c>
      <c r="B821" s="12" t="s">
        <v>190</v>
      </c>
      <c r="C821" s="12" t="s">
        <v>198</v>
      </c>
      <c r="D821" s="12" t="s">
        <v>20</v>
      </c>
      <c r="E821" s="12">
        <v>3.6554812873020634E-2</v>
      </c>
      <c r="F821" s="12">
        <v>103379</v>
      </c>
      <c r="G821">
        <f t="shared" si="25"/>
        <v>3779</v>
      </c>
      <c r="H821" s="16" t="s">
        <v>930</v>
      </c>
    </row>
    <row r="822" spans="1:8">
      <c r="A822" t="str">
        <f t="shared" si="24"/>
        <v>كرمانكرمان</v>
      </c>
      <c r="B822" s="12" t="s">
        <v>190</v>
      </c>
      <c r="C822" s="12" t="s">
        <v>190</v>
      </c>
      <c r="D822" s="12" t="s">
        <v>480</v>
      </c>
      <c r="E822" s="12">
        <v>0.44322764334244041</v>
      </c>
      <c r="F822" s="12">
        <v>747406</v>
      </c>
      <c r="G822">
        <f t="shared" si="25"/>
        <v>331271</v>
      </c>
      <c r="H822" s="16" t="s">
        <v>926</v>
      </c>
    </row>
    <row r="823" spans="1:8">
      <c r="A823" t="str">
        <f t="shared" si="24"/>
        <v>كرمانكرمان</v>
      </c>
      <c r="B823" s="12" t="s">
        <v>190</v>
      </c>
      <c r="C823" s="12" t="s">
        <v>190</v>
      </c>
      <c r="D823" s="12" t="s">
        <v>479</v>
      </c>
      <c r="E823" s="12">
        <v>0.39467705637899614</v>
      </c>
      <c r="F823" s="12">
        <v>747406</v>
      </c>
      <c r="G823">
        <f t="shared" si="25"/>
        <v>294984</v>
      </c>
      <c r="H823" s="16" t="s">
        <v>926</v>
      </c>
    </row>
    <row r="824" spans="1:8">
      <c r="A824" t="str">
        <f t="shared" si="24"/>
        <v>كرمانكرمان</v>
      </c>
      <c r="B824" s="12" t="s">
        <v>190</v>
      </c>
      <c r="C824" s="12" t="s">
        <v>190</v>
      </c>
      <c r="D824" s="12" t="s">
        <v>22</v>
      </c>
      <c r="E824" s="12">
        <v>9.9223179904897735E-2</v>
      </c>
      <c r="F824" s="12">
        <v>747406</v>
      </c>
      <c r="G824">
        <f t="shared" si="25"/>
        <v>74160</v>
      </c>
      <c r="H824" s="16" t="s">
        <v>926</v>
      </c>
    </row>
    <row r="825" spans="1:8">
      <c r="A825" t="str">
        <f t="shared" si="24"/>
        <v>كرمانكرمان</v>
      </c>
      <c r="B825" s="12" t="s">
        <v>190</v>
      </c>
      <c r="C825" s="12" t="s">
        <v>190</v>
      </c>
      <c r="D825" s="12" t="s">
        <v>478</v>
      </c>
      <c r="E825" s="12">
        <v>3.4630441821446444E-2</v>
      </c>
      <c r="F825" s="12">
        <v>747406</v>
      </c>
      <c r="G825">
        <f t="shared" si="25"/>
        <v>25883</v>
      </c>
      <c r="H825" s="16" t="s">
        <v>926</v>
      </c>
    </row>
    <row r="826" spans="1:8">
      <c r="A826" t="str">
        <f t="shared" si="24"/>
        <v>كرمانكرمان</v>
      </c>
      <c r="B826" s="12" t="s">
        <v>190</v>
      </c>
      <c r="C826" s="12" t="s">
        <v>190</v>
      </c>
      <c r="D826" s="12" t="s">
        <v>20</v>
      </c>
      <c r="E826" s="12">
        <v>2.8240340591325196E-2</v>
      </c>
      <c r="F826" s="12">
        <v>747406</v>
      </c>
      <c r="G826">
        <f t="shared" si="25"/>
        <v>21107</v>
      </c>
      <c r="H826" s="16" t="s">
        <v>926</v>
      </c>
    </row>
    <row r="827" spans="1:8">
      <c r="A827" t="str">
        <f t="shared" si="24"/>
        <v>كرمانكهنوج</v>
      </c>
      <c r="B827" s="12" t="s">
        <v>190</v>
      </c>
      <c r="C827" s="12" t="s">
        <v>199</v>
      </c>
      <c r="D827" s="12" t="s">
        <v>480</v>
      </c>
      <c r="E827" s="12">
        <v>0.50863094017794908</v>
      </c>
      <c r="F827" s="12">
        <v>97556</v>
      </c>
      <c r="G827">
        <f t="shared" si="25"/>
        <v>49620</v>
      </c>
      <c r="H827" s="16" t="s">
        <v>932</v>
      </c>
    </row>
    <row r="828" spans="1:8">
      <c r="A828" t="str">
        <f t="shared" si="24"/>
        <v>كرمانكهنوج</v>
      </c>
      <c r="B828" s="12" t="s">
        <v>190</v>
      </c>
      <c r="C828" s="12" t="s">
        <v>199</v>
      </c>
      <c r="D828" s="12" t="s">
        <v>479</v>
      </c>
      <c r="E828" s="12">
        <v>0.37735249497724382</v>
      </c>
      <c r="F828" s="12">
        <v>97556</v>
      </c>
      <c r="G828">
        <f t="shared" si="25"/>
        <v>36813</v>
      </c>
      <c r="H828" s="16" t="s">
        <v>932</v>
      </c>
    </row>
    <row r="829" spans="1:8">
      <c r="A829" t="str">
        <f t="shared" si="24"/>
        <v>كرمانكهنوج</v>
      </c>
      <c r="B829" s="12" t="s">
        <v>190</v>
      </c>
      <c r="C829" s="12" t="s">
        <v>199</v>
      </c>
      <c r="D829" s="12" t="s">
        <v>22</v>
      </c>
      <c r="E829" s="12">
        <v>7.0728607158965104E-2</v>
      </c>
      <c r="F829" s="12">
        <v>97556</v>
      </c>
      <c r="G829">
        <f t="shared" si="25"/>
        <v>6900</v>
      </c>
      <c r="H829" s="16" t="s">
        <v>932</v>
      </c>
    </row>
    <row r="830" spans="1:8">
      <c r="A830" t="str">
        <f t="shared" si="24"/>
        <v>كرمانكهنوج</v>
      </c>
      <c r="B830" s="12" t="s">
        <v>190</v>
      </c>
      <c r="C830" s="12" t="s">
        <v>199</v>
      </c>
      <c r="D830" s="12" t="s">
        <v>478</v>
      </c>
      <c r="E830" s="12">
        <v>2.2735659518635449E-2</v>
      </c>
      <c r="F830" s="12">
        <v>97556</v>
      </c>
      <c r="G830">
        <f t="shared" si="25"/>
        <v>2218</v>
      </c>
      <c r="H830" s="16" t="s">
        <v>932</v>
      </c>
    </row>
    <row r="831" spans="1:8">
      <c r="A831" t="str">
        <f t="shared" si="24"/>
        <v>كرمانكهنوج</v>
      </c>
      <c r="B831" s="12" t="s">
        <v>190</v>
      </c>
      <c r="C831" s="12" t="s">
        <v>199</v>
      </c>
      <c r="D831" s="12" t="s">
        <v>20</v>
      </c>
      <c r="E831" s="12">
        <v>2.0531797121653206E-2</v>
      </c>
      <c r="F831" s="12">
        <v>97556</v>
      </c>
      <c r="G831">
        <f t="shared" si="25"/>
        <v>2003</v>
      </c>
      <c r="H831" s="16" t="s">
        <v>932</v>
      </c>
    </row>
    <row r="832" spans="1:8">
      <c r="A832" t="str">
        <f t="shared" si="24"/>
        <v>كرمانبردسير</v>
      </c>
      <c r="B832" s="12" t="s">
        <v>190</v>
      </c>
      <c r="C832" s="12" t="s">
        <v>200</v>
      </c>
      <c r="D832" s="12" t="s">
        <v>480</v>
      </c>
      <c r="E832" s="12">
        <v>0.44277957931094464</v>
      </c>
      <c r="F832" s="12">
        <v>80487</v>
      </c>
      <c r="G832">
        <f t="shared" si="25"/>
        <v>35638</v>
      </c>
      <c r="H832" s="16" t="s">
        <v>915</v>
      </c>
    </row>
    <row r="833" spans="1:8">
      <c r="A833" t="str">
        <f t="shared" si="24"/>
        <v>كرمانبردسير</v>
      </c>
      <c r="B833" s="12" t="s">
        <v>190</v>
      </c>
      <c r="C833" s="12" t="s">
        <v>200</v>
      </c>
      <c r="D833" s="12" t="s">
        <v>479</v>
      </c>
      <c r="E833" s="12">
        <v>0.38899449600556613</v>
      </c>
      <c r="F833" s="12">
        <v>80487</v>
      </c>
      <c r="G833">
        <f t="shared" si="25"/>
        <v>31309</v>
      </c>
      <c r="H833" s="16" t="s">
        <v>915</v>
      </c>
    </row>
    <row r="834" spans="1:8">
      <c r="A834" t="str">
        <f t="shared" ref="A834:A897" si="26">B834&amp;C834</f>
        <v>كرمانبردسير</v>
      </c>
      <c r="B834" s="12" t="s">
        <v>190</v>
      </c>
      <c r="C834" s="12" t="s">
        <v>200</v>
      </c>
      <c r="D834" s="12" t="s">
        <v>22</v>
      </c>
      <c r="E834" s="12">
        <v>9.9469479543280281E-2</v>
      </c>
      <c r="F834" s="12">
        <v>80487</v>
      </c>
      <c r="G834">
        <f t="shared" si="25"/>
        <v>8006</v>
      </c>
      <c r="H834" s="16" t="s">
        <v>915</v>
      </c>
    </row>
    <row r="835" spans="1:8">
      <c r="A835" t="str">
        <f t="shared" si="26"/>
        <v>كرمانبردسير</v>
      </c>
      <c r="B835" s="12" t="s">
        <v>190</v>
      </c>
      <c r="C835" s="12" t="s">
        <v>200</v>
      </c>
      <c r="D835" s="12" t="s">
        <v>478</v>
      </c>
      <c r="E835" s="12">
        <v>3.5397020636873035E-2</v>
      </c>
      <c r="F835" s="12">
        <v>80487</v>
      </c>
      <c r="G835">
        <f t="shared" ref="G835:G898" si="27">IFERROR(ROUND(F835*E835,0),0)</f>
        <v>2849</v>
      </c>
      <c r="H835" s="16" t="s">
        <v>915</v>
      </c>
    </row>
    <row r="836" spans="1:8">
      <c r="A836" t="str">
        <f t="shared" si="26"/>
        <v>كرمانبردسير</v>
      </c>
      <c r="B836" s="12" t="s">
        <v>190</v>
      </c>
      <c r="C836" s="12" t="s">
        <v>200</v>
      </c>
      <c r="D836" s="12" t="s">
        <v>20</v>
      </c>
      <c r="E836" s="12">
        <v>3.3322151403332216E-2</v>
      </c>
      <c r="F836" s="12">
        <v>80487</v>
      </c>
      <c r="G836">
        <f t="shared" si="27"/>
        <v>2682</v>
      </c>
      <c r="H836" s="16" t="s">
        <v>915</v>
      </c>
    </row>
    <row r="837" spans="1:8">
      <c r="A837" t="str">
        <f t="shared" si="26"/>
        <v>كرمانراور</v>
      </c>
      <c r="B837" s="12" t="s">
        <v>190</v>
      </c>
      <c r="C837" s="12" t="s">
        <v>201</v>
      </c>
      <c r="D837" s="12" t="s">
        <v>480</v>
      </c>
      <c r="E837" s="12">
        <v>0.44327764884303406</v>
      </c>
      <c r="F837" s="12">
        <v>43519</v>
      </c>
      <c r="G837">
        <f t="shared" si="27"/>
        <v>19291</v>
      </c>
      <c r="H837" s="16" t="s">
        <v>929</v>
      </c>
    </row>
    <row r="838" spans="1:8">
      <c r="A838" t="str">
        <f t="shared" si="26"/>
        <v>كرمانراور</v>
      </c>
      <c r="B838" s="12" t="s">
        <v>190</v>
      </c>
      <c r="C838" s="12" t="s">
        <v>201</v>
      </c>
      <c r="D838" s="12" t="s">
        <v>479</v>
      </c>
      <c r="E838" s="12">
        <v>0.38380937061972931</v>
      </c>
      <c r="F838" s="12">
        <v>43519</v>
      </c>
      <c r="G838">
        <f t="shared" si="27"/>
        <v>16703</v>
      </c>
      <c r="H838" s="16" t="s">
        <v>929</v>
      </c>
    </row>
    <row r="839" spans="1:8">
      <c r="A839" t="str">
        <f t="shared" si="26"/>
        <v>كرمانراور</v>
      </c>
      <c r="B839" s="12" t="s">
        <v>190</v>
      </c>
      <c r="C839" s="12" t="s">
        <v>201</v>
      </c>
      <c r="D839" s="12" t="s">
        <v>22</v>
      </c>
      <c r="E839" s="12">
        <v>0.10128909212068292</v>
      </c>
      <c r="F839" s="12">
        <v>43519</v>
      </c>
      <c r="G839">
        <f t="shared" si="27"/>
        <v>4408</v>
      </c>
      <c r="H839" s="16" t="s">
        <v>929</v>
      </c>
    </row>
    <row r="840" spans="1:8">
      <c r="A840" t="str">
        <f t="shared" si="26"/>
        <v>كرمانراور</v>
      </c>
      <c r="B840" s="12" t="s">
        <v>190</v>
      </c>
      <c r="C840" s="12" t="s">
        <v>201</v>
      </c>
      <c r="D840" s="12" t="s">
        <v>478</v>
      </c>
      <c r="E840" s="12">
        <v>3.8305108113697466E-2</v>
      </c>
      <c r="F840" s="12">
        <v>43519</v>
      </c>
      <c r="G840">
        <f t="shared" si="27"/>
        <v>1667</v>
      </c>
      <c r="H840" s="16" t="s">
        <v>929</v>
      </c>
    </row>
    <row r="841" spans="1:8">
      <c r="A841" t="str">
        <f t="shared" si="26"/>
        <v>كرمانراور</v>
      </c>
      <c r="B841" s="12" t="s">
        <v>190</v>
      </c>
      <c r="C841" s="12" t="s">
        <v>201</v>
      </c>
      <c r="D841" s="12" t="s">
        <v>20</v>
      </c>
      <c r="E841" s="12">
        <v>3.3249844895333072E-2</v>
      </c>
      <c r="F841" s="12">
        <v>43519</v>
      </c>
      <c r="G841">
        <f t="shared" si="27"/>
        <v>1447</v>
      </c>
      <c r="H841" s="16" t="s">
        <v>929</v>
      </c>
    </row>
    <row r="842" spans="1:8">
      <c r="A842" t="str">
        <f t="shared" si="26"/>
        <v>كرمانعنبرآباد</v>
      </c>
      <c r="B842" s="12" t="s">
        <v>190</v>
      </c>
      <c r="C842" s="12" t="s">
        <v>202</v>
      </c>
      <c r="D842" s="12" t="s">
        <v>480</v>
      </c>
      <c r="E842" s="12">
        <v>0.51004275035227242</v>
      </c>
      <c r="F842" s="12">
        <v>83742</v>
      </c>
      <c r="G842">
        <f t="shared" si="27"/>
        <v>42712</v>
      </c>
      <c r="H842" s="16" t="s">
        <v>910</v>
      </c>
    </row>
    <row r="843" spans="1:8">
      <c r="A843" t="str">
        <f t="shared" si="26"/>
        <v>كرمانعنبرآباد</v>
      </c>
      <c r="B843" s="12" t="s">
        <v>190</v>
      </c>
      <c r="C843" s="12" t="s">
        <v>202</v>
      </c>
      <c r="D843" s="12" t="s">
        <v>479</v>
      </c>
      <c r="E843" s="12">
        <v>0.36654247569917126</v>
      </c>
      <c r="F843" s="12">
        <v>83742</v>
      </c>
      <c r="G843">
        <f t="shared" si="27"/>
        <v>30695</v>
      </c>
      <c r="H843" s="16" t="s">
        <v>910</v>
      </c>
    </row>
    <row r="844" spans="1:8">
      <c r="A844" t="str">
        <f t="shared" si="26"/>
        <v>كرمانعنبرآباد</v>
      </c>
      <c r="B844" s="12" t="s">
        <v>190</v>
      </c>
      <c r="C844" s="12" t="s">
        <v>202</v>
      </c>
      <c r="D844" s="12" t="s">
        <v>22</v>
      </c>
      <c r="E844" s="12">
        <v>7.2400945761983235E-2</v>
      </c>
      <c r="F844" s="12">
        <v>83742</v>
      </c>
      <c r="G844">
        <f t="shared" si="27"/>
        <v>6063</v>
      </c>
      <c r="H844" s="16" t="s">
        <v>910</v>
      </c>
    </row>
    <row r="845" spans="1:8">
      <c r="A845" t="str">
        <f t="shared" si="26"/>
        <v>كرمانعنبرآباد</v>
      </c>
      <c r="B845" s="12" t="s">
        <v>190</v>
      </c>
      <c r="C845" s="12" t="s">
        <v>202</v>
      </c>
      <c r="D845" s="12" t="s">
        <v>478</v>
      </c>
      <c r="E845" s="12">
        <v>2.5745742876931529E-2</v>
      </c>
      <c r="F845" s="12">
        <v>83742</v>
      </c>
      <c r="G845">
        <f t="shared" si="27"/>
        <v>2156</v>
      </c>
      <c r="H845" s="16" t="s">
        <v>910</v>
      </c>
    </row>
    <row r="846" spans="1:8">
      <c r="A846" t="str">
        <f t="shared" si="26"/>
        <v>كرمانعنبرآباد</v>
      </c>
      <c r="B846" s="12" t="s">
        <v>190</v>
      </c>
      <c r="C846" s="12" t="s">
        <v>202</v>
      </c>
      <c r="D846" s="12" t="s">
        <v>20</v>
      </c>
      <c r="E846" s="12">
        <v>2.5220319552912516E-2</v>
      </c>
      <c r="F846" s="12">
        <v>83742</v>
      </c>
      <c r="G846">
        <f t="shared" si="27"/>
        <v>2112</v>
      </c>
      <c r="H846" s="16" t="s">
        <v>910</v>
      </c>
    </row>
    <row r="847" spans="1:8">
      <c r="A847" t="str">
        <f t="shared" si="26"/>
        <v>كرمانمنوجان</v>
      </c>
      <c r="B847" s="12" t="s">
        <v>190</v>
      </c>
      <c r="C847" s="12" t="s">
        <v>203</v>
      </c>
      <c r="D847" s="12" t="s">
        <v>480</v>
      </c>
      <c r="E847" s="12">
        <v>0.50223044444775988</v>
      </c>
      <c r="F847" s="12">
        <v>67027</v>
      </c>
      <c r="G847">
        <f t="shared" si="27"/>
        <v>33663</v>
      </c>
      <c r="H847" s="16" t="s">
        <v>916</v>
      </c>
    </row>
    <row r="848" spans="1:8">
      <c r="A848" t="str">
        <f t="shared" si="26"/>
        <v>كرمانمنوجان</v>
      </c>
      <c r="B848" s="12" t="s">
        <v>190</v>
      </c>
      <c r="C848" s="12" t="s">
        <v>203</v>
      </c>
      <c r="D848" s="12" t="s">
        <v>479</v>
      </c>
      <c r="E848" s="12">
        <v>0.36655377683620033</v>
      </c>
      <c r="F848" s="12">
        <v>67027</v>
      </c>
      <c r="G848">
        <f t="shared" si="27"/>
        <v>24569</v>
      </c>
      <c r="H848" s="16" t="s">
        <v>916</v>
      </c>
    </row>
    <row r="849" spans="1:8">
      <c r="A849" t="str">
        <f t="shared" si="26"/>
        <v>كرمانمنوجان</v>
      </c>
      <c r="B849" s="12" t="s">
        <v>190</v>
      </c>
      <c r="C849" s="12" t="s">
        <v>203</v>
      </c>
      <c r="D849" s="12" t="s">
        <v>22</v>
      </c>
      <c r="E849" s="12">
        <v>7.3164545630865177E-2</v>
      </c>
      <c r="F849" s="12">
        <v>67027</v>
      </c>
      <c r="G849">
        <f t="shared" si="27"/>
        <v>4904</v>
      </c>
      <c r="H849" s="16" t="s">
        <v>916</v>
      </c>
    </row>
    <row r="850" spans="1:8">
      <c r="A850" t="str">
        <f t="shared" si="26"/>
        <v>كرمانمنوجان</v>
      </c>
      <c r="B850" s="12" t="s">
        <v>190</v>
      </c>
      <c r="C850" s="12" t="s">
        <v>203</v>
      </c>
      <c r="D850" s="12" t="s">
        <v>478</v>
      </c>
      <c r="E850" s="12">
        <v>2.7526220776701926E-2</v>
      </c>
      <c r="F850" s="12">
        <v>67027</v>
      </c>
      <c r="G850">
        <f t="shared" si="27"/>
        <v>1845</v>
      </c>
      <c r="H850" s="16" t="s">
        <v>916</v>
      </c>
    </row>
    <row r="851" spans="1:8">
      <c r="A851" t="str">
        <f t="shared" si="26"/>
        <v>كرمانمنوجان</v>
      </c>
      <c r="B851" s="12" t="s">
        <v>190</v>
      </c>
      <c r="C851" s="12" t="s">
        <v>203</v>
      </c>
      <c r="D851" s="12" t="s">
        <v>20</v>
      </c>
      <c r="E851" s="12">
        <v>3.0539931669327287E-2</v>
      </c>
      <c r="F851" s="12">
        <v>67027</v>
      </c>
      <c r="G851">
        <f t="shared" si="27"/>
        <v>2047</v>
      </c>
      <c r="H851" s="16" t="s">
        <v>916</v>
      </c>
    </row>
    <row r="852" spans="1:8">
      <c r="A852" t="str">
        <f t="shared" si="26"/>
        <v>كرمانكوهبنان</v>
      </c>
      <c r="B852" s="12" t="s">
        <v>190</v>
      </c>
      <c r="C852" s="12" t="s">
        <v>204</v>
      </c>
      <c r="D852" s="12" t="s">
        <v>480</v>
      </c>
      <c r="E852" s="12">
        <v>0.44287735849056603</v>
      </c>
      <c r="F852" s="12">
        <v>21200</v>
      </c>
      <c r="G852">
        <f t="shared" si="27"/>
        <v>9389</v>
      </c>
      <c r="H852" s="16" t="s">
        <v>912</v>
      </c>
    </row>
    <row r="853" spans="1:8">
      <c r="A853" t="str">
        <f t="shared" si="26"/>
        <v>كرمانكوهبنان</v>
      </c>
      <c r="B853" s="12" t="s">
        <v>190</v>
      </c>
      <c r="C853" s="12" t="s">
        <v>204</v>
      </c>
      <c r="D853" s="12" t="s">
        <v>479</v>
      </c>
      <c r="E853" s="12">
        <v>0.37608490566037733</v>
      </c>
      <c r="F853" s="12">
        <v>21200</v>
      </c>
      <c r="G853">
        <f t="shared" si="27"/>
        <v>7973</v>
      </c>
      <c r="H853" s="16" t="s">
        <v>912</v>
      </c>
    </row>
    <row r="854" spans="1:8">
      <c r="A854" t="str">
        <f t="shared" si="26"/>
        <v>كرمانكوهبنان</v>
      </c>
      <c r="B854" s="12" t="s">
        <v>190</v>
      </c>
      <c r="C854" s="12" t="s">
        <v>204</v>
      </c>
      <c r="D854" s="12" t="s">
        <v>22</v>
      </c>
      <c r="E854" s="12">
        <v>0.10235849056603774</v>
      </c>
      <c r="F854" s="12">
        <v>21200</v>
      </c>
      <c r="G854">
        <f t="shared" si="27"/>
        <v>2170</v>
      </c>
      <c r="H854" s="16" t="s">
        <v>912</v>
      </c>
    </row>
    <row r="855" spans="1:8">
      <c r="A855" t="str">
        <f t="shared" si="26"/>
        <v>كرمانكوهبنان</v>
      </c>
      <c r="B855" s="12" t="s">
        <v>190</v>
      </c>
      <c r="C855" s="12" t="s">
        <v>204</v>
      </c>
      <c r="D855" s="12" t="s">
        <v>478</v>
      </c>
      <c r="E855" s="12">
        <v>4.0377358490566034E-2</v>
      </c>
      <c r="F855" s="12">
        <v>21200</v>
      </c>
      <c r="G855">
        <f t="shared" si="27"/>
        <v>856</v>
      </c>
      <c r="H855" s="16" t="s">
        <v>912</v>
      </c>
    </row>
    <row r="856" spans="1:8">
      <c r="A856" t="str">
        <f t="shared" si="26"/>
        <v>كرمانكوهبنان</v>
      </c>
      <c r="B856" s="12" t="s">
        <v>190</v>
      </c>
      <c r="C856" s="12" t="s">
        <v>204</v>
      </c>
      <c r="D856" s="12" t="s">
        <v>20</v>
      </c>
      <c r="E856" s="12">
        <v>3.858490566037736E-2</v>
      </c>
      <c r="F856" s="12">
        <v>21200</v>
      </c>
      <c r="G856">
        <f t="shared" si="27"/>
        <v>818</v>
      </c>
      <c r="H856" s="16" t="s">
        <v>912</v>
      </c>
    </row>
    <row r="857" spans="1:8">
      <c r="A857" t="str">
        <f t="shared" si="26"/>
        <v>كرمانرودبارجنوب</v>
      </c>
      <c r="B857" s="12" t="s">
        <v>190</v>
      </c>
      <c r="C857" s="12" t="s">
        <v>205</v>
      </c>
      <c r="D857" s="12" t="s">
        <v>480</v>
      </c>
      <c r="E857" s="12">
        <v>0.57524688018631775</v>
      </c>
      <c r="F857" s="12">
        <v>109061</v>
      </c>
      <c r="G857">
        <f t="shared" si="27"/>
        <v>62737</v>
      </c>
      <c r="H857" s="16" t="s">
        <v>919</v>
      </c>
    </row>
    <row r="858" spans="1:8">
      <c r="A858" t="str">
        <f t="shared" si="26"/>
        <v>كرمانرودبارجنوب</v>
      </c>
      <c r="B858" s="12" t="s">
        <v>190</v>
      </c>
      <c r="C858" s="12" t="s">
        <v>205</v>
      </c>
      <c r="D858" s="12" t="s">
        <v>479</v>
      </c>
      <c r="E858" s="12">
        <v>0.32799992664655558</v>
      </c>
      <c r="F858" s="12">
        <v>109061</v>
      </c>
      <c r="G858">
        <f t="shared" si="27"/>
        <v>35772</v>
      </c>
      <c r="H858" s="16" t="s">
        <v>919</v>
      </c>
    </row>
    <row r="859" spans="1:8">
      <c r="A859" t="str">
        <f t="shared" si="26"/>
        <v>كرمانرودبارجنوب</v>
      </c>
      <c r="B859" s="12" t="s">
        <v>190</v>
      </c>
      <c r="C859" s="12" t="s">
        <v>205</v>
      </c>
      <c r="D859" s="12" t="s">
        <v>22</v>
      </c>
      <c r="E859" s="12">
        <v>5.6546336453911113E-2</v>
      </c>
      <c r="F859" s="12">
        <v>109061</v>
      </c>
      <c r="G859">
        <f t="shared" si="27"/>
        <v>6167</v>
      </c>
      <c r="H859" s="16" t="s">
        <v>919</v>
      </c>
    </row>
    <row r="860" spans="1:8">
      <c r="A860" t="str">
        <f t="shared" si="26"/>
        <v>كرمانرودبارجنوب</v>
      </c>
      <c r="B860" s="12" t="s">
        <v>190</v>
      </c>
      <c r="C860" s="12" t="s">
        <v>205</v>
      </c>
      <c r="D860" s="12" t="s">
        <v>478</v>
      </c>
      <c r="E860" s="12">
        <v>2.0346411641191626E-2</v>
      </c>
      <c r="F860" s="12">
        <v>109061</v>
      </c>
      <c r="G860">
        <f t="shared" si="27"/>
        <v>2219</v>
      </c>
      <c r="H860" s="16" t="s">
        <v>919</v>
      </c>
    </row>
    <row r="861" spans="1:8">
      <c r="A861" t="str">
        <f t="shared" si="26"/>
        <v>كرمانرودبارجنوب</v>
      </c>
      <c r="B861" s="12" t="s">
        <v>190</v>
      </c>
      <c r="C861" s="12" t="s">
        <v>205</v>
      </c>
      <c r="D861" s="12" t="s">
        <v>20</v>
      </c>
      <c r="E861" s="12">
        <v>1.9823768349822576E-2</v>
      </c>
      <c r="F861" s="12">
        <v>109061</v>
      </c>
      <c r="G861">
        <f t="shared" si="27"/>
        <v>2162</v>
      </c>
      <c r="H861" s="16" t="s">
        <v>919</v>
      </c>
    </row>
    <row r="862" spans="1:8">
      <c r="A862" t="str">
        <f t="shared" si="26"/>
        <v>كرمانقلعه گنج</v>
      </c>
      <c r="B862" s="12" t="s">
        <v>190</v>
      </c>
      <c r="C862" s="12" t="s">
        <v>206</v>
      </c>
      <c r="D862" s="12" t="s">
        <v>480</v>
      </c>
      <c r="E862" s="12">
        <v>0.54096356077280505</v>
      </c>
      <c r="F862" s="12">
        <v>77691</v>
      </c>
      <c r="G862">
        <f t="shared" si="27"/>
        <v>42028</v>
      </c>
      <c r="H862" s="16" t="s">
        <v>914</v>
      </c>
    </row>
    <row r="863" spans="1:8">
      <c r="A863" t="str">
        <f t="shared" si="26"/>
        <v>كرمانقلعه گنج</v>
      </c>
      <c r="B863" s="12" t="s">
        <v>190</v>
      </c>
      <c r="C863" s="12" t="s">
        <v>206</v>
      </c>
      <c r="D863" s="12" t="s">
        <v>479</v>
      </c>
      <c r="E863" s="12">
        <v>0.34238200048911716</v>
      </c>
      <c r="F863" s="12">
        <v>77691</v>
      </c>
      <c r="G863">
        <f t="shared" si="27"/>
        <v>26600</v>
      </c>
      <c r="H863" s="16" t="s">
        <v>914</v>
      </c>
    </row>
    <row r="864" spans="1:8">
      <c r="A864" t="str">
        <f t="shared" si="26"/>
        <v>كرمانقلعه گنج</v>
      </c>
      <c r="B864" s="12" t="s">
        <v>190</v>
      </c>
      <c r="C864" s="12" t="s">
        <v>206</v>
      </c>
      <c r="D864" s="12" t="s">
        <v>22</v>
      </c>
      <c r="E864" s="12">
        <v>6.5657540770488215E-2</v>
      </c>
      <c r="F864" s="12">
        <v>77691</v>
      </c>
      <c r="G864">
        <f t="shared" si="27"/>
        <v>5101</v>
      </c>
      <c r="H864" s="16" t="s">
        <v>914</v>
      </c>
    </row>
    <row r="865" spans="1:8">
      <c r="A865" t="str">
        <f t="shared" si="26"/>
        <v>كرمانقلعه گنج</v>
      </c>
      <c r="B865" s="12" t="s">
        <v>190</v>
      </c>
      <c r="C865" s="12" t="s">
        <v>206</v>
      </c>
      <c r="D865" s="12" t="s">
        <v>478</v>
      </c>
      <c r="E865" s="12">
        <v>2.4700415749572022E-2</v>
      </c>
      <c r="F865" s="12">
        <v>77691</v>
      </c>
      <c r="G865">
        <f t="shared" si="27"/>
        <v>1919</v>
      </c>
      <c r="H865" s="16" t="s">
        <v>914</v>
      </c>
    </row>
    <row r="866" spans="1:8">
      <c r="A866" t="str">
        <f t="shared" si="26"/>
        <v>كرمانقلعه گنج</v>
      </c>
      <c r="B866" s="12" t="s">
        <v>190</v>
      </c>
      <c r="C866" s="12" t="s">
        <v>206</v>
      </c>
      <c r="D866" s="12" t="s">
        <v>20</v>
      </c>
      <c r="E866" s="12">
        <v>2.6219253195350813E-2</v>
      </c>
      <c r="F866" s="12">
        <v>77691</v>
      </c>
      <c r="G866">
        <f t="shared" si="27"/>
        <v>2037</v>
      </c>
      <c r="H866" s="16" t="s">
        <v>914</v>
      </c>
    </row>
    <row r="867" spans="1:8">
      <c r="A867" t="str">
        <f t="shared" si="26"/>
        <v>كرمانريگان</v>
      </c>
      <c r="B867" s="12" t="s">
        <v>190</v>
      </c>
      <c r="C867" s="12" t="s">
        <v>207</v>
      </c>
      <c r="D867" s="12" t="s">
        <v>480</v>
      </c>
      <c r="E867" s="12">
        <v>0.58078335373317014</v>
      </c>
      <c r="F867" s="12">
        <v>91504</v>
      </c>
      <c r="G867">
        <f t="shared" si="27"/>
        <v>53144</v>
      </c>
      <c r="H867" s="16" t="s">
        <v>918</v>
      </c>
    </row>
    <row r="868" spans="1:8">
      <c r="A868" t="str">
        <f t="shared" si="26"/>
        <v>كرمانريگان</v>
      </c>
      <c r="B868" s="12" t="s">
        <v>190</v>
      </c>
      <c r="C868" s="12" t="s">
        <v>207</v>
      </c>
      <c r="D868" s="12" t="s">
        <v>479</v>
      </c>
      <c r="E868" s="12">
        <v>0.32612781954887216</v>
      </c>
      <c r="F868" s="12">
        <v>91504</v>
      </c>
      <c r="G868">
        <f t="shared" si="27"/>
        <v>29842</v>
      </c>
      <c r="H868" s="16" t="s">
        <v>918</v>
      </c>
    </row>
    <row r="869" spans="1:8">
      <c r="A869" t="str">
        <f t="shared" si="26"/>
        <v>كرمانريگان</v>
      </c>
      <c r="B869" s="12" t="s">
        <v>190</v>
      </c>
      <c r="C869" s="12" t="s">
        <v>207</v>
      </c>
      <c r="D869" s="12" t="s">
        <v>22</v>
      </c>
      <c r="E869" s="12">
        <v>5.7975607623710436E-2</v>
      </c>
      <c r="F869" s="12">
        <v>91504</v>
      </c>
      <c r="G869">
        <f t="shared" si="27"/>
        <v>5305</v>
      </c>
      <c r="H869" s="16" t="s">
        <v>918</v>
      </c>
    </row>
    <row r="870" spans="1:8">
      <c r="A870" t="str">
        <f t="shared" si="26"/>
        <v>كرمانريگان</v>
      </c>
      <c r="B870" s="12" t="s">
        <v>190</v>
      </c>
      <c r="C870" s="12" t="s">
        <v>207</v>
      </c>
      <c r="D870" s="12" t="s">
        <v>478</v>
      </c>
      <c r="E870" s="12">
        <v>1.8895348837209301E-2</v>
      </c>
      <c r="F870" s="12">
        <v>91504</v>
      </c>
      <c r="G870">
        <f t="shared" si="27"/>
        <v>1729</v>
      </c>
      <c r="H870" s="16" t="s">
        <v>918</v>
      </c>
    </row>
    <row r="871" spans="1:8">
      <c r="A871" t="str">
        <f t="shared" si="26"/>
        <v>كرمانريگان</v>
      </c>
      <c r="B871" s="12" t="s">
        <v>190</v>
      </c>
      <c r="C871" s="12" t="s">
        <v>207</v>
      </c>
      <c r="D871" s="12" t="s">
        <v>20</v>
      </c>
      <c r="E871" s="12">
        <v>1.6228798741038643E-2</v>
      </c>
      <c r="F871" s="12">
        <v>91504</v>
      </c>
      <c r="G871">
        <f t="shared" si="27"/>
        <v>1485</v>
      </c>
      <c r="H871" s="16" t="s">
        <v>918</v>
      </c>
    </row>
    <row r="872" spans="1:8">
      <c r="A872" t="str">
        <f t="shared" si="26"/>
        <v>كرمانرابر</v>
      </c>
      <c r="B872" s="12" t="s">
        <v>190</v>
      </c>
      <c r="C872" s="12" t="s">
        <v>208</v>
      </c>
      <c r="D872" s="12" t="s">
        <v>480</v>
      </c>
      <c r="E872" s="12">
        <v>0.43617709065354882</v>
      </c>
      <c r="F872" s="12">
        <v>35575</v>
      </c>
      <c r="G872">
        <f t="shared" si="27"/>
        <v>15517</v>
      </c>
      <c r="H872" s="16" t="s">
        <v>924</v>
      </c>
    </row>
    <row r="873" spans="1:8">
      <c r="A873" t="str">
        <f t="shared" si="26"/>
        <v>كرمانرابر</v>
      </c>
      <c r="B873" s="12" t="s">
        <v>190</v>
      </c>
      <c r="C873" s="12" t="s">
        <v>208</v>
      </c>
      <c r="D873" s="12" t="s">
        <v>479</v>
      </c>
      <c r="E873" s="12">
        <v>0.37669711876317641</v>
      </c>
      <c r="F873" s="12">
        <v>35575</v>
      </c>
      <c r="G873">
        <f t="shared" si="27"/>
        <v>13401</v>
      </c>
      <c r="H873" s="16" t="s">
        <v>924</v>
      </c>
    </row>
    <row r="874" spans="1:8">
      <c r="A874" t="str">
        <f t="shared" si="26"/>
        <v>كرمانرابر</v>
      </c>
      <c r="B874" s="12" t="s">
        <v>190</v>
      </c>
      <c r="C874" s="12" t="s">
        <v>208</v>
      </c>
      <c r="D874" s="12" t="s">
        <v>22</v>
      </c>
      <c r="E874" s="12">
        <v>0.10288123682361208</v>
      </c>
      <c r="F874" s="12">
        <v>35575</v>
      </c>
      <c r="G874">
        <f t="shared" si="27"/>
        <v>3660</v>
      </c>
      <c r="H874" s="16" t="s">
        <v>924</v>
      </c>
    </row>
    <row r="875" spans="1:8">
      <c r="A875" t="str">
        <f t="shared" si="26"/>
        <v>كرمانرابر</v>
      </c>
      <c r="B875" s="12" t="s">
        <v>190</v>
      </c>
      <c r="C875" s="12" t="s">
        <v>208</v>
      </c>
      <c r="D875" s="12" t="s">
        <v>478</v>
      </c>
      <c r="E875" s="12">
        <v>4.0421644413211527E-2</v>
      </c>
      <c r="F875" s="12">
        <v>35575</v>
      </c>
      <c r="G875">
        <f t="shared" si="27"/>
        <v>1438</v>
      </c>
      <c r="H875" s="16" t="s">
        <v>924</v>
      </c>
    </row>
    <row r="876" spans="1:8">
      <c r="A876" t="str">
        <f t="shared" si="26"/>
        <v>كرمانرابر</v>
      </c>
      <c r="B876" s="12" t="s">
        <v>190</v>
      </c>
      <c r="C876" s="12" t="s">
        <v>208</v>
      </c>
      <c r="D876" s="12" t="s">
        <v>20</v>
      </c>
      <c r="E876" s="12">
        <v>4.3879128601546032E-2</v>
      </c>
      <c r="F876" s="12">
        <v>35575</v>
      </c>
      <c r="G876">
        <f t="shared" si="27"/>
        <v>1561</v>
      </c>
      <c r="H876" s="16" t="s">
        <v>924</v>
      </c>
    </row>
    <row r="877" spans="1:8">
      <c r="A877" t="str">
        <f t="shared" si="26"/>
        <v>كرمانفهرج</v>
      </c>
      <c r="B877" s="12" t="s">
        <v>190</v>
      </c>
      <c r="C877" s="12" t="s">
        <v>209</v>
      </c>
      <c r="D877" s="12" t="s">
        <v>480</v>
      </c>
      <c r="E877" s="12">
        <v>0.57129348944572689</v>
      </c>
      <c r="F877" s="12">
        <v>71914</v>
      </c>
      <c r="G877">
        <f t="shared" si="27"/>
        <v>41084</v>
      </c>
      <c r="H877" s="16" t="s">
        <v>920</v>
      </c>
    </row>
    <row r="878" spans="1:8">
      <c r="A878" t="str">
        <f t="shared" si="26"/>
        <v>كرمانفهرج</v>
      </c>
      <c r="B878" s="12" t="s">
        <v>190</v>
      </c>
      <c r="C878" s="12" t="s">
        <v>209</v>
      </c>
      <c r="D878" s="12" t="s">
        <v>479</v>
      </c>
      <c r="E878" s="12">
        <v>0.32925438718469285</v>
      </c>
      <c r="F878" s="12">
        <v>71914</v>
      </c>
      <c r="G878">
        <f t="shared" si="27"/>
        <v>23678</v>
      </c>
      <c r="H878" s="16" t="s">
        <v>920</v>
      </c>
    </row>
    <row r="879" spans="1:8">
      <c r="A879" t="str">
        <f t="shared" si="26"/>
        <v>كرمانفهرج</v>
      </c>
      <c r="B879" s="12" t="s">
        <v>190</v>
      </c>
      <c r="C879" s="12" t="s">
        <v>209</v>
      </c>
      <c r="D879" s="12" t="s">
        <v>22</v>
      </c>
      <c r="E879" s="12">
        <v>6.0169090858525461E-2</v>
      </c>
      <c r="F879" s="12">
        <v>71914</v>
      </c>
      <c r="G879">
        <f t="shared" si="27"/>
        <v>4327</v>
      </c>
      <c r="H879" s="16" t="s">
        <v>920</v>
      </c>
    </row>
    <row r="880" spans="1:8">
      <c r="A880" t="str">
        <f t="shared" si="26"/>
        <v>كرمانفهرج</v>
      </c>
      <c r="B880" s="12" t="s">
        <v>190</v>
      </c>
      <c r="C880" s="12" t="s">
        <v>209</v>
      </c>
      <c r="D880" s="12" t="s">
        <v>478</v>
      </c>
      <c r="E880" s="12">
        <v>2.0566231888088551E-2</v>
      </c>
      <c r="F880" s="12">
        <v>71914</v>
      </c>
      <c r="G880">
        <f t="shared" si="27"/>
        <v>1479</v>
      </c>
      <c r="H880" s="16" t="s">
        <v>920</v>
      </c>
    </row>
    <row r="881" spans="1:8">
      <c r="A881" t="str">
        <f t="shared" si="26"/>
        <v>كرمانفهرج</v>
      </c>
      <c r="B881" s="12" t="s">
        <v>190</v>
      </c>
      <c r="C881" s="12" t="s">
        <v>209</v>
      </c>
      <c r="D881" s="12" t="s">
        <v>20</v>
      </c>
      <c r="E881" s="12">
        <v>1.8675084128264317E-2</v>
      </c>
      <c r="F881" s="12">
        <v>71914</v>
      </c>
      <c r="G881">
        <f t="shared" si="27"/>
        <v>1343</v>
      </c>
      <c r="H881" s="16" t="s">
        <v>920</v>
      </c>
    </row>
    <row r="882" spans="1:8">
      <c r="A882" t="str">
        <f t="shared" si="26"/>
        <v>كرمانانار</v>
      </c>
      <c r="B882" s="12" t="s">
        <v>190</v>
      </c>
      <c r="C882" s="12" t="s">
        <v>210</v>
      </c>
      <c r="D882" s="12" t="s">
        <v>480</v>
      </c>
      <c r="E882" s="12">
        <v>0.45897992549114203</v>
      </c>
      <c r="F882" s="12">
        <v>37311</v>
      </c>
      <c r="G882">
        <f t="shared" si="27"/>
        <v>17125</v>
      </c>
      <c r="H882" s="16" t="s">
        <v>913</v>
      </c>
    </row>
    <row r="883" spans="1:8">
      <c r="A883" t="str">
        <f t="shared" si="26"/>
        <v>كرمانانار</v>
      </c>
      <c r="B883" s="12" t="s">
        <v>190</v>
      </c>
      <c r="C883" s="12" t="s">
        <v>210</v>
      </c>
      <c r="D883" s="12" t="s">
        <v>479</v>
      </c>
      <c r="E883" s="12">
        <v>0.38583795663477261</v>
      </c>
      <c r="F883" s="12">
        <v>37311</v>
      </c>
      <c r="G883">
        <f t="shared" si="27"/>
        <v>14396</v>
      </c>
      <c r="H883" s="16" t="s">
        <v>913</v>
      </c>
    </row>
    <row r="884" spans="1:8">
      <c r="A884" t="str">
        <f t="shared" si="26"/>
        <v>كرمانانار</v>
      </c>
      <c r="B884" s="12" t="s">
        <v>190</v>
      </c>
      <c r="C884" s="12" t="s">
        <v>210</v>
      </c>
      <c r="D884" s="12" t="s">
        <v>22</v>
      </c>
      <c r="E884" s="12">
        <v>9.3002063734555496E-2</v>
      </c>
      <c r="F884" s="12">
        <v>37311</v>
      </c>
      <c r="G884">
        <f t="shared" si="27"/>
        <v>3470</v>
      </c>
      <c r="H884" s="16" t="s">
        <v>913</v>
      </c>
    </row>
    <row r="885" spans="1:8">
      <c r="A885" t="str">
        <f t="shared" si="26"/>
        <v>كرمانانار</v>
      </c>
      <c r="B885" s="12" t="s">
        <v>190</v>
      </c>
      <c r="C885" s="12" t="s">
        <v>210</v>
      </c>
      <c r="D885" s="12" t="s">
        <v>478</v>
      </c>
      <c r="E885" s="12">
        <v>3.2108493473774487E-2</v>
      </c>
      <c r="F885" s="12">
        <v>37311</v>
      </c>
      <c r="G885">
        <f t="shared" si="27"/>
        <v>1198</v>
      </c>
      <c r="H885" s="16" t="s">
        <v>913</v>
      </c>
    </row>
    <row r="886" spans="1:8">
      <c r="A886" t="str">
        <f t="shared" si="26"/>
        <v>كرمانانار</v>
      </c>
      <c r="B886" s="12" t="s">
        <v>190</v>
      </c>
      <c r="C886" s="12" t="s">
        <v>210</v>
      </c>
      <c r="D886" s="12" t="s">
        <v>20</v>
      </c>
      <c r="E886" s="12">
        <v>3.0151965908177213E-2</v>
      </c>
      <c r="F886" s="12">
        <v>37311</v>
      </c>
      <c r="G886">
        <f t="shared" si="27"/>
        <v>1125</v>
      </c>
      <c r="H886" s="16" t="s">
        <v>913</v>
      </c>
    </row>
    <row r="887" spans="1:8">
      <c r="A887" t="str">
        <f t="shared" si="26"/>
        <v>كرماننرماشير</v>
      </c>
      <c r="B887" s="12" t="s">
        <v>190</v>
      </c>
      <c r="C887" s="12" t="s">
        <v>211</v>
      </c>
      <c r="D887" s="12" t="s">
        <v>480</v>
      </c>
      <c r="E887" s="12">
        <v>0.50749986462338226</v>
      </c>
      <c r="F887" s="12">
        <v>55401</v>
      </c>
      <c r="G887">
        <f t="shared" si="27"/>
        <v>28116</v>
      </c>
      <c r="H887" s="16" t="s">
        <v>927</v>
      </c>
    </row>
    <row r="888" spans="1:8">
      <c r="A888" t="str">
        <f t="shared" si="26"/>
        <v>كرماننرماشير</v>
      </c>
      <c r="B888" s="12" t="s">
        <v>190</v>
      </c>
      <c r="C888" s="12" t="s">
        <v>211</v>
      </c>
      <c r="D888" s="12" t="s">
        <v>479</v>
      </c>
      <c r="E888" s="12">
        <v>0.36190682478655622</v>
      </c>
      <c r="F888" s="12">
        <v>55401</v>
      </c>
      <c r="G888">
        <f t="shared" si="27"/>
        <v>20050</v>
      </c>
      <c r="H888" s="16" t="s">
        <v>927</v>
      </c>
    </row>
    <row r="889" spans="1:8">
      <c r="A889" t="str">
        <f t="shared" si="26"/>
        <v>كرماننرماشير</v>
      </c>
      <c r="B889" s="12" t="s">
        <v>190</v>
      </c>
      <c r="C889" s="12" t="s">
        <v>211</v>
      </c>
      <c r="D889" s="12" t="s">
        <v>22</v>
      </c>
      <c r="E889" s="12">
        <v>7.8337936138336853E-2</v>
      </c>
      <c r="F889" s="12">
        <v>55401</v>
      </c>
      <c r="G889">
        <f t="shared" si="27"/>
        <v>4340</v>
      </c>
      <c r="H889" s="16" t="s">
        <v>927</v>
      </c>
    </row>
    <row r="890" spans="1:8">
      <c r="A890" t="str">
        <f t="shared" si="26"/>
        <v>كرماننرماشير</v>
      </c>
      <c r="B890" s="12" t="s">
        <v>190</v>
      </c>
      <c r="C890" s="12" t="s">
        <v>211</v>
      </c>
      <c r="D890" s="12" t="s">
        <v>478</v>
      </c>
      <c r="E890" s="12">
        <v>2.7689030883919063E-2</v>
      </c>
      <c r="F890" s="12">
        <v>55401</v>
      </c>
      <c r="G890">
        <f t="shared" si="27"/>
        <v>1534</v>
      </c>
      <c r="H890" s="16" t="s">
        <v>927</v>
      </c>
    </row>
    <row r="891" spans="1:8">
      <c r="A891" t="str">
        <f t="shared" si="26"/>
        <v>كرماننرماشير</v>
      </c>
      <c r="B891" s="12" t="s">
        <v>190</v>
      </c>
      <c r="C891" s="12" t="s">
        <v>211</v>
      </c>
      <c r="D891" s="12" t="s">
        <v>20</v>
      </c>
      <c r="E891" s="12">
        <v>2.4458042273605169E-2</v>
      </c>
      <c r="F891" s="12">
        <v>55401</v>
      </c>
      <c r="G891">
        <f t="shared" si="27"/>
        <v>1355</v>
      </c>
      <c r="H891" s="16" t="s">
        <v>927</v>
      </c>
    </row>
    <row r="892" spans="1:8">
      <c r="A892" t="str">
        <f t="shared" si="26"/>
        <v>كرمانفارياب</v>
      </c>
      <c r="B892" s="12" t="s">
        <v>190</v>
      </c>
      <c r="C892" s="12" t="s">
        <v>212</v>
      </c>
      <c r="D892" s="12" t="s">
        <v>480</v>
      </c>
      <c r="E892" s="12">
        <v>0.52014259216322745</v>
      </c>
      <c r="F892" s="12">
        <v>34504</v>
      </c>
      <c r="G892">
        <f t="shared" si="27"/>
        <v>17947</v>
      </c>
      <c r="H892" s="16" t="s">
        <v>922</v>
      </c>
    </row>
    <row r="893" spans="1:8">
      <c r="A893" t="str">
        <f t="shared" si="26"/>
        <v>كرمانفارياب</v>
      </c>
      <c r="B893" s="12" t="s">
        <v>190</v>
      </c>
      <c r="C893" s="12" t="s">
        <v>212</v>
      </c>
      <c r="D893" s="12" t="s">
        <v>479</v>
      </c>
      <c r="E893" s="12">
        <v>0.35813239044748435</v>
      </c>
      <c r="F893" s="12">
        <v>34504</v>
      </c>
      <c r="G893">
        <f t="shared" si="27"/>
        <v>12357</v>
      </c>
      <c r="H893" s="16" t="s">
        <v>922</v>
      </c>
    </row>
    <row r="894" spans="1:8">
      <c r="A894" t="str">
        <f t="shared" si="26"/>
        <v>كرمانفارياب</v>
      </c>
      <c r="B894" s="12" t="s">
        <v>190</v>
      </c>
      <c r="C894" s="12" t="s">
        <v>212</v>
      </c>
      <c r="D894" s="12" t="s">
        <v>22</v>
      </c>
      <c r="E894" s="12">
        <v>7.3063992580570364E-2</v>
      </c>
      <c r="F894" s="12">
        <v>34504</v>
      </c>
      <c r="G894">
        <f t="shared" si="27"/>
        <v>2521</v>
      </c>
      <c r="H894" s="16" t="s">
        <v>922</v>
      </c>
    </row>
    <row r="895" spans="1:8">
      <c r="A895" t="str">
        <f t="shared" si="26"/>
        <v>كرمانفارياب</v>
      </c>
      <c r="B895" s="12" t="s">
        <v>190</v>
      </c>
      <c r="C895" s="12" t="s">
        <v>212</v>
      </c>
      <c r="D895" s="12" t="s">
        <v>478</v>
      </c>
      <c r="E895" s="12">
        <v>2.5562253651750522E-2</v>
      </c>
      <c r="F895" s="12">
        <v>34504</v>
      </c>
      <c r="G895">
        <f t="shared" si="27"/>
        <v>882</v>
      </c>
      <c r="H895" s="16" t="s">
        <v>922</v>
      </c>
    </row>
    <row r="896" spans="1:8">
      <c r="A896" t="str">
        <f t="shared" si="26"/>
        <v>كرمانفارياب</v>
      </c>
      <c r="B896" s="12" t="s">
        <v>190</v>
      </c>
      <c r="C896" s="12" t="s">
        <v>212</v>
      </c>
      <c r="D896" s="12" t="s">
        <v>20</v>
      </c>
      <c r="E896" s="12">
        <v>2.3098771156967308E-2</v>
      </c>
      <c r="F896" s="12">
        <v>34504</v>
      </c>
      <c r="G896">
        <f t="shared" si="27"/>
        <v>797</v>
      </c>
      <c r="H896" s="16" t="s">
        <v>922</v>
      </c>
    </row>
    <row r="897" spans="1:8">
      <c r="A897" t="str">
        <f t="shared" si="26"/>
        <v>كرمانارزوئيه</v>
      </c>
      <c r="B897" s="12" t="s">
        <v>190</v>
      </c>
      <c r="C897" s="12" t="s">
        <v>214</v>
      </c>
      <c r="D897" s="12" t="s">
        <v>480</v>
      </c>
      <c r="E897" s="12">
        <v>0.47085306217495926</v>
      </c>
      <c r="F897" s="12">
        <v>38649</v>
      </c>
      <c r="G897">
        <f t="shared" si="27"/>
        <v>18198</v>
      </c>
      <c r="H897" s="16" t="s">
        <v>933</v>
      </c>
    </row>
    <row r="898" spans="1:8">
      <c r="A898" t="str">
        <f t="shared" ref="A898:A961" si="28">B898&amp;C898</f>
        <v>كرمانارزوئيه</v>
      </c>
      <c r="B898" s="12" t="s">
        <v>190</v>
      </c>
      <c r="C898" s="12" t="s">
        <v>214</v>
      </c>
      <c r="D898" s="12" t="s">
        <v>479</v>
      </c>
      <c r="E898" s="12">
        <v>0.37566301844808403</v>
      </c>
      <c r="F898" s="12">
        <v>38649</v>
      </c>
      <c r="G898">
        <f t="shared" si="27"/>
        <v>14519</v>
      </c>
      <c r="H898" s="16" t="s">
        <v>933</v>
      </c>
    </row>
    <row r="899" spans="1:8">
      <c r="A899" t="str">
        <f t="shared" si="28"/>
        <v>كرمانارزوئيه</v>
      </c>
      <c r="B899" s="12" t="s">
        <v>190</v>
      </c>
      <c r="C899" s="12" t="s">
        <v>214</v>
      </c>
      <c r="D899" s="12" t="s">
        <v>22</v>
      </c>
      <c r="E899" s="12">
        <v>8.8178219358844984E-2</v>
      </c>
      <c r="F899" s="12">
        <v>38649</v>
      </c>
      <c r="G899">
        <f t="shared" ref="G899:G962" si="29">IFERROR(ROUND(F899*E899,0),0)</f>
        <v>3408</v>
      </c>
      <c r="H899" s="16" t="s">
        <v>933</v>
      </c>
    </row>
    <row r="900" spans="1:8">
      <c r="A900" t="str">
        <f t="shared" si="28"/>
        <v>كرمانارزوئيه</v>
      </c>
      <c r="B900" s="12" t="s">
        <v>190</v>
      </c>
      <c r="C900" s="12" t="s">
        <v>214</v>
      </c>
      <c r="D900" s="12" t="s">
        <v>478</v>
      </c>
      <c r="E900" s="12">
        <v>3.2937462806282181E-2</v>
      </c>
      <c r="F900" s="12">
        <v>38649</v>
      </c>
      <c r="G900">
        <f t="shared" si="29"/>
        <v>1273</v>
      </c>
      <c r="H900" s="16" t="s">
        <v>933</v>
      </c>
    </row>
    <row r="901" spans="1:8">
      <c r="A901" t="str">
        <f t="shared" si="28"/>
        <v>كرمانارزوئيه</v>
      </c>
      <c r="B901" s="12" t="s">
        <v>190</v>
      </c>
      <c r="C901" s="12" t="s">
        <v>214</v>
      </c>
      <c r="D901" s="12" t="s">
        <v>20</v>
      </c>
      <c r="E901" s="12">
        <v>3.2212993867887917E-2</v>
      </c>
      <c r="F901" s="12">
        <v>38649</v>
      </c>
      <c r="G901">
        <f t="shared" si="29"/>
        <v>1245</v>
      </c>
      <c r="H901" s="16" t="s">
        <v>933</v>
      </c>
    </row>
    <row r="902" spans="1:8">
      <c r="A902" t="str">
        <f t="shared" si="28"/>
        <v>خراسان رضوئتايباد</v>
      </c>
      <c r="B902" s="12" t="s">
        <v>213</v>
      </c>
      <c r="C902" s="12" t="s">
        <v>215</v>
      </c>
      <c r="D902" s="12" t="s">
        <v>480</v>
      </c>
      <c r="E902" s="12">
        <v>0.55082621844246549</v>
      </c>
      <c r="F902" s="12">
        <v>119702</v>
      </c>
      <c r="G902">
        <f t="shared" si="29"/>
        <v>65935</v>
      </c>
      <c r="H902" s="16" t="s">
        <v>674</v>
      </c>
    </row>
    <row r="903" spans="1:8">
      <c r="A903" t="str">
        <f t="shared" si="28"/>
        <v>خراسان رضوئتايباد</v>
      </c>
      <c r="B903" s="12" t="s">
        <v>213</v>
      </c>
      <c r="C903" s="12" t="s">
        <v>215</v>
      </c>
      <c r="D903" s="12" t="s">
        <v>479</v>
      </c>
      <c r="E903" s="12">
        <v>0.33915891129638603</v>
      </c>
      <c r="F903" s="12">
        <v>119702</v>
      </c>
      <c r="G903">
        <f t="shared" si="29"/>
        <v>40598</v>
      </c>
      <c r="H903" s="16" t="s">
        <v>674</v>
      </c>
    </row>
    <row r="904" spans="1:8">
      <c r="A904" t="str">
        <f t="shared" si="28"/>
        <v>خراسان رضوئتايباد</v>
      </c>
      <c r="B904" s="12" t="s">
        <v>213</v>
      </c>
      <c r="C904" s="12" t="s">
        <v>215</v>
      </c>
      <c r="D904" s="12" t="s">
        <v>22</v>
      </c>
      <c r="E904" s="12">
        <v>6.834472272810814E-2</v>
      </c>
      <c r="F904" s="12">
        <v>119702</v>
      </c>
      <c r="G904">
        <f t="shared" si="29"/>
        <v>8181</v>
      </c>
      <c r="H904" s="16" t="s">
        <v>674</v>
      </c>
    </row>
    <row r="905" spans="1:8">
      <c r="A905" t="str">
        <f t="shared" si="28"/>
        <v>خراسان رضوئتايباد</v>
      </c>
      <c r="B905" s="12" t="s">
        <v>213</v>
      </c>
      <c r="C905" s="12" t="s">
        <v>215</v>
      </c>
      <c r="D905" s="12" t="s">
        <v>478</v>
      </c>
      <c r="E905" s="12">
        <v>2.1946166313010645E-2</v>
      </c>
      <c r="F905" s="12">
        <v>119702</v>
      </c>
      <c r="G905">
        <f t="shared" si="29"/>
        <v>2627</v>
      </c>
      <c r="H905" s="16" t="s">
        <v>674</v>
      </c>
    </row>
    <row r="906" spans="1:8">
      <c r="A906" t="str">
        <f t="shared" si="28"/>
        <v>خراسان رضوئتايباد</v>
      </c>
      <c r="B906" s="12" t="s">
        <v>213</v>
      </c>
      <c r="C906" s="12" t="s">
        <v>215</v>
      </c>
      <c r="D906" s="12" t="s">
        <v>20</v>
      </c>
      <c r="E906" s="12">
        <v>1.9707273061435899E-2</v>
      </c>
      <c r="F906" s="12">
        <v>119702</v>
      </c>
      <c r="G906">
        <f t="shared" si="29"/>
        <v>2359</v>
      </c>
      <c r="H906" s="16" t="s">
        <v>674</v>
      </c>
    </row>
    <row r="907" spans="1:8">
      <c r="A907" t="str">
        <f t="shared" si="28"/>
        <v>خراسان رضوئتربت حيدریه</v>
      </c>
      <c r="B907" s="12" t="s">
        <v>213</v>
      </c>
      <c r="C907" s="12" t="s">
        <v>216</v>
      </c>
      <c r="D907" s="12" t="s">
        <v>480</v>
      </c>
      <c r="E907" s="12">
        <v>0.44386886082857635</v>
      </c>
      <c r="F907" s="12">
        <v>227209</v>
      </c>
      <c r="G907">
        <f t="shared" si="29"/>
        <v>100851</v>
      </c>
      <c r="H907" s="16" t="s">
        <v>677</v>
      </c>
    </row>
    <row r="908" spans="1:8">
      <c r="A908" t="str">
        <f t="shared" si="28"/>
        <v>خراسان رضوئتربت حيدریه</v>
      </c>
      <c r="B908" s="12" t="s">
        <v>213</v>
      </c>
      <c r="C908" s="12" t="s">
        <v>216</v>
      </c>
      <c r="D908" s="12" t="s">
        <v>479</v>
      </c>
      <c r="E908" s="12">
        <v>0.38292057092808823</v>
      </c>
      <c r="F908" s="12">
        <v>227209</v>
      </c>
      <c r="G908">
        <f t="shared" si="29"/>
        <v>87003</v>
      </c>
      <c r="H908" s="16" t="s">
        <v>677</v>
      </c>
    </row>
    <row r="909" spans="1:8">
      <c r="A909" t="str">
        <f t="shared" si="28"/>
        <v>خراسان رضوئتربت حيدریه</v>
      </c>
      <c r="B909" s="12" t="s">
        <v>213</v>
      </c>
      <c r="C909" s="12" t="s">
        <v>216</v>
      </c>
      <c r="D909" s="12" t="s">
        <v>22</v>
      </c>
      <c r="E909" s="12">
        <v>9.7839434177343323E-2</v>
      </c>
      <c r="F909" s="12">
        <v>227209</v>
      </c>
      <c r="G909">
        <f t="shared" si="29"/>
        <v>22230</v>
      </c>
      <c r="H909" s="16" t="s">
        <v>677</v>
      </c>
    </row>
    <row r="910" spans="1:8">
      <c r="A910" t="str">
        <f t="shared" si="28"/>
        <v>خراسان رضوئتربت حيدریه</v>
      </c>
      <c r="B910" s="12" t="s">
        <v>213</v>
      </c>
      <c r="C910" s="12" t="s">
        <v>216</v>
      </c>
      <c r="D910" s="12" t="s">
        <v>478</v>
      </c>
      <c r="E910" s="12">
        <v>3.7568934329185906E-2</v>
      </c>
      <c r="F910" s="12">
        <v>227209</v>
      </c>
      <c r="G910">
        <f t="shared" si="29"/>
        <v>8536</v>
      </c>
      <c r="H910" s="16" t="s">
        <v>677</v>
      </c>
    </row>
    <row r="911" spans="1:8">
      <c r="A911" t="str">
        <f t="shared" si="28"/>
        <v>خراسان رضوئتربت حيدریه</v>
      </c>
      <c r="B911" s="12" t="s">
        <v>213</v>
      </c>
      <c r="C911" s="12" t="s">
        <v>216</v>
      </c>
      <c r="D911" s="12" t="s">
        <v>20</v>
      </c>
      <c r="E911" s="12">
        <v>3.7824205907336414E-2</v>
      </c>
      <c r="F911" s="12">
        <v>227209</v>
      </c>
      <c r="G911">
        <f t="shared" si="29"/>
        <v>8594</v>
      </c>
      <c r="H911" s="16" t="s">
        <v>677</v>
      </c>
    </row>
    <row r="912" spans="1:8">
      <c r="A912" t="str">
        <f t="shared" si="28"/>
        <v>خراسان رضوئتربت جام</v>
      </c>
      <c r="B912" s="12" t="s">
        <v>213</v>
      </c>
      <c r="C912" s="12" t="s">
        <v>217</v>
      </c>
      <c r="D912" s="12" t="s">
        <v>480</v>
      </c>
      <c r="E912" s="12">
        <v>0.52668957701975927</v>
      </c>
      <c r="F912" s="12">
        <v>270911</v>
      </c>
      <c r="G912">
        <f t="shared" si="29"/>
        <v>142686</v>
      </c>
      <c r="H912" s="16" t="s">
        <v>670</v>
      </c>
    </row>
    <row r="913" spans="1:8">
      <c r="A913" t="str">
        <f t="shared" si="28"/>
        <v>خراسان رضوئتربت جام</v>
      </c>
      <c r="B913" s="12" t="s">
        <v>213</v>
      </c>
      <c r="C913" s="12" t="s">
        <v>217</v>
      </c>
      <c r="D913" s="12" t="s">
        <v>479</v>
      </c>
      <c r="E913" s="12">
        <v>0.34912941888664545</v>
      </c>
      <c r="F913" s="12">
        <v>270911</v>
      </c>
      <c r="G913">
        <f t="shared" si="29"/>
        <v>94583</v>
      </c>
      <c r="H913" s="16" t="s">
        <v>670</v>
      </c>
    </row>
    <row r="914" spans="1:8">
      <c r="A914" t="str">
        <f t="shared" si="28"/>
        <v>خراسان رضوئتربت جام</v>
      </c>
      <c r="B914" s="12" t="s">
        <v>213</v>
      </c>
      <c r="C914" s="12" t="s">
        <v>217</v>
      </c>
      <c r="D914" s="12" t="s">
        <v>22</v>
      </c>
      <c r="E914" s="12">
        <v>7.6113557589023703E-2</v>
      </c>
      <c r="F914" s="12">
        <v>270911</v>
      </c>
      <c r="G914">
        <f t="shared" si="29"/>
        <v>20620</v>
      </c>
      <c r="H914" s="16" t="s">
        <v>670</v>
      </c>
    </row>
    <row r="915" spans="1:8">
      <c r="A915" t="str">
        <f t="shared" si="28"/>
        <v>خراسان رضوئتربت جام</v>
      </c>
      <c r="B915" s="12" t="s">
        <v>213</v>
      </c>
      <c r="C915" s="12" t="s">
        <v>217</v>
      </c>
      <c r="D915" s="12" t="s">
        <v>478</v>
      </c>
      <c r="E915" s="12">
        <v>2.5617269140049685E-2</v>
      </c>
      <c r="F915" s="12">
        <v>270911</v>
      </c>
      <c r="G915">
        <f t="shared" si="29"/>
        <v>6940</v>
      </c>
      <c r="H915" s="16" t="s">
        <v>670</v>
      </c>
    </row>
    <row r="916" spans="1:8">
      <c r="A916" t="str">
        <f t="shared" si="28"/>
        <v>خراسان رضوئتربت جام</v>
      </c>
      <c r="B916" s="12" t="s">
        <v>213</v>
      </c>
      <c r="C916" s="12" t="s">
        <v>217</v>
      </c>
      <c r="D916" s="12" t="s">
        <v>20</v>
      </c>
      <c r="E916" s="12">
        <v>2.2464942361144435E-2</v>
      </c>
      <c r="F916" s="12">
        <v>270911</v>
      </c>
      <c r="G916">
        <f t="shared" si="29"/>
        <v>6086</v>
      </c>
      <c r="H916" s="16" t="s">
        <v>670</v>
      </c>
    </row>
    <row r="917" spans="1:8">
      <c r="A917" t="str">
        <f t="shared" si="28"/>
        <v>خراسان رضوئدرگز</v>
      </c>
      <c r="B917" s="12" t="s">
        <v>213</v>
      </c>
      <c r="C917" s="12" t="s">
        <v>218</v>
      </c>
      <c r="D917" s="12" t="s">
        <v>480</v>
      </c>
      <c r="E917" s="12">
        <v>0.42704177748226951</v>
      </c>
      <c r="F917" s="12">
        <v>72192</v>
      </c>
      <c r="G917">
        <f t="shared" si="29"/>
        <v>30829</v>
      </c>
      <c r="H917" s="16" t="s">
        <v>682</v>
      </c>
    </row>
    <row r="918" spans="1:8">
      <c r="A918" t="str">
        <f t="shared" si="28"/>
        <v>خراسان رضوئدرگز</v>
      </c>
      <c r="B918" s="12" t="s">
        <v>213</v>
      </c>
      <c r="C918" s="12" t="s">
        <v>218</v>
      </c>
      <c r="D918" s="12" t="s">
        <v>479</v>
      </c>
      <c r="E918" s="12">
        <v>0.37545711436170215</v>
      </c>
      <c r="F918" s="12">
        <v>72192</v>
      </c>
      <c r="G918">
        <f t="shared" si="29"/>
        <v>27105</v>
      </c>
      <c r="H918" s="16" t="s">
        <v>682</v>
      </c>
    </row>
    <row r="919" spans="1:8">
      <c r="A919" t="str">
        <f t="shared" si="28"/>
        <v>خراسان رضوئدرگز</v>
      </c>
      <c r="B919" s="12" t="s">
        <v>213</v>
      </c>
      <c r="C919" s="12" t="s">
        <v>218</v>
      </c>
      <c r="D919" s="12" t="s">
        <v>22</v>
      </c>
      <c r="E919" s="12">
        <v>0.11437555407801418</v>
      </c>
      <c r="F919" s="12">
        <v>72192</v>
      </c>
      <c r="G919">
        <f t="shared" si="29"/>
        <v>8257</v>
      </c>
      <c r="H919" s="16" t="s">
        <v>682</v>
      </c>
    </row>
    <row r="920" spans="1:8">
      <c r="A920" t="str">
        <f t="shared" si="28"/>
        <v>خراسان رضوئدرگز</v>
      </c>
      <c r="B920" s="12" t="s">
        <v>213</v>
      </c>
      <c r="C920" s="12" t="s">
        <v>218</v>
      </c>
      <c r="D920" s="12" t="s">
        <v>478</v>
      </c>
      <c r="E920" s="12">
        <v>4.2303856382978726E-2</v>
      </c>
      <c r="F920" s="12">
        <v>72192</v>
      </c>
      <c r="G920">
        <f t="shared" si="29"/>
        <v>3054</v>
      </c>
      <c r="H920" s="16" t="s">
        <v>682</v>
      </c>
    </row>
    <row r="921" spans="1:8">
      <c r="A921" t="str">
        <f t="shared" si="28"/>
        <v>خراسان رضوئدرگز</v>
      </c>
      <c r="B921" s="12" t="s">
        <v>213</v>
      </c>
      <c r="C921" s="12" t="s">
        <v>218</v>
      </c>
      <c r="D921" s="12" t="s">
        <v>20</v>
      </c>
      <c r="E921" s="12">
        <v>4.0821697695035464E-2</v>
      </c>
      <c r="F921" s="12">
        <v>72192</v>
      </c>
      <c r="G921">
        <f t="shared" si="29"/>
        <v>2947</v>
      </c>
      <c r="H921" s="16" t="s">
        <v>682</v>
      </c>
    </row>
    <row r="922" spans="1:8">
      <c r="A922" t="str">
        <f t="shared" si="28"/>
        <v>خراسان رضوئسبزوار</v>
      </c>
      <c r="B922" s="12" t="s">
        <v>213</v>
      </c>
      <c r="C922" s="12" t="s">
        <v>219</v>
      </c>
      <c r="D922" s="12" t="s">
        <v>480</v>
      </c>
      <c r="E922" s="12">
        <v>0.42730741419828011</v>
      </c>
      <c r="F922" s="12">
        <v>309784</v>
      </c>
      <c r="G922">
        <f t="shared" si="29"/>
        <v>132373</v>
      </c>
      <c r="H922" s="16" t="s">
        <v>688</v>
      </c>
    </row>
    <row r="923" spans="1:8">
      <c r="A923" t="str">
        <f t="shared" si="28"/>
        <v>خراسان رضوئسبزوار</v>
      </c>
      <c r="B923" s="12" t="s">
        <v>213</v>
      </c>
      <c r="C923" s="12" t="s">
        <v>219</v>
      </c>
      <c r="D923" s="12" t="s">
        <v>479</v>
      </c>
      <c r="E923" s="12">
        <v>0.38725369935180642</v>
      </c>
      <c r="F923" s="12">
        <v>309784</v>
      </c>
      <c r="G923">
        <f t="shared" si="29"/>
        <v>119965</v>
      </c>
      <c r="H923" s="16" t="s">
        <v>688</v>
      </c>
    </row>
    <row r="924" spans="1:8">
      <c r="A924" t="str">
        <f t="shared" si="28"/>
        <v>خراسان رضوئسبزوار</v>
      </c>
      <c r="B924" s="12" t="s">
        <v>213</v>
      </c>
      <c r="C924" s="12" t="s">
        <v>219</v>
      </c>
      <c r="D924" s="12" t="s">
        <v>22</v>
      </c>
      <c r="E924" s="12">
        <v>0.1055897012111665</v>
      </c>
      <c r="F924" s="12">
        <v>309784</v>
      </c>
      <c r="G924">
        <f t="shared" si="29"/>
        <v>32710</v>
      </c>
      <c r="H924" s="16" t="s">
        <v>688</v>
      </c>
    </row>
    <row r="925" spans="1:8">
      <c r="A925" t="str">
        <f t="shared" si="28"/>
        <v>خراسان رضوئسبزوار</v>
      </c>
      <c r="B925" s="12" t="s">
        <v>213</v>
      </c>
      <c r="C925" s="12" t="s">
        <v>219</v>
      </c>
      <c r="D925" s="12" t="s">
        <v>478</v>
      </c>
      <c r="E925" s="12">
        <v>4.0673501536554503E-2</v>
      </c>
      <c r="F925" s="12">
        <v>309784</v>
      </c>
      <c r="G925">
        <f t="shared" si="29"/>
        <v>12600</v>
      </c>
      <c r="H925" s="16" t="s">
        <v>688</v>
      </c>
    </row>
    <row r="926" spans="1:8">
      <c r="A926" t="str">
        <f t="shared" si="28"/>
        <v>خراسان رضوئسبزوار</v>
      </c>
      <c r="B926" s="12" t="s">
        <v>213</v>
      </c>
      <c r="C926" s="12" t="s">
        <v>219</v>
      </c>
      <c r="D926" s="12" t="s">
        <v>20</v>
      </c>
      <c r="E926" s="12">
        <v>3.9172455646514989E-2</v>
      </c>
      <c r="F926" s="12">
        <v>309784</v>
      </c>
      <c r="G926">
        <f t="shared" si="29"/>
        <v>12135</v>
      </c>
      <c r="H926" s="16" t="s">
        <v>688</v>
      </c>
    </row>
    <row r="927" spans="1:8">
      <c r="A927" t="str">
        <f t="shared" si="28"/>
        <v>خراسان رضوئقوچان</v>
      </c>
      <c r="B927" s="12" t="s">
        <v>213</v>
      </c>
      <c r="C927" s="12" t="s">
        <v>220</v>
      </c>
      <c r="D927" s="12" t="s">
        <v>480</v>
      </c>
      <c r="E927" s="12">
        <v>0.44128195828511885</v>
      </c>
      <c r="F927" s="12">
        <v>173703</v>
      </c>
      <c r="G927">
        <f t="shared" si="29"/>
        <v>76652</v>
      </c>
      <c r="H927" s="16" t="s">
        <v>683</v>
      </c>
    </row>
    <row r="928" spans="1:8">
      <c r="A928" t="str">
        <f t="shared" si="28"/>
        <v>خراسان رضوئقوچان</v>
      </c>
      <c r="B928" s="12" t="s">
        <v>213</v>
      </c>
      <c r="C928" s="12" t="s">
        <v>220</v>
      </c>
      <c r="D928" s="12" t="s">
        <v>479</v>
      </c>
      <c r="E928" s="12">
        <v>0.37714374535845668</v>
      </c>
      <c r="F928" s="12">
        <v>173703</v>
      </c>
      <c r="G928">
        <f t="shared" si="29"/>
        <v>65511</v>
      </c>
      <c r="H928" s="16" t="s">
        <v>683</v>
      </c>
    </row>
    <row r="929" spans="1:8">
      <c r="A929" t="str">
        <f t="shared" si="28"/>
        <v>خراسان رضوئقوچان</v>
      </c>
      <c r="B929" s="12" t="s">
        <v>213</v>
      </c>
      <c r="C929" s="12" t="s">
        <v>220</v>
      </c>
      <c r="D929" s="12" t="s">
        <v>22</v>
      </c>
      <c r="E929" s="12">
        <v>0.103492743360794</v>
      </c>
      <c r="F929" s="12">
        <v>173703</v>
      </c>
      <c r="G929">
        <f t="shared" si="29"/>
        <v>17977</v>
      </c>
      <c r="H929" s="16" t="s">
        <v>683</v>
      </c>
    </row>
    <row r="930" spans="1:8">
      <c r="A930" t="str">
        <f t="shared" si="28"/>
        <v>خراسان رضوئقوچان</v>
      </c>
      <c r="B930" s="12" t="s">
        <v>213</v>
      </c>
      <c r="C930" s="12" t="s">
        <v>220</v>
      </c>
      <c r="D930" s="12" t="s">
        <v>478</v>
      </c>
      <c r="E930" s="12">
        <v>4.0275642907721801E-2</v>
      </c>
      <c r="F930" s="12">
        <v>173703</v>
      </c>
      <c r="G930">
        <f t="shared" si="29"/>
        <v>6996</v>
      </c>
      <c r="H930" s="16" t="s">
        <v>683</v>
      </c>
    </row>
    <row r="931" spans="1:8">
      <c r="A931" t="str">
        <f t="shared" si="28"/>
        <v>خراسان رضوئقوچان</v>
      </c>
      <c r="B931" s="12" t="s">
        <v>213</v>
      </c>
      <c r="C931" s="12" t="s">
        <v>220</v>
      </c>
      <c r="D931" s="12" t="s">
        <v>20</v>
      </c>
      <c r="E931" s="12">
        <v>3.7828937899748422E-2</v>
      </c>
      <c r="F931" s="12">
        <v>173703</v>
      </c>
      <c r="G931">
        <f t="shared" si="29"/>
        <v>6571</v>
      </c>
      <c r="H931" s="16" t="s">
        <v>683</v>
      </c>
    </row>
    <row r="932" spans="1:8">
      <c r="A932" t="str">
        <f t="shared" si="28"/>
        <v>خراسان رضوئكاشمر</v>
      </c>
      <c r="B932" s="12" t="s">
        <v>213</v>
      </c>
      <c r="C932" s="12" t="s">
        <v>221</v>
      </c>
      <c r="D932" s="12" t="s">
        <v>480</v>
      </c>
      <c r="E932" s="12">
        <v>0.43787686123302844</v>
      </c>
      <c r="F932" s="12">
        <v>170653</v>
      </c>
      <c r="G932">
        <f t="shared" si="29"/>
        <v>74725</v>
      </c>
      <c r="H932" s="16" t="s">
        <v>675</v>
      </c>
    </row>
    <row r="933" spans="1:8">
      <c r="A933" t="str">
        <f t="shared" si="28"/>
        <v>خراسان رضوئكاشمر</v>
      </c>
      <c r="B933" s="12" t="s">
        <v>213</v>
      </c>
      <c r="C933" s="12" t="s">
        <v>221</v>
      </c>
      <c r="D933" s="12" t="s">
        <v>479</v>
      </c>
      <c r="E933" s="12">
        <v>0.3852730394426116</v>
      </c>
      <c r="F933" s="12">
        <v>170653</v>
      </c>
      <c r="G933">
        <f t="shared" si="29"/>
        <v>65748</v>
      </c>
      <c r="H933" s="16" t="s">
        <v>675</v>
      </c>
    </row>
    <row r="934" spans="1:8">
      <c r="A934" t="str">
        <f t="shared" si="28"/>
        <v>خراسان رضوئكاشمر</v>
      </c>
      <c r="B934" s="12" t="s">
        <v>213</v>
      </c>
      <c r="C934" s="12" t="s">
        <v>221</v>
      </c>
      <c r="D934" s="12" t="s">
        <v>22</v>
      </c>
      <c r="E934" s="12">
        <v>0.10029123425899339</v>
      </c>
      <c r="F934" s="12">
        <v>170653</v>
      </c>
      <c r="G934">
        <f t="shared" si="29"/>
        <v>17115</v>
      </c>
      <c r="H934" s="16" t="s">
        <v>675</v>
      </c>
    </row>
    <row r="935" spans="1:8">
      <c r="A935" t="str">
        <f t="shared" si="28"/>
        <v>خراسان رضوئكاشمر</v>
      </c>
      <c r="B935" s="12" t="s">
        <v>213</v>
      </c>
      <c r="C935" s="12" t="s">
        <v>221</v>
      </c>
      <c r="D935" s="12" t="s">
        <v>478</v>
      </c>
      <c r="E935" s="12">
        <v>3.8393699495467414E-2</v>
      </c>
      <c r="F935" s="12">
        <v>170653</v>
      </c>
      <c r="G935">
        <f t="shared" si="29"/>
        <v>6552</v>
      </c>
      <c r="H935" s="16" t="s">
        <v>675</v>
      </c>
    </row>
    <row r="936" spans="1:8">
      <c r="A936" t="str">
        <f t="shared" si="28"/>
        <v>خراسان رضوئكاشمر</v>
      </c>
      <c r="B936" s="12" t="s">
        <v>213</v>
      </c>
      <c r="C936" s="12" t="s">
        <v>221</v>
      </c>
      <c r="D936" s="12" t="s">
        <v>20</v>
      </c>
      <c r="E936" s="12">
        <v>3.8182745102635175E-2</v>
      </c>
      <c r="F936" s="12">
        <v>170653</v>
      </c>
      <c r="G936">
        <f t="shared" si="29"/>
        <v>6516</v>
      </c>
      <c r="H936" s="16" t="s">
        <v>675</v>
      </c>
    </row>
    <row r="937" spans="1:8">
      <c r="A937" t="str">
        <f t="shared" si="28"/>
        <v>خراسان رضوئگناباد</v>
      </c>
      <c r="B937" s="12" t="s">
        <v>213</v>
      </c>
      <c r="C937" s="12" t="s">
        <v>222</v>
      </c>
      <c r="D937" s="12" t="s">
        <v>480</v>
      </c>
      <c r="E937" s="12">
        <v>0.4299551489256993</v>
      </c>
      <c r="F937" s="12">
        <v>89407</v>
      </c>
      <c r="G937">
        <f t="shared" si="29"/>
        <v>38441</v>
      </c>
      <c r="H937" s="16" t="s">
        <v>690</v>
      </c>
    </row>
    <row r="938" spans="1:8">
      <c r="A938" t="str">
        <f t="shared" si="28"/>
        <v>خراسان رضوئگناباد</v>
      </c>
      <c r="B938" s="12" t="s">
        <v>213</v>
      </c>
      <c r="C938" s="12" t="s">
        <v>222</v>
      </c>
      <c r="D938" s="12" t="s">
        <v>479</v>
      </c>
      <c r="E938" s="12">
        <v>0.36685047032111578</v>
      </c>
      <c r="F938" s="12">
        <v>89407</v>
      </c>
      <c r="G938">
        <f t="shared" si="29"/>
        <v>32799</v>
      </c>
      <c r="H938" s="16" t="s">
        <v>690</v>
      </c>
    </row>
    <row r="939" spans="1:8">
      <c r="A939" t="str">
        <f t="shared" si="28"/>
        <v>خراسان رضوئگناباد</v>
      </c>
      <c r="B939" s="12" t="s">
        <v>213</v>
      </c>
      <c r="C939" s="12" t="s">
        <v>222</v>
      </c>
      <c r="D939" s="12" t="s">
        <v>22</v>
      </c>
      <c r="E939" s="12">
        <v>0.10622210788864407</v>
      </c>
      <c r="F939" s="12">
        <v>89407</v>
      </c>
      <c r="G939">
        <f t="shared" si="29"/>
        <v>9497</v>
      </c>
      <c r="H939" s="16" t="s">
        <v>690</v>
      </c>
    </row>
    <row r="940" spans="1:8">
      <c r="A940" t="str">
        <f t="shared" si="28"/>
        <v>خراسان رضوئگناباد</v>
      </c>
      <c r="B940" s="12" t="s">
        <v>213</v>
      </c>
      <c r="C940" s="12" t="s">
        <v>222</v>
      </c>
      <c r="D940" s="12" t="s">
        <v>478</v>
      </c>
      <c r="E940" s="12">
        <v>4.5320836176138336E-2</v>
      </c>
      <c r="F940" s="12">
        <v>89407</v>
      </c>
      <c r="G940">
        <f t="shared" si="29"/>
        <v>4052</v>
      </c>
      <c r="H940" s="16" t="s">
        <v>690</v>
      </c>
    </row>
    <row r="941" spans="1:8">
      <c r="A941" t="str">
        <f t="shared" si="28"/>
        <v>خراسان رضوئگناباد</v>
      </c>
      <c r="B941" s="12" t="s">
        <v>213</v>
      </c>
      <c r="C941" s="12" t="s">
        <v>222</v>
      </c>
      <c r="D941" s="12" t="s">
        <v>20</v>
      </c>
      <c r="E941" s="12">
        <v>5.1595512655608619E-2</v>
      </c>
      <c r="F941" s="12">
        <v>89407</v>
      </c>
      <c r="G941">
        <f t="shared" si="29"/>
        <v>4613</v>
      </c>
      <c r="H941" s="16" t="s">
        <v>690</v>
      </c>
    </row>
    <row r="942" spans="1:8">
      <c r="A942" t="str">
        <f t="shared" si="28"/>
        <v>خراسان رضوئمشهد</v>
      </c>
      <c r="B942" s="12" t="s">
        <v>213</v>
      </c>
      <c r="C942" s="12" t="s">
        <v>223</v>
      </c>
      <c r="D942" s="12" t="s">
        <v>480</v>
      </c>
      <c r="E942" s="12">
        <v>0.44394512468373931</v>
      </c>
      <c r="F942" s="12">
        <v>3427552</v>
      </c>
      <c r="G942">
        <f t="shared" si="29"/>
        <v>1521645</v>
      </c>
      <c r="H942" s="16" t="s">
        <v>665</v>
      </c>
    </row>
    <row r="943" spans="1:8">
      <c r="A943" t="str">
        <f t="shared" si="28"/>
        <v>خراسان رضوئمشهد</v>
      </c>
      <c r="B943" s="12" t="s">
        <v>213</v>
      </c>
      <c r="C943" s="12" t="s">
        <v>223</v>
      </c>
      <c r="D943" s="12" t="s">
        <v>479</v>
      </c>
      <c r="E943" s="12">
        <v>0.39527802933405531</v>
      </c>
      <c r="F943" s="12">
        <v>3427552</v>
      </c>
      <c r="G943">
        <f t="shared" si="29"/>
        <v>1354836</v>
      </c>
      <c r="H943" s="16" t="s">
        <v>665</v>
      </c>
    </row>
    <row r="944" spans="1:8">
      <c r="A944" t="str">
        <f t="shared" si="28"/>
        <v>خراسان رضوئمشهد</v>
      </c>
      <c r="B944" s="12" t="s">
        <v>213</v>
      </c>
      <c r="C944" s="12" t="s">
        <v>223</v>
      </c>
      <c r="D944" s="12" t="s">
        <v>22</v>
      </c>
      <c r="E944" s="12">
        <v>9.7584515129165078E-2</v>
      </c>
      <c r="F944" s="12">
        <v>3427552</v>
      </c>
      <c r="G944">
        <f t="shared" si="29"/>
        <v>334476</v>
      </c>
      <c r="H944" s="16" t="s">
        <v>665</v>
      </c>
    </row>
    <row r="945" spans="1:8">
      <c r="A945" t="str">
        <f t="shared" si="28"/>
        <v>خراسان رضوئمشهد</v>
      </c>
      <c r="B945" s="12" t="s">
        <v>213</v>
      </c>
      <c r="C945" s="12" t="s">
        <v>223</v>
      </c>
      <c r="D945" s="12" t="s">
        <v>478</v>
      </c>
      <c r="E945" s="12">
        <v>3.4011446069964806E-2</v>
      </c>
      <c r="F945" s="12">
        <v>3427552</v>
      </c>
      <c r="G945">
        <f t="shared" si="29"/>
        <v>116576</v>
      </c>
      <c r="H945" s="16" t="s">
        <v>665</v>
      </c>
    </row>
    <row r="946" spans="1:8">
      <c r="A946" t="str">
        <f t="shared" si="28"/>
        <v>خراسان رضوئمشهد</v>
      </c>
      <c r="B946" s="12" t="s">
        <v>213</v>
      </c>
      <c r="C946" s="12" t="s">
        <v>223</v>
      </c>
      <c r="D946" s="12" t="s">
        <v>20</v>
      </c>
      <c r="E946" s="12">
        <v>2.9180009522831455E-2</v>
      </c>
      <c r="F946" s="12">
        <v>3427552</v>
      </c>
      <c r="G946">
        <f t="shared" si="29"/>
        <v>100016</v>
      </c>
      <c r="H946" s="16" t="s">
        <v>665</v>
      </c>
    </row>
    <row r="947" spans="1:8">
      <c r="A947" t="str">
        <f t="shared" si="28"/>
        <v>خراسان رضوئنيشابور</v>
      </c>
      <c r="B947" s="12" t="s">
        <v>213</v>
      </c>
      <c r="C947" s="12" t="s">
        <v>224</v>
      </c>
      <c r="D947" s="12" t="s">
        <v>480</v>
      </c>
      <c r="E947" s="12">
        <v>0.44185665475327035</v>
      </c>
      <c r="F947" s="12">
        <v>457748</v>
      </c>
      <c r="G947">
        <f t="shared" si="29"/>
        <v>202259</v>
      </c>
      <c r="H947" s="16" t="s">
        <v>695</v>
      </c>
    </row>
    <row r="948" spans="1:8">
      <c r="A948" t="str">
        <f t="shared" si="28"/>
        <v>خراسان رضوئنيشابور</v>
      </c>
      <c r="B948" s="12" t="s">
        <v>213</v>
      </c>
      <c r="C948" s="12" t="s">
        <v>224</v>
      </c>
      <c r="D948" s="12" t="s">
        <v>479</v>
      </c>
      <c r="E948" s="12">
        <v>0.38738126654840654</v>
      </c>
      <c r="F948" s="12">
        <v>457748</v>
      </c>
      <c r="G948">
        <f t="shared" si="29"/>
        <v>177323</v>
      </c>
      <c r="H948" s="16" t="s">
        <v>695</v>
      </c>
    </row>
    <row r="949" spans="1:8">
      <c r="A949" t="str">
        <f t="shared" si="28"/>
        <v>خراسان رضوئنيشابور</v>
      </c>
      <c r="B949" s="12" t="s">
        <v>213</v>
      </c>
      <c r="C949" s="12" t="s">
        <v>224</v>
      </c>
      <c r="D949" s="12" t="s">
        <v>22</v>
      </c>
      <c r="E949" s="12">
        <v>9.8923425116002689E-2</v>
      </c>
      <c r="F949" s="12">
        <v>457748</v>
      </c>
      <c r="G949">
        <f t="shared" si="29"/>
        <v>45282</v>
      </c>
      <c r="H949" s="16" t="s">
        <v>695</v>
      </c>
    </row>
    <row r="950" spans="1:8">
      <c r="A950" t="str">
        <f t="shared" si="28"/>
        <v>خراسان رضوئنيشابور</v>
      </c>
      <c r="B950" s="12" t="s">
        <v>213</v>
      </c>
      <c r="C950" s="12" t="s">
        <v>224</v>
      </c>
      <c r="D950" s="12" t="s">
        <v>478</v>
      </c>
      <c r="E950" s="12">
        <v>3.7118676651782201E-2</v>
      </c>
      <c r="F950" s="12">
        <v>457748</v>
      </c>
      <c r="G950">
        <f t="shared" si="29"/>
        <v>16991</v>
      </c>
      <c r="H950" s="16" t="s">
        <v>695</v>
      </c>
    </row>
    <row r="951" spans="1:8">
      <c r="A951" t="str">
        <f t="shared" si="28"/>
        <v>خراسان رضوئنيشابور</v>
      </c>
      <c r="B951" s="12" t="s">
        <v>213</v>
      </c>
      <c r="C951" s="12" t="s">
        <v>224</v>
      </c>
      <c r="D951" s="12" t="s">
        <v>20</v>
      </c>
      <c r="E951" s="12">
        <v>3.4704684673663236E-2</v>
      </c>
      <c r="F951" s="12">
        <v>457748</v>
      </c>
      <c r="G951">
        <f t="shared" si="29"/>
        <v>15886</v>
      </c>
      <c r="H951" s="16" t="s">
        <v>695</v>
      </c>
    </row>
    <row r="952" spans="1:8">
      <c r="A952" t="str">
        <f t="shared" si="28"/>
        <v>خراسان رضوئچناران</v>
      </c>
      <c r="B952" s="12" t="s">
        <v>213</v>
      </c>
      <c r="C952" s="12" t="s">
        <v>225</v>
      </c>
      <c r="D952" s="12" t="s">
        <v>480</v>
      </c>
      <c r="E952" s="12">
        <v>0.46019090257429229</v>
      </c>
      <c r="F952" s="12">
        <v>159034</v>
      </c>
      <c r="G952">
        <f t="shared" si="29"/>
        <v>73186</v>
      </c>
      <c r="H952" s="16" t="s">
        <v>676</v>
      </c>
    </row>
    <row r="953" spans="1:8">
      <c r="A953" t="str">
        <f t="shared" si="28"/>
        <v>خراسان رضوئچناران</v>
      </c>
      <c r="B953" s="12" t="s">
        <v>213</v>
      </c>
      <c r="C953" s="12" t="s">
        <v>225</v>
      </c>
      <c r="D953" s="12" t="s">
        <v>479</v>
      </c>
      <c r="E953" s="12">
        <v>0.39155778009733766</v>
      </c>
      <c r="F953" s="12">
        <v>159034</v>
      </c>
      <c r="G953">
        <f t="shared" si="29"/>
        <v>62271</v>
      </c>
      <c r="H953" s="16" t="s">
        <v>676</v>
      </c>
    </row>
    <row r="954" spans="1:8">
      <c r="A954" t="str">
        <f t="shared" si="28"/>
        <v>خراسان رضوئچناران</v>
      </c>
      <c r="B954" s="12" t="s">
        <v>213</v>
      </c>
      <c r="C954" s="12" t="s">
        <v>225</v>
      </c>
      <c r="D954" s="12" t="s">
        <v>22</v>
      </c>
      <c r="E954" s="12">
        <v>9.0056214394406225E-2</v>
      </c>
      <c r="F954" s="12">
        <v>159034</v>
      </c>
      <c r="G954">
        <f t="shared" si="29"/>
        <v>14322</v>
      </c>
      <c r="H954" s="16" t="s">
        <v>676</v>
      </c>
    </row>
    <row r="955" spans="1:8">
      <c r="A955" t="str">
        <f t="shared" si="28"/>
        <v>خراسان رضوئچناران</v>
      </c>
      <c r="B955" s="12" t="s">
        <v>213</v>
      </c>
      <c r="C955" s="12" t="s">
        <v>225</v>
      </c>
      <c r="D955" s="12" t="s">
        <v>478</v>
      </c>
      <c r="E955" s="12">
        <v>3.0961932668485983E-2</v>
      </c>
      <c r="F955" s="12">
        <v>159034</v>
      </c>
      <c r="G955">
        <f t="shared" si="29"/>
        <v>4924</v>
      </c>
      <c r="H955" s="16" t="s">
        <v>676</v>
      </c>
    </row>
    <row r="956" spans="1:8">
      <c r="A956" t="str">
        <f t="shared" si="28"/>
        <v>خراسان رضوئچناران</v>
      </c>
      <c r="B956" s="12" t="s">
        <v>213</v>
      </c>
      <c r="C956" s="12" t="s">
        <v>225</v>
      </c>
      <c r="D956" s="12" t="s">
        <v>20</v>
      </c>
      <c r="E956" s="12">
        <v>2.7252034156218168E-2</v>
      </c>
      <c r="F956" s="12">
        <v>159034</v>
      </c>
      <c r="G956">
        <f t="shared" si="29"/>
        <v>4334</v>
      </c>
      <c r="H956" s="16" t="s">
        <v>676</v>
      </c>
    </row>
    <row r="957" spans="1:8">
      <c r="A957" t="str">
        <f t="shared" si="28"/>
        <v>خراسان رضوئخواف</v>
      </c>
      <c r="B957" s="12" t="s">
        <v>213</v>
      </c>
      <c r="C957" s="12" t="s">
        <v>226</v>
      </c>
      <c r="D957" s="12" t="s">
        <v>480</v>
      </c>
      <c r="E957" s="12">
        <v>0.55657377836814292</v>
      </c>
      <c r="F957" s="12">
        <v>141532</v>
      </c>
      <c r="G957">
        <f t="shared" si="29"/>
        <v>78773</v>
      </c>
      <c r="H957" s="16" t="s">
        <v>686</v>
      </c>
    </row>
    <row r="958" spans="1:8">
      <c r="A958" t="str">
        <f t="shared" si="28"/>
        <v>خراسان رضوئخواف</v>
      </c>
      <c r="B958" s="12" t="s">
        <v>213</v>
      </c>
      <c r="C958" s="12" t="s">
        <v>226</v>
      </c>
      <c r="D958" s="12" t="s">
        <v>479</v>
      </c>
      <c r="E958" s="12">
        <v>0.32938134132210384</v>
      </c>
      <c r="F958" s="12">
        <v>141532</v>
      </c>
      <c r="G958">
        <f t="shared" si="29"/>
        <v>46618</v>
      </c>
      <c r="H958" s="16" t="s">
        <v>686</v>
      </c>
    </row>
    <row r="959" spans="1:8">
      <c r="A959" t="str">
        <f t="shared" si="28"/>
        <v>خراسان رضوئخواف</v>
      </c>
      <c r="B959" s="12" t="s">
        <v>213</v>
      </c>
      <c r="C959" s="12" t="s">
        <v>226</v>
      </c>
      <c r="D959" s="12" t="s">
        <v>22</v>
      </c>
      <c r="E959" s="12">
        <v>6.8182460503631692E-2</v>
      </c>
      <c r="F959" s="12">
        <v>141532</v>
      </c>
      <c r="G959">
        <f t="shared" si="29"/>
        <v>9650</v>
      </c>
      <c r="H959" s="16" t="s">
        <v>686</v>
      </c>
    </row>
    <row r="960" spans="1:8">
      <c r="A960" t="str">
        <f t="shared" si="28"/>
        <v>خراسان رضوئخواف</v>
      </c>
      <c r="B960" s="12" t="s">
        <v>213</v>
      </c>
      <c r="C960" s="12" t="s">
        <v>226</v>
      </c>
      <c r="D960" s="12" t="s">
        <v>478</v>
      </c>
      <c r="E960" s="12">
        <v>2.41288189243422E-2</v>
      </c>
      <c r="F960" s="12">
        <v>141532</v>
      </c>
      <c r="G960">
        <f t="shared" si="29"/>
        <v>3415</v>
      </c>
      <c r="H960" s="16" t="s">
        <v>686</v>
      </c>
    </row>
    <row r="961" spans="1:8">
      <c r="A961" t="str">
        <f t="shared" si="28"/>
        <v>خراسان رضوئخواف</v>
      </c>
      <c r="B961" s="12" t="s">
        <v>213</v>
      </c>
      <c r="C961" s="12" t="s">
        <v>226</v>
      </c>
      <c r="D961" s="12" t="s">
        <v>20</v>
      </c>
      <c r="E961" s="12">
        <v>2.1712404261933698E-2</v>
      </c>
      <c r="F961" s="12">
        <v>141532</v>
      </c>
      <c r="G961">
        <f t="shared" si="29"/>
        <v>3073</v>
      </c>
      <c r="H961" s="16" t="s">
        <v>686</v>
      </c>
    </row>
    <row r="962" spans="1:8">
      <c r="A962" t="str">
        <f t="shared" ref="A962:A1025" si="30">B962&amp;C962</f>
        <v>خراسان رضوئسرخس</v>
      </c>
      <c r="B962" s="12" t="s">
        <v>213</v>
      </c>
      <c r="C962" s="12" t="s">
        <v>227</v>
      </c>
      <c r="D962" s="12" t="s">
        <v>480</v>
      </c>
      <c r="E962" s="12">
        <v>0.51762649512718106</v>
      </c>
      <c r="F962" s="12">
        <v>98403</v>
      </c>
      <c r="G962">
        <f t="shared" si="29"/>
        <v>50936</v>
      </c>
      <c r="H962" s="16" t="s">
        <v>672</v>
      </c>
    </row>
    <row r="963" spans="1:8">
      <c r="A963" t="str">
        <f t="shared" si="30"/>
        <v>خراسان رضوئسرخس</v>
      </c>
      <c r="B963" s="12" t="s">
        <v>213</v>
      </c>
      <c r="C963" s="12" t="s">
        <v>227</v>
      </c>
      <c r="D963" s="12" t="s">
        <v>479</v>
      </c>
      <c r="E963" s="12">
        <v>0.36008048535105636</v>
      </c>
      <c r="F963" s="12">
        <v>98403</v>
      </c>
      <c r="G963">
        <f t="shared" ref="G963:G1026" si="31">IFERROR(ROUND(F963*E963,0),0)</f>
        <v>35433</v>
      </c>
      <c r="H963" s="16" t="s">
        <v>672</v>
      </c>
    </row>
    <row r="964" spans="1:8">
      <c r="A964" t="str">
        <f t="shared" si="30"/>
        <v>خراسان رضوئسرخس</v>
      </c>
      <c r="B964" s="12" t="s">
        <v>213</v>
      </c>
      <c r="C964" s="12" t="s">
        <v>227</v>
      </c>
      <c r="D964" s="12" t="s">
        <v>22</v>
      </c>
      <c r="E964" s="12">
        <v>7.7213093096755184E-2</v>
      </c>
      <c r="F964" s="12">
        <v>98403</v>
      </c>
      <c r="G964">
        <f t="shared" si="31"/>
        <v>7598</v>
      </c>
      <c r="H964" s="16" t="s">
        <v>672</v>
      </c>
    </row>
    <row r="965" spans="1:8">
      <c r="A965" t="str">
        <f t="shared" si="30"/>
        <v>خراسان رضوئسرخس</v>
      </c>
      <c r="B965" s="12" t="s">
        <v>213</v>
      </c>
      <c r="C965" s="12" t="s">
        <v>227</v>
      </c>
      <c r="D965" s="12" t="s">
        <v>478</v>
      </c>
      <c r="E965" s="12">
        <v>2.464355761511336E-2</v>
      </c>
      <c r="F965" s="12">
        <v>98403</v>
      </c>
      <c r="G965">
        <f t="shared" si="31"/>
        <v>2425</v>
      </c>
      <c r="H965" s="16" t="s">
        <v>672</v>
      </c>
    </row>
    <row r="966" spans="1:8">
      <c r="A966" t="str">
        <f t="shared" si="30"/>
        <v>خراسان رضوئسرخس</v>
      </c>
      <c r="B966" s="12" t="s">
        <v>213</v>
      </c>
      <c r="C966" s="12" t="s">
        <v>227</v>
      </c>
      <c r="D966" s="12" t="s">
        <v>20</v>
      </c>
      <c r="E966" s="12">
        <v>2.0426206518093959E-2</v>
      </c>
      <c r="F966" s="12">
        <v>98403</v>
      </c>
      <c r="G966">
        <f t="shared" si="31"/>
        <v>2010</v>
      </c>
      <c r="H966" s="16" t="s">
        <v>672</v>
      </c>
    </row>
    <row r="967" spans="1:8">
      <c r="A967" t="str">
        <f t="shared" si="30"/>
        <v>خراسان رضوئفريمان</v>
      </c>
      <c r="B967" s="12" t="s">
        <v>213</v>
      </c>
      <c r="C967" s="12" t="s">
        <v>228</v>
      </c>
      <c r="D967" s="12" t="s">
        <v>480</v>
      </c>
      <c r="E967" s="12">
        <v>0.49040352120407615</v>
      </c>
      <c r="F967" s="12">
        <v>100193</v>
      </c>
      <c r="G967">
        <f t="shared" si="31"/>
        <v>49135</v>
      </c>
      <c r="H967" s="16" t="s">
        <v>667</v>
      </c>
    </row>
    <row r="968" spans="1:8">
      <c r="A968" t="str">
        <f t="shared" si="30"/>
        <v>خراسان رضوئفريمان</v>
      </c>
      <c r="B968" s="12" t="s">
        <v>213</v>
      </c>
      <c r="C968" s="12" t="s">
        <v>228</v>
      </c>
      <c r="D968" s="12" t="s">
        <v>479</v>
      </c>
      <c r="E968" s="12">
        <v>0.36227081732256744</v>
      </c>
      <c r="F968" s="12">
        <v>100193</v>
      </c>
      <c r="G968">
        <f t="shared" si="31"/>
        <v>36297</v>
      </c>
      <c r="H968" s="16" t="s">
        <v>667</v>
      </c>
    </row>
    <row r="969" spans="1:8">
      <c r="A969" t="str">
        <f t="shared" si="30"/>
        <v>خراسان رضوئفريمان</v>
      </c>
      <c r="B969" s="12" t="s">
        <v>213</v>
      </c>
      <c r="C969" s="12" t="s">
        <v>228</v>
      </c>
      <c r="D969" s="12" t="s">
        <v>22</v>
      </c>
      <c r="E969" s="12">
        <v>8.5584821294900845E-2</v>
      </c>
      <c r="F969" s="12">
        <v>100193</v>
      </c>
      <c r="G969">
        <f t="shared" si="31"/>
        <v>8575</v>
      </c>
      <c r="H969" s="16" t="s">
        <v>667</v>
      </c>
    </row>
    <row r="970" spans="1:8">
      <c r="A970" t="str">
        <f t="shared" si="30"/>
        <v>خراسان رضوئفريمان</v>
      </c>
      <c r="B970" s="12" t="s">
        <v>213</v>
      </c>
      <c r="C970" s="12" t="s">
        <v>228</v>
      </c>
      <c r="D970" s="12" t="s">
        <v>478</v>
      </c>
      <c r="E970" s="12">
        <v>3.124968810196321E-2</v>
      </c>
      <c r="F970" s="12">
        <v>100193</v>
      </c>
      <c r="G970">
        <f t="shared" si="31"/>
        <v>3131</v>
      </c>
      <c r="H970" s="16" t="s">
        <v>667</v>
      </c>
    </row>
    <row r="971" spans="1:8">
      <c r="A971" t="str">
        <f t="shared" si="30"/>
        <v>خراسان رضوئفريمان</v>
      </c>
      <c r="B971" s="12" t="s">
        <v>213</v>
      </c>
      <c r="C971" s="12" t="s">
        <v>228</v>
      </c>
      <c r="D971" s="12" t="s">
        <v>20</v>
      </c>
      <c r="E971" s="12">
        <v>3.0521094288024114E-2</v>
      </c>
      <c r="F971" s="12">
        <v>100193</v>
      </c>
      <c r="G971">
        <f t="shared" si="31"/>
        <v>3058</v>
      </c>
      <c r="H971" s="16" t="s">
        <v>667</v>
      </c>
    </row>
    <row r="972" spans="1:8">
      <c r="A972" t="str">
        <f t="shared" si="30"/>
        <v>خراسان رضوئبردسكن</v>
      </c>
      <c r="B972" s="12" t="s">
        <v>213</v>
      </c>
      <c r="C972" s="12" t="s">
        <v>229</v>
      </c>
      <c r="D972" s="12" t="s">
        <v>480</v>
      </c>
      <c r="E972" s="12">
        <v>0.43857995601633681</v>
      </c>
      <c r="F972" s="12">
        <v>76392</v>
      </c>
      <c r="G972">
        <f t="shared" si="31"/>
        <v>33504</v>
      </c>
      <c r="H972" s="16" t="s">
        <v>689</v>
      </c>
    </row>
    <row r="973" spans="1:8">
      <c r="A973" t="str">
        <f t="shared" si="30"/>
        <v>خراسان رضوئبردسكن</v>
      </c>
      <c r="B973" s="12" t="s">
        <v>213</v>
      </c>
      <c r="C973" s="12" t="s">
        <v>229</v>
      </c>
      <c r="D973" s="12" t="s">
        <v>479</v>
      </c>
      <c r="E973" s="12">
        <v>0.38273641218975807</v>
      </c>
      <c r="F973" s="12">
        <v>76392</v>
      </c>
      <c r="G973">
        <f t="shared" si="31"/>
        <v>29238</v>
      </c>
      <c r="H973" s="16" t="s">
        <v>689</v>
      </c>
    </row>
    <row r="974" spans="1:8">
      <c r="A974" t="str">
        <f t="shared" si="30"/>
        <v>خراسان رضوئبردسكن</v>
      </c>
      <c r="B974" s="12" t="s">
        <v>213</v>
      </c>
      <c r="C974" s="12" t="s">
        <v>229</v>
      </c>
      <c r="D974" s="12" t="s">
        <v>22</v>
      </c>
      <c r="E974" s="12">
        <v>9.7667295004712537E-2</v>
      </c>
      <c r="F974" s="12">
        <v>76392</v>
      </c>
      <c r="G974">
        <f t="shared" si="31"/>
        <v>7461</v>
      </c>
      <c r="H974" s="16" t="s">
        <v>689</v>
      </c>
    </row>
    <row r="975" spans="1:8">
      <c r="A975" t="str">
        <f t="shared" si="30"/>
        <v>خراسان رضوئبردسكن</v>
      </c>
      <c r="B975" s="12" t="s">
        <v>213</v>
      </c>
      <c r="C975" s="12" t="s">
        <v>229</v>
      </c>
      <c r="D975" s="12" t="s">
        <v>478</v>
      </c>
      <c r="E975" s="12">
        <v>3.915331448319196E-2</v>
      </c>
      <c r="F975" s="12">
        <v>76392</v>
      </c>
      <c r="G975">
        <f t="shared" si="31"/>
        <v>2991</v>
      </c>
      <c r="H975" s="16" t="s">
        <v>689</v>
      </c>
    </row>
    <row r="976" spans="1:8">
      <c r="A976" t="str">
        <f t="shared" si="30"/>
        <v>خراسان رضوئبردسكن</v>
      </c>
      <c r="B976" s="12" t="s">
        <v>213</v>
      </c>
      <c r="C976" s="12" t="s">
        <v>229</v>
      </c>
      <c r="D976" s="12" t="s">
        <v>20</v>
      </c>
      <c r="E976" s="12">
        <v>4.1771389674311446E-2</v>
      </c>
      <c r="F976" s="12">
        <v>76392</v>
      </c>
      <c r="G976">
        <f t="shared" si="31"/>
        <v>3191</v>
      </c>
      <c r="H976" s="16" t="s">
        <v>689</v>
      </c>
    </row>
    <row r="977" spans="1:8">
      <c r="A977" t="str">
        <f t="shared" si="30"/>
        <v>خراسان رضوئرشتخوار</v>
      </c>
      <c r="B977" s="12" t="s">
        <v>213</v>
      </c>
      <c r="C977" s="12" t="s">
        <v>230</v>
      </c>
      <c r="D977" s="12" t="s">
        <v>480</v>
      </c>
      <c r="E977" s="12">
        <v>0.49074195023185946</v>
      </c>
      <c r="F977" s="12">
        <v>61244</v>
      </c>
      <c r="G977">
        <f t="shared" si="31"/>
        <v>30055</v>
      </c>
      <c r="H977" s="16" t="s">
        <v>684</v>
      </c>
    </row>
    <row r="978" spans="1:8">
      <c r="A978" t="str">
        <f t="shared" si="30"/>
        <v>خراسان رضوئرشتخوار</v>
      </c>
      <c r="B978" s="12" t="s">
        <v>213</v>
      </c>
      <c r="C978" s="12" t="s">
        <v>230</v>
      </c>
      <c r="D978" s="12" t="s">
        <v>479</v>
      </c>
      <c r="E978" s="12">
        <v>0.35685128339102606</v>
      </c>
      <c r="F978" s="12">
        <v>61244</v>
      </c>
      <c r="G978">
        <f t="shared" si="31"/>
        <v>21855</v>
      </c>
      <c r="H978" s="16" t="s">
        <v>684</v>
      </c>
    </row>
    <row r="979" spans="1:8">
      <c r="A979" t="str">
        <f t="shared" si="30"/>
        <v>خراسان رضوئرشتخوار</v>
      </c>
      <c r="B979" s="12" t="s">
        <v>213</v>
      </c>
      <c r="C979" s="12" t="s">
        <v>230</v>
      </c>
      <c r="D979" s="12" t="s">
        <v>22</v>
      </c>
      <c r="E979" s="12">
        <v>8.5036901574031737E-2</v>
      </c>
      <c r="F979" s="12">
        <v>61244</v>
      </c>
      <c r="G979">
        <f t="shared" si="31"/>
        <v>5208</v>
      </c>
      <c r="H979" s="16" t="s">
        <v>684</v>
      </c>
    </row>
    <row r="980" spans="1:8">
      <c r="A980" t="str">
        <f t="shared" si="30"/>
        <v>خراسان رضوئرشتخوار</v>
      </c>
      <c r="B980" s="12" t="s">
        <v>213</v>
      </c>
      <c r="C980" s="12" t="s">
        <v>230</v>
      </c>
      <c r="D980" s="12" t="s">
        <v>478</v>
      </c>
      <c r="E980" s="12">
        <v>3.3113447847952455E-2</v>
      </c>
      <c r="F980" s="12">
        <v>61244</v>
      </c>
      <c r="G980">
        <f t="shared" si="31"/>
        <v>2028</v>
      </c>
      <c r="H980" s="16" t="s">
        <v>684</v>
      </c>
    </row>
    <row r="981" spans="1:8">
      <c r="A981" t="str">
        <f t="shared" si="30"/>
        <v>خراسان رضوئرشتخوار</v>
      </c>
      <c r="B981" s="12" t="s">
        <v>213</v>
      </c>
      <c r="C981" s="12" t="s">
        <v>230</v>
      </c>
      <c r="D981" s="12" t="s">
        <v>20</v>
      </c>
      <c r="E981" s="12">
        <v>3.4207432564822678E-2</v>
      </c>
      <c r="F981" s="12">
        <v>61244</v>
      </c>
      <c r="G981">
        <f t="shared" si="31"/>
        <v>2095</v>
      </c>
      <c r="H981" s="16" t="s">
        <v>684</v>
      </c>
    </row>
    <row r="982" spans="1:8">
      <c r="A982" t="str">
        <f t="shared" si="30"/>
        <v>خراسان رضوئكلات</v>
      </c>
      <c r="B982" s="12" t="s">
        <v>213</v>
      </c>
      <c r="C982" s="12" t="s">
        <v>231</v>
      </c>
      <c r="D982" s="12" t="s">
        <v>480</v>
      </c>
      <c r="E982" s="12">
        <v>0.47039830767946111</v>
      </c>
      <c r="F982" s="12">
        <v>35927</v>
      </c>
      <c r="G982">
        <f t="shared" si="31"/>
        <v>16900</v>
      </c>
      <c r="H982" s="16" t="s">
        <v>679</v>
      </c>
    </row>
    <row r="983" spans="1:8">
      <c r="A983" t="str">
        <f t="shared" si="30"/>
        <v>خراسان رضوئكلات</v>
      </c>
      <c r="B983" s="12" t="s">
        <v>213</v>
      </c>
      <c r="C983" s="12" t="s">
        <v>231</v>
      </c>
      <c r="D983" s="12" t="s">
        <v>479</v>
      </c>
      <c r="E983" s="12">
        <v>0.35243688590753475</v>
      </c>
      <c r="F983" s="12">
        <v>35927</v>
      </c>
      <c r="G983">
        <f t="shared" si="31"/>
        <v>12662</v>
      </c>
      <c r="H983" s="16" t="s">
        <v>679</v>
      </c>
    </row>
    <row r="984" spans="1:8">
      <c r="A984" t="str">
        <f t="shared" si="30"/>
        <v>خراسان رضوئكلات</v>
      </c>
      <c r="B984" s="12" t="s">
        <v>213</v>
      </c>
      <c r="C984" s="12" t="s">
        <v>231</v>
      </c>
      <c r="D984" s="12" t="s">
        <v>22</v>
      </c>
      <c r="E984" s="12">
        <v>9.9924847607648845E-2</v>
      </c>
      <c r="F984" s="12">
        <v>35927</v>
      </c>
      <c r="G984">
        <f t="shared" si="31"/>
        <v>3590</v>
      </c>
      <c r="H984" s="16" t="s">
        <v>679</v>
      </c>
    </row>
    <row r="985" spans="1:8">
      <c r="A985" t="str">
        <f t="shared" si="30"/>
        <v>خراسان رضوئكلات</v>
      </c>
      <c r="B985" s="12" t="s">
        <v>213</v>
      </c>
      <c r="C985" s="12" t="s">
        <v>231</v>
      </c>
      <c r="D985" s="12" t="s">
        <v>478</v>
      </c>
      <c r="E985" s="12">
        <v>3.8633896512372312E-2</v>
      </c>
      <c r="F985" s="12">
        <v>35927</v>
      </c>
      <c r="G985">
        <f t="shared" si="31"/>
        <v>1388</v>
      </c>
      <c r="H985" s="16" t="s">
        <v>679</v>
      </c>
    </row>
    <row r="986" spans="1:8">
      <c r="A986" t="str">
        <f t="shared" si="30"/>
        <v>خراسان رضوئكلات</v>
      </c>
      <c r="B986" s="12" t="s">
        <v>213</v>
      </c>
      <c r="C986" s="12" t="s">
        <v>231</v>
      </c>
      <c r="D986" s="12" t="s">
        <v>20</v>
      </c>
      <c r="E986" s="12">
        <v>3.8773067609318895E-2</v>
      </c>
      <c r="F986" s="12">
        <v>35927</v>
      </c>
      <c r="G986">
        <f t="shared" si="31"/>
        <v>1393</v>
      </c>
      <c r="H986" s="16" t="s">
        <v>679</v>
      </c>
    </row>
    <row r="987" spans="1:8">
      <c r="A987" t="str">
        <f t="shared" si="30"/>
        <v>خراسان رضوئخليل آباد</v>
      </c>
      <c r="B987" s="12" t="s">
        <v>213</v>
      </c>
      <c r="C987" s="12" t="s">
        <v>232</v>
      </c>
      <c r="D987" s="12" t="s">
        <v>480</v>
      </c>
      <c r="E987" s="12">
        <v>0.43939682056742985</v>
      </c>
      <c r="F987" s="12">
        <v>52588</v>
      </c>
      <c r="G987">
        <f t="shared" si="31"/>
        <v>23107</v>
      </c>
      <c r="H987" s="16" t="s">
        <v>673</v>
      </c>
    </row>
    <row r="988" spans="1:8">
      <c r="A988" t="str">
        <f t="shared" si="30"/>
        <v>خراسان رضوئخليل آباد</v>
      </c>
      <c r="B988" s="12" t="s">
        <v>213</v>
      </c>
      <c r="C988" s="12" t="s">
        <v>232</v>
      </c>
      <c r="D988" s="12" t="s">
        <v>479</v>
      </c>
      <c r="E988" s="12">
        <v>0.38229253822164755</v>
      </c>
      <c r="F988" s="12">
        <v>52588</v>
      </c>
      <c r="G988">
        <f t="shared" si="31"/>
        <v>20104</v>
      </c>
      <c r="H988" s="16" t="s">
        <v>673</v>
      </c>
    </row>
    <row r="989" spans="1:8">
      <c r="A989" t="str">
        <f t="shared" si="30"/>
        <v>خراسان رضوئخليل آباد</v>
      </c>
      <c r="B989" s="12" t="s">
        <v>213</v>
      </c>
      <c r="C989" s="12" t="s">
        <v>232</v>
      </c>
      <c r="D989" s="12" t="s">
        <v>22</v>
      </c>
      <c r="E989" s="12">
        <v>9.8862858446793947E-2</v>
      </c>
      <c r="F989" s="12">
        <v>52588</v>
      </c>
      <c r="G989">
        <f t="shared" si="31"/>
        <v>5199</v>
      </c>
      <c r="H989" s="16" t="s">
        <v>673</v>
      </c>
    </row>
    <row r="990" spans="1:8">
      <c r="A990" t="str">
        <f t="shared" si="30"/>
        <v>خراسان رضوئخليل آباد</v>
      </c>
      <c r="B990" s="12" t="s">
        <v>213</v>
      </c>
      <c r="C990" s="12" t="s">
        <v>232</v>
      </c>
      <c r="D990" s="12" t="s">
        <v>478</v>
      </c>
      <c r="E990" s="12">
        <v>3.7023655586825889E-2</v>
      </c>
      <c r="F990" s="12">
        <v>52588</v>
      </c>
      <c r="G990">
        <f t="shared" si="31"/>
        <v>1947</v>
      </c>
      <c r="H990" s="16" t="s">
        <v>673</v>
      </c>
    </row>
    <row r="991" spans="1:8">
      <c r="A991" t="str">
        <f t="shared" si="30"/>
        <v>خراسان رضوئخليل آباد</v>
      </c>
      <c r="B991" s="12" t="s">
        <v>213</v>
      </c>
      <c r="C991" s="12" t="s">
        <v>232</v>
      </c>
      <c r="D991" s="12" t="s">
        <v>20</v>
      </c>
      <c r="E991" s="12">
        <v>4.2595268882634825E-2</v>
      </c>
      <c r="F991" s="12">
        <v>52588</v>
      </c>
      <c r="G991">
        <f t="shared" si="31"/>
        <v>2240</v>
      </c>
      <c r="H991" s="16" t="s">
        <v>673</v>
      </c>
    </row>
    <row r="992" spans="1:8">
      <c r="A992" t="str">
        <f t="shared" si="30"/>
        <v>خراسان رضوئمه ولات</v>
      </c>
      <c r="B992" s="12" t="s">
        <v>213</v>
      </c>
      <c r="C992" s="12" t="s">
        <v>233</v>
      </c>
      <c r="D992" s="12" t="s">
        <v>480</v>
      </c>
      <c r="E992" s="12">
        <v>0.43888320759449706</v>
      </c>
      <c r="F992" s="12">
        <v>51827</v>
      </c>
      <c r="G992">
        <f t="shared" si="31"/>
        <v>22746</v>
      </c>
      <c r="H992" s="16" t="s">
        <v>696</v>
      </c>
    </row>
    <row r="993" spans="1:8">
      <c r="A993" t="str">
        <f t="shared" si="30"/>
        <v>خراسان رضوئمه ولات</v>
      </c>
      <c r="B993" s="12" t="s">
        <v>213</v>
      </c>
      <c r="C993" s="12" t="s">
        <v>233</v>
      </c>
      <c r="D993" s="12" t="s">
        <v>479</v>
      </c>
      <c r="E993" s="12">
        <v>0.37729368861790186</v>
      </c>
      <c r="F993" s="12">
        <v>51827</v>
      </c>
      <c r="G993">
        <f t="shared" si="31"/>
        <v>19554</v>
      </c>
      <c r="H993" s="16" t="s">
        <v>696</v>
      </c>
    </row>
    <row r="994" spans="1:8">
      <c r="A994" t="str">
        <f t="shared" si="30"/>
        <v>خراسان رضوئمه ولات</v>
      </c>
      <c r="B994" s="12" t="s">
        <v>213</v>
      </c>
      <c r="C994" s="12" t="s">
        <v>233</v>
      </c>
      <c r="D994" s="12" t="s">
        <v>22</v>
      </c>
      <c r="E994" s="12">
        <v>9.8925270611843252E-2</v>
      </c>
      <c r="F994" s="12">
        <v>51827</v>
      </c>
      <c r="G994">
        <f t="shared" si="31"/>
        <v>5127</v>
      </c>
      <c r="H994" s="16" t="s">
        <v>696</v>
      </c>
    </row>
    <row r="995" spans="1:8">
      <c r="A995" t="str">
        <f t="shared" si="30"/>
        <v>خراسان رضوئمه ولات</v>
      </c>
      <c r="B995" s="12" t="s">
        <v>213</v>
      </c>
      <c r="C995" s="12" t="s">
        <v>233</v>
      </c>
      <c r="D995" s="12" t="s">
        <v>478</v>
      </c>
      <c r="E995" s="12">
        <v>4.1175449090242539E-2</v>
      </c>
      <c r="F995" s="12">
        <v>51827</v>
      </c>
      <c r="G995">
        <f t="shared" si="31"/>
        <v>2134</v>
      </c>
      <c r="H995" s="16" t="s">
        <v>696</v>
      </c>
    </row>
    <row r="996" spans="1:8">
      <c r="A996" t="str">
        <f t="shared" si="30"/>
        <v>خراسان رضوئمه ولات</v>
      </c>
      <c r="B996" s="12" t="s">
        <v>213</v>
      </c>
      <c r="C996" s="12" t="s">
        <v>233</v>
      </c>
      <c r="D996" s="12" t="s">
        <v>20</v>
      </c>
      <c r="E996" s="12">
        <v>4.3645204237173676E-2</v>
      </c>
      <c r="F996" s="12">
        <v>51827</v>
      </c>
      <c r="G996">
        <f t="shared" si="31"/>
        <v>2262</v>
      </c>
      <c r="H996" s="16" t="s">
        <v>696</v>
      </c>
    </row>
    <row r="997" spans="1:8">
      <c r="A997" t="str">
        <f t="shared" si="30"/>
        <v>خراسان رضوئبجستان</v>
      </c>
      <c r="B997" s="12" t="s">
        <v>213</v>
      </c>
      <c r="C997" s="12" t="s">
        <v>234</v>
      </c>
      <c r="D997" s="12" t="s">
        <v>480</v>
      </c>
      <c r="E997" s="12">
        <v>0.43432831066229172</v>
      </c>
      <c r="F997" s="12">
        <v>31391</v>
      </c>
      <c r="G997">
        <f t="shared" si="31"/>
        <v>13634</v>
      </c>
      <c r="H997" s="16" t="s">
        <v>669</v>
      </c>
    </row>
    <row r="998" spans="1:8">
      <c r="A998" t="str">
        <f t="shared" si="30"/>
        <v>خراسان رضوئبجستان</v>
      </c>
      <c r="B998" s="12" t="s">
        <v>213</v>
      </c>
      <c r="C998" s="12" t="s">
        <v>234</v>
      </c>
      <c r="D998" s="12" t="s">
        <v>479</v>
      </c>
      <c r="E998" s="12">
        <v>0.37341913287247935</v>
      </c>
      <c r="F998" s="12">
        <v>31391</v>
      </c>
      <c r="G998">
        <f t="shared" si="31"/>
        <v>11722</v>
      </c>
      <c r="H998" s="16" t="s">
        <v>669</v>
      </c>
    </row>
    <row r="999" spans="1:8">
      <c r="A999" t="str">
        <f t="shared" si="30"/>
        <v>خراسان رضوئبجستان</v>
      </c>
      <c r="B999" s="12" t="s">
        <v>213</v>
      </c>
      <c r="C999" s="12" t="s">
        <v>234</v>
      </c>
      <c r="D999" s="12" t="s">
        <v>22</v>
      </c>
      <c r="E999" s="12">
        <v>0.10362842853047052</v>
      </c>
      <c r="F999" s="12">
        <v>31391</v>
      </c>
      <c r="G999">
        <f t="shared" si="31"/>
        <v>3253</v>
      </c>
      <c r="H999" s="16" t="s">
        <v>669</v>
      </c>
    </row>
    <row r="1000" spans="1:8">
      <c r="A1000" t="str">
        <f t="shared" si="30"/>
        <v>خراسان رضوئبجستان</v>
      </c>
      <c r="B1000" s="12" t="s">
        <v>213</v>
      </c>
      <c r="C1000" s="12" t="s">
        <v>234</v>
      </c>
      <c r="D1000" s="12" t="s">
        <v>478</v>
      </c>
      <c r="E1000" s="12">
        <v>4.2305119301710679E-2</v>
      </c>
      <c r="F1000" s="12">
        <v>31391</v>
      </c>
      <c r="G1000">
        <f t="shared" si="31"/>
        <v>1328</v>
      </c>
      <c r="H1000" s="16" t="s">
        <v>669</v>
      </c>
    </row>
    <row r="1001" spans="1:8">
      <c r="A1001" t="str">
        <f t="shared" si="30"/>
        <v>خراسان رضوئبجستان</v>
      </c>
      <c r="B1001" s="12" t="s">
        <v>213</v>
      </c>
      <c r="C1001" s="12" t="s">
        <v>234</v>
      </c>
      <c r="D1001" s="12" t="s">
        <v>20</v>
      </c>
      <c r="E1001" s="12">
        <v>4.638272116211653E-2</v>
      </c>
      <c r="F1001" s="12">
        <v>31391</v>
      </c>
      <c r="G1001">
        <f t="shared" si="31"/>
        <v>1456</v>
      </c>
      <c r="H1001" s="16" t="s">
        <v>669</v>
      </c>
    </row>
    <row r="1002" spans="1:8">
      <c r="A1002" t="str">
        <f t="shared" si="30"/>
        <v>خراسان رضوئبينالود</v>
      </c>
      <c r="B1002" s="12" t="s">
        <v>213</v>
      </c>
      <c r="C1002" s="12" t="s">
        <v>235</v>
      </c>
      <c r="D1002" s="12" t="s">
        <v>480</v>
      </c>
      <c r="E1002" s="12">
        <v>0.43498999846130176</v>
      </c>
      <c r="F1002" s="12">
        <v>71489</v>
      </c>
      <c r="G1002">
        <f t="shared" si="31"/>
        <v>31097</v>
      </c>
      <c r="H1002" s="16" t="s">
        <v>668</v>
      </c>
    </row>
    <row r="1003" spans="1:8">
      <c r="A1003" t="str">
        <f t="shared" si="30"/>
        <v>خراسان رضوئبينالود</v>
      </c>
      <c r="B1003" s="12" t="s">
        <v>213</v>
      </c>
      <c r="C1003" s="12" t="s">
        <v>235</v>
      </c>
      <c r="D1003" s="12" t="s">
        <v>479</v>
      </c>
      <c r="E1003" s="12">
        <v>0.38958441158779672</v>
      </c>
      <c r="F1003" s="12">
        <v>71489</v>
      </c>
      <c r="G1003">
        <f t="shared" si="31"/>
        <v>27851</v>
      </c>
      <c r="H1003" s="16" t="s">
        <v>668</v>
      </c>
    </row>
    <row r="1004" spans="1:8">
      <c r="A1004" t="str">
        <f t="shared" si="30"/>
        <v>خراسان رضوئبينالود</v>
      </c>
      <c r="B1004" s="12" t="s">
        <v>213</v>
      </c>
      <c r="C1004" s="12" t="s">
        <v>235</v>
      </c>
      <c r="D1004" s="12" t="s">
        <v>22</v>
      </c>
      <c r="E1004" s="12">
        <v>0.10070080711717887</v>
      </c>
      <c r="F1004" s="12">
        <v>71489</v>
      </c>
      <c r="G1004">
        <f t="shared" si="31"/>
        <v>7199</v>
      </c>
      <c r="H1004" s="16" t="s">
        <v>668</v>
      </c>
    </row>
    <row r="1005" spans="1:8">
      <c r="A1005" t="str">
        <f t="shared" si="30"/>
        <v>خراسان رضوئبينالود</v>
      </c>
      <c r="B1005" s="12" t="s">
        <v>213</v>
      </c>
      <c r="C1005" s="12" t="s">
        <v>235</v>
      </c>
      <c r="D1005" s="12" t="s">
        <v>478</v>
      </c>
      <c r="E1005" s="12">
        <v>3.8201681377554586E-2</v>
      </c>
      <c r="F1005" s="12">
        <v>71489</v>
      </c>
      <c r="G1005">
        <f t="shared" si="31"/>
        <v>2731</v>
      </c>
      <c r="H1005" s="16" t="s">
        <v>668</v>
      </c>
    </row>
    <row r="1006" spans="1:8">
      <c r="A1006" t="str">
        <f t="shared" si="30"/>
        <v>خراسان رضوئبينالود</v>
      </c>
      <c r="B1006" s="12" t="s">
        <v>213</v>
      </c>
      <c r="C1006" s="12" t="s">
        <v>235</v>
      </c>
      <c r="D1006" s="12" t="s">
        <v>20</v>
      </c>
      <c r="E1006" s="12">
        <v>3.6607030452237406E-2</v>
      </c>
      <c r="F1006" s="12">
        <v>71489</v>
      </c>
      <c r="G1006">
        <f t="shared" si="31"/>
        <v>2617</v>
      </c>
      <c r="H1006" s="16" t="s">
        <v>668</v>
      </c>
    </row>
    <row r="1007" spans="1:8">
      <c r="A1007" t="str">
        <f t="shared" si="30"/>
        <v>خراسان رضوئفيروزه (تخت جلگه)</v>
      </c>
      <c r="B1007" s="12" t="s">
        <v>213</v>
      </c>
      <c r="C1007" s="12" t="s">
        <v>236</v>
      </c>
      <c r="D1007" s="12" t="s">
        <v>480</v>
      </c>
      <c r="E1007" s="12">
        <v>0.41590813846282793</v>
      </c>
      <c r="F1007" s="12">
        <v>59655</v>
      </c>
      <c r="G1007">
        <f t="shared" si="31"/>
        <v>24811</v>
      </c>
      <c r="H1007" s="16" t="s">
        <v>680</v>
      </c>
    </row>
    <row r="1008" spans="1:8">
      <c r="A1008" t="str">
        <f t="shared" si="30"/>
        <v>خراسان رضوئفيروزه (تخت جلگه)</v>
      </c>
      <c r="B1008" s="12" t="s">
        <v>213</v>
      </c>
      <c r="C1008" s="12" t="s">
        <v>236</v>
      </c>
      <c r="D1008" s="12" t="s">
        <v>479</v>
      </c>
      <c r="E1008" s="12">
        <v>0.39522252954488307</v>
      </c>
      <c r="F1008" s="12">
        <v>59655</v>
      </c>
      <c r="G1008">
        <f t="shared" si="31"/>
        <v>23577</v>
      </c>
      <c r="H1008" s="16" t="s">
        <v>680</v>
      </c>
    </row>
    <row r="1009" spans="1:8">
      <c r="A1009" t="str">
        <f t="shared" si="30"/>
        <v>خراسان رضوئفيروزه (تخت جلگه)</v>
      </c>
      <c r="B1009" s="12" t="s">
        <v>213</v>
      </c>
      <c r="C1009" s="12" t="s">
        <v>236</v>
      </c>
      <c r="D1009" s="12" t="s">
        <v>22</v>
      </c>
      <c r="E1009" s="12">
        <v>0.10850725002095382</v>
      </c>
      <c r="F1009" s="12">
        <v>59655</v>
      </c>
      <c r="G1009">
        <f t="shared" si="31"/>
        <v>6473</v>
      </c>
      <c r="H1009" s="16" t="s">
        <v>680</v>
      </c>
    </row>
    <row r="1010" spans="1:8">
      <c r="A1010" t="str">
        <f t="shared" si="30"/>
        <v>خراسان رضوئفيروزه (تخت جلگه)</v>
      </c>
      <c r="B1010" s="12" t="s">
        <v>213</v>
      </c>
      <c r="C1010" s="12" t="s">
        <v>236</v>
      </c>
      <c r="D1010" s="12" t="s">
        <v>478</v>
      </c>
      <c r="E1010" s="12">
        <v>4.1907635571201071E-2</v>
      </c>
      <c r="F1010" s="12">
        <v>59655</v>
      </c>
      <c r="G1010">
        <f t="shared" si="31"/>
        <v>2500</v>
      </c>
      <c r="H1010" s="16" t="s">
        <v>680</v>
      </c>
    </row>
    <row r="1011" spans="1:8">
      <c r="A1011" t="str">
        <f t="shared" si="30"/>
        <v>خراسان رضوئفيروزه (تخت جلگه)</v>
      </c>
      <c r="B1011" s="12" t="s">
        <v>213</v>
      </c>
      <c r="C1011" s="12" t="s">
        <v>236</v>
      </c>
      <c r="D1011" s="12" t="s">
        <v>20</v>
      </c>
      <c r="E1011" s="12">
        <v>3.8437683345905624E-2</v>
      </c>
      <c r="F1011" s="12">
        <v>59655</v>
      </c>
      <c r="G1011">
        <f t="shared" si="31"/>
        <v>2293</v>
      </c>
      <c r="H1011" s="16" t="s">
        <v>680</v>
      </c>
    </row>
    <row r="1012" spans="1:8">
      <c r="A1012" t="str">
        <f t="shared" si="30"/>
        <v>خراسان رضوئجغتاي</v>
      </c>
      <c r="B1012" s="12" t="s">
        <v>213</v>
      </c>
      <c r="C1012" s="12" t="s">
        <v>237</v>
      </c>
      <c r="D1012" s="12" t="s">
        <v>480</v>
      </c>
      <c r="E1012" s="12">
        <v>0.48412554243616912</v>
      </c>
      <c r="F1012" s="12">
        <v>49545</v>
      </c>
      <c r="G1012">
        <f t="shared" si="31"/>
        <v>23986</v>
      </c>
      <c r="H1012" s="16" t="s">
        <v>685</v>
      </c>
    </row>
    <row r="1013" spans="1:8">
      <c r="A1013" t="str">
        <f t="shared" si="30"/>
        <v>خراسان رضوئجغتاي</v>
      </c>
      <c r="B1013" s="12" t="s">
        <v>213</v>
      </c>
      <c r="C1013" s="12" t="s">
        <v>237</v>
      </c>
      <c r="D1013" s="12" t="s">
        <v>479</v>
      </c>
      <c r="E1013" s="12">
        <v>0.37049147239882935</v>
      </c>
      <c r="F1013" s="12">
        <v>49545</v>
      </c>
      <c r="G1013">
        <f t="shared" si="31"/>
        <v>18356</v>
      </c>
      <c r="H1013" s="16" t="s">
        <v>685</v>
      </c>
    </row>
    <row r="1014" spans="1:8">
      <c r="A1014" t="str">
        <f t="shared" si="30"/>
        <v>خراسان رضوئجغتاي</v>
      </c>
      <c r="B1014" s="12" t="s">
        <v>213</v>
      </c>
      <c r="C1014" s="12" t="s">
        <v>237</v>
      </c>
      <c r="D1014" s="12" t="s">
        <v>22</v>
      </c>
      <c r="E1014" s="12">
        <v>8.8020991018266229E-2</v>
      </c>
      <c r="F1014" s="12">
        <v>49545</v>
      </c>
      <c r="G1014">
        <f t="shared" si="31"/>
        <v>4361</v>
      </c>
      <c r="H1014" s="16" t="s">
        <v>685</v>
      </c>
    </row>
    <row r="1015" spans="1:8">
      <c r="A1015" t="str">
        <f t="shared" si="30"/>
        <v>خراسان رضوئجغتاي</v>
      </c>
      <c r="B1015" s="12" t="s">
        <v>213</v>
      </c>
      <c r="C1015" s="12" t="s">
        <v>237</v>
      </c>
      <c r="D1015" s="12" t="s">
        <v>478</v>
      </c>
      <c r="E1015" s="12">
        <v>3.0154405086285196E-2</v>
      </c>
      <c r="F1015" s="12">
        <v>49545</v>
      </c>
      <c r="G1015">
        <f t="shared" si="31"/>
        <v>1494</v>
      </c>
      <c r="H1015" s="16" t="s">
        <v>685</v>
      </c>
    </row>
    <row r="1016" spans="1:8">
      <c r="A1016" t="str">
        <f t="shared" si="30"/>
        <v>خراسان رضوئجغتاي</v>
      </c>
      <c r="B1016" s="12" t="s">
        <v>213</v>
      </c>
      <c r="C1016" s="12" t="s">
        <v>237</v>
      </c>
      <c r="D1016" s="12" t="s">
        <v>20</v>
      </c>
      <c r="E1016" s="12">
        <v>2.7207589060450097E-2</v>
      </c>
      <c r="F1016" s="12">
        <v>49545</v>
      </c>
      <c r="G1016">
        <f t="shared" si="31"/>
        <v>1348</v>
      </c>
      <c r="H1016" s="16" t="s">
        <v>685</v>
      </c>
    </row>
    <row r="1017" spans="1:8">
      <c r="A1017" t="str">
        <f t="shared" si="30"/>
        <v>خراسان رضوئزاوه</v>
      </c>
      <c r="B1017" s="12" t="s">
        <v>213</v>
      </c>
      <c r="C1017" s="12" t="s">
        <v>238</v>
      </c>
      <c r="D1017" s="12" t="s">
        <v>480</v>
      </c>
      <c r="E1017" s="12">
        <v>0.49917435080592132</v>
      </c>
      <c r="F1017" s="12">
        <v>68431</v>
      </c>
      <c r="G1017">
        <f t="shared" si="31"/>
        <v>34159</v>
      </c>
      <c r="H1017" s="16" t="s">
        <v>687</v>
      </c>
    </row>
    <row r="1018" spans="1:8">
      <c r="A1018" t="str">
        <f t="shared" si="30"/>
        <v>خراسان رضوئزاوه</v>
      </c>
      <c r="B1018" s="12" t="s">
        <v>213</v>
      </c>
      <c r="C1018" s="12" t="s">
        <v>238</v>
      </c>
      <c r="D1018" s="12" t="s">
        <v>479</v>
      </c>
      <c r="E1018" s="12">
        <v>0.35972000993701686</v>
      </c>
      <c r="F1018" s="12">
        <v>68431</v>
      </c>
      <c r="G1018">
        <f t="shared" si="31"/>
        <v>24616</v>
      </c>
      <c r="H1018" s="16" t="s">
        <v>687</v>
      </c>
    </row>
    <row r="1019" spans="1:8">
      <c r="A1019" t="str">
        <f t="shared" si="30"/>
        <v>خراسان رضوئزاوه</v>
      </c>
      <c r="B1019" s="12" t="s">
        <v>213</v>
      </c>
      <c r="C1019" s="12" t="s">
        <v>238</v>
      </c>
      <c r="D1019" s="12" t="s">
        <v>22</v>
      </c>
      <c r="E1019" s="12">
        <v>7.9598427613216227E-2</v>
      </c>
      <c r="F1019" s="12">
        <v>68431</v>
      </c>
      <c r="G1019">
        <f t="shared" si="31"/>
        <v>5447</v>
      </c>
      <c r="H1019" s="16" t="s">
        <v>687</v>
      </c>
    </row>
    <row r="1020" spans="1:8">
      <c r="A1020" t="str">
        <f t="shared" si="30"/>
        <v>خراسان رضوئزاوه</v>
      </c>
      <c r="B1020" s="12" t="s">
        <v>213</v>
      </c>
      <c r="C1020" s="12" t="s">
        <v>238</v>
      </c>
      <c r="D1020" s="12" t="s">
        <v>478</v>
      </c>
      <c r="E1020" s="12">
        <v>3.1754614136867795E-2</v>
      </c>
      <c r="F1020" s="12">
        <v>68431</v>
      </c>
      <c r="G1020">
        <f t="shared" si="31"/>
        <v>2173</v>
      </c>
      <c r="H1020" s="16" t="s">
        <v>687</v>
      </c>
    </row>
    <row r="1021" spans="1:8">
      <c r="A1021" t="str">
        <f t="shared" si="30"/>
        <v>خراسان رضوئزاوه</v>
      </c>
      <c r="B1021" s="12" t="s">
        <v>213</v>
      </c>
      <c r="C1021" s="12" t="s">
        <v>238</v>
      </c>
      <c r="D1021" s="12" t="s">
        <v>20</v>
      </c>
      <c r="E1021" s="12">
        <v>2.9825663807338778E-2</v>
      </c>
      <c r="F1021" s="12">
        <v>68431</v>
      </c>
      <c r="G1021">
        <f t="shared" si="31"/>
        <v>2041</v>
      </c>
      <c r="H1021" s="16" t="s">
        <v>687</v>
      </c>
    </row>
    <row r="1022" spans="1:8">
      <c r="A1022" t="str">
        <f t="shared" si="30"/>
        <v>خراسان رضوئجوين</v>
      </c>
      <c r="B1022" s="12" t="s">
        <v>213</v>
      </c>
      <c r="C1022" s="12" t="s">
        <v>239</v>
      </c>
      <c r="D1022" s="12" t="s">
        <v>480</v>
      </c>
      <c r="E1022" s="12">
        <v>0.47125624864159965</v>
      </c>
      <c r="F1022" s="12">
        <v>55212</v>
      </c>
      <c r="G1022">
        <f t="shared" si="31"/>
        <v>26019</v>
      </c>
      <c r="H1022" s="16" t="s">
        <v>692</v>
      </c>
    </row>
    <row r="1023" spans="1:8">
      <c r="A1023" t="str">
        <f t="shared" si="30"/>
        <v>خراسان رضوئجوين</v>
      </c>
      <c r="B1023" s="12" t="s">
        <v>213</v>
      </c>
      <c r="C1023" s="12" t="s">
        <v>239</v>
      </c>
      <c r="D1023" s="12" t="s">
        <v>479</v>
      </c>
      <c r="E1023" s="12">
        <v>0.37133231906107367</v>
      </c>
      <c r="F1023" s="12">
        <v>55212</v>
      </c>
      <c r="G1023">
        <f t="shared" si="31"/>
        <v>20502</v>
      </c>
      <c r="H1023" s="16" t="s">
        <v>692</v>
      </c>
    </row>
    <row r="1024" spans="1:8">
      <c r="A1024" t="str">
        <f t="shared" si="30"/>
        <v>خراسان رضوئجوين</v>
      </c>
      <c r="B1024" s="12" t="s">
        <v>213</v>
      </c>
      <c r="C1024" s="12" t="s">
        <v>239</v>
      </c>
      <c r="D1024" s="12" t="s">
        <v>22</v>
      </c>
      <c r="E1024" s="12">
        <v>9.2389335651669929E-2</v>
      </c>
      <c r="F1024" s="12">
        <v>55212</v>
      </c>
      <c r="G1024">
        <f t="shared" si="31"/>
        <v>5101</v>
      </c>
      <c r="H1024" s="16" t="s">
        <v>692</v>
      </c>
    </row>
    <row r="1025" spans="1:8">
      <c r="A1025" t="str">
        <f t="shared" si="30"/>
        <v>خراسان رضوئجوين</v>
      </c>
      <c r="B1025" s="12" t="s">
        <v>213</v>
      </c>
      <c r="C1025" s="12" t="s">
        <v>239</v>
      </c>
      <c r="D1025" s="12" t="s">
        <v>478</v>
      </c>
      <c r="E1025" s="12">
        <v>3.3851336665942186E-2</v>
      </c>
      <c r="F1025" s="12">
        <v>55212</v>
      </c>
      <c r="G1025">
        <f t="shared" si="31"/>
        <v>1869</v>
      </c>
      <c r="H1025" s="16" t="s">
        <v>692</v>
      </c>
    </row>
    <row r="1026" spans="1:8">
      <c r="A1026" t="str">
        <f t="shared" ref="A1026:A1089" si="32">B1026&amp;C1026</f>
        <v>خراسان رضوئجوين</v>
      </c>
      <c r="B1026" s="12" t="s">
        <v>213</v>
      </c>
      <c r="C1026" s="12" t="s">
        <v>239</v>
      </c>
      <c r="D1026" s="12" t="s">
        <v>20</v>
      </c>
      <c r="E1026" s="12">
        <v>3.126132000289792E-2</v>
      </c>
      <c r="F1026" s="12">
        <v>55212</v>
      </c>
      <c r="G1026">
        <f t="shared" si="31"/>
        <v>1726</v>
      </c>
      <c r="H1026" s="16" t="s">
        <v>692</v>
      </c>
    </row>
    <row r="1027" spans="1:8">
      <c r="A1027" t="str">
        <f t="shared" si="32"/>
        <v>خراسان رضوئباخرز</v>
      </c>
      <c r="B1027" s="12" t="s">
        <v>213</v>
      </c>
      <c r="C1027" s="12" t="s">
        <v>240</v>
      </c>
      <c r="D1027" s="12" t="s">
        <v>480</v>
      </c>
      <c r="E1027" s="12">
        <v>0.52920522885231736</v>
      </c>
      <c r="F1027" s="12">
        <v>55538</v>
      </c>
      <c r="G1027">
        <f t="shared" ref="G1027:G1090" si="33">IFERROR(ROUND(F1027*E1027,0),0)</f>
        <v>29391</v>
      </c>
      <c r="H1027" s="16" t="s">
        <v>691</v>
      </c>
    </row>
    <row r="1028" spans="1:8">
      <c r="A1028" t="str">
        <f t="shared" si="32"/>
        <v>خراسان رضوئباخرز</v>
      </c>
      <c r="B1028" s="12" t="s">
        <v>213</v>
      </c>
      <c r="C1028" s="12" t="s">
        <v>240</v>
      </c>
      <c r="D1028" s="12" t="s">
        <v>479</v>
      </c>
      <c r="E1028" s="12">
        <v>0.34084770787568874</v>
      </c>
      <c r="F1028" s="12">
        <v>55538</v>
      </c>
      <c r="G1028">
        <f t="shared" si="33"/>
        <v>18930</v>
      </c>
      <c r="H1028" s="16" t="s">
        <v>691</v>
      </c>
    </row>
    <row r="1029" spans="1:8">
      <c r="A1029" t="str">
        <f t="shared" si="32"/>
        <v>خراسان رضوئباخرز</v>
      </c>
      <c r="B1029" s="12" t="s">
        <v>213</v>
      </c>
      <c r="C1029" s="12" t="s">
        <v>240</v>
      </c>
      <c r="D1029" s="12" t="s">
        <v>22</v>
      </c>
      <c r="E1029" s="12">
        <v>7.5947999567863439E-2</v>
      </c>
      <c r="F1029" s="12">
        <v>55538</v>
      </c>
      <c r="G1029">
        <f t="shared" si="33"/>
        <v>4218</v>
      </c>
      <c r="H1029" s="16" t="s">
        <v>691</v>
      </c>
    </row>
    <row r="1030" spans="1:8">
      <c r="A1030" t="str">
        <f t="shared" si="32"/>
        <v>خراسان رضوئباخرز</v>
      </c>
      <c r="B1030" s="12" t="s">
        <v>213</v>
      </c>
      <c r="C1030" s="12" t="s">
        <v>240</v>
      </c>
      <c r="D1030" s="12" t="s">
        <v>478</v>
      </c>
      <c r="E1030" s="12">
        <v>2.8755086607367929E-2</v>
      </c>
      <c r="F1030" s="12">
        <v>55538</v>
      </c>
      <c r="G1030">
        <f t="shared" si="33"/>
        <v>1597</v>
      </c>
      <c r="H1030" s="16" t="s">
        <v>691</v>
      </c>
    </row>
    <row r="1031" spans="1:8">
      <c r="A1031" t="str">
        <f t="shared" si="32"/>
        <v>خراسان رضوئباخرز</v>
      </c>
      <c r="B1031" s="12" t="s">
        <v>213</v>
      </c>
      <c r="C1031" s="12" t="s">
        <v>240</v>
      </c>
      <c r="D1031" s="12" t="s">
        <v>20</v>
      </c>
      <c r="E1031" s="12">
        <v>2.518996002736865E-2</v>
      </c>
      <c r="F1031" s="12">
        <v>55538</v>
      </c>
      <c r="G1031">
        <f t="shared" si="33"/>
        <v>1399</v>
      </c>
      <c r="H1031" s="16" t="s">
        <v>691</v>
      </c>
    </row>
    <row r="1032" spans="1:8">
      <c r="A1032" t="str">
        <f t="shared" si="32"/>
        <v>خراسان رضوئخوشاب</v>
      </c>
      <c r="B1032" s="12" t="s">
        <v>213</v>
      </c>
      <c r="C1032" s="12" t="s">
        <v>241</v>
      </c>
      <c r="D1032" s="12" t="s">
        <v>480</v>
      </c>
      <c r="E1032" s="12">
        <v>0.45024066256151013</v>
      </c>
      <c r="F1032" s="12">
        <v>37189</v>
      </c>
      <c r="G1032">
        <f t="shared" si="33"/>
        <v>16744</v>
      </c>
      <c r="H1032" s="16" t="s">
        <v>671</v>
      </c>
    </row>
    <row r="1033" spans="1:8">
      <c r="A1033" t="str">
        <f t="shared" si="32"/>
        <v>خراسان رضوئخوشاب</v>
      </c>
      <c r="B1033" s="12" t="s">
        <v>213</v>
      </c>
      <c r="C1033" s="12" t="s">
        <v>241</v>
      </c>
      <c r="D1033" s="12" t="s">
        <v>479</v>
      </c>
      <c r="E1033" s="12">
        <v>0.35303449944876175</v>
      </c>
      <c r="F1033" s="12">
        <v>37189</v>
      </c>
      <c r="G1033">
        <f t="shared" si="33"/>
        <v>13129</v>
      </c>
      <c r="H1033" s="16" t="s">
        <v>671</v>
      </c>
    </row>
    <row r="1034" spans="1:8">
      <c r="A1034" t="str">
        <f t="shared" si="32"/>
        <v>خراسان رضوئخوشاب</v>
      </c>
      <c r="B1034" s="12" t="s">
        <v>213</v>
      </c>
      <c r="C1034" s="12" t="s">
        <v>241</v>
      </c>
      <c r="D1034" s="12" t="s">
        <v>22</v>
      </c>
      <c r="E1034" s="12">
        <v>0.10887628062061362</v>
      </c>
      <c r="F1034" s="12">
        <v>37189</v>
      </c>
      <c r="G1034">
        <f t="shared" si="33"/>
        <v>4049</v>
      </c>
      <c r="H1034" s="16" t="s">
        <v>671</v>
      </c>
    </row>
    <row r="1035" spans="1:8">
      <c r="A1035" t="str">
        <f t="shared" si="32"/>
        <v>خراسان رضوئخوشاب</v>
      </c>
      <c r="B1035" s="12" t="s">
        <v>213</v>
      </c>
      <c r="C1035" s="12" t="s">
        <v>241</v>
      </c>
      <c r="D1035" s="12" t="s">
        <v>478</v>
      </c>
      <c r="E1035" s="12">
        <v>4.560488316437656E-2</v>
      </c>
      <c r="F1035" s="12">
        <v>37189</v>
      </c>
      <c r="G1035">
        <f t="shared" si="33"/>
        <v>1696</v>
      </c>
      <c r="H1035" s="16" t="s">
        <v>671</v>
      </c>
    </row>
    <row r="1036" spans="1:8">
      <c r="A1036" t="str">
        <f t="shared" si="32"/>
        <v>خراسان رضوئخوشاب</v>
      </c>
      <c r="B1036" s="12" t="s">
        <v>213</v>
      </c>
      <c r="C1036" s="12" t="s">
        <v>241</v>
      </c>
      <c r="D1036" s="12" t="s">
        <v>20</v>
      </c>
      <c r="E1036" s="12">
        <v>4.2351232891446398E-2</v>
      </c>
      <c r="F1036" s="12">
        <v>37189</v>
      </c>
      <c r="G1036">
        <f t="shared" si="33"/>
        <v>1575</v>
      </c>
      <c r="H1036" s="16" t="s">
        <v>671</v>
      </c>
    </row>
    <row r="1037" spans="1:8">
      <c r="A1037" t="str">
        <f t="shared" si="32"/>
        <v>خراسان رضوئداور زن</v>
      </c>
      <c r="B1037" s="12" t="s">
        <v>213</v>
      </c>
      <c r="C1037" s="12" t="s">
        <v>243</v>
      </c>
      <c r="D1037" s="12" t="s">
        <v>480</v>
      </c>
      <c r="E1037" s="12">
        <v>0.36409464553340298</v>
      </c>
      <c r="F1037" s="12">
        <v>22019</v>
      </c>
      <c r="G1037">
        <f t="shared" si="33"/>
        <v>8017</v>
      </c>
      <c r="H1037" s="16" t="s">
        <v>693</v>
      </c>
    </row>
    <row r="1038" spans="1:8">
      <c r="A1038" t="str">
        <f t="shared" si="32"/>
        <v>خراسان رضوئداور زن</v>
      </c>
      <c r="B1038" s="12" t="s">
        <v>213</v>
      </c>
      <c r="C1038" s="12" t="s">
        <v>243</v>
      </c>
      <c r="D1038" s="12" t="s">
        <v>479</v>
      </c>
      <c r="E1038" s="12">
        <v>0.35519324219991827</v>
      </c>
      <c r="F1038" s="12">
        <v>22019</v>
      </c>
      <c r="G1038">
        <f t="shared" si="33"/>
        <v>7821</v>
      </c>
      <c r="H1038" s="16" t="s">
        <v>693</v>
      </c>
    </row>
    <row r="1039" spans="1:8">
      <c r="A1039" t="str">
        <f t="shared" si="32"/>
        <v>خراسان رضوئداور زن</v>
      </c>
      <c r="B1039" s="12" t="s">
        <v>213</v>
      </c>
      <c r="C1039" s="12" t="s">
        <v>243</v>
      </c>
      <c r="D1039" s="12" t="s">
        <v>22</v>
      </c>
      <c r="E1039" s="12">
        <v>0.1336118806485308</v>
      </c>
      <c r="F1039" s="12">
        <v>22019</v>
      </c>
      <c r="G1039">
        <f t="shared" si="33"/>
        <v>2942</v>
      </c>
      <c r="H1039" s="16" t="s">
        <v>693</v>
      </c>
    </row>
    <row r="1040" spans="1:8">
      <c r="A1040" t="str">
        <f t="shared" si="32"/>
        <v>خراسان رضوئداور زن</v>
      </c>
      <c r="B1040" s="12" t="s">
        <v>213</v>
      </c>
      <c r="C1040" s="12" t="s">
        <v>243</v>
      </c>
      <c r="D1040" s="12" t="s">
        <v>478</v>
      </c>
      <c r="E1040" s="12">
        <v>6.444434352150416E-2</v>
      </c>
      <c r="F1040" s="12">
        <v>22019</v>
      </c>
      <c r="G1040">
        <f t="shared" si="33"/>
        <v>1419</v>
      </c>
      <c r="H1040" s="16" t="s">
        <v>693</v>
      </c>
    </row>
    <row r="1041" spans="1:8">
      <c r="A1041" t="str">
        <f t="shared" si="32"/>
        <v>خراسان رضوئداور زن</v>
      </c>
      <c r="B1041" s="12" t="s">
        <v>213</v>
      </c>
      <c r="C1041" s="12" t="s">
        <v>243</v>
      </c>
      <c r="D1041" s="12" t="s">
        <v>20</v>
      </c>
      <c r="E1041" s="12">
        <v>8.2383396157863664E-2</v>
      </c>
      <c r="F1041" s="12">
        <v>22019</v>
      </c>
      <c r="G1041">
        <f t="shared" si="33"/>
        <v>1814</v>
      </c>
      <c r="H1041" s="16" t="s">
        <v>693</v>
      </c>
    </row>
    <row r="1042" spans="1:8">
      <c r="A1042" t="str">
        <f t="shared" si="32"/>
        <v>اصفهاناردستان</v>
      </c>
      <c r="B1042" s="12" t="s">
        <v>242</v>
      </c>
      <c r="C1042" s="12" t="s">
        <v>244</v>
      </c>
      <c r="D1042" s="12" t="s">
        <v>480</v>
      </c>
      <c r="E1042" s="12">
        <v>0.35647140431028296</v>
      </c>
      <c r="F1042" s="12">
        <v>41807</v>
      </c>
      <c r="G1042">
        <f t="shared" si="33"/>
        <v>14903</v>
      </c>
      <c r="H1042" s="16" t="s">
        <v>585</v>
      </c>
    </row>
    <row r="1043" spans="1:8">
      <c r="A1043" t="str">
        <f t="shared" si="32"/>
        <v>اصفهاناردستان</v>
      </c>
      <c r="B1043" s="12" t="s">
        <v>242</v>
      </c>
      <c r="C1043" s="12" t="s">
        <v>244</v>
      </c>
      <c r="D1043" s="12" t="s">
        <v>479</v>
      </c>
      <c r="E1043" s="12">
        <v>0.38041476307795347</v>
      </c>
      <c r="F1043" s="12">
        <v>41807</v>
      </c>
      <c r="G1043">
        <f t="shared" si="33"/>
        <v>15904</v>
      </c>
      <c r="H1043" s="16" t="s">
        <v>585</v>
      </c>
    </row>
    <row r="1044" spans="1:8">
      <c r="A1044" t="str">
        <f t="shared" si="32"/>
        <v>اصفهاناردستان</v>
      </c>
      <c r="B1044" s="12" t="s">
        <v>242</v>
      </c>
      <c r="C1044" s="12" t="s">
        <v>244</v>
      </c>
      <c r="D1044" s="12" t="s">
        <v>22</v>
      </c>
      <c r="E1044" s="12">
        <v>0.12883010022245078</v>
      </c>
      <c r="F1044" s="12">
        <v>41807</v>
      </c>
      <c r="G1044">
        <f t="shared" si="33"/>
        <v>5386</v>
      </c>
      <c r="H1044" s="16" t="s">
        <v>585</v>
      </c>
    </row>
    <row r="1045" spans="1:8">
      <c r="A1045" t="str">
        <f t="shared" si="32"/>
        <v>اصفهاناردستان</v>
      </c>
      <c r="B1045" s="12" t="s">
        <v>242</v>
      </c>
      <c r="C1045" s="12" t="s">
        <v>244</v>
      </c>
      <c r="D1045" s="12" t="s">
        <v>478</v>
      </c>
      <c r="E1045" s="12">
        <v>5.9487645609586914E-2</v>
      </c>
      <c r="F1045" s="12">
        <v>41807</v>
      </c>
      <c r="G1045">
        <f t="shared" si="33"/>
        <v>2487</v>
      </c>
      <c r="H1045" s="16" t="s">
        <v>585</v>
      </c>
    </row>
    <row r="1046" spans="1:8">
      <c r="A1046" t="str">
        <f t="shared" si="32"/>
        <v>اصفهاناردستان</v>
      </c>
      <c r="B1046" s="12" t="s">
        <v>242</v>
      </c>
      <c r="C1046" s="12" t="s">
        <v>244</v>
      </c>
      <c r="D1046" s="12" t="s">
        <v>20</v>
      </c>
      <c r="E1046" s="12">
        <v>7.472432846174086E-2</v>
      </c>
      <c r="F1046" s="12">
        <v>41807</v>
      </c>
      <c r="G1046">
        <f t="shared" si="33"/>
        <v>3124</v>
      </c>
      <c r="H1046" s="16" t="s">
        <v>585</v>
      </c>
    </row>
    <row r="1047" spans="1:8">
      <c r="A1047" t="str">
        <f t="shared" si="32"/>
        <v>اصفهاناصفهان</v>
      </c>
      <c r="B1047" s="12" t="s">
        <v>242</v>
      </c>
      <c r="C1047" s="12" t="s">
        <v>242</v>
      </c>
      <c r="D1047" s="12" t="s">
        <v>480</v>
      </c>
      <c r="E1047" s="12">
        <v>0.37020689957961517</v>
      </c>
      <c r="F1047" s="12">
        <v>2277675</v>
      </c>
      <c r="G1047">
        <f t="shared" si="33"/>
        <v>843211</v>
      </c>
      <c r="H1047" s="16" t="s">
        <v>597</v>
      </c>
    </row>
    <row r="1048" spans="1:8">
      <c r="A1048" t="str">
        <f t="shared" si="32"/>
        <v>اصفهاناصفهان</v>
      </c>
      <c r="B1048" s="12" t="s">
        <v>242</v>
      </c>
      <c r="C1048" s="12" t="s">
        <v>242</v>
      </c>
      <c r="D1048" s="12" t="s">
        <v>479</v>
      </c>
      <c r="E1048" s="12">
        <v>0.42240705983074844</v>
      </c>
      <c r="F1048" s="12">
        <v>2277675</v>
      </c>
      <c r="G1048">
        <f t="shared" si="33"/>
        <v>962106</v>
      </c>
      <c r="H1048" s="16" t="s">
        <v>597</v>
      </c>
    </row>
    <row r="1049" spans="1:8">
      <c r="A1049" t="str">
        <f t="shared" si="32"/>
        <v>اصفهاناصفهان</v>
      </c>
      <c r="B1049" s="12" t="s">
        <v>242</v>
      </c>
      <c r="C1049" s="12" t="s">
        <v>242</v>
      </c>
      <c r="D1049" s="12" t="s">
        <v>22</v>
      </c>
      <c r="E1049" s="12">
        <v>0.12194101441162589</v>
      </c>
      <c r="F1049" s="12">
        <v>2277675</v>
      </c>
      <c r="G1049">
        <f t="shared" si="33"/>
        <v>277742</v>
      </c>
      <c r="H1049" s="16" t="s">
        <v>597</v>
      </c>
    </row>
    <row r="1050" spans="1:8">
      <c r="A1050" t="str">
        <f t="shared" si="32"/>
        <v>اصفهاناصفهان</v>
      </c>
      <c r="B1050" s="12" t="s">
        <v>242</v>
      </c>
      <c r="C1050" s="12" t="s">
        <v>242</v>
      </c>
      <c r="D1050" s="12" t="s">
        <v>478</v>
      </c>
      <c r="E1050" s="12">
        <v>4.4987542120803012E-2</v>
      </c>
      <c r="F1050" s="12">
        <v>2277675</v>
      </c>
      <c r="G1050">
        <f t="shared" si="33"/>
        <v>102467</v>
      </c>
      <c r="H1050" s="16" t="s">
        <v>597</v>
      </c>
    </row>
    <row r="1051" spans="1:8">
      <c r="A1051" t="str">
        <f t="shared" si="32"/>
        <v>اصفهاناصفهان</v>
      </c>
      <c r="B1051" s="12" t="s">
        <v>242</v>
      </c>
      <c r="C1051" s="12" t="s">
        <v>242</v>
      </c>
      <c r="D1051" s="12" t="s">
        <v>20</v>
      </c>
      <c r="E1051" s="12">
        <v>4.0458362145609009E-2</v>
      </c>
      <c r="F1051" s="12">
        <v>2277675</v>
      </c>
      <c r="G1051">
        <f t="shared" si="33"/>
        <v>92151</v>
      </c>
      <c r="H1051" s="16" t="s">
        <v>597</v>
      </c>
    </row>
    <row r="1052" spans="1:8">
      <c r="A1052" t="str">
        <f t="shared" si="32"/>
        <v>اصفهانخميني شهر</v>
      </c>
      <c r="B1052" s="12" t="s">
        <v>242</v>
      </c>
      <c r="C1052" s="12" t="s">
        <v>245</v>
      </c>
      <c r="D1052" s="12" t="s">
        <v>480</v>
      </c>
      <c r="E1052" s="12">
        <v>0.41040467772808392</v>
      </c>
      <c r="F1052" s="12">
        <v>324431</v>
      </c>
      <c r="G1052">
        <f t="shared" si="33"/>
        <v>133148</v>
      </c>
      <c r="H1052" s="16" t="s">
        <v>588</v>
      </c>
    </row>
    <row r="1053" spans="1:8">
      <c r="A1053" t="str">
        <f t="shared" si="32"/>
        <v>اصفهانخميني شهر</v>
      </c>
      <c r="B1053" s="12" t="s">
        <v>242</v>
      </c>
      <c r="C1053" s="12" t="s">
        <v>245</v>
      </c>
      <c r="D1053" s="12" t="s">
        <v>479</v>
      </c>
      <c r="E1053" s="12">
        <v>0.41654465818617825</v>
      </c>
      <c r="F1053" s="12">
        <v>324431</v>
      </c>
      <c r="G1053">
        <f t="shared" si="33"/>
        <v>135140</v>
      </c>
      <c r="H1053" s="16" t="s">
        <v>588</v>
      </c>
    </row>
    <row r="1054" spans="1:8">
      <c r="A1054" t="str">
        <f t="shared" si="32"/>
        <v>اصفهانخميني شهر</v>
      </c>
      <c r="B1054" s="12" t="s">
        <v>242</v>
      </c>
      <c r="C1054" s="12" t="s">
        <v>245</v>
      </c>
      <c r="D1054" s="12" t="s">
        <v>22</v>
      </c>
      <c r="E1054" s="12">
        <v>0.10372621605210353</v>
      </c>
      <c r="F1054" s="12">
        <v>324431</v>
      </c>
      <c r="G1054">
        <f t="shared" si="33"/>
        <v>33652</v>
      </c>
      <c r="H1054" s="16" t="s">
        <v>588</v>
      </c>
    </row>
    <row r="1055" spans="1:8">
      <c r="A1055" t="str">
        <f t="shared" si="32"/>
        <v>اصفهانخميني شهر</v>
      </c>
      <c r="B1055" s="12" t="s">
        <v>242</v>
      </c>
      <c r="C1055" s="12" t="s">
        <v>245</v>
      </c>
      <c r="D1055" s="12" t="s">
        <v>478</v>
      </c>
      <c r="E1055" s="12">
        <v>3.6802894914481042E-2</v>
      </c>
      <c r="F1055" s="12">
        <v>324431</v>
      </c>
      <c r="G1055">
        <f t="shared" si="33"/>
        <v>11940</v>
      </c>
      <c r="H1055" s="16" t="s">
        <v>588</v>
      </c>
    </row>
    <row r="1056" spans="1:8">
      <c r="A1056" t="str">
        <f t="shared" si="32"/>
        <v>اصفهانخميني شهر</v>
      </c>
      <c r="B1056" s="12" t="s">
        <v>242</v>
      </c>
      <c r="C1056" s="12" t="s">
        <v>245</v>
      </c>
      <c r="D1056" s="12" t="s">
        <v>20</v>
      </c>
      <c r="E1056" s="12">
        <v>3.2518470799646149E-2</v>
      </c>
      <c r="F1056" s="12">
        <v>324431</v>
      </c>
      <c r="G1056">
        <f t="shared" si="33"/>
        <v>10550</v>
      </c>
      <c r="H1056" s="16" t="s">
        <v>588</v>
      </c>
    </row>
    <row r="1057" spans="1:8">
      <c r="A1057" t="str">
        <f t="shared" si="32"/>
        <v>اصفهانخوانسار</v>
      </c>
      <c r="B1057" s="12" t="s">
        <v>242</v>
      </c>
      <c r="C1057" s="12" t="s">
        <v>246</v>
      </c>
      <c r="D1057" s="12" t="s">
        <v>480</v>
      </c>
      <c r="E1057" s="12">
        <v>0.35295713510580573</v>
      </c>
      <c r="F1057" s="12">
        <v>33174</v>
      </c>
      <c r="G1057">
        <f t="shared" si="33"/>
        <v>11709</v>
      </c>
      <c r="H1057" s="16" t="s">
        <v>572</v>
      </c>
    </row>
    <row r="1058" spans="1:8">
      <c r="A1058" t="str">
        <f t="shared" si="32"/>
        <v>اصفهانخوانسار</v>
      </c>
      <c r="B1058" s="12" t="s">
        <v>242</v>
      </c>
      <c r="C1058" s="12" t="s">
        <v>246</v>
      </c>
      <c r="D1058" s="12" t="s">
        <v>479</v>
      </c>
      <c r="E1058" s="12">
        <v>0.38267920660758425</v>
      </c>
      <c r="F1058" s="12">
        <v>33174</v>
      </c>
      <c r="G1058">
        <f t="shared" si="33"/>
        <v>12695</v>
      </c>
      <c r="H1058" s="16" t="s">
        <v>572</v>
      </c>
    </row>
    <row r="1059" spans="1:8">
      <c r="A1059" t="str">
        <f t="shared" si="32"/>
        <v>اصفهانخوانسار</v>
      </c>
      <c r="B1059" s="12" t="s">
        <v>242</v>
      </c>
      <c r="C1059" s="12" t="s">
        <v>246</v>
      </c>
      <c r="D1059" s="12" t="s">
        <v>22</v>
      </c>
      <c r="E1059" s="12">
        <v>0.13052390426237415</v>
      </c>
      <c r="F1059" s="12">
        <v>33174</v>
      </c>
      <c r="G1059">
        <f t="shared" si="33"/>
        <v>4330</v>
      </c>
      <c r="H1059" s="16" t="s">
        <v>572</v>
      </c>
    </row>
    <row r="1060" spans="1:8">
      <c r="A1060" t="str">
        <f t="shared" si="32"/>
        <v>اصفهانخوانسار</v>
      </c>
      <c r="B1060" s="12" t="s">
        <v>242</v>
      </c>
      <c r="C1060" s="12" t="s">
        <v>246</v>
      </c>
      <c r="D1060" s="12" t="s">
        <v>478</v>
      </c>
      <c r="E1060" s="12">
        <v>6.1373364683185626E-2</v>
      </c>
      <c r="F1060" s="12">
        <v>33174</v>
      </c>
      <c r="G1060">
        <f t="shared" si="33"/>
        <v>2036</v>
      </c>
      <c r="H1060" s="16" t="s">
        <v>572</v>
      </c>
    </row>
    <row r="1061" spans="1:8">
      <c r="A1061" t="str">
        <f t="shared" si="32"/>
        <v>اصفهانخوانسار</v>
      </c>
      <c r="B1061" s="12" t="s">
        <v>242</v>
      </c>
      <c r="C1061" s="12" t="s">
        <v>246</v>
      </c>
      <c r="D1061" s="12" t="s">
        <v>20</v>
      </c>
      <c r="E1061" s="12">
        <v>7.2496533429794424E-2</v>
      </c>
      <c r="F1061" s="12">
        <v>33174</v>
      </c>
      <c r="G1061">
        <f t="shared" si="33"/>
        <v>2405</v>
      </c>
      <c r="H1061" s="16" t="s">
        <v>572</v>
      </c>
    </row>
    <row r="1062" spans="1:8">
      <c r="A1062" t="str">
        <f t="shared" si="32"/>
        <v>اصفهانسميرم</v>
      </c>
      <c r="B1062" s="12" t="s">
        <v>242</v>
      </c>
      <c r="C1062" s="12" t="s">
        <v>247</v>
      </c>
      <c r="D1062" s="12" t="s">
        <v>480</v>
      </c>
      <c r="E1062" s="12">
        <v>0.38941719875016984</v>
      </c>
      <c r="F1062" s="12">
        <v>73610</v>
      </c>
      <c r="G1062">
        <f t="shared" si="33"/>
        <v>28665</v>
      </c>
      <c r="H1062" s="16" t="s">
        <v>598</v>
      </c>
    </row>
    <row r="1063" spans="1:8">
      <c r="A1063" t="str">
        <f t="shared" si="32"/>
        <v>اصفهانسميرم</v>
      </c>
      <c r="B1063" s="12" t="s">
        <v>242</v>
      </c>
      <c r="C1063" s="12" t="s">
        <v>247</v>
      </c>
      <c r="D1063" s="12" t="s">
        <v>479</v>
      </c>
      <c r="E1063" s="12">
        <v>0.41607118598016574</v>
      </c>
      <c r="F1063" s="12">
        <v>73610</v>
      </c>
      <c r="G1063">
        <f t="shared" si="33"/>
        <v>30627</v>
      </c>
      <c r="H1063" s="16" t="s">
        <v>598</v>
      </c>
    </row>
    <row r="1064" spans="1:8">
      <c r="A1064" t="str">
        <f t="shared" si="32"/>
        <v>اصفهانسميرم</v>
      </c>
      <c r="B1064" s="12" t="s">
        <v>242</v>
      </c>
      <c r="C1064" s="12" t="s">
        <v>247</v>
      </c>
      <c r="D1064" s="12" t="s">
        <v>22</v>
      </c>
      <c r="E1064" s="12">
        <v>0.11139790789294933</v>
      </c>
      <c r="F1064" s="12">
        <v>73610</v>
      </c>
      <c r="G1064">
        <f t="shared" si="33"/>
        <v>8200</v>
      </c>
      <c r="H1064" s="16" t="s">
        <v>598</v>
      </c>
    </row>
    <row r="1065" spans="1:8">
      <c r="A1065" t="str">
        <f t="shared" si="32"/>
        <v>اصفهانسميرم</v>
      </c>
      <c r="B1065" s="12" t="s">
        <v>242</v>
      </c>
      <c r="C1065" s="12" t="s">
        <v>247</v>
      </c>
      <c r="D1065" s="12" t="s">
        <v>478</v>
      </c>
      <c r="E1065" s="12">
        <v>4.2385545442195353E-2</v>
      </c>
      <c r="F1065" s="12">
        <v>73610</v>
      </c>
      <c r="G1065">
        <f t="shared" si="33"/>
        <v>3120</v>
      </c>
      <c r="H1065" s="16" t="s">
        <v>598</v>
      </c>
    </row>
    <row r="1066" spans="1:8">
      <c r="A1066" t="str">
        <f t="shared" si="32"/>
        <v>اصفهانسميرم</v>
      </c>
      <c r="B1066" s="12" t="s">
        <v>242</v>
      </c>
      <c r="C1066" s="12" t="s">
        <v>247</v>
      </c>
      <c r="D1066" s="12" t="s">
        <v>20</v>
      </c>
      <c r="E1066" s="12">
        <v>4.0755332155957072E-2</v>
      </c>
      <c r="F1066" s="12">
        <v>73610</v>
      </c>
      <c r="G1066">
        <f t="shared" si="33"/>
        <v>3000</v>
      </c>
      <c r="H1066" s="16" t="s">
        <v>598</v>
      </c>
    </row>
    <row r="1067" spans="1:8">
      <c r="A1067" t="str">
        <f t="shared" si="32"/>
        <v>اصفهانفريدن</v>
      </c>
      <c r="B1067" s="12" t="s">
        <v>242</v>
      </c>
      <c r="C1067" s="12" t="s">
        <v>248</v>
      </c>
      <c r="D1067" s="12" t="s">
        <v>480</v>
      </c>
      <c r="E1067" s="12">
        <v>0.38941548183254343</v>
      </c>
      <c r="F1067" s="12">
        <v>49374</v>
      </c>
      <c r="G1067">
        <f t="shared" si="33"/>
        <v>19227</v>
      </c>
      <c r="H1067" s="16" t="s">
        <v>576</v>
      </c>
    </row>
    <row r="1068" spans="1:8">
      <c r="A1068" t="str">
        <f t="shared" si="32"/>
        <v>اصفهانفريدن</v>
      </c>
      <c r="B1068" s="12" t="s">
        <v>242</v>
      </c>
      <c r="C1068" s="12" t="s">
        <v>248</v>
      </c>
      <c r="D1068" s="12" t="s">
        <v>479</v>
      </c>
      <c r="E1068" s="12">
        <v>0.3984688297484506</v>
      </c>
      <c r="F1068" s="12">
        <v>49374</v>
      </c>
      <c r="G1068">
        <f t="shared" si="33"/>
        <v>19674</v>
      </c>
      <c r="H1068" s="16" t="s">
        <v>576</v>
      </c>
    </row>
    <row r="1069" spans="1:8">
      <c r="A1069" t="str">
        <f t="shared" si="32"/>
        <v>اصفهانفريدن</v>
      </c>
      <c r="B1069" s="12" t="s">
        <v>242</v>
      </c>
      <c r="C1069" s="12" t="s">
        <v>248</v>
      </c>
      <c r="D1069" s="12" t="s">
        <v>22</v>
      </c>
      <c r="E1069" s="12">
        <v>0.11611374407582939</v>
      </c>
      <c r="F1069" s="12">
        <v>49374</v>
      </c>
      <c r="G1069">
        <f t="shared" si="33"/>
        <v>5733</v>
      </c>
      <c r="H1069" s="16" t="s">
        <v>576</v>
      </c>
    </row>
    <row r="1070" spans="1:8">
      <c r="A1070" t="str">
        <f t="shared" si="32"/>
        <v>اصفهانفريدن</v>
      </c>
      <c r="B1070" s="12" t="s">
        <v>242</v>
      </c>
      <c r="C1070" s="12" t="s">
        <v>248</v>
      </c>
      <c r="D1070" s="12" t="s">
        <v>478</v>
      </c>
      <c r="E1070" s="12">
        <v>4.8304775792927454E-2</v>
      </c>
      <c r="F1070" s="12">
        <v>49374</v>
      </c>
      <c r="G1070">
        <f t="shared" si="33"/>
        <v>2385</v>
      </c>
      <c r="H1070" s="16" t="s">
        <v>576</v>
      </c>
    </row>
    <row r="1071" spans="1:8">
      <c r="A1071" t="str">
        <f t="shared" si="32"/>
        <v>اصفهانفريدن</v>
      </c>
      <c r="B1071" s="12" t="s">
        <v>242</v>
      </c>
      <c r="C1071" s="12" t="s">
        <v>248</v>
      </c>
      <c r="D1071" s="12" t="s">
        <v>20</v>
      </c>
      <c r="E1071" s="12">
        <v>4.7636407825981289E-2</v>
      </c>
      <c r="F1071" s="12">
        <v>49374</v>
      </c>
      <c r="G1071">
        <f t="shared" si="33"/>
        <v>2352</v>
      </c>
      <c r="H1071" s="16" t="s">
        <v>576</v>
      </c>
    </row>
    <row r="1072" spans="1:8">
      <c r="A1072" t="str">
        <f t="shared" si="32"/>
        <v>اصفهانفريدونشهر</v>
      </c>
      <c r="B1072" s="12" t="s">
        <v>242</v>
      </c>
      <c r="C1072" s="12" t="s">
        <v>249</v>
      </c>
      <c r="D1072" s="12" t="s">
        <v>480</v>
      </c>
      <c r="E1072" s="12">
        <v>0.40737924236023093</v>
      </c>
      <c r="F1072" s="12">
        <v>35505</v>
      </c>
      <c r="G1072">
        <f t="shared" si="33"/>
        <v>14464</v>
      </c>
      <c r="H1072" s="16" t="s">
        <v>582</v>
      </c>
    </row>
    <row r="1073" spans="1:8">
      <c r="A1073" t="str">
        <f t="shared" si="32"/>
        <v>اصفهانفريدونشهر</v>
      </c>
      <c r="B1073" s="12" t="s">
        <v>242</v>
      </c>
      <c r="C1073" s="12" t="s">
        <v>249</v>
      </c>
      <c r="D1073" s="12" t="s">
        <v>479</v>
      </c>
      <c r="E1073" s="12">
        <v>0.38662160259118433</v>
      </c>
      <c r="F1073" s="12">
        <v>35505</v>
      </c>
      <c r="G1073">
        <f t="shared" si="33"/>
        <v>13727</v>
      </c>
      <c r="H1073" s="16" t="s">
        <v>582</v>
      </c>
    </row>
    <row r="1074" spans="1:8">
      <c r="A1074" t="str">
        <f t="shared" si="32"/>
        <v>اصفهانفريدونشهر</v>
      </c>
      <c r="B1074" s="12" t="s">
        <v>242</v>
      </c>
      <c r="C1074" s="12" t="s">
        <v>249</v>
      </c>
      <c r="D1074" s="12" t="s">
        <v>22</v>
      </c>
      <c r="E1074" s="12">
        <v>0.11249119842275736</v>
      </c>
      <c r="F1074" s="12">
        <v>35505</v>
      </c>
      <c r="G1074">
        <f t="shared" si="33"/>
        <v>3994</v>
      </c>
      <c r="H1074" s="16" t="s">
        <v>582</v>
      </c>
    </row>
    <row r="1075" spans="1:8">
      <c r="A1075" t="str">
        <f t="shared" si="32"/>
        <v>اصفهانفريدونشهر</v>
      </c>
      <c r="B1075" s="12" t="s">
        <v>242</v>
      </c>
      <c r="C1075" s="12" t="s">
        <v>249</v>
      </c>
      <c r="D1075" s="12" t="s">
        <v>478</v>
      </c>
      <c r="E1075" s="12">
        <v>4.4190959019856361E-2</v>
      </c>
      <c r="F1075" s="12">
        <v>35505</v>
      </c>
      <c r="G1075">
        <f t="shared" si="33"/>
        <v>1569</v>
      </c>
      <c r="H1075" s="16" t="s">
        <v>582</v>
      </c>
    </row>
    <row r="1076" spans="1:8">
      <c r="A1076" t="str">
        <f t="shared" si="32"/>
        <v>اصفهانفريدونشهر</v>
      </c>
      <c r="B1076" s="12" t="s">
        <v>242</v>
      </c>
      <c r="C1076" s="12" t="s">
        <v>249</v>
      </c>
      <c r="D1076" s="12" t="s">
        <v>20</v>
      </c>
      <c r="E1076" s="12">
        <v>4.9457822841853259E-2</v>
      </c>
      <c r="F1076" s="12">
        <v>35505</v>
      </c>
      <c r="G1076">
        <f t="shared" si="33"/>
        <v>1756</v>
      </c>
      <c r="H1076" s="16" t="s">
        <v>582</v>
      </c>
    </row>
    <row r="1077" spans="1:8">
      <c r="A1077" t="str">
        <f t="shared" si="32"/>
        <v>اصفهانفلاورجان</v>
      </c>
      <c r="B1077" s="12" t="s">
        <v>242</v>
      </c>
      <c r="C1077" s="12" t="s">
        <v>250</v>
      </c>
      <c r="D1077" s="12" t="s">
        <v>480</v>
      </c>
      <c r="E1077" s="12">
        <v>0.40945970025144035</v>
      </c>
      <c r="F1077" s="12">
        <v>252545</v>
      </c>
      <c r="G1077">
        <f t="shared" si="33"/>
        <v>103407</v>
      </c>
      <c r="H1077" s="16" t="s">
        <v>571</v>
      </c>
    </row>
    <row r="1078" spans="1:8">
      <c r="A1078" t="str">
        <f t="shared" si="32"/>
        <v>اصفهانفلاورجان</v>
      </c>
      <c r="B1078" s="12" t="s">
        <v>242</v>
      </c>
      <c r="C1078" s="12" t="s">
        <v>250</v>
      </c>
      <c r="D1078" s="12" t="s">
        <v>479</v>
      </c>
      <c r="E1078" s="12">
        <v>0.41474192718129443</v>
      </c>
      <c r="F1078" s="12">
        <v>252545</v>
      </c>
      <c r="G1078">
        <f t="shared" si="33"/>
        <v>104741</v>
      </c>
      <c r="H1078" s="16" t="s">
        <v>571</v>
      </c>
    </row>
    <row r="1079" spans="1:8">
      <c r="A1079" t="str">
        <f t="shared" si="32"/>
        <v>اصفهانفلاورجان</v>
      </c>
      <c r="B1079" s="12" t="s">
        <v>242</v>
      </c>
      <c r="C1079" s="12" t="s">
        <v>250</v>
      </c>
      <c r="D1079" s="12" t="s">
        <v>22</v>
      </c>
      <c r="E1079" s="12">
        <v>0.10509018194777169</v>
      </c>
      <c r="F1079" s="12">
        <v>252545</v>
      </c>
      <c r="G1079">
        <f t="shared" si="33"/>
        <v>26540</v>
      </c>
      <c r="H1079" s="16" t="s">
        <v>571</v>
      </c>
    </row>
    <row r="1080" spans="1:8">
      <c r="A1080" t="str">
        <f t="shared" si="32"/>
        <v>اصفهانفلاورجان</v>
      </c>
      <c r="B1080" s="12" t="s">
        <v>242</v>
      </c>
      <c r="C1080" s="12" t="s">
        <v>250</v>
      </c>
      <c r="D1080" s="12" t="s">
        <v>478</v>
      </c>
      <c r="E1080" s="12">
        <v>3.7371557544200046E-2</v>
      </c>
      <c r="F1080" s="12">
        <v>252545</v>
      </c>
      <c r="G1080">
        <f t="shared" si="33"/>
        <v>9438</v>
      </c>
      <c r="H1080" s="16" t="s">
        <v>571</v>
      </c>
    </row>
    <row r="1081" spans="1:8">
      <c r="A1081" t="str">
        <f t="shared" si="32"/>
        <v>اصفهانفلاورجان</v>
      </c>
      <c r="B1081" s="12" t="s">
        <v>242</v>
      </c>
      <c r="C1081" s="12" t="s">
        <v>250</v>
      </c>
      <c r="D1081" s="12" t="s">
        <v>20</v>
      </c>
      <c r="E1081" s="12">
        <v>3.3356431527054586E-2</v>
      </c>
      <c r="F1081" s="12">
        <v>252545</v>
      </c>
      <c r="G1081">
        <f t="shared" si="33"/>
        <v>8424</v>
      </c>
      <c r="H1081" s="16" t="s">
        <v>571</v>
      </c>
    </row>
    <row r="1082" spans="1:8">
      <c r="A1082" t="str">
        <f t="shared" si="32"/>
        <v>اصفهانشهرضا</v>
      </c>
      <c r="B1082" s="12" t="s">
        <v>242</v>
      </c>
      <c r="C1082" s="12" t="s">
        <v>251</v>
      </c>
      <c r="D1082" s="12" t="s">
        <v>480</v>
      </c>
      <c r="E1082" s="12">
        <v>0.38542841910807496</v>
      </c>
      <c r="F1082" s="12">
        <v>161314</v>
      </c>
      <c r="G1082">
        <f t="shared" si="33"/>
        <v>62175</v>
      </c>
      <c r="H1082" s="16" t="s">
        <v>581</v>
      </c>
    </row>
    <row r="1083" spans="1:8">
      <c r="A1083" t="str">
        <f t="shared" si="32"/>
        <v>اصفهانشهرضا</v>
      </c>
      <c r="B1083" s="12" t="s">
        <v>242</v>
      </c>
      <c r="C1083" s="12" t="s">
        <v>251</v>
      </c>
      <c r="D1083" s="12" t="s">
        <v>479</v>
      </c>
      <c r="E1083" s="12">
        <v>0.41119183703832279</v>
      </c>
      <c r="F1083" s="12">
        <v>161314</v>
      </c>
      <c r="G1083">
        <f t="shared" si="33"/>
        <v>66331</v>
      </c>
      <c r="H1083" s="16" t="s">
        <v>581</v>
      </c>
    </row>
    <row r="1084" spans="1:8">
      <c r="A1084" t="str">
        <f t="shared" si="32"/>
        <v>اصفهانشهرضا</v>
      </c>
      <c r="B1084" s="12" t="s">
        <v>242</v>
      </c>
      <c r="C1084" s="12" t="s">
        <v>251</v>
      </c>
      <c r="D1084" s="12" t="s">
        <v>22</v>
      </c>
      <c r="E1084" s="12">
        <v>0.11574940798690753</v>
      </c>
      <c r="F1084" s="12">
        <v>161314</v>
      </c>
      <c r="G1084">
        <f t="shared" si="33"/>
        <v>18672</v>
      </c>
      <c r="H1084" s="16" t="s">
        <v>581</v>
      </c>
    </row>
    <row r="1085" spans="1:8">
      <c r="A1085" t="str">
        <f t="shared" si="32"/>
        <v>اصفهانشهرضا</v>
      </c>
      <c r="B1085" s="12" t="s">
        <v>242</v>
      </c>
      <c r="C1085" s="12" t="s">
        <v>251</v>
      </c>
      <c r="D1085" s="12" t="s">
        <v>478</v>
      </c>
      <c r="E1085" s="12">
        <v>4.4292497861313958E-2</v>
      </c>
      <c r="F1085" s="12">
        <v>161314</v>
      </c>
      <c r="G1085">
        <f t="shared" si="33"/>
        <v>7145</v>
      </c>
      <c r="H1085" s="16" t="s">
        <v>581</v>
      </c>
    </row>
    <row r="1086" spans="1:8">
      <c r="A1086" t="str">
        <f t="shared" si="32"/>
        <v>اصفهانشهرضا</v>
      </c>
      <c r="B1086" s="12" t="s">
        <v>242</v>
      </c>
      <c r="C1086" s="12" t="s">
        <v>251</v>
      </c>
      <c r="D1086" s="12" t="s">
        <v>20</v>
      </c>
      <c r="E1086" s="12">
        <v>4.3375032545222361E-2</v>
      </c>
      <c r="F1086" s="12">
        <v>161314</v>
      </c>
      <c r="G1086">
        <f t="shared" si="33"/>
        <v>6997</v>
      </c>
      <c r="H1086" s="16" t="s">
        <v>581</v>
      </c>
    </row>
    <row r="1087" spans="1:8">
      <c r="A1087" t="str">
        <f t="shared" si="32"/>
        <v>اصفهانکاشان</v>
      </c>
      <c r="B1087" s="12" t="s">
        <v>242</v>
      </c>
      <c r="C1087" s="12" t="s">
        <v>252</v>
      </c>
      <c r="D1087" s="12" t="s">
        <v>480</v>
      </c>
      <c r="E1087" s="12">
        <v>0.40567578824382144</v>
      </c>
      <c r="F1087" s="12">
        <v>369746</v>
      </c>
      <c r="G1087">
        <f t="shared" si="33"/>
        <v>149997</v>
      </c>
      <c r="H1087" s="16" t="s">
        <v>579</v>
      </c>
    </row>
    <row r="1088" spans="1:8">
      <c r="A1088" t="str">
        <f t="shared" si="32"/>
        <v>اصفهانکاشان</v>
      </c>
      <c r="B1088" s="12" t="s">
        <v>242</v>
      </c>
      <c r="C1088" s="12" t="s">
        <v>252</v>
      </c>
      <c r="D1088" s="12" t="s">
        <v>479</v>
      </c>
      <c r="E1088" s="12">
        <v>0.39835184153445879</v>
      </c>
      <c r="F1088" s="12">
        <v>369746</v>
      </c>
      <c r="G1088">
        <f t="shared" si="33"/>
        <v>147289</v>
      </c>
      <c r="H1088" s="16" t="s">
        <v>579</v>
      </c>
    </row>
    <row r="1089" spans="1:8">
      <c r="A1089" t="str">
        <f t="shared" si="32"/>
        <v>اصفهانکاشان</v>
      </c>
      <c r="B1089" s="12" t="s">
        <v>242</v>
      </c>
      <c r="C1089" s="12" t="s">
        <v>252</v>
      </c>
      <c r="D1089" s="12" t="s">
        <v>22</v>
      </c>
      <c r="E1089" s="12">
        <v>0.10959144926517123</v>
      </c>
      <c r="F1089" s="12">
        <v>369746</v>
      </c>
      <c r="G1089">
        <f t="shared" si="33"/>
        <v>40521</v>
      </c>
      <c r="H1089" s="16" t="s">
        <v>579</v>
      </c>
    </row>
    <row r="1090" spans="1:8">
      <c r="A1090" t="str">
        <f t="shared" ref="A1090:A1153" si="34">B1090&amp;C1090</f>
        <v>اصفهانکاشان</v>
      </c>
      <c r="B1090" s="12" t="s">
        <v>242</v>
      </c>
      <c r="C1090" s="12" t="s">
        <v>252</v>
      </c>
      <c r="D1090" s="12" t="s">
        <v>478</v>
      </c>
      <c r="E1090" s="12">
        <v>4.2523786599449352E-2</v>
      </c>
      <c r="F1090" s="12">
        <v>369746</v>
      </c>
      <c r="G1090">
        <f t="shared" si="33"/>
        <v>15723</v>
      </c>
      <c r="H1090" s="16" t="s">
        <v>579</v>
      </c>
    </row>
    <row r="1091" spans="1:8">
      <c r="A1091" t="str">
        <f t="shared" si="34"/>
        <v>اصفهانکاشان</v>
      </c>
      <c r="B1091" s="12" t="s">
        <v>242</v>
      </c>
      <c r="C1091" s="12" t="s">
        <v>252</v>
      </c>
      <c r="D1091" s="12" t="s">
        <v>20</v>
      </c>
      <c r="E1091" s="12">
        <v>4.3857134357099196E-2</v>
      </c>
      <c r="F1091" s="12">
        <v>369746</v>
      </c>
      <c r="G1091">
        <f t="shared" ref="G1091:G1154" si="35">IFERROR(ROUND(F1091*E1091,0),0)</f>
        <v>16216</v>
      </c>
      <c r="H1091" s="16" t="s">
        <v>579</v>
      </c>
    </row>
    <row r="1092" spans="1:8">
      <c r="A1092" t="str">
        <f t="shared" si="34"/>
        <v>اصفهانگلپايگان</v>
      </c>
      <c r="B1092" s="12" t="s">
        <v>242</v>
      </c>
      <c r="C1092" s="12" t="s">
        <v>253</v>
      </c>
      <c r="D1092" s="12" t="s">
        <v>480</v>
      </c>
      <c r="E1092" s="12">
        <v>0.36243153472206946</v>
      </c>
      <c r="F1092" s="12">
        <v>90922</v>
      </c>
      <c r="G1092">
        <f t="shared" si="35"/>
        <v>32953</v>
      </c>
      <c r="H1092" s="16" t="s">
        <v>592</v>
      </c>
    </row>
    <row r="1093" spans="1:8">
      <c r="A1093" t="str">
        <f t="shared" si="34"/>
        <v>اصفهانگلپايگان</v>
      </c>
      <c r="B1093" s="12" t="s">
        <v>242</v>
      </c>
      <c r="C1093" s="12" t="s">
        <v>253</v>
      </c>
      <c r="D1093" s="12" t="s">
        <v>479</v>
      </c>
      <c r="E1093" s="12">
        <v>0.39891335430368885</v>
      </c>
      <c r="F1093" s="12">
        <v>90922</v>
      </c>
      <c r="G1093">
        <f t="shared" si="35"/>
        <v>36270</v>
      </c>
      <c r="H1093" s="16" t="s">
        <v>592</v>
      </c>
    </row>
    <row r="1094" spans="1:8">
      <c r="A1094" t="str">
        <f t="shared" si="34"/>
        <v>اصفهانگلپايگان</v>
      </c>
      <c r="B1094" s="12" t="s">
        <v>242</v>
      </c>
      <c r="C1094" s="12" t="s">
        <v>253</v>
      </c>
      <c r="D1094" s="12" t="s">
        <v>22</v>
      </c>
      <c r="E1094" s="12">
        <v>0.12615208640373066</v>
      </c>
      <c r="F1094" s="12">
        <v>90922</v>
      </c>
      <c r="G1094">
        <f t="shared" si="35"/>
        <v>11470</v>
      </c>
      <c r="H1094" s="16" t="s">
        <v>592</v>
      </c>
    </row>
    <row r="1095" spans="1:8">
      <c r="A1095" t="str">
        <f t="shared" si="34"/>
        <v>اصفهانگلپايگان</v>
      </c>
      <c r="B1095" s="12" t="s">
        <v>242</v>
      </c>
      <c r="C1095" s="12" t="s">
        <v>253</v>
      </c>
      <c r="D1095" s="12" t="s">
        <v>478</v>
      </c>
      <c r="E1095" s="12">
        <v>5.3507401948923256E-2</v>
      </c>
      <c r="F1095" s="12">
        <v>90922</v>
      </c>
      <c r="G1095">
        <f t="shared" si="35"/>
        <v>4865</v>
      </c>
      <c r="H1095" s="16" t="s">
        <v>592</v>
      </c>
    </row>
    <row r="1096" spans="1:8">
      <c r="A1096" t="str">
        <f t="shared" si="34"/>
        <v>اصفهانگلپايگان</v>
      </c>
      <c r="B1096" s="12" t="s">
        <v>242</v>
      </c>
      <c r="C1096" s="12" t="s">
        <v>253</v>
      </c>
      <c r="D1096" s="12" t="s">
        <v>20</v>
      </c>
      <c r="E1096" s="12">
        <v>5.8940630430478869E-2</v>
      </c>
      <c r="F1096" s="12">
        <v>90922</v>
      </c>
      <c r="G1096">
        <f t="shared" si="35"/>
        <v>5359</v>
      </c>
      <c r="H1096" s="16" t="s">
        <v>592</v>
      </c>
    </row>
    <row r="1097" spans="1:8">
      <c r="A1097" t="str">
        <f t="shared" si="34"/>
        <v>اصفهانلنجان</v>
      </c>
      <c r="B1097" s="12" t="s">
        <v>242</v>
      </c>
      <c r="C1097" s="12" t="s">
        <v>254</v>
      </c>
      <c r="D1097" s="12" t="s">
        <v>480</v>
      </c>
      <c r="E1097" s="12">
        <v>0.39727710716988485</v>
      </c>
      <c r="F1097" s="12">
        <v>266922</v>
      </c>
      <c r="G1097">
        <f t="shared" si="35"/>
        <v>106042</v>
      </c>
      <c r="H1097" s="16" t="s">
        <v>601</v>
      </c>
    </row>
    <row r="1098" spans="1:8">
      <c r="A1098" t="str">
        <f t="shared" si="34"/>
        <v>اصفهانلنجان</v>
      </c>
      <c r="B1098" s="12" t="s">
        <v>242</v>
      </c>
      <c r="C1098" s="12" t="s">
        <v>254</v>
      </c>
      <c r="D1098" s="12" t="s">
        <v>479</v>
      </c>
      <c r="E1098" s="12">
        <v>0.42180861824802751</v>
      </c>
      <c r="F1098" s="12">
        <v>266922</v>
      </c>
      <c r="G1098">
        <f t="shared" si="35"/>
        <v>112590</v>
      </c>
      <c r="H1098" s="16" t="s">
        <v>601</v>
      </c>
    </row>
    <row r="1099" spans="1:8">
      <c r="A1099" t="str">
        <f t="shared" si="34"/>
        <v>اصفهانلنجان</v>
      </c>
      <c r="B1099" s="12" t="s">
        <v>242</v>
      </c>
      <c r="C1099" s="12" t="s">
        <v>254</v>
      </c>
      <c r="D1099" s="12" t="s">
        <v>22</v>
      </c>
      <c r="E1099" s="12">
        <v>0.10787421044350035</v>
      </c>
      <c r="F1099" s="12">
        <v>266922</v>
      </c>
      <c r="G1099">
        <f t="shared" si="35"/>
        <v>28794</v>
      </c>
      <c r="H1099" s="16" t="s">
        <v>601</v>
      </c>
    </row>
    <row r="1100" spans="1:8">
      <c r="A1100" t="str">
        <f t="shared" si="34"/>
        <v>اصفهانلنجان</v>
      </c>
      <c r="B1100" s="12" t="s">
        <v>242</v>
      </c>
      <c r="C1100" s="12" t="s">
        <v>254</v>
      </c>
      <c r="D1100" s="12" t="s">
        <v>478</v>
      </c>
      <c r="E1100" s="12">
        <v>3.8760386929514987E-2</v>
      </c>
      <c r="F1100" s="12">
        <v>266922</v>
      </c>
      <c r="G1100">
        <f t="shared" si="35"/>
        <v>10346</v>
      </c>
      <c r="H1100" s="16" t="s">
        <v>601</v>
      </c>
    </row>
    <row r="1101" spans="1:8">
      <c r="A1101" t="str">
        <f t="shared" si="34"/>
        <v>اصفهانلنجان</v>
      </c>
      <c r="B1101" s="12" t="s">
        <v>242</v>
      </c>
      <c r="C1101" s="12" t="s">
        <v>254</v>
      </c>
      <c r="D1101" s="12" t="s">
        <v>20</v>
      </c>
      <c r="E1101" s="12">
        <v>3.4287170034691783E-2</v>
      </c>
      <c r="F1101" s="12">
        <v>266922</v>
      </c>
      <c r="G1101">
        <f t="shared" si="35"/>
        <v>9152</v>
      </c>
      <c r="H1101" s="16" t="s">
        <v>601</v>
      </c>
    </row>
    <row r="1102" spans="1:8">
      <c r="A1102" t="str">
        <f t="shared" si="34"/>
        <v>اصفهاننايين</v>
      </c>
      <c r="B1102" s="12" t="s">
        <v>242</v>
      </c>
      <c r="C1102" s="12" t="s">
        <v>255</v>
      </c>
      <c r="D1102" s="12" t="s">
        <v>480</v>
      </c>
      <c r="E1102" s="12">
        <v>0.36023632030021807</v>
      </c>
      <c r="F1102" s="12">
        <v>39438</v>
      </c>
      <c r="G1102">
        <f t="shared" si="35"/>
        <v>14207</v>
      </c>
      <c r="H1102" s="16" t="s">
        <v>589</v>
      </c>
    </row>
    <row r="1103" spans="1:8">
      <c r="A1103" t="str">
        <f t="shared" si="34"/>
        <v>اصفهاننايين</v>
      </c>
      <c r="B1103" s="12" t="s">
        <v>242</v>
      </c>
      <c r="C1103" s="12" t="s">
        <v>255</v>
      </c>
      <c r="D1103" s="12" t="s">
        <v>479</v>
      </c>
      <c r="E1103" s="12">
        <v>0.39601399665297427</v>
      </c>
      <c r="F1103" s="12">
        <v>39438</v>
      </c>
      <c r="G1103">
        <f t="shared" si="35"/>
        <v>15618</v>
      </c>
      <c r="H1103" s="16" t="s">
        <v>589</v>
      </c>
    </row>
    <row r="1104" spans="1:8">
      <c r="A1104" t="str">
        <f t="shared" si="34"/>
        <v>اصفهاننايين</v>
      </c>
      <c r="B1104" s="12" t="s">
        <v>242</v>
      </c>
      <c r="C1104" s="12" t="s">
        <v>255</v>
      </c>
      <c r="D1104" s="12" t="s">
        <v>22</v>
      </c>
      <c r="E1104" s="12">
        <v>0.12564024544855215</v>
      </c>
      <c r="F1104" s="12">
        <v>39438</v>
      </c>
      <c r="G1104">
        <f t="shared" si="35"/>
        <v>4955</v>
      </c>
      <c r="H1104" s="16" t="s">
        <v>589</v>
      </c>
    </row>
    <row r="1105" spans="1:8">
      <c r="A1105" t="str">
        <f t="shared" si="34"/>
        <v>اصفهاننايين</v>
      </c>
      <c r="B1105" s="12" t="s">
        <v>242</v>
      </c>
      <c r="C1105" s="12" t="s">
        <v>255</v>
      </c>
      <c r="D1105" s="12" t="s">
        <v>478</v>
      </c>
      <c r="E1105" s="12">
        <v>5.7457274709670873E-2</v>
      </c>
      <c r="F1105" s="12">
        <v>39438</v>
      </c>
      <c r="G1105">
        <f t="shared" si="35"/>
        <v>2266</v>
      </c>
      <c r="H1105" s="16" t="s">
        <v>589</v>
      </c>
    </row>
    <row r="1106" spans="1:8">
      <c r="A1106" t="str">
        <f t="shared" si="34"/>
        <v>اصفهاننايين</v>
      </c>
      <c r="B1106" s="12" t="s">
        <v>242</v>
      </c>
      <c r="C1106" s="12" t="s">
        <v>255</v>
      </c>
      <c r="D1106" s="12" t="s">
        <v>20</v>
      </c>
      <c r="E1106" s="12">
        <v>6.0905725442466654E-2</v>
      </c>
      <c r="F1106" s="12">
        <v>39438</v>
      </c>
      <c r="G1106">
        <f t="shared" si="35"/>
        <v>2402</v>
      </c>
      <c r="H1106" s="16" t="s">
        <v>589</v>
      </c>
    </row>
    <row r="1107" spans="1:8">
      <c r="A1107" t="str">
        <f t="shared" si="34"/>
        <v>اصفهاننجف آباد</v>
      </c>
      <c r="B1107" s="12" t="s">
        <v>242</v>
      </c>
      <c r="C1107" s="12" t="s">
        <v>256</v>
      </c>
      <c r="D1107" s="12" t="s">
        <v>480</v>
      </c>
      <c r="E1107" s="12">
        <v>0.41131869934298687</v>
      </c>
      <c r="F1107" s="12">
        <v>323129</v>
      </c>
      <c r="G1107">
        <f t="shared" si="35"/>
        <v>132909</v>
      </c>
      <c r="H1107" s="16" t="s">
        <v>600</v>
      </c>
    </row>
    <row r="1108" spans="1:8">
      <c r="A1108" t="str">
        <f t="shared" si="34"/>
        <v>اصفهاننجف آباد</v>
      </c>
      <c r="B1108" s="12" t="s">
        <v>242</v>
      </c>
      <c r="C1108" s="12" t="s">
        <v>256</v>
      </c>
      <c r="D1108" s="12" t="s">
        <v>479</v>
      </c>
      <c r="E1108" s="12">
        <v>0.40862937093235208</v>
      </c>
      <c r="F1108" s="12">
        <v>323129</v>
      </c>
      <c r="G1108">
        <f t="shared" si="35"/>
        <v>132040</v>
      </c>
      <c r="H1108" s="16" t="s">
        <v>600</v>
      </c>
    </row>
    <row r="1109" spans="1:8">
      <c r="A1109" t="str">
        <f t="shared" si="34"/>
        <v>اصفهاننجف آباد</v>
      </c>
      <c r="B1109" s="12" t="s">
        <v>242</v>
      </c>
      <c r="C1109" s="12" t="s">
        <v>256</v>
      </c>
      <c r="D1109" s="12" t="s">
        <v>22</v>
      </c>
      <c r="E1109" s="12">
        <v>0.10569153495972197</v>
      </c>
      <c r="F1109" s="12">
        <v>323129</v>
      </c>
      <c r="G1109">
        <f t="shared" si="35"/>
        <v>34152</v>
      </c>
      <c r="H1109" s="16" t="s">
        <v>600</v>
      </c>
    </row>
    <row r="1110" spans="1:8">
      <c r="A1110" t="str">
        <f t="shared" si="34"/>
        <v>اصفهاننجف آباد</v>
      </c>
      <c r="B1110" s="12" t="s">
        <v>242</v>
      </c>
      <c r="C1110" s="12" t="s">
        <v>256</v>
      </c>
      <c r="D1110" s="12" t="s">
        <v>478</v>
      </c>
      <c r="E1110" s="12">
        <v>3.8631630092006597E-2</v>
      </c>
      <c r="F1110" s="12">
        <v>323129</v>
      </c>
      <c r="G1110">
        <f t="shared" si="35"/>
        <v>12483</v>
      </c>
      <c r="H1110" s="16" t="s">
        <v>600</v>
      </c>
    </row>
    <row r="1111" spans="1:8">
      <c r="A1111" t="str">
        <f t="shared" si="34"/>
        <v>اصفهاننجف آباد</v>
      </c>
      <c r="B1111" s="12" t="s">
        <v>242</v>
      </c>
      <c r="C1111" s="12" t="s">
        <v>256</v>
      </c>
      <c r="D1111" s="12" t="s">
        <v>20</v>
      </c>
      <c r="E1111" s="12">
        <v>3.5738048890690717E-2</v>
      </c>
      <c r="F1111" s="12">
        <v>323129</v>
      </c>
      <c r="G1111">
        <f t="shared" si="35"/>
        <v>11548</v>
      </c>
      <c r="H1111" s="16" t="s">
        <v>600</v>
      </c>
    </row>
    <row r="1112" spans="1:8">
      <c r="A1112" t="str">
        <f t="shared" si="34"/>
        <v>اصفهاننطنز</v>
      </c>
      <c r="B1112" s="12" t="s">
        <v>242</v>
      </c>
      <c r="C1112" s="12" t="s">
        <v>257</v>
      </c>
      <c r="D1112" s="12" t="s">
        <v>480</v>
      </c>
      <c r="E1112" s="12">
        <v>0.38144306394619859</v>
      </c>
      <c r="F1112" s="12">
        <v>43865</v>
      </c>
      <c r="G1112">
        <f t="shared" si="35"/>
        <v>16732</v>
      </c>
      <c r="H1112" s="16" t="s">
        <v>575</v>
      </c>
    </row>
    <row r="1113" spans="1:8">
      <c r="A1113" t="str">
        <f t="shared" si="34"/>
        <v>اصفهاننطنز</v>
      </c>
      <c r="B1113" s="12" t="s">
        <v>242</v>
      </c>
      <c r="C1113" s="12" t="s">
        <v>257</v>
      </c>
      <c r="D1113" s="12" t="s">
        <v>479</v>
      </c>
      <c r="E1113" s="12">
        <v>0.39518978684600481</v>
      </c>
      <c r="F1113" s="12">
        <v>43865</v>
      </c>
      <c r="G1113">
        <f t="shared" si="35"/>
        <v>17335</v>
      </c>
      <c r="H1113" s="16" t="s">
        <v>575</v>
      </c>
    </row>
    <row r="1114" spans="1:8">
      <c r="A1114" t="str">
        <f t="shared" si="34"/>
        <v>اصفهاننطنز</v>
      </c>
      <c r="B1114" s="12" t="s">
        <v>242</v>
      </c>
      <c r="C1114" s="12" t="s">
        <v>257</v>
      </c>
      <c r="D1114" s="12" t="s">
        <v>22</v>
      </c>
      <c r="E1114" s="12">
        <v>0.11615182947680383</v>
      </c>
      <c r="F1114" s="12">
        <v>43865</v>
      </c>
      <c r="G1114">
        <f t="shared" si="35"/>
        <v>5095</v>
      </c>
      <c r="H1114" s="16" t="s">
        <v>575</v>
      </c>
    </row>
    <row r="1115" spans="1:8">
      <c r="A1115" t="str">
        <f t="shared" si="34"/>
        <v>اصفهاننطنز</v>
      </c>
      <c r="B1115" s="12" t="s">
        <v>242</v>
      </c>
      <c r="C1115" s="12" t="s">
        <v>257</v>
      </c>
      <c r="D1115" s="12" t="s">
        <v>478</v>
      </c>
      <c r="E1115" s="12">
        <v>5.1362133819674E-2</v>
      </c>
      <c r="F1115" s="12">
        <v>43865</v>
      </c>
      <c r="G1115">
        <f t="shared" si="35"/>
        <v>2253</v>
      </c>
      <c r="H1115" s="16" t="s">
        <v>575</v>
      </c>
    </row>
    <row r="1116" spans="1:8">
      <c r="A1116" t="str">
        <f t="shared" si="34"/>
        <v>اصفهاننطنز</v>
      </c>
      <c r="B1116" s="12" t="s">
        <v>242</v>
      </c>
      <c r="C1116" s="12" t="s">
        <v>257</v>
      </c>
      <c r="D1116" s="12" t="s">
        <v>20</v>
      </c>
      <c r="E1116" s="12">
        <v>5.5761997036361567E-2</v>
      </c>
      <c r="F1116" s="12">
        <v>43865</v>
      </c>
      <c r="G1116">
        <f t="shared" si="35"/>
        <v>2446</v>
      </c>
      <c r="H1116" s="16" t="s">
        <v>575</v>
      </c>
    </row>
    <row r="1117" spans="1:8">
      <c r="A1117" t="str">
        <f t="shared" si="34"/>
        <v>اصفهانشاهين شهر و میمه</v>
      </c>
      <c r="B1117" s="12" t="s">
        <v>242</v>
      </c>
      <c r="C1117" s="12" t="s">
        <v>258</v>
      </c>
      <c r="D1117" s="12" t="s">
        <v>480</v>
      </c>
      <c r="E1117" s="12">
        <v>0.3803277317950004</v>
      </c>
      <c r="F1117" s="12">
        <v>239220</v>
      </c>
      <c r="G1117">
        <f t="shared" si="35"/>
        <v>90982</v>
      </c>
      <c r="H1117" s="16" t="s">
        <v>593</v>
      </c>
    </row>
    <row r="1118" spans="1:8">
      <c r="A1118" t="str">
        <f t="shared" si="34"/>
        <v>اصفهانشاهين شهر و میمه</v>
      </c>
      <c r="B1118" s="12" t="s">
        <v>242</v>
      </c>
      <c r="C1118" s="12" t="s">
        <v>258</v>
      </c>
      <c r="D1118" s="12" t="s">
        <v>479</v>
      </c>
      <c r="E1118" s="12">
        <v>0.41709723267285342</v>
      </c>
      <c r="F1118" s="12">
        <v>239220</v>
      </c>
      <c r="G1118">
        <f t="shared" si="35"/>
        <v>99778</v>
      </c>
      <c r="H1118" s="16" t="s">
        <v>593</v>
      </c>
    </row>
    <row r="1119" spans="1:8">
      <c r="A1119" t="str">
        <f t="shared" si="34"/>
        <v>اصفهانشاهين شهر و میمه</v>
      </c>
      <c r="B1119" s="12" t="s">
        <v>242</v>
      </c>
      <c r="C1119" s="12" t="s">
        <v>258</v>
      </c>
      <c r="D1119" s="12" t="s">
        <v>22</v>
      </c>
      <c r="E1119" s="12">
        <v>0.1200484909288521</v>
      </c>
      <c r="F1119" s="12">
        <v>239220</v>
      </c>
      <c r="G1119">
        <f t="shared" si="35"/>
        <v>28718</v>
      </c>
      <c r="H1119" s="16" t="s">
        <v>593</v>
      </c>
    </row>
    <row r="1120" spans="1:8">
      <c r="A1120" t="str">
        <f t="shared" si="34"/>
        <v>اصفهانشاهين شهر و میمه</v>
      </c>
      <c r="B1120" s="12" t="s">
        <v>242</v>
      </c>
      <c r="C1120" s="12" t="s">
        <v>258</v>
      </c>
      <c r="D1120" s="12" t="s">
        <v>478</v>
      </c>
      <c r="E1120" s="12">
        <v>4.3779784298971655E-2</v>
      </c>
      <c r="F1120" s="12">
        <v>239220</v>
      </c>
      <c r="G1120">
        <f t="shared" si="35"/>
        <v>10473</v>
      </c>
      <c r="H1120" s="16" t="s">
        <v>593</v>
      </c>
    </row>
    <row r="1121" spans="1:8">
      <c r="A1121" t="str">
        <f t="shared" si="34"/>
        <v>اصفهانشاهين شهر و میمه</v>
      </c>
      <c r="B1121" s="12" t="s">
        <v>242</v>
      </c>
      <c r="C1121" s="12" t="s">
        <v>258</v>
      </c>
      <c r="D1121" s="12" t="s">
        <v>20</v>
      </c>
      <c r="E1121" s="12">
        <v>3.8742580051835132E-2</v>
      </c>
      <c r="F1121" s="12">
        <v>239220</v>
      </c>
      <c r="G1121">
        <f t="shared" si="35"/>
        <v>9268</v>
      </c>
      <c r="H1121" s="16" t="s">
        <v>593</v>
      </c>
    </row>
    <row r="1122" spans="1:8">
      <c r="A1122" t="str">
        <f t="shared" si="34"/>
        <v>اصفهانمبارکه</v>
      </c>
      <c r="B1122" s="12" t="s">
        <v>242</v>
      </c>
      <c r="C1122" s="12" t="s">
        <v>259</v>
      </c>
      <c r="D1122" s="12" t="s">
        <v>480</v>
      </c>
      <c r="E1122" s="12">
        <v>0.39751507951614279</v>
      </c>
      <c r="F1122" s="12">
        <v>152359</v>
      </c>
      <c r="G1122">
        <f t="shared" si="35"/>
        <v>60565</v>
      </c>
      <c r="H1122" s="16" t="s">
        <v>577</v>
      </c>
    </row>
    <row r="1123" spans="1:8">
      <c r="A1123" t="str">
        <f t="shared" si="34"/>
        <v>اصفهانمبارکه</v>
      </c>
      <c r="B1123" s="12" t="s">
        <v>242</v>
      </c>
      <c r="C1123" s="12" t="s">
        <v>259</v>
      </c>
      <c r="D1123" s="12" t="s">
        <v>479</v>
      </c>
      <c r="E1123" s="12">
        <v>0.41990299227482458</v>
      </c>
      <c r="F1123" s="12">
        <v>152359</v>
      </c>
      <c r="G1123">
        <f t="shared" si="35"/>
        <v>63976</v>
      </c>
      <c r="H1123" s="16" t="s">
        <v>577</v>
      </c>
    </row>
    <row r="1124" spans="1:8">
      <c r="A1124" t="str">
        <f t="shared" si="34"/>
        <v>اصفهانمبارکه</v>
      </c>
      <c r="B1124" s="12" t="s">
        <v>242</v>
      </c>
      <c r="C1124" s="12" t="s">
        <v>259</v>
      </c>
      <c r="D1124" s="12" t="s">
        <v>22</v>
      </c>
      <c r="E1124" s="12">
        <v>0.10841499353500614</v>
      </c>
      <c r="F1124" s="12">
        <v>152359</v>
      </c>
      <c r="G1124">
        <f t="shared" si="35"/>
        <v>16518</v>
      </c>
      <c r="H1124" s="16" t="s">
        <v>577</v>
      </c>
    </row>
    <row r="1125" spans="1:8">
      <c r="A1125" t="str">
        <f t="shared" si="34"/>
        <v>اصفهانمبارکه</v>
      </c>
      <c r="B1125" s="12" t="s">
        <v>242</v>
      </c>
      <c r="C1125" s="12" t="s">
        <v>259</v>
      </c>
      <c r="D1125" s="12" t="s">
        <v>478</v>
      </c>
      <c r="E1125" s="12">
        <v>3.8625877040411136E-2</v>
      </c>
      <c r="F1125" s="12">
        <v>152359</v>
      </c>
      <c r="G1125">
        <f t="shared" si="35"/>
        <v>5885</v>
      </c>
      <c r="H1125" s="16" t="s">
        <v>577</v>
      </c>
    </row>
    <row r="1126" spans="1:8">
      <c r="A1126" t="str">
        <f t="shared" si="34"/>
        <v>اصفهانمبارکه</v>
      </c>
      <c r="B1126" s="12" t="s">
        <v>242</v>
      </c>
      <c r="C1126" s="12" t="s">
        <v>259</v>
      </c>
      <c r="D1126" s="12" t="s">
        <v>20</v>
      </c>
      <c r="E1126" s="12">
        <v>3.5560747970254464E-2</v>
      </c>
      <c r="F1126" s="12">
        <v>152359</v>
      </c>
      <c r="G1126">
        <f t="shared" si="35"/>
        <v>5418</v>
      </c>
      <c r="H1126" s="16" t="s">
        <v>577</v>
      </c>
    </row>
    <row r="1127" spans="1:8">
      <c r="A1127" t="str">
        <f t="shared" si="34"/>
        <v>اصفهانآران وبیدگل</v>
      </c>
      <c r="B1127" s="12" t="s">
        <v>242</v>
      </c>
      <c r="C1127" s="12" t="s">
        <v>260</v>
      </c>
      <c r="D1127" s="12" t="s">
        <v>480</v>
      </c>
      <c r="E1127" s="12">
        <v>0.41721274001828712</v>
      </c>
      <c r="F1127" s="12">
        <v>104992</v>
      </c>
      <c r="G1127">
        <f t="shared" si="35"/>
        <v>43804</v>
      </c>
      <c r="H1127" s="16" t="s">
        <v>573</v>
      </c>
    </row>
    <row r="1128" spans="1:8">
      <c r="A1128" t="str">
        <f t="shared" si="34"/>
        <v>اصفهانآران وبیدگل</v>
      </c>
      <c r="B1128" s="12" t="s">
        <v>242</v>
      </c>
      <c r="C1128" s="12" t="s">
        <v>260</v>
      </c>
      <c r="D1128" s="12" t="s">
        <v>479</v>
      </c>
      <c r="E1128" s="12">
        <v>0.39733503505028955</v>
      </c>
      <c r="F1128" s="12">
        <v>104992</v>
      </c>
      <c r="G1128">
        <f t="shared" si="35"/>
        <v>41717</v>
      </c>
      <c r="H1128" s="16" t="s">
        <v>573</v>
      </c>
    </row>
    <row r="1129" spans="1:8">
      <c r="A1129" t="str">
        <f t="shared" si="34"/>
        <v>اصفهانآران وبیدگل</v>
      </c>
      <c r="B1129" s="12" t="s">
        <v>242</v>
      </c>
      <c r="C1129" s="12" t="s">
        <v>260</v>
      </c>
      <c r="D1129" s="12" t="s">
        <v>22</v>
      </c>
      <c r="E1129" s="12">
        <v>0.1054080310880829</v>
      </c>
      <c r="F1129" s="12">
        <v>104992</v>
      </c>
      <c r="G1129">
        <f t="shared" si="35"/>
        <v>11067</v>
      </c>
      <c r="H1129" s="16" t="s">
        <v>573</v>
      </c>
    </row>
    <row r="1130" spans="1:8">
      <c r="A1130" t="str">
        <f t="shared" si="34"/>
        <v>اصفهانآران وبیدگل</v>
      </c>
      <c r="B1130" s="12" t="s">
        <v>242</v>
      </c>
      <c r="C1130" s="12" t="s">
        <v>260</v>
      </c>
      <c r="D1130" s="12" t="s">
        <v>478</v>
      </c>
      <c r="E1130" s="12">
        <v>3.9250609570252969E-2</v>
      </c>
      <c r="F1130" s="12">
        <v>104992</v>
      </c>
      <c r="G1130">
        <f t="shared" si="35"/>
        <v>4121</v>
      </c>
      <c r="H1130" s="16" t="s">
        <v>573</v>
      </c>
    </row>
    <row r="1131" spans="1:8">
      <c r="A1131" t="str">
        <f t="shared" si="34"/>
        <v>اصفهانآران وبیدگل</v>
      </c>
      <c r="B1131" s="12" t="s">
        <v>242</v>
      </c>
      <c r="C1131" s="12" t="s">
        <v>260</v>
      </c>
      <c r="D1131" s="12" t="s">
        <v>20</v>
      </c>
      <c r="E1131" s="12">
        <v>4.079358427308747E-2</v>
      </c>
      <c r="F1131" s="12">
        <v>104992</v>
      </c>
      <c r="G1131">
        <f t="shared" si="35"/>
        <v>4283</v>
      </c>
      <c r="H1131" s="16" t="s">
        <v>573</v>
      </c>
    </row>
    <row r="1132" spans="1:8">
      <c r="A1132" t="str">
        <f t="shared" si="34"/>
        <v>اصفهانتيران و کرون</v>
      </c>
      <c r="B1132" s="12" t="s">
        <v>242</v>
      </c>
      <c r="C1132" s="12" t="s">
        <v>261</v>
      </c>
      <c r="D1132" s="12" t="s">
        <v>480</v>
      </c>
      <c r="E1132" s="12">
        <v>0.40235479023341097</v>
      </c>
      <c r="F1132" s="12">
        <v>72533</v>
      </c>
      <c r="G1132">
        <f t="shared" si="35"/>
        <v>29184</v>
      </c>
      <c r="H1132" s="16" t="s">
        <v>586</v>
      </c>
    </row>
    <row r="1133" spans="1:8">
      <c r="A1133" t="str">
        <f t="shared" si="34"/>
        <v>اصفهانتيران و کرون</v>
      </c>
      <c r="B1133" s="12" t="s">
        <v>242</v>
      </c>
      <c r="C1133" s="12" t="s">
        <v>261</v>
      </c>
      <c r="D1133" s="12" t="s">
        <v>479</v>
      </c>
      <c r="E1133" s="12">
        <v>0.40358181793114856</v>
      </c>
      <c r="F1133" s="12">
        <v>72533</v>
      </c>
      <c r="G1133">
        <f t="shared" si="35"/>
        <v>29273</v>
      </c>
      <c r="H1133" s="16" t="s">
        <v>586</v>
      </c>
    </row>
    <row r="1134" spans="1:8">
      <c r="A1134" t="str">
        <f t="shared" si="34"/>
        <v>اصفهانتيران و کرون</v>
      </c>
      <c r="B1134" s="12" t="s">
        <v>242</v>
      </c>
      <c r="C1134" s="12" t="s">
        <v>261</v>
      </c>
      <c r="D1134" s="12" t="s">
        <v>22</v>
      </c>
      <c r="E1134" s="12">
        <v>0.10891594170929095</v>
      </c>
      <c r="F1134" s="12">
        <v>72533</v>
      </c>
      <c r="G1134">
        <f t="shared" si="35"/>
        <v>7900</v>
      </c>
      <c r="H1134" s="16" t="s">
        <v>586</v>
      </c>
    </row>
    <row r="1135" spans="1:8">
      <c r="A1135" t="str">
        <f t="shared" si="34"/>
        <v>اصفهانتيران و کرون</v>
      </c>
      <c r="B1135" s="12" t="s">
        <v>242</v>
      </c>
      <c r="C1135" s="12" t="s">
        <v>261</v>
      </c>
      <c r="D1135" s="12" t="s">
        <v>478</v>
      </c>
      <c r="E1135" s="12">
        <v>4.2932182592750882E-2</v>
      </c>
      <c r="F1135" s="12">
        <v>72533</v>
      </c>
      <c r="G1135">
        <f t="shared" si="35"/>
        <v>3114</v>
      </c>
      <c r="H1135" s="16" t="s">
        <v>586</v>
      </c>
    </row>
    <row r="1136" spans="1:8">
      <c r="A1136" t="str">
        <f t="shared" si="34"/>
        <v>اصفهانتيران و کرون</v>
      </c>
      <c r="B1136" s="12" t="s">
        <v>242</v>
      </c>
      <c r="C1136" s="12" t="s">
        <v>261</v>
      </c>
      <c r="D1136" s="12" t="s">
        <v>20</v>
      </c>
      <c r="E1136" s="12">
        <v>4.2229054361463056E-2</v>
      </c>
      <c r="F1136" s="12">
        <v>72533</v>
      </c>
      <c r="G1136">
        <f t="shared" si="35"/>
        <v>3063</v>
      </c>
      <c r="H1136" s="16" t="s">
        <v>586</v>
      </c>
    </row>
    <row r="1137" spans="1:8">
      <c r="A1137" t="str">
        <f t="shared" si="34"/>
        <v>اصفهانچادگان</v>
      </c>
      <c r="B1137" s="12" t="s">
        <v>242</v>
      </c>
      <c r="C1137" s="12" t="s">
        <v>262</v>
      </c>
      <c r="D1137" s="12" t="s">
        <v>480</v>
      </c>
      <c r="E1137" s="12">
        <v>0.41250269720415522</v>
      </c>
      <c r="F1137" s="12">
        <v>32441</v>
      </c>
      <c r="G1137">
        <f t="shared" si="35"/>
        <v>13382</v>
      </c>
      <c r="H1137" s="16" t="s">
        <v>591</v>
      </c>
    </row>
    <row r="1138" spans="1:8">
      <c r="A1138" t="str">
        <f t="shared" si="34"/>
        <v>اصفهانچادگان</v>
      </c>
      <c r="B1138" s="12" t="s">
        <v>242</v>
      </c>
      <c r="C1138" s="12" t="s">
        <v>262</v>
      </c>
      <c r="D1138" s="12" t="s">
        <v>479</v>
      </c>
      <c r="E1138" s="12">
        <v>0.38479085108350541</v>
      </c>
      <c r="F1138" s="12">
        <v>32441</v>
      </c>
      <c r="G1138">
        <f t="shared" si="35"/>
        <v>12483</v>
      </c>
      <c r="H1138" s="16" t="s">
        <v>591</v>
      </c>
    </row>
    <row r="1139" spans="1:8">
      <c r="A1139" t="str">
        <f t="shared" si="34"/>
        <v>اصفهانچادگان</v>
      </c>
      <c r="B1139" s="12" t="s">
        <v>242</v>
      </c>
      <c r="C1139" s="12" t="s">
        <v>262</v>
      </c>
      <c r="D1139" s="12" t="s">
        <v>22</v>
      </c>
      <c r="E1139" s="12">
        <v>0.11013840510465152</v>
      </c>
      <c r="F1139" s="12">
        <v>32441</v>
      </c>
      <c r="G1139">
        <f t="shared" si="35"/>
        <v>3573</v>
      </c>
      <c r="H1139" s="16" t="s">
        <v>591</v>
      </c>
    </row>
    <row r="1140" spans="1:8">
      <c r="A1140" t="str">
        <f t="shared" si="34"/>
        <v>اصفهانچادگان</v>
      </c>
      <c r="B1140" s="12" t="s">
        <v>242</v>
      </c>
      <c r="C1140" s="12" t="s">
        <v>262</v>
      </c>
      <c r="D1140" s="12" t="s">
        <v>478</v>
      </c>
      <c r="E1140" s="12">
        <v>4.4758176381739158E-2</v>
      </c>
      <c r="F1140" s="12">
        <v>32441</v>
      </c>
      <c r="G1140">
        <f t="shared" si="35"/>
        <v>1452</v>
      </c>
      <c r="H1140" s="16" t="s">
        <v>591</v>
      </c>
    </row>
    <row r="1141" spans="1:8">
      <c r="A1141" t="str">
        <f t="shared" si="34"/>
        <v>اصفهانچادگان</v>
      </c>
      <c r="B1141" s="12" t="s">
        <v>242</v>
      </c>
      <c r="C1141" s="12" t="s">
        <v>262</v>
      </c>
      <c r="D1141" s="12" t="s">
        <v>20</v>
      </c>
      <c r="E1141" s="12">
        <v>4.7840695416294196E-2</v>
      </c>
      <c r="F1141" s="12">
        <v>32441</v>
      </c>
      <c r="G1141">
        <f t="shared" si="35"/>
        <v>1552</v>
      </c>
      <c r="H1141" s="16" t="s">
        <v>591</v>
      </c>
    </row>
    <row r="1142" spans="1:8">
      <c r="A1142" t="str">
        <f t="shared" si="34"/>
        <v>اصفهاندهاقان</v>
      </c>
      <c r="B1142" s="12" t="s">
        <v>242</v>
      </c>
      <c r="C1142" s="12" t="s">
        <v>263</v>
      </c>
      <c r="D1142" s="12" t="s">
        <v>480</v>
      </c>
      <c r="E1142" s="12">
        <v>0.37481901893785835</v>
      </c>
      <c r="F1142" s="12">
        <v>34534</v>
      </c>
      <c r="G1142">
        <f t="shared" si="35"/>
        <v>12944</v>
      </c>
      <c r="H1142" s="16" t="s">
        <v>599</v>
      </c>
    </row>
    <row r="1143" spans="1:8">
      <c r="A1143" t="str">
        <f t="shared" si="34"/>
        <v>اصفهاندهاقان</v>
      </c>
      <c r="B1143" s="12" t="s">
        <v>242</v>
      </c>
      <c r="C1143" s="12" t="s">
        <v>263</v>
      </c>
      <c r="D1143" s="12" t="s">
        <v>479</v>
      </c>
      <c r="E1143" s="12">
        <v>0.40331267736144089</v>
      </c>
      <c r="F1143" s="12">
        <v>34534</v>
      </c>
      <c r="G1143">
        <f t="shared" si="35"/>
        <v>13928</v>
      </c>
      <c r="H1143" s="16" t="s">
        <v>599</v>
      </c>
    </row>
    <row r="1144" spans="1:8">
      <c r="A1144" t="str">
        <f t="shared" si="34"/>
        <v>اصفهاندهاقان</v>
      </c>
      <c r="B1144" s="12" t="s">
        <v>242</v>
      </c>
      <c r="C1144" s="12" t="s">
        <v>263</v>
      </c>
      <c r="D1144" s="12" t="s">
        <v>22</v>
      </c>
      <c r="E1144" s="12">
        <v>0.1169861585683674</v>
      </c>
      <c r="F1144" s="12">
        <v>34534</v>
      </c>
      <c r="G1144">
        <f t="shared" si="35"/>
        <v>4040</v>
      </c>
      <c r="H1144" s="16" t="s">
        <v>599</v>
      </c>
    </row>
    <row r="1145" spans="1:8">
      <c r="A1145" t="str">
        <f t="shared" si="34"/>
        <v>اصفهاندهاقان</v>
      </c>
      <c r="B1145" s="12" t="s">
        <v>242</v>
      </c>
      <c r="C1145" s="12" t="s">
        <v>263</v>
      </c>
      <c r="D1145" s="12" t="s">
        <v>478</v>
      </c>
      <c r="E1145" s="12">
        <v>4.9777031331441478E-2</v>
      </c>
      <c r="F1145" s="12">
        <v>34534</v>
      </c>
      <c r="G1145">
        <f t="shared" si="35"/>
        <v>1719</v>
      </c>
      <c r="H1145" s="16" t="s">
        <v>599</v>
      </c>
    </row>
    <row r="1146" spans="1:8">
      <c r="A1146" t="str">
        <f t="shared" si="34"/>
        <v>اصفهاندهاقان</v>
      </c>
      <c r="B1146" s="12" t="s">
        <v>242</v>
      </c>
      <c r="C1146" s="12" t="s">
        <v>263</v>
      </c>
      <c r="D1146" s="12" t="s">
        <v>20</v>
      </c>
      <c r="E1146" s="12">
        <v>5.5076156830949206E-2</v>
      </c>
      <c r="F1146" s="12">
        <v>34534</v>
      </c>
      <c r="G1146">
        <f t="shared" si="35"/>
        <v>1902</v>
      </c>
      <c r="H1146" s="16" t="s">
        <v>599</v>
      </c>
    </row>
    <row r="1147" spans="1:8">
      <c r="A1147" t="str">
        <f t="shared" si="34"/>
        <v>اصفهانبرخوار</v>
      </c>
      <c r="B1147" s="12" t="s">
        <v>242</v>
      </c>
      <c r="C1147" s="12" t="s">
        <v>264</v>
      </c>
      <c r="D1147" s="12" t="s">
        <v>480</v>
      </c>
      <c r="E1147" s="12">
        <v>0.42464940149545904</v>
      </c>
      <c r="F1147" s="12">
        <v>124644</v>
      </c>
      <c r="G1147">
        <f t="shared" si="35"/>
        <v>52930</v>
      </c>
      <c r="H1147" s="16" t="s">
        <v>590</v>
      </c>
    </row>
    <row r="1148" spans="1:8">
      <c r="A1148" t="str">
        <f t="shared" si="34"/>
        <v>اصفهانبرخوار</v>
      </c>
      <c r="B1148" s="12" t="s">
        <v>242</v>
      </c>
      <c r="C1148" s="12" t="s">
        <v>264</v>
      </c>
      <c r="D1148" s="12" t="s">
        <v>479</v>
      </c>
      <c r="E1148" s="12">
        <v>0.41037675299252269</v>
      </c>
      <c r="F1148" s="12">
        <v>124644</v>
      </c>
      <c r="G1148">
        <f t="shared" si="35"/>
        <v>51151</v>
      </c>
      <c r="H1148" s="16" t="s">
        <v>590</v>
      </c>
    </row>
    <row r="1149" spans="1:8">
      <c r="A1149" t="str">
        <f t="shared" si="34"/>
        <v>اصفهانبرخوار</v>
      </c>
      <c r="B1149" s="12" t="s">
        <v>242</v>
      </c>
      <c r="C1149" s="12" t="s">
        <v>264</v>
      </c>
      <c r="D1149" s="12" t="s">
        <v>22</v>
      </c>
      <c r="E1149" s="12">
        <v>9.7750393119604637E-2</v>
      </c>
      <c r="F1149" s="12">
        <v>124644</v>
      </c>
      <c r="G1149">
        <f t="shared" si="35"/>
        <v>12184</v>
      </c>
      <c r="H1149" s="16" t="s">
        <v>590</v>
      </c>
    </row>
    <row r="1150" spans="1:8">
      <c r="A1150" t="str">
        <f t="shared" si="34"/>
        <v>اصفهانبرخوار</v>
      </c>
      <c r="B1150" s="12" t="s">
        <v>242</v>
      </c>
      <c r="C1150" s="12" t="s">
        <v>264</v>
      </c>
      <c r="D1150" s="12" t="s">
        <v>478</v>
      </c>
      <c r="E1150" s="12">
        <v>3.4979621963351623E-2</v>
      </c>
      <c r="F1150" s="12">
        <v>124644</v>
      </c>
      <c r="G1150">
        <f t="shared" si="35"/>
        <v>4360</v>
      </c>
      <c r="H1150" s="16" t="s">
        <v>590</v>
      </c>
    </row>
    <row r="1151" spans="1:8">
      <c r="A1151" t="str">
        <f t="shared" si="34"/>
        <v>اصفهانبرخوار</v>
      </c>
      <c r="B1151" s="12" t="s">
        <v>242</v>
      </c>
      <c r="C1151" s="12" t="s">
        <v>264</v>
      </c>
      <c r="D1151" s="12" t="s">
        <v>20</v>
      </c>
      <c r="E1151" s="12">
        <v>3.2235807579987806E-2</v>
      </c>
      <c r="F1151" s="12">
        <v>124644</v>
      </c>
      <c r="G1151">
        <f t="shared" si="35"/>
        <v>4018</v>
      </c>
      <c r="H1151" s="16" t="s">
        <v>590</v>
      </c>
    </row>
    <row r="1152" spans="1:8">
      <c r="A1152" t="str">
        <f t="shared" si="34"/>
        <v>اصفهانخور و بیابانک</v>
      </c>
      <c r="B1152" s="12" t="s">
        <v>242</v>
      </c>
      <c r="C1152" s="12" t="s">
        <v>265</v>
      </c>
      <c r="D1152" s="12" t="s">
        <v>480</v>
      </c>
      <c r="E1152" s="12">
        <v>0.40918213748118415</v>
      </c>
      <c r="F1152" s="12">
        <v>19930</v>
      </c>
      <c r="G1152">
        <f t="shared" si="35"/>
        <v>8155</v>
      </c>
      <c r="H1152" s="16" t="s">
        <v>583</v>
      </c>
    </row>
    <row r="1153" spans="1:8">
      <c r="A1153" t="str">
        <f t="shared" si="34"/>
        <v>اصفهانخور و بیابانک</v>
      </c>
      <c r="B1153" s="12" t="s">
        <v>242</v>
      </c>
      <c r="C1153" s="12" t="s">
        <v>265</v>
      </c>
      <c r="D1153" s="12" t="s">
        <v>479</v>
      </c>
      <c r="E1153" s="12">
        <v>0.37531359759157051</v>
      </c>
      <c r="F1153" s="12">
        <v>19930</v>
      </c>
      <c r="G1153">
        <f t="shared" si="35"/>
        <v>7480</v>
      </c>
      <c r="H1153" s="16" t="s">
        <v>583</v>
      </c>
    </row>
    <row r="1154" spans="1:8">
      <c r="A1154" t="str">
        <f t="shared" ref="A1154:A1217" si="36">B1154&amp;C1154</f>
        <v>اصفهانخور و بیابانک</v>
      </c>
      <c r="B1154" s="12" t="s">
        <v>242</v>
      </c>
      <c r="C1154" s="12" t="s">
        <v>265</v>
      </c>
      <c r="D1154" s="12" t="s">
        <v>22</v>
      </c>
      <c r="E1154" s="12">
        <v>0.1100351229302559</v>
      </c>
      <c r="F1154" s="12">
        <v>19930</v>
      </c>
      <c r="G1154">
        <f t="shared" si="35"/>
        <v>2193</v>
      </c>
      <c r="H1154" s="16" t="s">
        <v>583</v>
      </c>
    </row>
    <row r="1155" spans="1:8">
      <c r="A1155" t="str">
        <f t="shared" si="36"/>
        <v>اصفهانخور و بیابانک</v>
      </c>
      <c r="B1155" s="12" t="s">
        <v>242</v>
      </c>
      <c r="C1155" s="12" t="s">
        <v>265</v>
      </c>
      <c r="D1155" s="12" t="s">
        <v>478</v>
      </c>
      <c r="E1155" s="12">
        <v>5.0627195183140995E-2</v>
      </c>
      <c r="F1155" s="12">
        <v>19930</v>
      </c>
      <c r="G1155">
        <f t="shared" ref="G1155:G1218" si="37">IFERROR(ROUND(F1155*E1155,0),0)</f>
        <v>1009</v>
      </c>
      <c r="H1155" s="16" t="s">
        <v>583</v>
      </c>
    </row>
    <row r="1156" spans="1:8">
      <c r="A1156" t="str">
        <f t="shared" si="36"/>
        <v>اصفهانخور و بیابانک</v>
      </c>
      <c r="B1156" s="12" t="s">
        <v>242</v>
      </c>
      <c r="C1156" s="12" t="s">
        <v>265</v>
      </c>
      <c r="D1156" s="12" t="s">
        <v>20</v>
      </c>
      <c r="E1156" s="12">
        <v>5.4942298043151032E-2</v>
      </c>
      <c r="F1156" s="12">
        <v>19930</v>
      </c>
      <c r="G1156">
        <f t="shared" si="37"/>
        <v>1095</v>
      </c>
      <c r="H1156" s="16" t="s">
        <v>583</v>
      </c>
    </row>
    <row r="1157" spans="1:8">
      <c r="A1157" t="str">
        <f t="shared" si="36"/>
        <v>اصفهانبوئین و میاندشت</v>
      </c>
      <c r="B1157" s="12" t="s">
        <v>242</v>
      </c>
      <c r="C1157" s="12" t="s">
        <v>267</v>
      </c>
      <c r="D1157" s="12" t="s">
        <v>480</v>
      </c>
      <c r="E1157" s="12">
        <v>0.34634854771784235</v>
      </c>
      <c r="F1157" s="12">
        <v>24100</v>
      </c>
      <c r="G1157">
        <f t="shared" si="37"/>
        <v>8347</v>
      </c>
      <c r="H1157" s="16" t="s">
        <v>595</v>
      </c>
    </row>
    <row r="1158" spans="1:8">
      <c r="A1158" t="str">
        <f t="shared" si="36"/>
        <v>اصفهانبوئین و میاندشت</v>
      </c>
      <c r="B1158" s="12" t="s">
        <v>242</v>
      </c>
      <c r="C1158" s="12" t="s">
        <v>267</v>
      </c>
      <c r="D1158" s="12" t="s">
        <v>479</v>
      </c>
      <c r="E1158" s="12">
        <v>0.39095435684647301</v>
      </c>
      <c r="F1158" s="12">
        <v>24100</v>
      </c>
      <c r="G1158">
        <f t="shared" si="37"/>
        <v>9422</v>
      </c>
      <c r="H1158" s="16" t="s">
        <v>595</v>
      </c>
    </row>
    <row r="1159" spans="1:8">
      <c r="A1159" t="str">
        <f t="shared" si="36"/>
        <v>اصفهانبوئین و میاندشت</v>
      </c>
      <c r="B1159" s="12" t="s">
        <v>242</v>
      </c>
      <c r="C1159" s="12" t="s">
        <v>267</v>
      </c>
      <c r="D1159" s="12" t="s">
        <v>22</v>
      </c>
      <c r="E1159" s="12">
        <v>0.13253112033195022</v>
      </c>
      <c r="F1159" s="12">
        <v>24100</v>
      </c>
      <c r="G1159">
        <f t="shared" si="37"/>
        <v>3194</v>
      </c>
      <c r="H1159" s="16" t="s">
        <v>595</v>
      </c>
    </row>
    <row r="1160" spans="1:8">
      <c r="A1160" t="str">
        <f t="shared" si="36"/>
        <v>اصفهانبوئین و میاندشت</v>
      </c>
      <c r="B1160" s="12" t="s">
        <v>242</v>
      </c>
      <c r="C1160" s="12" t="s">
        <v>267</v>
      </c>
      <c r="D1160" s="12" t="s">
        <v>478</v>
      </c>
      <c r="E1160" s="12">
        <v>6.1078838174273856E-2</v>
      </c>
      <c r="F1160" s="12">
        <v>24100</v>
      </c>
      <c r="G1160">
        <f t="shared" si="37"/>
        <v>1472</v>
      </c>
      <c r="H1160" s="16" t="s">
        <v>595</v>
      </c>
    </row>
    <row r="1161" spans="1:8">
      <c r="A1161" t="str">
        <f t="shared" si="36"/>
        <v>اصفهانبوئین و میاندشت</v>
      </c>
      <c r="B1161" s="12" t="s">
        <v>242</v>
      </c>
      <c r="C1161" s="12" t="s">
        <v>267</v>
      </c>
      <c r="D1161" s="12" t="s">
        <v>20</v>
      </c>
      <c r="E1161" s="12">
        <v>6.8755186721991698E-2</v>
      </c>
      <c r="F1161" s="12">
        <v>24100</v>
      </c>
      <c r="G1161">
        <f t="shared" si="37"/>
        <v>1657</v>
      </c>
      <c r="H1161" s="16" t="s">
        <v>595</v>
      </c>
    </row>
    <row r="1162" spans="1:8">
      <c r="A1162" t="str">
        <f t="shared" si="36"/>
        <v>سيستان وبلوچستانايرانشهر</v>
      </c>
      <c r="B1162" s="12" t="s">
        <v>266</v>
      </c>
      <c r="C1162" s="12" t="s">
        <v>268</v>
      </c>
      <c r="D1162" s="12" t="s">
        <v>480</v>
      </c>
      <c r="E1162" s="12">
        <v>0.58122824918816363</v>
      </c>
      <c r="F1162" s="12">
        <v>257749</v>
      </c>
      <c r="G1162">
        <f t="shared" si="37"/>
        <v>149811</v>
      </c>
      <c r="H1162" s="16" t="s">
        <v>775</v>
      </c>
    </row>
    <row r="1163" spans="1:8">
      <c r="A1163" t="str">
        <f t="shared" si="36"/>
        <v>سيستان وبلوچستانايرانشهر</v>
      </c>
      <c r="B1163" s="12" t="s">
        <v>266</v>
      </c>
      <c r="C1163" s="12" t="s">
        <v>268</v>
      </c>
      <c r="D1163" s="12" t="s">
        <v>479</v>
      </c>
      <c r="E1163" s="12">
        <v>0.32366371935487626</v>
      </c>
      <c r="F1163" s="12">
        <v>257749</v>
      </c>
      <c r="G1163">
        <f t="shared" si="37"/>
        <v>83424</v>
      </c>
      <c r="H1163" s="16" t="s">
        <v>775</v>
      </c>
    </row>
    <row r="1164" spans="1:8">
      <c r="A1164" t="str">
        <f t="shared" si="36"/>
        <v>سيستان وبلوچستانايرانشهر</v>
      </c>
      <c r="B1164" s="12" t="s">
        <v>266</v>
      </c>
      <c r="C1164" s="12" t="s">
        <v>268</v>
      </c>
      <c r="D1164" s="12" t="s">
        <v>22</v>
      </c>
      <c r="E1164" s="12">
        <v>5.8153474892240126E-2</v>
      </c>
      <c r="F1164" s="12">
        <v>257749</v>
      </c>
      <c r="G1164">
        <f t="shared" si="37"/>
        <v>14989</v>
      </c>
      <c r="H1164" s="16" t="s">
        <v>775</v>
      </c>
    </row>
    <row r="1165" spans="1:8">
      <c r="A1165" t="str">
        <f t="shared" si="36"/>
        <v>سيستان وبلوچستانايرانشهر</v>
      </c>
      <c r="B1165" s="12" t="s">
        <v>266</v>
      </c>
      <c r="C1165" s="12" t="s">
        <v>268</v>
      </c>
      <c r="D1165" s="12" t="s">
        <v>478</v>
      </c>
      <c r="E1165" s="12">
        <v>1.9553907095662834E-2</v>
      </c>
      <c r="F1165" s="12">
        <v>257749</v>
      </c>
      <c r="G1165">
        <f t="shared" si="37"/>
        <v>5040</v>
      </c>
      <c r="H1165" s="16" t="s">
        <v>775</v>
      </c>
    </row>
    <row r="1166" spans="1:8">
      <c r="A1166" t="str">
        <f t="shared" si="36"/>
        <v>سيستان وبلوچستانايرانشهر</v>
      </c>
      <c r="B1166" s="12" t="s">
        <v>266</v>
      </c>
      <c r="C1166" s="12" t="s">
        <v>268</v>
      </c>
      <c r="D1166" s="12" t="s">
        <v>20</v>
      </c>
      <c r="E1166" s="12">
        <v>1.7408408955999828E-2</v>
      </c>
      <c r="F1166" s="12">
        <v>257749</v>
      </c>
      <c r="G1166">
        <f t="shared" si="37"/>
        <v>4487</v>
      </c>
      <c r="H1166" s="16" t="s">
        <v>775</v>
      </c>
    </row>
    <row r="1167" spans="1:8">
      <c r="A1167" t="str">
        <f t="shared" si="36"/>
        <v>سيستان وبلوچستانچابهار</v>
      </c>
      <c r="B1167" s="12" t="s">
        <v>266</v>
      </c>
      <c r="C1167" s="12" t="s">
        <v>269</v>
      </c>
      <c r="D1167" s="12" t="s">
        <v>480</v>
      </c>
      <c r="E1167" s="12">
        <v>0.60394056803088592</v>
      </c>
      <c r="F1167" s="12">
        <v>290618</v>
      </c>
      <c r="G1167">
        <f t="shared" si="37"/>
        <v>175516</v>
      </c>
      <c r="H1167" s="16" t="s">
        <v>759</v>
      </c>
    </row>
    <row r="1168" spans="1:8">
      <c r="A1168" t="str">
        <f t="shared" si="36"/>
        <v>سيستان وبلوچستانچابهار</v>
      </c>
      <c r="B1168" s="12" t="s">
        <v>266</v>
      </c>
      <c r="C1168" s="12" t="s">
        <v>269</v>
      </c>
      <c r="D1168" s="12" t="s">
        <v>479</v>
      </c>
      <c r="E1168" s="12">
        <v>0.31649106387078568</v>
      </c>
      <c r="F1168" s="12">
        <v>290618</v>
      </c>
      <c r="G1168">
        <f t="shared" si="37"/>
        <v>91978</v>
      </c>
      <c r="H1168" s="16" t="s">
        <v>759</v>
      </c>
    </row>
    <row r="1169" spans="1:8">
      <c r="A1169" t="str">
        <f t="shared" si="36"/>
        <v>سيستان وبلوچستانچابهار</v>
      </c>
      <c r="B1169" s="12" t="s">
        <v>266</v>
      </c>
      <c r="C1169" s="12" t="s">
        <v>269</v>
      </c>
      <c r="D1169" s="12" t="s">
        <v>22</v>
      </c>
      <c r="E1169" s="12">
        <v>4.9384415280540092E-2</v>
      </c>
      <c r="F1169" s="12">
        <v>290618</v>
      </c>
      <c r="G1169">
        <f t="shared" si="37"/>
        <v>14352</v>
      </c>
      <c r="H1169" s="16" t="s">
        <v>759</v>
      </c>
    </row>
    <row r="1170" spans="1:8">
      <c r="A1170" t="str">
        <f t="shared" si="36"/>
        <v>سيستان وبلوچستانچابهار</v>
      </c>
      <c r="B1170" s="12" t="s">
        <v>266</v>
      </c>
      <c r="C1170" s="12" t="s">
        <v>269</v>
      </c>
      <c r="D1170" s="12" t="s">
        <v>478</v>
      </c>
      <c r="E1170" s="12">
        <v>1.5639086360789766E-2</v>
      </c>
      <c r="F1170" s="12">
        <v>290618</v>
      </c>
      <c r="G1170">
        <f t="shared" si="37"/>
        <v>4545</v>
      </c>
      <c r="H1170" s="16" t="s">
        <v>759</v>
      </c>
    </row>
    <row r="1171" spans="1:8">
      <c r="A1171" t="str">
        <f t="shared" si="36"/>
        <v>سيستان وبلوچستانچابهار</v>
      </c>
      <c r="B1171" s="12" t="s">
        <v>266</v>
      </c>
      <c r="C1171" s="12" t="s">
        <v>269</v>
      </c>
      <c r="D1171" s="12" t="s">
        <v>20</v>
      </c>
      <c r="E1171" s="12">
        <v>1.456207117246695E-2</v>
      </c>
      <c r="F1171" s="12">
        <v>290618</v>
      </c>
      <c r="G1171">
        <f t="shared" si="37"/>
        <v>4232</v>
      </c>
      <c r="H1171" s="16" t="s">
        <v>759</v>
      </c>
    </row>
    <row r="1172" spans="1:8">
      <c r="A1172" t="str">
        <f t="shared" si="36"/>
        <v>سيستان وبلوچستانخاش</v>
      </c>
      <c r="B1172" s="12" t="s">
        <v>266</v>
      </c>
      <c r="C1172" s="12" t="s">
        <v>270</v>
      </c>
      <c r="D1172" s="12" t="s">
        <v>480</v>
      </c>
      <c r="E1172" s="12">
        <v>0.59390218570406439</v>
      </c>
      <c r="F1172" s="12">
        <v>173308</v>
      </c>
      <c r="G1172">
        <f t="shared" si="37"/>
        <v>102928</v>
      </c>
      <c r="H1172" s="16" t="s">
        <v>770</v>
      </c>
    </row>
    <row r="1173" spans="1:8">
      <c r="A1173" t="str">
        <f t="shared" si="36"/>
        <v>سيستان وبلوچستانخاش</v>
      </c>
      <c r="B1173" s="12" t="s">
        <v>266</v>
      </c>
      <c r="C1173" s="12" t="s">
        <v>270</v>
      </c>
      <c r="D1173" s="12" t="s">
        <v>479</v>
      </c>
      <c r="E1173" s="12">
        <v>0.31445172756018186</v>
      </c>
      <c r="F1173" s="12">
        <v>173308</v>
      </c>
      <c r="G1173">
        <f t="shared" si="37"/>
        <v>54497</v>
      </c>
      <c r="H1173" s="16" t="s">
        <v>770</v>
      </c>
    </row>
    <row r="1174" spans="1:8">
      <c r="A1174" t="str">
        <f t="shared" si="36"/>
        <v>سيستان وبلوچستانخاش</v>
      </c>
      <c r="B1174" s="12" t="s">
        <v>266</v>
      </c>
      <c r="C1174" s="12" t="s">
        <v>270</v>
      </c>
      <c r="D1174" s="12" t="s">
        <v>22</v>
      </c>
      <c r="E1174" s="12">
        <v>5.581969672490595E-2</v>
      </c>
      <c r="F1174" s="12">
        <v>173308</v>
      </c>
      <c r="G1174">
        <f t="shared" si="37"/>
        <v>9674</v>
      </c>
      <c r="H1174" s="16" t="s">
        <v>770</v>
      </c>
    </row>
    <row r="1175" spans="1:8">
      <c r="A1175" t="str">
        <f t="shared" si="36"/>
        <v>سيستان وبلوچستانخاش</v>
      </c>
      <c r="B1175" s="12" t="s">
        <v>266</v>
      </c>
      <c r="C1175" s="12" t="s">
        <v>270</v>
      </c>
      <c r="D1175" s="12" t="s">
        <v>478</v>
      </c>
      <c r="E1175" s="12">
        <v>1.8821981674244696E-2</v>
      </c>
      <c r="F1175" s="12">
        <v>173308</v>
      </c>
      <c r="G1175">
        <f t="shared" si="37"/>
        <v>3262</v>
      </c>
      <c r="H1175" s="16" t="s">
        <v>770</v>
      </c>
    </row>
    <row r="1176" spans="1:8">
      <c r="A1176" t="str">
        <f t="shared" si="36"/>
        <v>سيستان وبلوچستانخاش</v>
      </c>
      <c r="B1176" s="12" t="s">
        <v>266</v>
      </c>
      <c r="C1176" s="12" t="s">
        <v>270</v>
      </c>
      <c r="D1176" s="12" t="s">
        <v>20</v>
      </c>
      <c r="E1176" s="12">
        <v>1.7015948484778543E-2</v>
      </c>
      <c r="F1176" s="12">
        <v>173308</v>
      </c>
      <c r="G1176">
        <f t="shared" si="37"/>
        <v>2949</v>
      </c>
      <c r="H1176" s="16" t="s">
        <v>770</v>
      </c>
    </row>
    <row r="1177" spans="1:8">
      <c r="A1177" t="str">
        <f t="shared" si="36"/>
        <v>سيستان وبلوچستانزابل</v>
      </c>
      <c r="B1177" s="12" t="s">
        <v>266</v>
      </c>
      <c r="C1177" s="12" t="s">
        <v>271</v>
      </c>
      <c r="D1177" s="12" t="s">
        <v>480</v>
      </c>
      <c r="E1177" s="12">
        <v>0.52378379676319453</v>
      </c>
      <c r="F1177" s="12">
        <v>166584</v>
      </c>
      <c r="G1177">
        <f t="shared" si="37"/>
        <v>87254</v>
      </c>
      <c r="H1177" s="16" t="s">
        <v>762</v>
      </c>
    </row>
    <row r="1178" spans="1:8">
      <c r="A1178" t="str">
        <f t="shared" si="36"/>
        <v>سيستان وبلوچستانزابل</v>
      </c>
      <c r="B1178" s="12" t="s">
        <v>266</v>
      </c>
      <c r="C1178" s="12" t="s">
        <v>271</v>
      </c>
      <c r="D1178" s="12" t="s">
        <v>479</v>
      </c>
      <c r="E1178" s="12">
        <v>0.35439177832204771</v>
      </c>
      <c r="F1178" s="12">
        <v>166584</v>
      </c>
      <c r="G1178">
        <f t="shared" si="37"/>
        <v>59036</v>
      </c>
      <c r="H1178" s="16" t="s">
        <v>762</v>
      </c>
    </row>
    <row r="1179" spans="1:8">
      <c r="A1179" t="str">
        <f t="shared" si="36"/>
        <v>سيستان وبلوچستانزابل</v>
      </c>
      <c r="B1179" s="12" t="s">
        <v>266</v>
      </c>
      <c r="C1179" s="12" t="s">
        <v>271</v>
      </c>
      <c r="D1179" s="12" t="s">
        <v>22</v>
      </c>
      <c r="E1179" s="12">
        <v>7.709623973490852E-2</v>
      </c>
      <c r="F1179" s="12">
        <v>166584</v>
      </c>
      <c r="G1179">
        <f t="shared" si="37"/>
        <v>12843</v>
      </c>
      <c r="H1179" s="16" t="s">
        <v>762</v>
      </c>
    </row>
    <row r="1180" spans="1:8">
      <c r="A1180" t="str">
        <f t="shared" si="36"/>
        <v>سيستان وبلوچستانزابل</v>
      </c>
      <c r="B1180" s="12" t="s">
        <v>266</v>
      </c>
      <c r="C1180" s="12" t="s">
        <v>271</v>
      </c>
      <c r="D1180" s="12" t="s">
        <v>478</v>
      </c>
      <c r="E1180" s="12">
        <v>2.4738270182010278E-2</v>
      </c>
      <c r="F1180" s="12">
        <v>166584</v>
      </c>
      <c r="G1180">
        <f t="shared" si="37"/>
        <v>4121</v>
      </c>
      <c r="H1180" s="16" t="s">
        <v>762</v>
      </c>
    </row>
    <row r="1181" spans="1:8">
      <c r="A1181" t="str">
        <f t="shared" si="36"/>
        <v>سيستان وبلوچستانزابل</v>
      </c>
      <c r="B1181" s="12" t="s">
        <v>266</v>
      </c>
      <c r="C1181" s="12" t="s">
        <v>271</v>
      </c>
      <c r="D1181" s="12" t="s">
        <v>20</v>
      </c>
      <c r="E1181" s="12">
        <v>2.0019929885223071E-2</v>
      </c>
      <c r="F1181" s="12">
        <v>166584</v>
      </c>
      <c r="G1181">
        <f t="shared" si="37"/>
        <v>3335</v>
      </c>
      <c r="H1181" s="16" t="s">
        <v>762</v>
      </c>
    </row>
    <row r="1182" spans="1:8">
      <c r="A1182" t="str">
        <f t="shared" si="36"/>
        <v>سيستان وبلوچستانزاهدان</v>
      </c>
      <c r="B1182" s="12" t="s">
        <v>266</v>
      </c>
      <c r="C1182" s="12" t="s">
        <v>272</v>
      </c>
      <c r="D1182" s="12" t="s">
        <v>480</v>
      </c>
      <c r="E1182" s="12">
        <v>0.56871346982646631</v>
      </c>
      <c r="F1182" s="12">
        <v>673587</v>
      </c>
      <c r="G1182">
        <f t="shared" si="37"/>
        <v>383078</v>
      </c>
      <c r="H1182" s="16" t="s">
        <v>758</v>
      </c>
    </row>
    <row r="1183" spans="1:8">
      <c r="A1183" t="str">
        <f t="shared" si="36"/>
        <v>سيستان وبلوچستانزاهدان</v>
      </c>
      <c r="B1183" s="12" t="s">
        <v>266</v>
      </c>
      <c r="C1183" s="12" t="s">
        <v>272</v>
      </c>
      <c r="D1183" s="12" t="s">
        <v>479</v>
      </c>
      <c r="E1183" s="12">
        <v>0.33821911646157066</v>
      </c>
      <c r="F1183" s="12">
        <v>673587</v>
      </c>
      <c r="G1183">
        <f t="shared" si="37"/>
        <v>227820</v>
      </c>
      <c r="H1183" s="16" t="s">
        <v>758</v>
      </c>
    </row>
    <row r="1184" spans="1:8">
      <c r="A1184" t="str">
        <f t="shared" si="36"/>
        <v>سيستان وبلوچستانزاهدان</v>
      </c>
      <c r="B1184" s="12" t="s">
        <v>266</v>
      </c>
      <c r="C1184" s="12" t="s">
        <v>272</v>
      </c>
      <c r="D1184" s="12" t="s">
        <v>22</v>
      </c>
      <c r="E1184" s="12">
        <v>6.1724766065853406E-2</v>
      </c>
      <c r="F1184" s="12">
        <v>673587</v>
      </c>
      <c r="G1184">
        <f t="shared" si="37"/>
        <v>41577</v>
      </c>
      <c r="H1184" s="16" t="s">
        <v>758</v>
      </c>
    </row>
    <row r="1185" spans="1:8">
      <c r="A1185" t="str">
        <f t="shared" si="36"/>
        <v>سيستان وبلوچستانزاهدان</v>
      </c>
      <c r="B1185" s="12" t="s">
        <v>266</v>
      </c>
      <c r="C1185" s="12" t="s">
        <v>272</v>
      </c>
      <c r="D1185" s="12" t="s">
        <v>478</v>
      </c>
      <c r="E1185" s="12">
        <v>1.798134465184156E-2</v>
      </c>
      <c r="F1185" s="12">
        <v>673587</v>
      </c>
      <c r="G1185">
        <f t="shared" si="37"/>
        <v>12112</v>
      </c>
      <c r="H1185" s="16" t="s">
        <v>758</v>
      </c>
    </row>
    <row r="1186" spans="1:8">
      <c r="A1186" t="str">
        <f t="shared" si="36"/>
        <v>سيستان وبلوچستانزاهدان</v>
      </c>
      <c r="B1186" s="12" t="s">
        <v>266</v>
      </c>
      <c r="C1186" s="12" t="s">
        <v>272</v>
      </c>
      <c r="D1186" s="12" t="s">
        <v>20</v>
      </c>
      <c r="E1186" s="12">
        <v>1.3374664297262268E-2</v>
      </c>
      <c r="F1186" s="12">
        <v>673587</v>
      </c>
      <c r="G1186">
        <f t="shared" si="37"/>
        <v>9009</v>
      </c>
      <c r="H1186" s="16" t="s">
        <v>758</v>
      </c>
    </row>
    <row r="1187" spans="1:8">
      <c r="A1187" t="str">
        <f t="shared" si="36"/>
        <v>سيستان وبلوچستانسراوان</v>
      </c>
      <c r="B1187" s="12" t="s">
        <v>266</v>
      </c>
      <c r="C1187" s="12" t="s">
        <v>273</v>
      </c>
      <c r="D1187" s="12" t="s">
        <v>480</v>
      </c>
      <c r="E1187" s="12">
        <v>0.61378518971848228</v>
      </c>
      <c r="F1187" s="12">
        <v>196080</v>
      </c>
      <c r="G1187">
        <f t="shared" si="37"/>
        <v>120351</v>
      </c>
      <c r="H1187" s="16" t="s">
        <v>768</v>
      </c>
    </row>
    <row r="1188" spans="1:8">
      <c r="A1188" t="str">
        <f t="shared" si="36"/>
        <v>سيستان وبلوچستانسراوان</v>
      </c>
      <c r="B1188" s="12" t="s">
        <v>266</v>
      </c>
      <c r="C1188" s="12" t="s">
        <v>273</v>
      </c>
      <c r="D1188" s="12" t="s">
        <v>479</v>
      </c>
      <c r="E1188" s="12">
        <v>0.29127396980824155</v>
      </c>
      <c r="F1188" s="12">
        <v>196080</v>
      </c>
      <c r="G1188">
        <f t="shared" si="37"/>
        <v>57113</v>
      </c>
      <c r="H1188" s="16" t="s">
        <v>768</v>
      </c>
    </row>
    <row r="1189" spans="1:8">
      <c r="A1189" t="str">
        <f t="shared" si="36"/>
        <v>سيستان وبلوچستانسراوان</v>
      </c>
      <c r="B1189" s="12" t="s">
        <v>266</v>
      </c>
      <c r="C1189" s="12" t="s">
        <v>273</v>
      </c>
      <c r="D1189" s="12" t="s">
        <v>22</v>
      </c>
      <c r="E1189" s="12">
        <v>5.6864545083639334E-2</v>
      </c>
      <c r="F1189" s="12">
        <v>196080</v>
      </c>
      <c r="G1189">
        <f t="shared" si="37"/>
        <v>11150</v>
      </c>
      <c r="H1189" s="16" t="s">
        <v>768</v>
      </c>
    </row>
    <row r="1190" spans="1:8">
      <c r="A1190" t="str">
        <f t="shared" si="36"/>
        <v>سيستان وبلوچستانسراوان</v>
      </c>
      <c r="B1190" s="12" t="s">
        <v>266</v>
      </c>
      <c r="C1190" s="12" t="s">
        <v>273</v>
      </c>
      <c r="D1190" s="12" t="s">
        <v>478</v>
      </c>
      <c r="E1190" s="12">
        <v>2.0364137086903305E-2</v>
      </c>
      <c r="F1190" s="12">
        <v>196080</v>
      </c>
      <c r="G1190">
        <f t="shared" si="37"/>
        <v>3993</v>
      </c>
      <c r="H1190" s="16" t="s">
        <v>768</v>
      </c>
    </row>
    <row r="1191" spans="1:8">
      <c r="A1191" t="str">
        <f t="shared" si="36"/>
        <v>سيستان وبلوچستانسراوان</v>
      </c>
      <c r="B1191" s="12" t="s">
        <v>266</v>
      </c>
      <c r="C1191" s="12" t="s">
        <v>273</v>
      </c>
      <c r="D1191" s="12" t="s">
        <v>20</v>
      </c>
      <c r="E1191" s="12">
        <v>1.7717258261933905E-2</v>
      </c>
      <c r="F1191" s="12">
        <v>196080</v>
      </c>
      <c r="G1191">
        <f t="shared" si="37"/>
        <v>3474</v>
      </c>
      <c r="H1191" s="16" t="s">
        <v>768</v>
      </c>
    </row>
    <row r="1192" spans="1:8">
      <c r="A1192" t="str">
        <f t="shared" si="36"/>
        <v>سيستان وبلوچستاننيك شهر</v>
      </c>
      <c r="B1192" s="12" t="s">
        <v>266</v>
      </c>
      <c r="C1192" s="12" t="s">
        <v>274</v>
      </c>
      <c r="D1192" s="12" t="s">
        <v>480</v>
      </c>
      <c r="E1192" s="12">
        <v>0.58763544095460152</v>
      </c>
      <c r="F1192" s="12">
        <v>145820</v>
      </c>
      <c r="G1192">
        <f t="shared" si="37"/>
        <v>85689</v>
      </c>
      <c r="H1192" s="16" t="s">
        <v>774</v>
      </c>
    </row>
    <row r="1193" spans="1:8">
      <c r="A1193" t="str">
        <f t="shared" si="36"/>
        <v>سيستان وبلوچستاننيك شهر</v>
      </c>
      <c r="B1193" s="12" t="s">
        <v>266</v>
      </c>
      <c r="C1193" s="12" t="s">
        <v>274</v>
      </c>
      <c r="D1193" s="12" t="s">
        <v>479</v>
      </c>
      <c r="E1193" s="12">
        <v>0.30187217116993553</v>
      </c>
      <c r="F1193" s="12">
        <v>145820</v>
      </c>
      <c r="G1193">
        <f t="shared" si="37"/>
        <v>44019</v>
      </c>
      <c r="H1193" s="16" t="s">
        <v>774</v>
      </c>
    </row>
    <row r="1194" spans="1:8">
      <c r="A1194" t="str">
        <f t="shared" si="36"/>
        <v>سيستان وبلوچستاننيك شهر</v>
      </c>
      <c r="B1194" s="12" t="s">
        <v>266</v>
      </c>
      <c r="C1194" s="12" t="s">
        <v>274</v>
      </c>
      <c r="D1194" s="12" t="s">
        <v>22</v>
      </c>
      <c r="E1194" s="12">
        <v>6.3235495816760384E-2</v>
      </c>
      <c r="F1194" s="12">
        <v>145820</v>
      </c>
      <c r="G1194">
        <f t="shared" si="37"/>
        <v>9221</v>
      </c>
      <c r="H1194" s="16" t="s">
        <v>774</v>
      </c>
    </row>
    <row r="1195" spans="1:8">
      <c r="A1195" t="str">
        <f t="shared" si="36"/>
        <v>سيستان وبلوچستاننيك شهر</v>
      </c>
      <c r="B1195" s="12" t="s">
        <v>266</v>
      </c>
      <c r="C1195" s="12" t="s">
        <v>274</v>
      </c>
      <c r="D1195" s="12" t="s">
        <v>478</v>
      </c>
      <c r="E1195" s="12">
        <v>2.3631874914277876E-2</v>
      </c>
      <c r="F1195" s="12">
        <v>145820</v>
      </c>
      <c r="G1195">
        <f t="shared" si="37"/>
        <v>3446</v>
      </c>
      <c r="H1195" s="16" t="s">
        <v>774</v>
      </c>
    </row>
    <row r="1196" spans="1:8">
      <c r="A1196" t="str">
        <f t="shared" si="36"/>
        <v>سيستان وبلوچستاننيك شهر</v>
      </c>
      <c r="B1196" s="12" t="s">
        <v>266</v>
      </c>
      <c r="C1196" s="12" t="s">
        <v>274</v>
      </c>
      <c r="D1196" s="12" t="s">
        <v>20</v>
      </c>
      <c r="E1196" s="12">
        <v>2.3625017144424634E-2</v>
      </c>
      <c r="F1196" s="12">
        <v>145820</v>
      </c>
      <c r="G1196">
        <f t="shared" si="37"/>
        <v>3445</v>
      </c>
      <c r="H1196" s="16" t="s">
        <v>774</v>
      </c>
    </row>
    <row r="1197" spans="1:8">
      <c r="A1197" t="str">
        <f t="shared" si="36"/>
        <v>سيستان وبلوچستانسرباز</v>
      </c>
      <c r="B1197" s="12" t="s">
        <v>266</v>
      </c>
      <c r="C1197" s="12" t="s">
        <v>275</v>
      </c>
      <c r="D1197" s="12" t="s">
        <v>480</v>
      </c>
      <c r="E1197" s="12">
        <v>0.61947429100882845</v>
      </c>
      <c r="F1197" s="12">
        <v>189953</v>
      </c>
      <c r="G1197">
        <f t="shared" si="37"/>
        <v>117671</v>
      </c>
      <c r="H1197" s="16" t="s">
        <v>760</v>
      </c>
    </row>
    <row r="1198" spans="1:8">
      <c r="A1198" t="str">
        <f t="shared" si="36"/>
        <v>سيستان وبلوچستانسرباز</v>
      </c>
      <c r="B1198" s="12" t="s">
        <v>266</v>
      </c>
      <c r="C1198" s="12" t="s">
        <v>275</v>
      </c>
      <c r="D1198" s="12" t="s">
        <v>479</v>
      </c>
      <c r="E1198" s="12">
        <v>0.29097197727858998</v>
      </c>
      <c r="F1198" s="12">
        <v>189953</v>
      </c>
      <c r="G1198">
        <f t="shared" si="37"/>
        <v>55271</v>
      </c>
      <c r="H1198" s="16" t="s">
        <v>760</v>
      </c>
    </row>
    <row r="1199" spans="1:8">
      <c r="A1199" t="str">
        <f t="shared" si="36"/>
        <v>سيستان وبلوچستانسرباز</v>
      </c>
      <c r="B1199" s="12" t="s">
        <v>266</v>
      </c>
      <c r="C1199" s="12" t="s">
        <v>275</v>
      </c>
      <c r="D1199" s="12" t="s">
        <v>22</v>
      </c>
      <c r="E1199" s="12">
        <v>5.0923123088342903E-2</v>
      </c>
      <c r="F1199" s="12">
        <v>189953</v>
      </c>
      <c r="G1199">
        <f t="shared" si="37"/>
        <v>9673</v>
      </c>
      <c r="H1199" s="16" t="s">
        <v>760</v>
      </c>
    </row>
    <row r="1200" spans="1:8">
      <c r="A1200" t="str">
        <f t="shared" si="36"/>
        <v>سيستان وبلوچستانسرباز</v>
      </c>
      <c r="B1200" s="12" t="s">
        <v>266</v>
      </c>
      <c r="C1200" s="12" t="s">
        <v>275</v>
      </c>
      <c r="D1200" s="12" t="s">
        <v>478</v>
      </c>
      <c r="E1200" s="12">
        <v>1.9188957268376914E-2</v>
      </c>
      <c r="F1200" s="12">
        <v>189953</v>
      </c>
      <c r="G1200">
        <f t="shared" si="37"/>
        <v>3645</v>
      </c>
      <c r="H1200" s="16" t="s">
        <v>760</v>
      </c>
    </row>
    <row r="1201" spans="1:8">
      <c r="A1201" t="str">
        <f t="shared" si="36"/>
        <v>سيستان وبلوچستانسرباز</v>
      </c>
      <c r="B1201" s="12" t="s">
        <v>266</v>
      </c>
      <c r="C1201" s="12" t="s">
        <v>275</v>
      </c>
      <c r="D1201" s="12" t="s">
        <v>20</v>
      </c>
      <c r="E1201" s="12">
        <v>1.9420593515237981E-2</v>
      </c>
      <c r="F1201" s="12">
        <v>189953</v>
      </c>
      <c r="G1201">
        <f t="shared" si="37"/>
        <v>3689</v>
      </c>
      <c r="H1201" s="16" t="s">
        <v>760</v>
      </c>
    </row>
    <row r="1202" spans="1:8">
      <c r="A1202" t="str">
        <f t="shared" si="36"/>
        <v>سيستان وبلوچستانكنارك</v>
      </c>
      <c r="B1202" s="12" t="s">
        <v>266</v>
      </c>
      <c r="C1202" s="12" t="s">
        <v>276</v>
      </c>
      <c r="D1202" s="12" t="s">
        <v>480</v>
      </c>
      <c r="E1202" s="12">
        <v>0.6069320507979411</v>
      </c>
      <c r="F1202" s="12">
        <v>100634</v>
      </c>
      <c r="G1202">
        <f t="shared" si="37"/>
        <v>61078</v>
      </c>
      <c r="H1202" s="16" t="s">
        <v>761</v>
      </c>
    </row>
    <row r="1203" spans="1:8">
      <c r="A1203" t="str">
        <f t="shared" si="36"/>
        <v>سيستان وبلوچستانكنارك</v>
      </c>
      <c r="B1203" s="12" t="s">
        <v>266</v>
      </c>
      <c r="C1203" s="12" t="s">
        <v>276</v>
      </c>
      <c r="D1203" s="12" t="s">
        <v>479</v>
      </c>
      <c r="E1203" s="12">
        <v>0.31355207981397937</v>
      </c>
      <c r="F1203" s="12">
        <v>100634</v>
      </c>
      <c r="G1203">
        <f t="shared" si="37"/>
        <v>31554</v>
      </c>
      <c r="H1203" s="16" t="s">
        <v>761</v>
      </c>
    </row>
    <row r="1204" spans="1:8">
      <c r="A1204" t="str">
        <f t="shared" si="36"/>
        <v>سيستان وبلوچستانكنارك</v>
      </c>
      <c r="B1204" s="12" t="s">
        <v>266</v>
      </c>
      <c r="C1204" s="12" t="s">
        <v>276</v>
      </c>
      <c r="D1204" s="12" t="s">
        <v>22</v>
      </c>
      <c r="E1204" s="12">
        <v>4.9287517141324004E-2</v>
      </c>
      <c r="F1204" s="12">
        <v>100634</v>
      </c>
      <c r="G1204">
        <f t="shared" si="37"/>
        <v>4960</v>
      </c>
      <c r="H1204" s="16" t="s">
        <v>761</v>
      </c>
    </row>
    <row r="1205" spans="1:8">
      <c r="A1205" t="str">
        <f t="shared" si="36"/>
        <v>سيستان وبلوچستانكنارك</v>
      </c>
      <c r="B1205" s="12" t="s">
        <v>266</v>
      </c>
      <c r="C1205" s="12" t="s">
        <v>276</v>
      </c>
      <c r="D1205" s="12" t="s">
        <v>478</v>
      </c>
      <c r="E1205" s="12">
        <v>1.5799829083609912E-2</v>
      </c>
      <c r="F1205" s="12">
        <v>100634</v>
      </c>
      <c r="G1205">
        <f t="shared" si="37"/>
        <v>1590</v>
      </c>
      <c r="H1205" s="16" t="s">
        <v>761</v>
      </c>
    </row>
    <row r="1206" spans="1:8">
      <c r="A1206" t="str">
        <f t="shared" si="36"/>
        <v>سيستان وبلوچستانكنارك</v>
      </c>
      <c r="B1206" s="12" t="s">
        <v>266</v>
      </c>
      <c r="C1206" s="12" t="s">
        <v>276</v>
      </c>
      <c r="D1206" s="12" t="s">
        <v>20</v>
      </c>
      <c r="E1206" s="12">
        <v>1.448814515968758E-2</v>
      </c>
      <c r="F1206" s="12">
        <v>100634</v>
      </c>
      <c r="G1206">
        <f t="shared" si="37"/>
        <v>1458</v>
      </c>
      <c r="H1206" s="16" t="s">
        <v>761</v>
      </c>
    </row>
    <row r="1207" spans="1:8">
      <c r="A1207" t="str">
        <f t="shared" si="36"/>
        <v>سيستان وبلوچستانزهك</v>
      </c>
      <c r="B1207" s="12" t="s">
        <v>266</v>
      </c>
      <c r="C1207" s="12" t="s">
        <v>277</v>
      </c>
      <c r="D1207" s="12" t="s">
        <v>480</v>
      </c>
      <c r="E1207" s="12">
        <v>0.57687292082501662</v>
      </c>
      <c r="F1207" s="12">
        <v>75150</v>
      </c>
      <c r="G1207">
        <f t="shared" si="37"/>
        <v>43352</v>
      </c>
      <c r="H1207" s="16" t="s">
        <v>772</v>
      </c>
    </row>
    <row r="1208" spans="1:8">
      <c r="A1208" t="str">
        <f t="shared" si="36"/>
        <v>سيستان وبلوچستانزهك</v>
      </c>
      <c r="B1208" s="12" t="s">
        <v>266</v>
      </c>
      <c r="C1208" s="12" t="s">
        <v>277</v>
      </c>
      <c r="D1208" s="12" t="s">
        <v>479</v>
      </c>
      <c r="E1208" s="12">
        <v>0.31942781104457751</v>
      </c>
      <c r="F1208" s="12">
        <v>75150</v>
      </c>
      <c r="G1208">
        <f t="shared" si="37"/>
        <v>24005</v>
      </c>
      <c r="H1208" s="16" t="s">
        <v>772</v>
      </c>
    </row>
    <row r="1209" spans="1:8">
      <c r="A1209" t="str">
        <f t="shared" si="36"/>
        <v>سيستان وبلوچستانزهك</v>
      </c>
      <c r="B1209" s="12" t="s">
        <v>266</v>
      </c>
      <c r="C1209" s="12" t="s">
        <v>277</v>
      </c>
      <c r="D1209" s="12" t="s">
        <v>22</v>
      </c>
      <c r="E1209" s="12">
        <v>6.4298070525615439E-2</v>
      </c>
      <c r="F1209" s="12">
        <v>75150</v>
      </c>
      <c r="G1209">
        <f t="shared" si="37"/>
        <v>4832</v>
      </c>
      <c r="H1209" s="16" t="s">
        <v>772</v>
      </c>
    </row>
    <row r="1210" spans="1:8">
      <c r="A1210" t="str">
        <f t="shared" si="36"/>
        <v>سيستان وبلوچستانزهك</v>
      </c>
      <c r="B1210" s="12" t="s">
        <v>266</v>
      </c>
      <c r="C1210" s="12" t="s">
        <v>277</v>
      </c>
      <c r="D1210" s="12" t="s">
        <v>478</v>
      </c>
      <c r="E1210" s="12">
        <v>2.2727877578176979E-2</v>
      </c>
      <c r="F1210" s="12">
        <v>75150</v>
      </c>
      <c r="G1210">
        <f t="shared" si="37"/>
        <v>1708</v>
      </c>
      <c r="H1210" s="16" t="s">
        <v>772</v>
      </c>
    </row>
    <row r="1211" spans="1:8">
      <c r="A1211" t="str">
        <f t="shared" si="36"/>
        <v>سيستان وبلوچستانزهك</v>
      </c>
      <c r="B1211" s="12" t="s">
        <v>266</v>
      </c>
      <c r="C1211" s="12" t="s">
        <v>277</v>
      </c>
      <c r="D1211" s="12" t="s">
        <v>20</v>
      </c>
      <c r="E1211" s="12">
        <v>1.6580172987358616E-2</v>
      </c>
      <c r="F1211" s="12">
        <v>75150</v>
      </c>
      <c r="G1211">
        <f t="shared" si="37"/>
        <v>1246</v>
      </c>
      <c r="H1211" s="16" t="s">
        <v>772</v>
      </c>
    </row>
    <row r="1212" spans="1:8">
      <c r="A1212" t="str">
        <f t="shared" si="36"/>
        <v>سيستان وبلوچستانهيرمند</v>
      </c>
      <c r="B1212" s="12" t="s">
        <v>266</v>
      </c>
      <c r="C1212" s="12" t="s">
        <v>278</v>
      </c>
      <c r="D1212" s="12" t="s">
        <v>480</v>
      </c>
      <c r="E1212" s="12">
        <v>0.60000632001390408</v>
      </c>
      <c r="F1212" s="12">
        <v>63291</v>
      </c>
      <c r="G1212">
        <f t="shared" si="37"/>
        <v>37975</v>
      </c>
      <c r="H1212" s="16" t="s">
        <v>765</v>
      </c>
    </row>
    <row r="1213" spans="1:8">
      <c r="A1213" t="str">
        <f t="shared" si="36"/>
        <v>سيستان وبلوچستانهيرمند</v>
      </c>
      <c r="B1213" s="12" t="s">
        <v>266</v>
      </c>
      <c r="C1213" s="12" t="s">
        <v>278</v>
      </c>
      <c r="D1213" s="12" t="s">
        <v>479</v>
      </c>
      <c r="E1213" s="12">
        <v>0.30088006193613626</v>
      </c>
      <c r="F1213" s="12">
        <v>63291</v>
      </c>
      <c r="G1213">
        <f t="shared" si="37"/>
        <v>19043</v>
      </c>
      <c r="H1213" s="16" t="s">
        <v>765</v>
      </c>
    </row>
    <row r="1214" spans="1:8">
      <c r="A1214" t="str">
        <f t="shared" si="36"/>
        <v>سيستان وبلوچستانهيرمند</v>
      </c>
      <c r="B1214" s="12" t="s">
        <v>266</v>
      </c>
      <c r="C1214" s="12" t="s">
        <v>278</v>
      </c>
      <c r="D1214" s="12" t="s">
        <v>22</v>
      </c>
      <c r="E1214" s="12">
        <v>5.5505522112148646E-2</v>
      </c>
      <c r="F1214" s="12">
        <v>63291</v>
      </c>
      <c r="G1214">
        <f t="shared" si="37"/>
        <v>3513</v>
      </c>
      <c r="H1214" s="16" t="s">
        <v>765</v>
      </c>
    </row>
    <row r="1215" spans="1:8">
      <c r="A1215" t="str">
        <f t="shared" si="36"/>
        <v>سيستان وبلوچستانهيرمند</v>
      </c>
      <c r="B1215" s="12" t="s">
        <v>266</v>
      </c>
      <c r="C1215" s="12" t="s">
        <v>278</v>
      </c>
      <c r="D1215" s="12" t="s">
        <v>478</v>
      </c>
      <c r="E1215" s="12">
        <v>2.0413644910018802E-2</v>
      </c>
      <c r="F1215" s="12">
        <v>63291</v>
      </c>
      <c r="G1215">
        <f t="shared" si="37"/>
        <v>1292</v>
      </c>
      <c r="H1215" s="16" t="s">
        <v>765</v>
      </c>
    </row>
    <row r="1216" spans="1:8">
      <c r="A1216" t="str">
        <f t="shared" si="36"/>
        <v>سيستان وبلوچستانهيرمند</v>
      </c>
      <c r="B1216" s="12" t="s">
        <v>266</v>
      </c>
      <c r="C1216" s="12" t="s">
        <v>278</v>
      </c>
      <c r="D1216" s="12" t="s">
        <v>20</v>
      </c>
      <c r="E1216" s="12">
        <v>2.3226051097312413E-2</v>
      </c>
      <c r="F1216" s="12">
        <v>63291</v>
      </c>
      <c r="G1216">
        <f t="shared" si="37"/>
        <v>1470</v>
      </c>
      <c r="H1216" s="16" t="s">
        <v>765</v>
      </c>
    </row>
    <row r="1217" spans="1:8">
      <c r="A1217" t="str">
        <f t="shared" si="36"/>
        <v>سيستان وبلوچستاندلگان</v>
      </c>
      <c r="B1217" s="12" t="s">
        <v>266</v>
      </c>
      <c r="C1217" s="12" t="s">
        <v>279</v>
      </c>
      <c r="D1217" s="12" t="s">
        <v>480</v>
      </c>
      <c r="E1217" s="12">
        <v>0.60843260684807188</v>
      </c>
      <c r="F1217" s="12">
        <v>69421</v>
      </c>
      <c r="G1217">
        <f t="shared" si="37"/>
        <v>42238</v>
      </c>
      <c r="H1217" s="16" t="s">
        <v>764</v>
      </c>
    </row>
    <row r="1218" spans="1:8">
      <c r="A1218" t="str">
        <f t="shared" ref="A1218:A1281" si="38">B1218&amp;C1218</f>
        <v>سيستان وبلوچستاندلگان</v>
      </c>
      <c r="B1218" s="12" t="s">
        <v>266</v>
      </c>
      <c r="C1218" s="12" t="s">
        <v>279</v>
      </c>
      <c r="D1218" s="12" t="s">
        <v>479</v>
      </c>
      <c r="E1218" s="12">
        <v>0.29966436669019458</v>
      </c>
      <c r="F1218" s="12">
        <v>69421</v>
      </c>
      <c r="G1218">
        <f t="shared" si="37"/>
        <v>20803</v>
      </c>
      <c r="H1218" s="16" t="s">
        <v>764</v>
      </c>
    </row>
    <row r="1219" spans="1:8">
      <c r="A1219" t="str">
        <f t="shared" si="38"/>
        <v>سيستان وبلوچستاندلگان</v>
      </c>
      <c r="B1219" s="12" t="s">
        <v>266</v>
      </c>
      <c r="C1219" s="12" t="s">
        <v>279</v>
      </c>
      <c r="D1219" s="12" t="s">
        <v>22</v>
      </c>
      <c r="E1219" s="12">
        <v>5.3931807378170868E-2</v>
      </c>
      <c r="F1219" s="12">
        <v>69421</v>
      </c>
      <c r="G1219">
        <f t="shared" ref="G1219:G1282" si="39">IFERROR(ROUND(F1219*E1219,0),0)</f>
        <v>3744</v>
      </c>
      <c r="H1219" s="16" t="s">
        <v>764</v>
      </c>
    </row>
    <row r="1220" spans="1:8">
      <c r="A1220" t="str">
        <f t="shared" si="38"/>
        <v>سيستان وبلوچستاندلگان</v>
      </c>
      <c r="B1220" s="12" t="s">
        <v>266</v>
      </c>
      <c r="C1220" s="12" t="s">
        <v>279</v>
      </c>
      <c r="D1220" s="12" t="s">
        <v>478</v>
      </c>
      <c r="E1220" s="12">
        <v>1.928811166649861E-2</v>
      </c>
      <c r="F1220" s="12">
        <v>69421</v>
      </c>
      <c r="G1220">
        <f t="shared" si="39"/>
        <v>1339</v>
      </c>
      <c r="H1220" s="16" t="s">
        <v>764</v>
      </c>
    </row>
    <row r="1221" spans="1:8">
      <c r="A1221" t="str">
        <f t="shared" si="38"/>
        <v>سيستان وبلوچستاندلگان</v>
      </c>
      <c r="B1221" s="12" t="s">
        <v>266</v>
      </c>
      <c r="C1221" s="12" t="s">
        <v>279</v>
      </c>
      <c r="D1221" s="12" t="s">
        <v>20</v>
      </c>
      <c r="E1221" s="12">
        <v>1.8711917143227553E-2</v>
      </c>
      <c r="F1221" s="12">
        <v>69421</v>
      </c>
      <c r="G1221">
        <f t="shared" si="39"/>
        <v>1299</v>
      </c>
      <c r="H1221" s="16" t="s">
        <v>764</v>
      </c>
    </row>
    <row r="1222" spans="1:8">
      <c r="A1222" t="str">
        <f t="shared" si="38"/>
        <v>سيستان وبلوچستانمهرستان (زابلی)</v>
      </c>
      <c r="B1222" s="12" t="s">
        <v>266</v>
      </c>
      <c r="C1222" s="12" t="s">
        <v>280</v>
      </c>
      <c r="D1222" s="12" t="s">
        <v>480</v>
      </c>
      <c r="E1222" s="12">
        <v>0.6463369333425053</v>
      </c>
      <c r="F1222" s="12">
        <v>72685</v>
      </c>
      <c r="G1222">
        <f t="shared" si="39"/>
        <v>46979</v>
      </c>
      <c r="H1222" s="16" t="s">
        <v>766</v>
      </c>
    </row>
    <row r="1223" spans="1:8">
      <c r="A1223" t="str">
        <f t="shared" si="38"/>
        <v>سيستان وبلوچستانمهرستان (زابلی)</v>
      </c>
      <c r="B1223" s="12" t="s">
        <v>266</v>
      </c>
      <c r="C1223" s="12" t="s">
        <v>280</v>
      </c>
      <c r="D1223" s="12" t="s">
        <v>479</v>
      </c>
      <c r="E1223" s="12">
        <v>0.26486895508014036</v>
      </c>
      <c r="F1223" s="12">
        <v>72685</v>
      </c>
      <c r="G1223">
        <f t="shared" si="39"/>
        <v>19252</v>
      </c>
      <c r="H1223" s="16" t="s">
        <v>766</v>
      </c>
    </row>
    <row r="1224" spans="1:8">
      <c r="A1224" t="str">
        <f t="shared" si="38"/>
        <v>سيستان وبلوچستانمهرستان (زابلی)</v>
      </c>
      <c r="B1224" s="12" t="s">
        <v>266</v>
      </c>
      <c r="C1224" s="12" t="s">
        <v>280</v>
      </c>
      <c r="D1224" s="12" t="s">
        <v>22</v>
      </c>
      <c r="E1224" s="12">
        <v>5.1165990231822243E-2</v>
      </c>
      <c r="F1224" s="12">
        <v>72685</v>
      </c>
      <c r="G1224">
        <f t="shared" si="39"/>
        <v>3719</v>
      </c>
      <c r="H1224" s="16" t="s">
        <v>766</v>
      </c>
    </row>
    <row r="1225" spans="1:8">
      <c r="A1225" t="str">
        <f t="shared" si="38"/>
        <v>سيستان وبلوچستانمهرستان (زابلی)</v>
      </c>
      <c r="B1225" s="12" t="s">
        <v>266</v>
      </c>
      <c r="C1225" s="12" t="s">
        <v>280</v>
      </c>
      <c r="D1225" s="12" t="s">
        <v>478</v>
      </c>
      <c r="E1225" s="12">
        <v>1.9550113503473895E-2</v>
      </c>
      <c r="F1225" s="12">
        <v>72685</v>
      </c>
      <c r="G1225">
        <f t="shared" si="39"/>
        <v>1421</v>
      </c>
      <c r="H1225" s="16" t="s">
        <v>766</v>
      </c>
    </row>
    <row r="1226" spans="1:8">
      <c r="A1226" t="str">
        <f t="shared" si="38"/>
        <v>سيستان وبلوچستانمهرستان (زابلی)</v>
      </c>
      <c r="B1226" s="12" t="s">
        <v>266</v>
      </c>
      <c r="C1226" s="12" t="s">
        <v>280</v>
      </c>
      <c r="D1226" s="12" t="s">
        <v>20</v>
      </c>
      <c r="E1226" s="12">
        <v>1.8036733851551214E-2</v>
      </c>
      <c r="F1226" s="12">
        <v>72685</v>
      </c>
      <c r="G1226">
        <f t="shared" si="39"/>
        <v>1311</v>
      </c>
      <c r="H1226" s="16" t="s">
        <v>766</v>
      </c>
    </row>
    <row r="1227" spans="1:8">
      <c r="A1227" t="str">
        <f t="shared" si="38"/>
        <v>سيستان وبلوچستانسيب و سوران</v>
      </c>
      <c r="B1227" s="12" t="s">
        <v>266</v>
      </c>
      <c r="C1227" s="12" t="s">
        <v>281</v>
      </c>
      <c r="D1227" s="12" t="s">
        <v>480</v>
      </c>
      <c r="E1227" s="12">
        <v>0.63702645563110682</v>
      </c>
      <c r="F1227" s="12">
        <v>87505</v>
      </c>
      <c r="G1227">
        <f t="shared" si="39"/>
        <v>55743</v>
      </c>
      <c r="H1227" s="16" t="s">
        <v>776</v>
      </c>
    </row>
    <row r="1228" spans="1:8">
      <c r="A1228" t="str">
        <f t="shared" si="38"/>
        <v>سيستان وبلوچستانسيب و سوران</v>
      </c>
      <c r="B1228" s="12" t="s">
        <v>266</v>
      </c>
      <c r="C1228" s="12" t="s">
        <v>281</v>
      </c>
      <c r="D1228" s="12" t="s">
        <v>479</v>
      </c>
      <c r="E1228" s="12">
        <v>0.26848751499914292</v>
      </c>
      <c r="F1228" s="12">
        <v>87505</v>
      </c>
      <c r="G1228">
        <f t="shared" si="39"/>
        <v>23494</v>
      </c>
      <c r="H1228" s="16" t="s">
        <v>776</v>
      </c>
    </row>
    <row r="1229" spans="1:8">
      <c r="A1229" t="str">
        <f t="shared" si="38"/>
        <v>سيستان وبلوچستانسيب و سوران</v>
      </c>
      <c r="B1229" s="12" t="s">
        <v>266</v>
      </c>
      <c r="C1229" s="12" t="s">
        <v>281</v>
      </c>
      <c r="D1229" s="12" t="s">
        <v>22</v>
      </c>
      <c r="E1229" s="12">
        <v>5.5356836752185591E-2</v>
      </c>
      <c r="F1229" s="12">
        <v>87505</v>
      </c>
      <c r="G1229">
        <f t="shared" si="39"/>
        <v>4844</v>
      </c>
      <c r="H1229" s="16" t="s">
        <v>776</v>
      </c>
    </row>
    <row r="1230" spans="1:8">
      <c r="A1230" t="str">
        <f t="shared" si="38"/>
        <v>سيستان وبلوچستانسيب و سوران</v>
      </c>
      <c r="B1230" s="12" t="s">
        <v>266</v>
      </c>
      <c r="C1230" s="12" t="s">
        <v>281</v>
      </c>
      <c r="D1230" s="12" t="s">
        <v>478</v>
      </c>
      <c r="E1230" s="12">
        <v>2.0318838923490085E-2</v>
      </c>
      <c r="F1230" s="12">
        <v>87505</v>
      </c>
      <c r="G1230">
        <f t="shared" si="39"/>
        <v>1778</v>
      </c>
      <c r="H1230" s="16" t="s">
        <v>776</v>
      </c>
    </row>
    <row r="1231" spans="1:8">
      <c r="A1231" t="str">
        <f t="shared" si="38"/>
        <v>سيستان وبلوچستانسيب و سوران</v>
      </c>
      <c r="B1231" s="12" t="s">
        <v>266</v>
      </c>
      <c r="C1231" s="12" t="s">
        <v>281</v>
      </c>
      <c r="D1231" s="12" t="s">
        <v>20</v>
      </c>
      <c r="E1231" s="12">
        <v>1.8856065367693273E-2</v>
      </c>
      <c r="F1231" s="12">
        <v>87505</v>
      </c>
      <c r="G1231">
        <f t="shared" si="39"/>
        <v>1650</v>
      </c>
      <c r="H1231" s="16" t="s">
        <v>776</v>
      </c>
    </row>
    <row r="1232" spans="1:8">
      <c r="A1232" t="str">
        <f t="shared" si="38"/>
        <v>سيستان وبلوچستاننيمروز</v>
      </c>
      <c r="B1232" s="12" t="s">
        <v>266</v>
      </c>
      <c r="C1232" s="12" t="s">
        <v>282</v>
      </c>
      <c r="D1232" s="12" t="s">
        <v>480</v>
      </c>
      <c r="E1232" s="12">
        <v>0.55850526619535423</v>
      </c>
      <c r="F1232" s="12">
        <v>48517</v>
      </c>
      <c r="G1232">
        <f t="shared" si="39"/>
        <v>27097</v>
      </c>
      <c r="H1232" s="16" t="s">
        <v>763</v>
      </c>
    </row>
    <row r="1233" spans="1:8">
      <c r="A1233" t="str">
        <f t="shared" si="38"/>
        <v>سيستان وبلوچستاننيمروز</v>
      </c>
      <c r="B1233" s="12" t="s">
        <v>266</v>
      </c>
      <c r="C1233" s="12" t="s">
        <v>282</v>
      </c>
      <c r="D1233" s="12" t="s">
        <v>479</v>
      </c>
      <c r="E1233" s="12">
        <v>0.32396891811117751</v>
      </c>
      <c r="F1233" s="12">
        <v>48517</v>
      </c>
      <c r="G1233">
        <f t="shared" si="39"/>
        <v>15718</v>
      </c>
      <c r="H1233" s="16" t="s">
        <v>763</v>
      </c>
    </row>
    <row r="1234" spans="1:8">
      <c r="A1234" t="str">
        <f t="shared" si="38"/>
        <v>سيستان وبلوچستاننيمروز</v>
      </c>
      <c r="B1234" s="12" t="s">
        <v>266</v>
      </c>
      <c r="C1234" s="12" t="s">
        <v>282</v>
      </c>
      <c r="D1234" s="12" t="s">
        <v>22</v>
      </c>
      <c r="E1234" s="12">
        <v>6.7563946657872492E-2</v>
      </c>
      <c r="F1234" s="12">
        <v>48517</v>
      </c>
      <c r="G1234">
        <f t="shared" si="39"/>
        <v>3278</v>
      </c>
      <c r="H1234" s="16" t="s">
        <v>763</v>
      </c>
    </row>
    <row r="1235" spans="1:8">
      <c r="A1235" t="str">
        <f t="shared" si="38"/>
        <v>سيستان وبلوچستاننيمروز</v>
      </c>
      <c r="B1235" s="12" t="s">
        <v>266</v>
      </c>
      <c r="C1235" s="12" t="s">
        <v>282</v>
      </c>
      <c r="D1235" s="12" t="s">
        <v>478</v>
      </c>
      <c r="E1235" s="12">
        <v>2.471298720036276E-2</v>
      </c>
      <c r="F1235" s="12">
        <v>48517</v>
      </c>
      <c r="G1235">
        <f t="shared" si="39"/>
        <v>1199</v>
      </c>
      <c r="H1235" s="16" t="s">
        <v>763</v>
      </c>
    </row>
    <row r="1236" spans="1:8">
      <c r="A1236" t="str">
        <f t="shared" si="38"/>
        <v>سيستان وبلوچستاننيمروز</v>
      </c>
      <c r="B1236" s="12" t="s">
        <v>266</v>
      </c>
      <c r="C1236" s="12" t="s">
        <v>282</v>
      </c>
      <c r="D1236" s="12" t="s">
        <v>20</v>
      </c>
      <c r="E1236" s="12">
        <v>2.5269493167343407E-2</v>
      </c>
      <c r="F1236" s="12">
        <v>48517</v>
      </c>
      <c r="G1236">
        <f t="shared" si="39"/>
        <v>1226</v>
      </c>
      <c r="H1236" s="16" t="s">
        <v>763</v>
      </c>
    </row>
    <row r="1237" spans="1:8">
      <c r="A1237" t="str">
        <f t="shared" si="38"/>
        <v>سيستان وبلوچستانهامون</v>
      </c>
      <c r="B1237" s="12" t="s">
        <v>266</v>
      </c>
      <c r="C1237" s="12" t="s">
        <v>283</v>
      </c>
      <c r="D1237" s="12" t="s">
        <v>480</v>
      </c>
      <c r="E1237" s="12">
        <v>0.52244679817316098</v>
      </c>
      <c r="F1237" s="12">
        <v>41164</v>
      </c>
      <c r="G1237">
        <f t="shared" si="39"/>
        <v>21506</v>
      </c>
      <c r="H1237" s="16" t="s">
        <v>771</v>
      </c>
    </row>
    <row r="1238" spans="1:8">
      <c r="A1238" t="str">
        <f t="shared" si="38"/>
        <v>سيستان وبلوچستانهامون</v>
      </c>
      <c r="B1238" s="12" t="s">
        <v>266</v>
      </c>
      <c r="C1238" s="12" t="s">
        <v>283</v>
      </c>
      <c r="D1238" s="12" t="s">
        <v>479</v>
      </c>
      <c r="E1238" s="12">
        <v>0.32431250607326789</v>
      </c>
      <c r="F1238" s="12">
        <v>41164</v>
      </c>
      <c r="G1238">
        <f t="shared" si="39"/>
        <v>13350</v>
      </c>
      <c r="H1238" s="16" t="s">
        <v>771</v>
      </c>
    </row>
    <row r="1239" spans="1:8">
      <c r="A1239" t="str">
        <f t="shared" si="38"/>
        <v>سيستان وبلوچستانهامون</v>
      </c>
      <c r="B1239" s="12" t="s">
        <v>266</v>
      </c>
      <c r="C1239" s="12" t="s">
        <v>283</v>
      </c>
      <c r="D1239" s="12" t="s">
        <v>22</v>
      </c>
      <c r="E1239" s="12">
        <v>8.2086288990379938E-2</v>
      </c>
      <c r="F1239" s="12">
        <v>41164</v>
      </c>
      <c r="G1239">
        <f t="shared" si="39"/>
        <v>3379</v>
      </c>
      <c r="H1239" s="16" t="s">
        <v>771</v>
      </c>
    </row>
    <row r="1240" spans="1:8">
      <c r="A1240" t="str">
        <f t="shared" si="38"/>
        <v>سيستان وبلوچستانهامون</v>
      </c>
      <c r="B1240" s="12" t="s">
        <v>266</v>
      </c>
      <c r="C1240" s="12" t="s">
        <v>283</v>
      </c>
      <c r="D1240" s="12" t="s">
        <v>478</v>
      </c>
      <c r="E1240" s="12">
        <v>3.4326110193372852E-2</v>
      </c>
      <c r="F1240" s="12">
        <v>41164</v>
      </c>
      <c r="G1240">
        <f t="shared" si="39"/>
        <v>1413</v>
      </c>
      <c r="H1240" s="16" t="s">
        <v>771</v>
      </c>
    </row>
    <row r="1241" spans="1:8">
      <c r="A1241" t="str">
        <f t="shared" si="38"/>
        <v>سيستان وبلوچستانهامون</v>
      </c>
      <c r="B1241" s="12" t="s">
        <v>266</v>
      </c>
      <c r="C1241" s="12" t="s">
        <v>283</v>
      </c>
      <c r="D1241" s="12" t="s">
        <v>20</v>
      </c>
      <c r="E1241" s="12">
        <v>3.6804003498202315E-2</v>
      </c>
      <c r="F1241" s="12">
        <v>41164</v>
      </c>
      <c r="G1241">
        <f t="shared" si="39"/>
        <v>1515</v>
      </c>
      <c r="H1241" s="16" t="s">
        <v>771</v>
      </c>
    </row>
    <row r="1242" spans="1:8">
      <c r="A1242" t="str">
        <f t="shared" si="38"/>
        <v>سيستان وبلوچستانميرجاوه</v>
      </c>
      <c r="B1242" s="12" t="s">
        <v>266</v>
      </c>
      <c r="C1242" s="12" t="s">
        <v>284</v>
      </c>
      <c r="D1242" s="12" t="s">
        <v>480</v>
      </c>
      <c r="E1242" s="12">
        <v>0.6154048427741865</v>
      </c>
      <c r="F1242" s="12">
        <v>45635</v>
      </c>
      <c r="G1242">
        <f t="shared" si="39"/>
        <v>28084</v>
      </c>
      <c r="H1242" s="16" t="s">
        <v>769</v>
      </c>
    </row>
    <row r="1243" spans="1:8">
      <c r="A1243" t="str">
        <f t="shared" si="38"/>
        <v>سيستان وبلوچستانميرجاوه</v>
      </c>
      <c r="B1243" s="12" t="s">
        <v>266</v>
      </c>
      <c r="C1243" s="12" t="s">
        <v>284</v>
      </c>
      <c r="D1243" s="12" t="s">
        <v>479</v>
      </c>
      <c r="E1243" s="12">
        <v>0.30150104086775503</v>
      </c>
      <c r="F1243" s="12">
        <v>45635</v>
      </c>
      <c r="G1243">
        <f t="shared" si="39"/>
        <v>13759</v>
      </c>
      <c r="H1243" s="16" t="s">
        <v>769</v>
      </c>
    </row>
    <row r="1244" spans="1:8">
      <c r="A1244" t="str">
        <f t="shared" si="38"/>
        <v>سيستان وبلوچستانميرجاوه</v>
      </c>
      <c r="B1244" s="12" t="s">
        <v>266</v>
      </c>
      <c r="C1244" s="12" t="s">
        <v>284</v>
      </c>
      <c r="D1244" s="12" t="s">
        <v>22</v>
      </c>
      <c r="E1244" s="12">
        <v>5.0487564369453272E-2</v>
      </c>
      <c r="F1244" s="12">
        <v>45635</v>
      </c>
      <c r="G1244">
        <f t="shared" si="39"/>
        <v>2304</v>
      </c>
      <c r="H1244" s="16" t="s">
        <v>769</v>
      </c>
    </row>
    <row r="1245" spans="1:8">
      <c r="A1245" t="str">
        <f t="shared" si="38"/>
        <v>سيستان وبلوچستانميرجاوه</v>
      </c>
      <c r="B1245" s="12" t="s">
        <v>266</v>
      </c>
      <c r="C1245" s="12" t="s">
        <v>284</v>
      </c>
      <c r="D1245" s="12" t="s">
        <v>478</v>
      </c>
      <c r="E1245" s="12">
        <v>1.6916840144625835E-2</v>
      </c>
      <c r="F1245" s="12">
        <v>45635</v>
      </c>
      <c r="G1245">
        <f t="shared" si="39"/>
        <v>772</v>
      </c>
      <c r="H1245" s="16" t="s">
        <v>769</v>
      </c>
    </row>
    <row r="1246" spans="1:8">
      <c r="A1246" t="str">
        <f t="shared" si="38"/>
        <v>سيستان وبلوچستانميرجاوه</v>
      </c>
      <c r="B1246" s="12" t="s">
        <v>266</v>
      </c>
      <c r="C1246" s="12" t="s">
        <v>284</v>
      </c>
      <c r="D1246" s="12" t="s">
        <v>20</v>
      </c>
      <c r="E1246" s="12">
        <v>1.5843102881560205E-2</v>
      </c>
      <c r="F1246" s="12">
        <v>45635</v>
      </c>
      <c r="G1246">
        <f t="shared" si="39"/>
        <v>723</v>
      </c>
      <c r="H1246" s="16" t="s">
        <v>769</v>
      </c>
    </row>
    <row r="1247" spans="1:8">
      <c r="A1247" t="str">
        <f t="shared" si="38"/>
        <v>سيستان وبلوچستانقصرقند</v>
      </c>
      <c r="B1247" s="12" t="s">
        <v>266</v>
      </c>
      <c r="C1247" s="12" t="s">
        <v>285</v>
      </c>
      <c r="D1247" s="12" t="s">
        <v>480</v>
      </c>
      <c r="E1247" s="12">
        <v>0.59118246038312228</v>
      </c>
      <c r="F1247" s="12">
        <v>62852</v>
      </c>
      <c r="G1247">
        <f t="shared" si="39"/>
        <v>37157</v>
      </c>
      <c r="H1247" s="16" t="s">
        <v>756</v>
      </c>
    </row>
    <row r="1248" spans="1:8">
      <c r="A1248" t="str">
        <f t="shared" si="38"/>
        <v>سيستان وبلوچستانقصرقند</v>
      </c>
      <c r="B1248" s="12" t="s">
        <v>266</v>
      </c>
      <c r="C1248" s="12" t="s">
        <v>285</v>
      </c>
      <c r="D1248" s="12" t="s">
        <v>479</v>
      </c>
      <c r="E1248" s="12">
        <v>0.30145420988990007</v>
      </c>
      <c r="F1248" s="12">
        <v>62852</v>
      </c>
      <c r="G1248">
        <f t="shared" si="39"/>
        <v>18947</v>
      </c>
      <c r="H1248" s="16" t="s">
        <v>756</v>
      </c>
    </row>
    <row r="1249" spans="1:8">
      <c r="A1249" t="str">
        <f t="shared" si="38"/>
        <v>سيستان وبلوچستانقصرقند</v>
      </c>
      <c r="B1249" s="12" t="s">
        <v>266</v>
      </c>
      <c r="C1249" s="12" t="s">
        <v>285</v>
      </c>
      <c r="D1249" s="12" t="s">
        <v>22</v>
      </c>
      <c r="E1249" s="12">
        <v>6.0952714312989244E-2</v>
      </c>
      <c r="F1249" s="12">
        <v>62852</v>
      </c>
      <c r="G1249">
        <f t="shared" si="39"/>
        <v>3831</v>
      </c>
      <c r="H1249" s="16" t="s">
        <v>756</v>
      </c>
    </row>
    <row r="1250" spans="1:8">
      <c r="A1250" t="str">
        <f t="shared" si="38"/>
        <v>سيستان وبلوچستانقصرقند</v>
      </c>
      <c r="B1250" s="12" t="s">
        <v>266</v>
      </c>
      <c r="C1250" s="12" t="s">
        <v>285</v>
      </c>
      <c r="D1250" s="12" t="s">
        <v>478</v>
      </c>
      <c r="E1250" s="12">
        <v>2.3420098008018839E-2</v>
      </c>
      <c r="F1250" s="12">
        <v>62852</v>
      </c>
      <c r="G1250">
        <f t="shared" si="39"/>
        <v>1472</v>
      </c>
      <c r="H1250" s="16" t="s">
        <v>756</v>
      </c>
    </row>
    <row r="1251" spans="1:8">
      <c r="A1251" t="str">
        <f t="shared" si="38"/>
        <v>سيستان وبلوچستانقصرقند</v>
      </c>
      <c r="B1251" s="12" t="s">
        <v>266</v>
      </c>
      <c r="C1251" s="12" t="s">
        <v>285</v>
      </c>
      <c r="D1251" s="12" t="s">
        <v>20</v>
      </c>
      <c r="E1251" s="12">
        <v>2.2958696620632598E-2</v>
      </c>
      <c r="F1251" s="12">
        <v>62852</v>
      </c>
      <c r="G1251">
        <f t="shared" si="39"/>
        <v>1443</v>
      </c>
      <c r="H1251" s="16" t="s">
        <v>756</v>
      </c>
    </row>
    <row r="1252" spans="1:8">
      <c r="A1252" t="str">
        <f t="shared" si="38"/>
        <v>سيستان وبلوچستانفنوج</v>
      </c>
      <c r="B1252" s="12" t="s">
        <v>266</v>
      </c>
      <c r="C1252" s="12" t="s">
        <v>287</v>
      </c>
      <c r="D1252" s="12" t="s">
        <v>480</v>
      </c>
      <c r="E1252" s="12">
        <v>0.58168424378875849</v>
      </c>
      <c r="F1252" s="12">
        <v>50634</v>
      </c>
      <c r="G1252">
        <f t="shared" si="39"/>
        <v>29453</v>
      </c>
      <c r="H1252" s="16" t="s">
        <v>773</v>
      </c>
    </row>
    <row r="1253" spans="1:8">
      <c r="A1253" t="str">
        <f t="shared" si="38"/>
        <v>سيستان وبلوچستانفنوج</v>
      </c>
      <c r="B1253" s="12" t="s">
        <v>266</v>
      </c>
      <c r="C1253" s="12" t="s">
        <v>287</v>
      </c>
      <c r="D1253" s="12" t="s">
        <v>479</v>
      </c>
      <c r="E1253" s="12">
        <v>0.30673065529091126</v>
      </c>
      <c r="F1253" s="12">
        <v>50634</v>
      </c>
      <c r="G1253">
        <f t="shared" si="39"/>
        <v>15531</v>
      </c>
      <c r="H1253" s="16" t="s">
        <v>773</v>
      </c>
    </row>
    <row r="1254" spans="1:8">
      <c r="A1254" t="str">
        <f t="shared" si="38"/>
        <v>سيستان وبلوچستانفنوج</v>
      </c>
      <c r="B1254" s="12" t="s">
        <v>266</v>
      </c>
      <c r="C1254" s="12" t="s">
        <v>287</v>
      </c>
      <c r="D1254" s="12" t="s">
        <v>22</v>
      </c>
      <c r="E1254" s="12">
        <v>6.3060394201524664E-2</v>
      </c>
      <c r="F1254" s="12">
        <v>50634</v>
      </c>
      <c r="G1254">
        <f t="shared" si="39"/>
        <v>3193</v>
      </c>
      <c r="H1254" s="16" t="s">
        <v>773</v>
      </c>
    </row>
    <row r="1255" spans="1:8">
      <c r="A1255" t="str">
        <f t="shared" si="38"/>
        <v>سيستان وبلوچستانفنوج</v>
      </c>
      <c r="B1255" s="12" t="s">
        <v>266</v>
      </c>
      <c r="C1255" s="12" t="s">
        <v>287</v>
      </c>
      <c r="D1255" s="12" t="s">
        <v>478</v>
      </c>
      <c r="E1255" s="12">
        <v>2.5022712011691747E-2</v>
      </c>
      <c r="F1255" s="12">
        <v>50634</v>
      </c>
      <c r="G1255">
        <f t="shared" si="39"/>
        <v>1267</v>
      </c>
      <c r="H1255" s="16" t="s">
        <v>773</v>
      </c>
    </row>
    <row r="1256" spans="1:8">
      <c r="A1256" t="str">
        <f t="shared" si="38"/>
        <v>سيستان وبلوچستانفنوج</v>
      </c>
      <c r="B1256" s="12" t="s">
        <v>266</v>
      </c>
      <c r="C1256" s="12" t="s">
        <v>287</v>
      </c>
      <c r="D1256" s="12" t="s">
        <v>20</v>
      </c>
      <c r="E1256" s="12">
        <v>2.3462495556345539E-2</v>
      </c>
      <c r="F1256" s="12">
        <v>50634</v>
      </c>
      <c r="G1256">
        <f t="shared" si="39"/>
        <v>1188</v>
      </c>
      <c r="H1256" s="16" t="s">
        <v>773</v>
      </c>
    </row>
    <row r="1257" spans="1:8">
      <c r="A1257" t="str">
        <f t="shared" si="38"/>
        <v>كردستانبانه</v>
      </c>
      <c r="B1257" s="12" t="s">
        <v>286</v>
      </c>
      <c r="C1257" s="12" t="s">
        <v>288</v>
      </c>
      <c r="D1257" s="12" t="s">
        <v>480</v>
      </c>
      <c r="E1257" s="12">
        <v>0.48752989619547799</v>
      </c>
      <c r="F1257" s="12">
        <v>162228</v>
      </c>
      <c r="G1257">
        <f t="shared" si="39"/>
        <v>79091</v>
      </c>
      <c r="H1257" s="16" t="s">
        <v>904</v>
      </c>
    </row>
    <row r="1258" spans="1:8">
      <c r="A1258" t="str">
        <f t="shared" si="38"/>
        <v>كردستانبانه</v>
      </c>
      <c r="B1258" s="12" t="s">
        <v>286</v>
      </c>
      <c r="C1258" s="12" t="s">
        <v>288</v>
      </c>
      <c r="D1258" s="12" t="s">
        <v>479</v>
      </c>
      <c r="E1258" s="12">
        <v>0.37734546440811695</v>
      </c>
      <c r="F1258" s="12">
        <v>162228</v>
      </c>
      <c r="G1258">
        <f t="shared" si="39"/>
        <v>61216</v>
      </c>
      <c r="H1258" s="16" t="s">
        <v>904</v>
      </c>
    </row>
    <row r="1259" spans="1:8">
      <c r="A1259" t="str">
        <f t="shared" si="38"/>
        <v>كردستانبانه</v>
      </c>
      <c r="B1259" s="12" t="s">
        <v>286</v>
      </c>
      <c r="C1259" s="12" t="s">
        <v>288</v>
      </c>
      <c r="D1259" s="12" t="s">
        <v>22</v>
      </c>
      <c r="E1259" s="12">
        <v>7.9215671770594479E-2</v>
      </c>
      <c r="F1259" s="12">
        <v>162228</v>
      </c>
      <c r="G1259">
        <f t="shared" si="39"/>
        <v>12851</v>
      </c>
      <c r="H1259" s="16" t="s">
        <v>904</v>
      </c>
    </row>
    <row r="1260" spans="1:8">
      <c r="A1260" t="str">
        <f t="shared" si="38"/>
        <v>كردستانبانه</v>
      </c>
      <c r="B1260" s="12" t="s">
        <v>286</v>
      </c>
      <c r="C1260" s="12" t="s">
        <v>288</v>
      </c>
      <c r="D1260" s="12" t="s">
        <v>478</v>
      </c>
      <c r="E1260" s="12">
        <v>2.8879108415316716E-2</v>
      </c>
      <c r="F1260" s="12">
        <v>162228</v>
      </c>
      <c r="G1260">
        <f t="shared" si="39"/>
        <v>4685</v>
      </c>
      <c r="H1260" s="16" t="s">
        <v>904</v>
      </c>
    </row>
    <row r="1261" spans="1:8">
      <c r="A1261" t="str">
        <f t="shared" si="38"/>
        <v>كردستانبانه</v>
      </c>
      <c r="B1261" s="12" t="s">
        <v>286</v>
      </c>
      <c r="C1261" s="12" t="s">
        <v>288</v>
      </c>
      <c r="D1261" s="12" t="s">
        <v>20</v>
      </c>
      <c r="E1261" s="12">
        <v>2.7011366718445645E-2</v>
      </c>
      <c r="F1261" s="12">
        <v>162228</v>
      </c>
      <c r="G1261">
        <f t="shared" si="39"/>
        <v>4382</v>
      </c>
      <c r="H1261" s="16" t="s">
        <v>904</v>
      </c>
    </row>
    <row r="1262" spans="1:8">
      <c r="A1262" t="str">
        <f t="shared" si="38"/>
        <v>كردستانبيجار</v>
      </c>
      <c r="B1262" s="12" t="s">
        <v>286</v>
      </c>
      <c r="C1262" s="12" t="s">
        <v>289</v>
      </c>
      <c r="D1262" s="12" t="s">
        <v>480</v>
      </c>
      <c r="E1262" s="12">
        <v>0.3841367706674797</v>
      </c>
      <c r="F1262" s="12">
        <v>88557</v>
      </c>
      <c r="G1262">
        <f t="shared" si="39"/>
        <v>34018</v>
      </c>
      <c r="H1262" s="16" t="s">
        <v>908</v>
      </c>
    </row>
    <row r="1263" spans="1:8">
      <c r="A1263" t="str">
        <f t="shared" si="38"/>
        <v>كردستانبيجار</v>
      </c>
      <c r="B1263" s="12" t="s">
        <v>286</v>
      </c>
      <c r="C1263" s="12" t="s">
        <v>289</v>
      </c>
      <c r="D1263" s="12" t="s">
        <v>479</v>
      </c>
      <c r="E1263" s="12">
        <v>0.39356572602956286</v>
      </c>
      <c r="F1263" s="12">
        <v>88557</v>
      </c>
      <c r="G1263">
        <f t="shared" si="39"/>
        <v>34853</v>
      </c>
      <c r="H1263" s="16" t="s">
        <v>908</v>
      </c>
    </row>
    <row r="1264" spans="1:8">
      <c r="A1264" t="str">
        <f t="shared" si="38"/>
        <v>كردستانبيجار</v>
      </c>
      <c r="B1264" s="12" t="s">
        <v>286</v>
      </c>
      <c r="C1264" s="12" t="s">
        <v>289</v>
      </c>
      <c r="D1264" s="12" t="s">
        <v>22</v>
      </c>
      <c r="E1264" s="12">
        <v>0.123129735650485</v>
      </c>
      <c r="F1264" s="12">
        <v>88557</v>
      </c>
      <c r="G1264">
        <f t="shared" si="39"/>
        <v>10904</v>
      </c>
      <c r="H1264" s="16" t="s">
        <v>908</v>
      </c>
    </row>
    <row r="1265" spans="1:8">
      <c r="A1265" t="str">
        <f t="shared" si="38"/>
        <v>كردستانبيجار</v>
      </c>
      <c r="B1265" s="12" t="s">
        <v>286</v>
      </c>
      <c r="C1265" s="12" t="s">
        <v>289</v>
      </c>
      <c r="D1265" s="12" t="s">
        <v>478</v>
      </c>
      <c r="E1265" s="12">
        <v>4.986618787899319E-2</v>
      </c>
      <c r="F1265" s="12">
        <v>88557</v>
      </c>
      <c r="G1265">
        <f t="shared" si="39"/>
        <v>4416</v>
      </c>
      <c r="H1265" s="16" t="s">
        <v>908</v>
      </c>
    </row>
    <row r="1266" spans="1:8">
      <c r="A1266" t="str">
        <f t="shared" si="38"/>
        <v>كردستانبيجار</v>
      </c>
      <c r="B1266" s="12" t="s">
        <v>286</v>
      </c>
      <c r="C1266" s="12" t="s">
        <v>289</v>
      </c>
      <c r="D1266" s="12" t="s">
        <v>20</v>
      </c>
      <c r="E1266" s="12">
        <v>4.9290287611368951E-2</v>
      </c>
      <c r="F1266" s="12">
        <v>88557</v>
      </c>
      <c r="G1266">
        <f t="shared" si="39"/>
        <v>4365</v>
      </c>
      <c r="H1266" s="16" t="s">
        <v>908</v>
      </c>
    </row>
    <row r="1267" spans="1:8">
      <c r="A1267" t="str">
        <f t="shared" si="38"/>
        <v>كردستانسقز</v>
      </c>
      <c r="B1267" s="12" t="s">
        <v>286</v>
      </c>
      <c r="C1267" s="12" t="s">
        <v>290</v>
      </c>
      <c r="D1267" s="12" t="s">
        <v>480</v>
      </c>
      <c r="E1267" s="12">
        <v>0.42672544246331995</v>
      </c>
      <c r="F1267" s="12">
        <v>227985</v>
      </c>
      <c r="G1267">
        <f t="shared" si="39"/>
        <v>97287</v>
      </c>
      <c r="H1267" s="16" t="s">
        <v>901</v>
      </c>
    </row>
    <row r="1268" spans="1:8">
      <c r="A1268" t="str">
        <f t="shared" si="38"/>
        <v>كردستانسقز</v>
      </c>
      <c r="B1268" s="12" t="s">
        <v>286</v>
      </c>
      <c r="C1268" s="12" t="s">
        <v>290</v>
      </c>
      <c r="D1268" s="12" t="s">
        <v>479</v>
      </c>
      <c r="E1268" s="12">
        <v>0.39985963988858914</v>
      </c>
      <c r="F1268" s="12">
        <v>227985</v>
      </c>
      <c r="G1268">
        <f t="shared" si="39"/>
        <v>91162</v>
      </c>
      <c r="H1268" s="16" t="s">
        <v>901</v>
      </c>
    </row>
    <row r="1269" spans="1:8">
      <c r="A1269" t="str">
        <f t="shared" si="38"/>
        <v>كردستانسقز</v>
      </c>
      <c r="B1269" s="12" t="s">
        <v>286</v>
      </c>
      <c r="C1269" s="12" t="s">
        <v>290</v>
      </c>
      <c r="D1269" s="12" t="s">
        <v>22</v>
      </c>
      <c r="E1269" s="12">
        <v>0.10045836348882602</v>
      </c>
      <c r="F1269" s="12">
        <v>227985</v>
      </c>
      <c r="G1269">
        <f t="shared" si="39"/>
        <v>22903</v>
      </c>
      <c r="H1269" s="16" t="s">
        <v>901</v>
      </c>
    </row>
    <row r="1270" spans="1:8">
      <c r="A1270" t="str">
        <f t="shared" si="38"/>
        <v>كردستانسقز</v>
      </c>
      <c r="B1270" s="12" t="s">
        <v>286</v>
      </c>
      <c r="C1270" s="12" t="s">
        <v>290</v>
      </c>
      <c r="D1270" s="12" t="s">
        <v>478</v>
      </c>
      <c r="E1270" s="12">
        <v>3.7502467267583391E-2</v>
      </c>
      <c r="F1270" s="12">
        <v>227985</v>
      </c>
      <c r="G1270">
        <f t="shared" si="39"/>
        <v>8550</v>
      </c>
      <c r="H1270" s="16" t="s">
        <v>901</v>
      </c>
    </row>
    <row r="1271" spans="1:8">
      <c r="A1271" t="str">
        <f t="shared" si="38"/>
        <v>كردستانسقز</v>
      </c>
      <c r="B1271" s="12" t="s">
        <v>286</v>
      </c>
      <c r="C1271" s="12" t="s">
        <v>290</v>
      </c>
      <c r="D1271" s="12" t="s">
        <v>20</v>
      </c>
      <c r="E1271" s="12">
        <v>3.5454086891681467E-2</v>
      </c>
      <c r="F1271" s="12">
        <v>227985</v>
      </c>
      <c r="G1271">
        <f t="shared" si="39"/>
        <v>8083</v>
      </c>
      <c r="H1271" s="16" t="s">
        <v>901</v>
      </c>
    </row>
    <row r="1272" spans="1:8">
      <c r="A1272" t="str">
        <f t="shared" si="38"/>
        <v>كردستانسنندج</v>
      </c>
      <c r="B1272" s="12" t="s">
        <v>286</v>
      </c>
      <c r="C1272" s="12" t="s">
        <v>291</v>
      </c>
      <c r="D1272" s="12" t="s">
        <v>480</v>
      </c>
      <c r="E1272" s="12">
        <v>0.41232767840497658</v>
      </c>
      <c r="F1272" s="12">
        <v>509585</v>
      </c>
      <c r="G1272">
        <f t="shared" si="39"/>
        <v>210116</v>
      </c>
      <c r="H1272" s="16" t="s">
        <v>903</v>
      </c>
    </row>
    <row r="1273" spans="1:8">
      <c r="A1273" t="str">
        <f t="shared" si="38"/>
        <v>كردستانسنندج</v>
      </c>
      <c r="B1273" s="12" t="s">
        <v>286</v>
      </c>
      <c r="C1273" s="12" t="s">
        <v>291</v>
      </c>
      <c r="D1273" s="12" t="s">
        <v>479</v>
      </c>
      <c r="E1273" s="12">
        <v>0.41533404633181903</v>
      </c>
      <c r="F1273" s="12">
        <v>509585</v>
      </c>
      <c r="G1273">
        <f t="shared" si="39"/>
        <v>211648</v>
      </c>
      <c r="H1273" s="16" t="s">
        <v>903</v>
      </c>
    </row>
    <row r="1274" spans="1:8">
      <c r="A1274" t="str">
        <f t="shared" si="38"/>
        <v>كردستانسنندج</v>
      </c>
      <c r="B1274" s="12" t="s">
        <v>286</v>
      </c>
      <c r="C1274" s="12" t="s">
        <v>291</v>
      </c>
      <c r="D1274" s="12" t="s">
        <v>22</v>
      </c>
      <c r="E1274" s="12">
        <v>0.10347635821305572</v>
      </c>
      <c r="F1274" s="12">
        <v>509585</v>
      </c>
      <c r="G1274">
        <f t="shared" si="39"/>
        <v>52730</v>
      </c>
      <c r="H1274" s="16" t="s">
        <v>903</v>
      </c>
    </row>
    <row r="1275" spans="1:8">
      <c r="A1275" t="str">
        <f t="shared" si="38"/>
        <v>كردستانسنندج</v>
      </c>
      <c r="B1275" s="12" t="s">
        <v>286</v>
      </c>
      <c r="C1275" s="12" t="s">
        <v>291</v>
      </c>
      <c r="D1275" s="12" t="s">
        <v>478</v>
      </c>
      <c r="E1275" s="12">
        <v>3.6684753279629501E-2</v>
      </c>
      <c r="F1275" s="12">
        <v>509585</v>
      </c>
      <c r="G1275">
        <f t="shared" si="39"/>
        <v>18694</v>
      </c>
      <c r="H1275" s="16" t="s">
        <v>903</v>
      </c>
    </row>
    <row r="1276" spans="1:8">
      <c r="A1276" t="str">
        <f t="shared" si="38"/>
        <v>كردستانسنندج</v>
      </c>
      <c r="B1276" s="12" t="s">
        <v>286</v>
      </c>
      <c r="C1276" s="12" t="s">
        <v>291</v>
      </c>
      <c r="D1276" s="12" t="s">
        <v>20</v>
      </c>
      <c r="E1276" s="12">
        <v>3.2181088532825732E-2</v>
      </c>
      <c r="F1276" s="12">
        <v>509585</v>
      </c>
      <c r="G1276">
        <f t="shared" si="39"/>
        <v>16399</v>
      </c>
      <c r="H1276" s="16" t="s">
        <v>903</v>
      </c>
    </row>
    <row r="1277" spans="1:8">
      <c r="A1277" t="str">
        <f t="shared" si="38"/>
        <v>كردستانقروه</v>
      </c>
      <c r="B1277" s="12" t="s">
        <v>286</v>
      </c>
      <c r="C1277" s="12" t="s">
        <v>292</v>
      </c>
      <c r="D1277" s="12" t="s">
        <v>480</v>
      </c>
      <c r="E1277" s="12">
        <v>0.41237787795617115</v>
      </c>
      <c r="F1277" s="12">
        <v>140638</v>
      </c>
      <c r="G1277">
        <f t="shared" si="39"/>
        <v>57996</v>
      </c>
      <c r="H1277" s="16" t="s">
        <v>902</v>
      </c>
    </row>
    <row r="1278" spans="1:8">
      <c r="A1278" t="str">
        <f t="shared" si="38"/>
        <v>كردستانقروه</v>
      </c>
      <c r="B1278" s="12" t="s">
        <v>286</v>
      </c>
      <c r="C1278" s="12" t="s">
        <v>292</v>
      </c>
      <c r="D1278" s="12" t="s">
        <v>479</v>
      </c>
      <c r="E1278" s="12">
        <v>0.40375289750991911</v>
      </c>
      <c r="F1278" s="12">
        <v>140638</v>
      </c>
      <c r="G1278">
        <f t="shared" si="39"/>
        <v>56783</v>
      </c>
      <c r="H1278" s="16" t="s">
        <v>902</v>
      </c>
    </row>
    <row r="1279" spans="1:8">
      <c r="A1279" t="str">
        <f t="shared" si="38"/>
        <v>كردستانقروه</v>
      </c>
      <c r="B1279" s="12" t="s">
        <v>286</v>
      </c>
      <c r="C1279" s="12" t="s">
        <v>292</v>
      </c>
      <c r="D1279" s="12" t="s">
        <v>22</v>
      </c>
      <c r="E1279" s="12">
        <v>0.11017648146304697</v>
      </c>
      <c r="F1279" s="12">
        <v>140638</v>
      </c>
      <c r="G1279">
        <f t="shared" si="39"/>
        <v>15495</v>
      </c>
      <c r="H1279" s="16" t="s">
        <v>902</v>
      </c>
    </row>
    <row r="1280" spans="1:8">
      <c r="A1280" t="str">
        <f t="shared" si="38"/>
        <v>كردستانقروه</v>
      </c>
      <c r="B1280" s="12" t="s">
        <v>286</v>
      </c>
      <c r="C1280" s="12" t="s">
        <v>292</v>
      </c>
      <c r="D1280" s="12" t="s">
        <v>478</v>
      </c>
      <c r="E1280" s="12">
        <v>3.9192821285854461E-2</v>
      </c>
      <c r="F1280" s="12">
        <v>140638</v>
      </c>
      <c r="G1280">
        <f t="shared" si="39"/>
        <v>5512</v>
      </c>
      <c r="H1280" s="16" t="s">
        <v>902</v>
      </c>
    </row>
    <row r="1281" spans="1:8">
      <c r="A1281" t="str">
        <f t="shared" si="38"/>
        <v>كردستانقروه</v>
      </c>
      <c r="B1281" s="12" t="s">
        <v>286</v>
      </c>
      <c r="C1281" s="12" t="s">
        <v>292</v>
      </c>
      <c r="D1281" s="12" t="s">
        <v>20</v>
      </c>
      <c r="E1281" s="12">
        <v>3.4514142692586638E-2</v>
      </c>
      <c r="F1281" s="12">
        <v>140638</v>
      </c>
      <c r="G1281">
        <f t="shared" si="39"/>
        <v>4854</v>
      </c>
      <c r="H1281" s="16" t="s">
        <v>902</v>
      </c>
    </row>
    <row r="1282" spans="1:8">
      <c r="A1282" t="str">
        <f t="shared" ref="A1282:A1345" si="40">B1282&amp;C1282</f>
        <v>كردستانمريوان</v>
      </c>
      <c r="B1282" s="12" t="s">
        <v>286</v>
      </c>
      <c r="C1282" s="12" t="s">
        <v>293</v>
      </c>
      <c r="D1282" s="12" t="s">
        <v>480</v>
      </c>
      <c r="E1282" s="12">
        <v>0.47446017876870544</v>
      </c>
      <c r="F1282" s="12">
        <v>199140</v>
      </c>
      <c r="G1282">
        <f t="shared" si="39"/>
        <v>94484</v>
      </c>
      <c r="H1282" s="16" t="s">
        <v>905</v>
      </c>
    </row>
    <row r="1283" spans="1:8">
      <c r="A1283" t="str">
        <f t="shared" si="40"/>
        <v>كردستانمريوان</v>
      </c>
      <c r="B1283" s="12" t="s">
        <v>286</v>
      </c>
      <c r="C1283" s="12" t="s">
        <v>293</v>
      </c>
      <c r="D1283" s="12" t="s">
        <v>479</v>
      </c>
      <c r="E1283" s="12">
        <v>0.39388872150246057</v>
      </c>
      <c r="F1283" s="12">
        <v>199140</v>
      </c>
      <c r="G1283">
        <f t="shared" ref="G1283:G1346" si="41">IFERROR(ROUND(F1283*E1283,0),0)</f>
        <v>78439</v>
      </c>
      <c r="H1283" s="16" t="s">
        <v>905</v>
      </c>
    </row>
    <row r="1284" spans="1:8">
      <c r="A1284" t="str">
        <f t="shared" si="40"/>
        <v>كردستانمريوان</v>
      </c>
      <c r="B1284" s="12" t="s">
        <v>286</v>
      </c>
      <c r="C1284" s="12" t="s">
        <v>293</v>
      </c>
      <c r="D1284" s="12" t="s">
        <v>22</v>
      </c>
      <c r="E1284" s="12">
        <v>8.0004017274279401E-2</v>
      </c>
      <c r="F1284" s="12">
        <v>199140</v>
      </c>
      <c r="G1284">
        <f t="shared" si="41"/>
        <v>15932</v>
      </c>
      <c r="H1284" s="16" t="s">
        <v>905</v>
      </c>
    </row>
    <row r="1285" spans="1:8">
      <c r="A1285" t="str">
        <f t="shared" si="40"/>
        <v>كردستانمريوان</v>
      </c>
      <c r="B1285" s="12" t="s">
        <v>286</v>
      </c>
      <c r="C1285" s="12" t="s">
        <v>293</v>
      </c>
      <c r="D1285" s="12" t="s">
        <v>478</v>
      </c>
      <c r="E1285" s="12">
        <v>2.7673998192226573E-2</v>
      </c>
      <c r="F1285" s="12">
        <v>199140</v>
      </c>
      <c r="G1285">
        <f t="shared" si="41"/>
        <v>5511</v>
      </c>
      <c r="H1285" s="16" t="s">
        <v>905</v>
      </c>
    </row>
    <row r="1286" spans="1:8">
      <c r="A1286" t="str">
        <f t="shared" si="40"/>
        <v>كردستانمريوان</v>
      </c>
      <c r="B1286" s="12" t="s">
        <v>286</v>
      </c>
      <c r="C1286" s="12" t="s">
        <v>293</v>
      </c>
      <c r="D1286" s="12" t="s">
        <v>20</v>
      </c>
      <c r="E1286" s="12">
        <v>2.3973084262328012E-2</v>
      </c>
      <c r="F1286" s="12">
        <v>199140</v>
      </c>
      <c r="G1286">
        <f t="shared" si="41"/>
        <v>4774</v>
      </c>
      <c r="H1286" s="16" t="s">
        <v>905</v>
      </c>
    </row>
    <row r="1287" spans="1:8">
      <c r="A1287" t="str">
        <f t="shared" si="40"/>
        <v>كردستانديواندره</v>
      </c>
      <c r="B1287" s="12" t="s">
        <v>286</v>
      </c>
      <c r="C1287" s="12" t="s">
        <v>294</v>
      </c>
      <c r="D1287" s="12" t="s">
        <v>480</v>
      </c>
      <c r="E1287" s="12">
        <v>0.44622933949122123</v>
      </c>
      <c r="F1287" s="12">
        <v>79681</v>
      </c>
      <c r="G1287">
        <f t="shared" si="41"/>
        <v>35556</v>
      </c>
      <c r="H1287" s="16" t="s">
        <v>899</v>
      </c>
    </row>
    <row r="1288" spans="1:8">
      <c r="A1288" t="str">
        <f t="shared" si="40"/>
        <v>كردستانديواندره</v>
      </c>
      <c r="B1288" s="12" t="s">
        <v>286</v>
      </c>
      <c r="C1288" s="12" t="s">
        <v>294</v>
      </c>
      <c r="D1288" s="12" t="s">
        <v>479</v>
      </c>
      <c r="E1288" s="12">
        <v>0.39020594621051441</v>
      </c>
      <c r="F1288" s="12">
        <v>79681</v>
      </c>
      <c r="G1288">
        <f t="shared" si="41"/>
        <v>31092</v>
      </c>
      <c r="H1288" s="16" t="s">
        <v>899</v>
      </c>
    </row>
    <row r="1289" spans="1:8">
      <c r="A1289" t="str">
        <f t="shared" si="40"/>
        <v>كردستانديواندره</v>
      </c>
      <c r="B1289" s="12" t="s">
        <v>286</v>
      </c>
      <c r="C1289" s="12" t="s">
        <v>294</v>
      </c>
      <c r="D1289" s="12" t="s">
        <v>22</v>
      </c>
      <c r="E1289" s="12">
        <v>9.5217178499265823E-2</v>
      </c>
      <c r="F1289" s="12">
        <v>79681</v>
      </c>
      <c r="G1289">
        <f t="shared" si="41"/>
        <v>7587</v>
      </c>
      <c r="H1289" s="16" t="s">
        <v>899</v>
      </c>
    </row>
    <row r="1290" spans="1:8">
      <c r="A1290" t="str">
        <f t="shared" si="40"/>
        <v>كردستانديواندره</v>
      </c>
      <c r="B1290" s="12" t="s">
        <v>286</v>
      </c>
      <c r="C1290" s="12" t="s">
        <v>294</v>
      </c>
      <c r="D1290" s="12" t="s">
        <v>478</v>
      </c>
      <c r="E1290" s="12">
        <v>3.5403672142668895E-2</v>
      </c>
      <c r="F1290" s="12">
        <v>79681</v>
      </c>
      <c r="G1290">
        <f t="shared" si="41"/>
        <v>2821</v>
      </c>
      <c r="H1290" s="16" t="s">
        <v>899</v>
      </c>
    </row>
    <row r="1291" spans="1:8">
      <c r="A1291" t="str">
        <f t="shared" si="40"/>
        <v>كردستانديواندره</v>
      </c>
      <c r="B1291" s="12" t="s">
        <v>286</v>
      </c>
      <c r="C1291" s="12" t="s">
        <v>294</v>
      </c>
      <c r="D1291" s="12" t="s">
        <v>20</v>
      </c>
      <c r="E1291" s="12">
        <v>3.2956413699627263E-2</v>
      </c>
      <c r="F1291" s="12">
        <v>79681</v>
      </c>
      <c r="G1291">
        <f t="shared" si="41"/>
        <v>2626</v>
      </c>
      <c r="H1291" s="16" t="s">
        <v>899</v>
      </c>
    </row>
    <row r="1292" spans="1:8">
      <c r="A1292" t="str">
        <f t="shared" si="40"/>
        <v>كردستانكامياران</v>
      </c>
      <c r="B1292" s="12" t="s">
        <v>286</v>
      </c>
      <c r="C1292" s="12" t="s">
        <v>295</v>
      </c>
      <c r="D1292" s="12" t="s">
        <v>480</v>
      </c>
      <c r="E1292" s="12">
        <v>0.42371001634368433</v>
      </c>
      <c r="F1292" s="12">
        <v>102792</v>
      </c>
      <c r="G1292">
        <f t="shared" si="41"/>
        <v>43554</v>
      </c>
      <c r="H1292" s="16" t="s">
        <v>907</v>
      </c>
    </row>
    <row r="1293" spans="1:8">
      <c r="A1293" t="str">
        <f t="shared" si="40"/>
        <v>كردستانكامياران</v>
      </c>
      <c r="B1293" s="12" t="s">
        <v>286</v>
      </c>
      <c r="C1293" s="12" t="s">
        <v>295</v>
      </c>
      <c r="D1293" s="12" t="s">
        <v>479</v>
      </c>
      <c r="E1293" s="12">
        <v>0.40613082730173555</v>
      </c>
      <c r="F1293" s="12">
        <v>102792</v>
      </c>
      <c r="G1293">
        <f t="shared" si="41"/>
        <v>41747</v>
      </c>
      <c r="H1293" s="16" t="s">
        <v>907</v>
      </c>
    </row>
    <row r="1294" spans="1:8">
      <c r="A1294" t="str">
        <f t="shared" si="40"/>
        <v>كردستانكامياران</v>
      </c>
      <c r="B1294" s="12" t="s">
        <v>286</v>
      </c>
      <c r="C1294" s="12" t="s">
        <v>295</v>
      </c>
      <c r="D1294" s="12" t="s">
        <v>22</v>
      </c>
      <c r="E1294" s="12">
        <v>0.10024126391158845</v>
      </c>
      <c r="F1294" s="12">
        <v>102792</v>
      </c>
      <c r="G1294">
        <f t="shared" si="41"/>
        <v>10304</v>
      </c>
      <c r="H1294" s="16" t="s">
        <v>907</v>
      </c>
    </row>
    <row r="1295" spans="1:8">
      <c r="A1295" t="str">
        <f t="shared" si="40"/>
        <v>كردستانكامياران</v>
      </c>
      <c r="B1295" s="12" t="s">
        <v>286</v>
      </c>
      <c r="C1295" s="12" t="s">
        <v>295</v>
      </c>
      <c r="D1295" s="12" t="s">
        <v>478</v>
      </c>
      <c r="E1295" s="12">
        <v>3.6335512491244455E-2</v>
      </c>
      <c r="F1295" s="12">
        <v>102792</v>
      </c>
      <c r="G1295">
        <f t="shared" si="41"/>
        <v>3735</v>
      </c>
      <c r="H1295" s="16" t="s">
        <v>907</v>
      </c>
    </row>
    <row r="1296" spans="1:8">
      <c r="A1296" t="str">
        <f t="shared" si="40"/>
        <v>كردستانكامياران</v>
      </c>
      <c r="B1296" s="12" t="s">
        <v>286</v>
      </c>
      <c r="C1296" s="12" t="s">
        <v>295</v>
      </c>
      <c r="D1296" s="12" t="s">
        <v>20</v>
      </c>
      <c r="E1296" s="12">
        <v>3.3592108335279008E-2</v>
      </c>
      <c r="F1296" s="12">
        <v>102792</v>
      </c>
      <c r="G1296">
        <f t="shared" si="41"/>
        <v>3453</v>
      </c>
      <c r="H1296" s="16" t="s">
        <v>907</v>
      </c>
    </row>
    <row r="1297" spans="1:8">
      <c r="A1297" t="str">
        <f t="shared" si="40"/>
        <v>كردستانسروآباد</v>
      </c>
      <c r="B1297" s="12" t="s">
        <v>286</v>
      </c>
      <c r="C1297" s="12" t="s">
        <v>296</v>
      </c>
      <c r="D1297" s="12" t="s">
        <v>480</v>
      </c>
      <c r="E1297" s="12">
        <v>0.41125570466766076</v>
      </c>
      <c r="F1297" s="12">
        <v>44262</v>
      </c>
      <c r="G1297">
        <f t="shared" si="41"/>
        <v>18203</v>
      </c>
      <c r="H1297" s="16" t="s">
        <v>906</v>
      </c>
    </row>
    <row r="1298" spans="1:8">
      <c r="A1298" t="str">
        <f t="shared" si="40"/>
        <v>كردستانسروآباد</v>
      </c>
      <c r="B1298" s="12" t="s">
        <v>286</v>
      </c>
      <c r="C1298" s="12" t="s">
        <v>296</v>
      </c>
      <c r="D1298" s="12" t="s">
        <v>479</v>
      </c>
      <c r="E1298" s="12">
        <v>0.37393249288328589</v>
      </c>
      <c r="F1298" s="12">
        <v>44262</v>
      </c>
      <c r="G1298">
        <f t="shared" si="41"/>
        <v>16551</v>
      </c>
      <c r="H1298" s="16" t="s">
        <v>906</v>
      </c>
    </row>
    <row r="1299" spans="1:8">
      <c r="A1299" t="str">
        <f t="shared" si="40"/>
        <v>كردستانسروآباد</v>
      </c>
      <c r="B1299" s="12" t="s">
        <v>286</v>
      </c>
      <c r="C1299" s="12" t="s">
        <v>296</v>
      </c>
      <c r="D1299" s="12" t="s">
        <v>22</v>
      </c>
      <c r="E1299" s="12">
        <v>0.11522299037549139</v>
      </c>
      <c r="F1299" s="12">
        <v>44262</v>
      </c>
      <c r="G1299">
        <f t="shared" si="41"/>
        <v>5100</v>
      </c>
      <c r="H1299" s="16" t="s">
        <v>906</v>
      </c>
    </row>
    <row r="1300" spans="1:8">
      <c r="A1300" t="str">
        <f t="shared" si="40"/>
        <v>كردستانسروآباد</v>
      </c>
      <c r="B1300" s="12" t="s">
        <v>286</v>
      </c>
      <c r="C1300" s="12" t="s">
        <v>296</v>
      </c>
      <c r="D1300" s="12" t="s">
        <v>478</v>
      </c>
      <c r="E1300" s="12">
        <v>4.7964393836699655E-2</v>
      </c>
      <c r="F1300" s="12">
        <v>44262</v>
      </c>
      <c r="G1300">
        <f t="shared" si="41"/>
        <v>2123</v>
      </c>
      <c r="H1300" s="16" t="s">
        <v>906</v>
      </c>
    </row>
    <row r="1301" spans="1:8">
      <c r="A1301" t="str">
        <f t="shared" si="40"/>
        <v>كردستانسروآباد</v>
      </c>
      <c r="B1301" s="12" t="s">
        <v>286</v>
      </c>
      <c r="C1301" s="12" t="s">
        <v>296</v>
      </c>
      <c r="D1301" s="12" t="s">
        <v>20</v>
      </c>
      <c r="E1301" s="12">
        <v>5.1601825493651436E-2</v>
      </c>
      <c r="F1301" s="12">
        <v>44262</v>
      </c>
      <c r="G1301">
        <f t="shared" si="41"/>
        <v>2284</v>
      </c>
      <c r="H1301" s="16" t="s">
        <v>906</v>
      </c>
    </row>
    <row r="1302" spans="1:8">
      <c r="A1302" t="str">
        <f t="shared" si="40"/>
        <v>كردستاندهگلان</v>
      </c>
      <c r="B1302" s="12" t="s">
        <v>286</v>
      </c>
      <c r="C1302" s="12" t="s">
        <v>298</v>
      </c>
      <c r="D1302" s="12" t="s">
        <v>480</v>
      </c>
      <c r="E1302" s="12">
        <v>0.43327319106576245</v>
      </c>
      <c r="F1302" s="12">
        <v>64292</v>
      </c>
      <c r="G1302">
        <f t="shared" si="41"/>
        <v>27856</v>
      </c>
      <c r="H1302" s="16" t="s">
        <v>909</v>
      </c>
    </row>
    <row r="1303" spans="1:8">
      <c r="A1303" t="str">
        <f t="shared" si="40"/>
        <v>كردستاندهگلان</v>
      </c>
      <c r="B1303" s="12" t="s">
        <v>286</v>
      </c>
      <c r="C1303" s="12" t="s">
        <v>298</v>
      </c>
      <c r="D1303" s="12" t="s">
        <v>479</v>
      </c>
      <c r="E1303" s="12">
        <v>0.40028308343184221</v>
      </c>
      <c r="F1303" s="12">
        <v>64292</v>
      </c>
      <c r="G1303">
        <f t="shared" si="41"/>
        <v>25735</v>
      </c>
      <c r="H1303" s="16" t="s">
        <v>909</v>
      </c>
    </row>
    <row r="1304" spans="1:8">
      <c r="A1304" t="str">
        <f t="shared" si="40"/>
        <v>كردستاندهگلان</v>
      </c>
      <c r="B1304" s="12" t="s">
        <v>286</v>
      </c>
      <c r="C1304" s="12" t="s">
        <v>298</v>
      </c>
      <c r="D1304" s="12" t="s">
        <v>22</v>
      </c>
      <c r="E1304" s="12">
        <v>9.8052634853480994E-2</v>
      </c>
      <c r="F1304" s="12">
        <v>64292</v>
      </c>
      <c r="G1304">
        <f t="shared" si="41"/>
        <v>6304</v>
      </c>
      <c r="H1304" s="16" t="s">
        <v>909</v>
      </c>
    </row>
    <row r="1305" spans="1:8">
      <c r="A1305" t="str">
        <f t="shared" si="40"/>
        <v>كردستاندهگلان</v>
      </c>
      <c r="B1305" s="12" t="s">
        <v>286</v>
      </c>
      <c r="C1305" s="12" t="s">
        <v>298</v>
      </c>
      <c r="D1305" s="12" t="s">
        <v>478</v>
      </c>
      <c r="E1305" s="12">
        <v>3.6583089653456108E-2</v>
      </c>
      <c r="F1305" s="12">
        <v>64292</v>
      </c>
      <c r="G1305">
        <f t="shared" si="41"/>
        <v>2352</v>
      </c>
      <c r="H1305" s="16" t="s">
        <v>909</v>
      </c>
    </row>
    <row r="1306" spans="1:8">
      <c r="A1306" t="str">
        <f t="shared" si="40"/>
        <v>كردستاندهگلان</v>
      </c>
      <c r="B1306" s="12" t="s">
        <v>286</v>
      </c>
      <c r="C1306" s="12" t="s">
        <v>298</v>
      </c>
      <c r="D1306" s="12" t="s">
        <v>20</v>
      </c>
      <c r="E1306" s="12">
        <v>3.1963541342624274E-2</v>
      </c>
      <c r="F1306" s="12">
        <v>64292</v>
      </c>
      <c r="G1306">
        <f t="shared" si="41"/>
        <v>2055</v>
      </c>
      <c r="H1306" s="16" t="s">
        <v>909</v>
      </c>
    </row>
    <row r="1307" spans="1:8">
      <c r="A1307" t="str">
        <f t="shared" si="40"/>
        <v>همدانتويسركان</v>
      </c>
      <c r="B1307" s="12" t="s">
        <v>297</v>
      </c>
      <c r="C1307" s="12" t="s">
        <v>299</v>
      </c>
      <c r="D1307" s="12" t="s">
        <v>480</v>
      </c>
      <c r="E1307" s="12">
        <v>0.3764801555031041</v>
      </c>
      <c r="F1307" s="12">
        <v>100834</v>
      </c>
      <c r="G1307">
        <f t="shared" si="41"/>
        <v>37962</v>
      </c>
      <c r="H1307" s="16" t="s">
        <v>883</v>
      </c>
    </row>
    <row r="1308" spans="1:8">
      <c r="A1308" t="str">
        <f t="shared" si="40"/>
        <v>همدانتويسركان</v>
      </c>
      <c r="B1308" s="12" t="s">
        <v>297</v>
      </c>
      <c r="C1308" s="12" t="s">
        <v>299</v>
      </c>
      <c r="D1308" s="12" t="s">
        <v>479</v>
      </c>
      <c r="E1308" s="12">
        <v>0.39182220282841107</v>
      </c>
      <c r="F1308" s="12">
        <v>100834</v>
      </c>
      <c r="G1308">
        <f t="shared" si="41"/>
        <v>39509</v>
      </c>
      <c r="H1308" s="16" t="s">
        <v>883</v>
      </c>
    </row>
    <row r="1309" spans="1:8">
      <c r="A1309" t="str">
        <f t="shared" si="40"/>
        <v>همدانتويسركان</v>
      </c>
      <c r="B1309" s="12" t="s">
        <v>297</v>
      </c>
      <c r="C1309" s="12" t="s">
        <v>299</v>
      </c>
      <c r="D1309" s="12" t="s">
        <v>22</v>
      </c>
      <c r="E1309" s="12">
        <v>0.12397603982783585</v>
      </c>
      <c r="F1309" s="12">
        <v>100834</v>
      </c>
      <c r="G1309">
        <f t="shared" si="41"/>
        <v>12501</v>
      </c>
      <c r="H1309" s="16" t="s">
        <v>883</v>
      </c>
    </row>
    <row r="1310" spans="1:8">
      <c r="A1310" t="str">
        <f t="shared" si="40"/>
        <v>همدانتويسركان</v>
      </c>
      <c r="B1310" s="12" t="s">
        <v>297</v>
      </c>
      <c r="C1310" s="12" t="s">
        <v>299</v>
      </c>
      <c r="D1310" s="12" t="s">
        <v>478</v>
      </c>
      <c r="E1310" s="12">
        <v>5.4267409802249242E-2</v>
      </c>
      <c r="F1310" s="12">
        <v>100834</v>
      </c>
      <c r="G1310">
        <f t="shared" si="41"/>
        <v>5472</v>
      </c>
      <c r="H1310" s="16" t="s">
        <v>883</v>
      </c>
    </row>
    <row r="1311" spans="1:8">
      <c r="A1311" t="str">
        <f t="shared" si="40"/>
        <v>همدانتويسركان</v>
      </c>
      <c r="B1311" s="12" t="s">
        <v>297</v>
      </c>
      <c r="C1311" s="12" t="s">
        <v>299</v>
      </c>
      <c r="D1311" s="12" t="s">
        <v>20</v>
      </c>
      <c r="E1311" s="12">
        <v>5.3483943907808876E-2</v>
      </c>
      <c r="F1311" s="12">
        <v>100834</v>
      </c>
      <c r="G1311">
        <f t="shared" si="41"/>
        <v>5393</v>
      </c>
      <c r="H1311" s="16" t="s">
        <v>883</v>
      </c>
    </row>
    <row r="1312" spans="1:8">
      <c r="A1312" t="str">
        <f t="shared" si="40"/>
        <v>همدانملاير</v>
      </c>
      <c r="B1312" s="12" t="s">
        <v>297</v>
      </c>
      <c r="C1312" s="12" t="s">
        <v>300</v>
      </c>
      <c r="D1312" s="12" t="s">
        <v>480</v>
      </c>
      <c r="E1312" s="12">
        <v>0.40716008290112415</v>
      </c>
      <c r="F1312" s="12">
        <v>289019</v>
      </c>
      <c r="G1312">
        <f t="shared" si="41"/>
        <v>117677</v>
      </c>
      <c r="H1312" s="16" t="s">
        <v>888</v>
      </c>
    </row>
    <row r="1313" spans="1:8">
      <c r="A1313" t="str">
        <f t="shared" si="40"/>
        <v>همدانملاير</v>
      </c>
      <c r="B1313" s="12" t="s">
        <v>297</v>
      </c>
      <c r="C1313" s="12" t="s">
        <v>300</v>
      </c>
      <c r="D1313" s="12" t="s">
        <v>479</v>
      </c>
      <c r="E1313" s="12">
        <v>0.39780083662319776</v>
      </c>
      <c r="F1313" s="12">
        <v>289019</v>
      </c>
      <c r="G1313">
        <f t="shared" si="41"/>
        <v>114972</v>
      </c>
      <c r="H1313" s="16" t="s">
        <v>888</v>
      </c>
    </row>
    <row r="1314" spans="1:8">
      <c r="A1314" t="str">
        <f t="shared" si="40"/>
        <v>همدانملاير</v>
      </c>
      <c r="B1314" s="12" t="s">
        <v>297</v>
      </c>
      <c r="C1314" s="12" t="s">
        <v>300</v>
      </c>
      <c r="D1314" s="12" t="s">
        <v>22</v>
      </c>
      <c r="E1314" s="12">
        <v>0.11070552455028908</v>
      </c>
      <c r="F1314" s="12">
        <v>289019</v>
      </c>
      <c r="G1314">
        <f t="shared" si="41"/>
        <v>31996</v>
      </c>
      <c r="H1314" s="16" t="s">
        <v>888</v>
      </c>
    </row>
    <row r="1315" spans="1:8">
      <c r="A1315" t="str">
        <f t="shared" si="40"/>
        <v>همدانملاير</v>
      </c>
      <c r="B1315" s="12" t="s">
        <v>297</v>
      </c>
      <c r="C1315" s="12" t="s">
        <v>300</v>
      </c>
      <c r="D1315" s="12" t="s">
        <v>478</v>
      </c>
      <c r="E1315" s="12">
        <v>4.361650964123466E-2</v>
      </c>
      <c r="F1315" s="12">
        <v>289019</v>
      </c>
      <c r="G1315">
        <f t="shared" si="41"/>
        <v>12606</v>
      </c>
      <c r="H1315" s="16" t="s">
        <v>888</v>
      </c>
    </row>
    <row r="1316" spans="1:8">
      <c r="A1316" t="str">
        <f t="shared" si="40"/>
        <v>همدانملاير</v>
      </c>
      <c r="B1316" s="12" t="s">
        <v>297</v>
      </c>
      <c r="C1316" s="12" t="s">
        <v>300</v>
      </c>
      <c r="D1316" s="12" t="s">
        <v>20</v>
      </c>
      <c r="E1316" s="12">
        <v>4.0741266145132328E-2</v>
      </c>
      <c r="F1316" s="12">
        <v>289019</v>
      </c>
      <c r="G1316">
        <f t="shared" si="41"/>
        <v>11775</v>
      </c>
      <c r="H1316" s="16" t="s">
        <v>888</v>
      </c>
    </row>
    <row r="1317" spans="1:8">
      <c r="A1317" t="str">
        <f t="shared" si="40"/>
        <v>همداننهاوند</v>
      </c>
      <c r="B1317" s="12" t="s">
        <v>297</v>
      </c>
      <c r="C1317" s="12" t="s">
        <v>301</v>
      </c>
      <c r="D1317" s="12" t="s">
        <v>480</v>
      </c>
      <c r="E1317" s="12">
        <v>0.40510158998249507</v>
      </c>
      <c r="F1317" s="12">
        <v>178807</v>
      </c>
      <c r="G1317">
        <f t="shared" si="41"/>
        <v>72435</v>
      </c>
      <c r="H1317" s="16" t="s">
        <v>879</v>
      </c>
    </row>
    <row r="1318" spans="1:8">
      <c r="A1318" t="str">
        <f t="shared" si="40"/>
        <v>همداننهاوند</v>
      </c>
      <c r="B1318" s="12" t="s">
        <v>297</v>
      </c>
      <c r="C1318" s="12" t="s">
        <v>301</v>
      </c>
      <c r="D1318" s="12" t="s">
        <v>479</v>
      </c>
      <c r="E1318" s="12">
        <v>0.39936915221439878</v>
      </c>
      <c r="F1318" s="12">
        <v>178807</v>
      </c>
      <c r="G1318">
        <f t="shared" si="41"/>
        <v>71410</v>
      </c>
      <c r="H1318" s="16" t="s">
        <v>879</v>
      </c>
    </row>
    <row r="1319" spans="1:8">
      <c r="A1319" t="str">
        <f t="shared" si="40"/>
        <v>همداننهاوند</v>
      </c>
      <c r="B1319" s="12" t="s">
        <v>297</v>
      </c>
      <c r="C1319" s="12" t="s">
        <v>301</v>
      </c>
      <c r="D1319" s="12" t="s">
        <v>22</v>
      </c>
      <c r="E1319" s="12">
        <v>0.11352463829715839</v>
      </c>
      <c r="F1319" s="12">
        <v>178807</v>
      </c>
      <c r="G1319">
        <f t="shared" si="41"/>
        <v>20299</v>
      </c>
      <c r="H1319" s="16" t="s">
        <v>879</v>
      </c>
    </row>
    <row r="1320" spans="1:8">
      <c r="A1320" t="str">
        <f t="shared" si="40"/>
        <v>همداننهاوند</v>
      </c>
      <c r="B1320" s="12" t="s">
        <v>297</v>
      </c>
      <c r="C1320" s="12" t="s">
        <v>301</v>
      </c>
      <c r="D1320" s="12" t="s">
        <v>478</v>
      </c>
      <c r="E1320" s="12">
        <v>4.3113524638297158E-2</v>
      </c>
      <c r="F1320" s="12">
        <v>178807</v>
      </c>
      <c r="G1320">
        <f t="shared" si="41"/>
        <v>7709</v>
      </c>
      <c r="H1320" s="16" t="s">
        <v>879</v>
      </c>
    </row>
    <row r="1321" spans="1:8">
      <c r="A1321" t="str">
        <f t="shared" si="40"/>
        <v>همداننهاوند</v>
      </c>
      <c r="B1321" s="12" t="s">
        <v>297</v>
      </c>
      <c r="C1321" s="12" t="s">
        <v>301</v>
      </c>
      <c r="D1321" s="12" t="s">
        <v>20</v>
      </c>
      <c r="E1321" s="12">
        <v>3.8891094867650598E-2</v>
      </c>
      <c r="F1321" s="12">
        <v>178807</v>
      </c>
      <c r="G1321">
        <f t="shared" si="41"/>
        <v>6954</v>
      </c>
      <c r="H1321" s="16" t="s">
        <v>879</v>
      </c>
    </row>
    <row r="1322" spans="1:8">
      <c r="A1322" t="str">
        <f t="shared" si="40"/>
        <v>همدانهمدان</v>
      </c>
      <c r="B1322" s="12" t="s">
        <v>297</v>
      </c>
      <c r="C1322" s="12" t="s">
        <v>297</v>
      </c>
      <c r="D1322" s="12" t="s">
        <v>480</v>
      </c>
      <c r="E1322" s="12">
        <v>0.39358326768758545</v>
      </c>
      <c r="F1322" s="12">
        <v>686767</v>
      </c>
      <c r="G1322">
        <f t="shared" si="41"/>
        <v>270300</v>
      </c>
      <c r="H1322" s="16" t="s">
        <v>882</v>
      </c>
    </row>
    <row r="1323" spans="1:8">
      <c r="A1323" t="str">
        <f t="shared" si="40"/>
        <v>همدانهمدان</v>
      </c>
      <c r="B1323" s="12" t="s">
        <v>297</v>
      </c>
      <c r="C1323" s="12" t="s">
        <v>297</v>
      </c>
      <c r="D1323" s="12" t="s">
        <v>479</v>
      </c>
      <c r="E1323" s="12">
        <v>0.41967799850604354</v>
      </c>
      <c r="F1323" s="12">
        <v>686767</v>
      </c>
      <c r="G1323">
        <f t="shared" si="41"/>
        <v>288221</v>
      </c>
      <c r="H1323" s="16" t="s">
        <v>882</v>
      </c>
    </row>
    <row r="1324" spans="1:8">
      <c r="A1324" t="str">
        <f t="shared" si="40"/>
        <v>همدانهمدان</v>
      </c>
      <c r="B1324" s="12" t="s">
        <v>297</v>
      </c>
      <c r="C1324" s="12" t="s">
        <v>297</v>
      </c>
      <c r="D1324" s="12" t="s">
        <v>22</v>
      </c>
      <c r="E1324" s="12">
        <v>0.1117904616849674</v>
      </c>
      <c r="F1324" s="12">
        <v>686767</v>
      </c>
      <c r="G1324">
        <f t="shared" si="41"/>
        <v>76774</v>
      </c>
      <c r="H1324" s="16" t="s">
        <v>882</v>
      </c>
    </row>
    <row r="1325" spans="1:8">
      <c r="A1325" t="str">
        <f t="shared" si="40"/>
        <v>همدانهمدان</v>
      </c>
      <c r="B1325" s="12" t="s">
        <v>297</v>
      </c>
      <c r="C1325" s="12" t="s">
        <v>297</v>
      </c>
      <c r="D1325" s="12" t="s">
        <v>478</v>
      </c>
      <c r="E1325" s="12">
        <v>4.0159180624578641E-2</v>
      </c>
      <c r="F1325" s="12">
        <v>686767</v>
      </c>
      <c r="G1325">
        <f t="shared" si="41"/>
        <v>27580</v>
      </c>
      <c r="H1325" s="16" t="s">
        <v>882</v>
      </c>
    </row>
    <row r="1326" spans="1:8">
      <c r="A1326" t="str">
        <f t="shared" si="40"/>
        <v>همدانهمدان</v>
      </c>
      <c r="B1326" s="12" t="s">
        <v>297</v>
      </c>
      <c r="C1326" s="12" t="s">
        <v>297</v>
      </c>
      <c r="D1326" s="12" t="s">
        <v>20</v>
      </c>
      <c r="E1326" s="12">
        <v>3.4789091496824978E-2</v>
      </c>
      <c r="F1326" s="12">
        <v>686767</v>
      </c>
      <c r="G1326">
        <f t="shared" si="41"/>
        <v>23892</v>
      </c>
      <c r="H1326" s="16" t="s">
        <v>882</v>
      </c>
    </row>
    <row r="1327" spans="1:8">
      <c r="A1327" t="str">
        <f t="shared" si="40"/>
        <v>همدانكبودرآهنگ</v>
      </c>
      <c r="B1327" s="12" t="s">
        <v>297</v>
      </c>
      <c r="C1327" s="12" t="s">
        <v>302</v>
      </c>
      <c r="D1327" s="12" t="s">
        <v>480</v>
      </c>
      <c r="E1327" s="12">
        <v>0.44336538690973298</v>
      </c>
      <c r="F1327" s="12">
        <v>125727</v>
      </c>
      <c r="G1327">
        <f t="shared" si="41"/>
        <v>55743</v>
      </c>
      <c r="H1327" s="16" t="s">
        <v>886</v>
      </c>
    </row>
    <row r="1328" spans="1:8">
      <c r="A1328" t="str">
        <f t="shared" si="40"/>
        <v>همدانكبودرآهنگ</v>
      </c>
      <c r="B1328" s="12" t="s">
        <v>297</v>
      </c>
      <c r="C1328" s="12" t="s">
        <v>302</v>
      </c>
      <c r="D1328" s="12" t="s">
        <v>479</v>
      </c>
      <c r="E1328" s="12">
        <v>0.38531103104345127</v>
      </c>
      <c r="F1328" s="12">
        <v>125727</v>
      </c>
      <c r="G1328">
        <f t="shared" si="41"/>
        <v>48444</v>
      </c>
      <c r="H1328" s="16" t="s">
        <v>886</v>
      </c>
    </row>
    <row r="1329" spans="1:8">
      <c r="A1329" t="str">
        <f t="shared" si="40"/>
        <v>همدانكبودرآهنگ</v>
      </c>
      <c r="B1329" s="12" t="s">
        <v>297</v>
      </c>
      <c r="C1329" s="12" t="s">
        <v>302</v>
      </c>
      <c r="D1329" s="12" t="s">
        <v>22</v>
      </c>
      <c r="E1329" s="12">
        <v>9.995466367606004E-2</v>
      </c>
      <c r="F1329" s="12">
        <v>125727</v>
      </c>
      <c r="G1329">
        <f t="shared" si="41"/>
        <v>12567</v>
      </c>
      <c r="H1329" s="16" t="s">
        <v>886</v>
      </c>
    </row>
    <row r="1330" spans="1:8">
      <c r="A1330" t="str">
        <f t="shared" si="40"/>
        <v>همدانكبودرآهنگ</v>
      </c>
      <c r="B1330" s="12" t="s">
        <v>297</v>
      </c>
      <c r="C1330" s="12" t="s">
        <v>302</v>
      </c>
      <c r="D1330" s="12" t="s">
        <v>478</v>
      </c>
      <c r="E1330" s="12">
        <v>3.6308827857182625E-2</v>
      </c>
      <c r="F1330" s="12">
        <v>125727</v>
      </c>
      <c r="G1330">
        <f t="shared" si="41"/>
        <v>4565</v>
      </c>
      <c r="H1330" s="16" t="s">
        <v>886</v>
      </c>
    </row>
    <row r="1331" spans="1:8">
      <c r="A1331" t="str">
        <f t="shared" si="40"/>
        <v>همدانكبودرآهنگ</v>
      </c>
      <c r="B1331" s="12" t="s">
        <v>297</v>
      </c>
      <c r="C1331" s="12" t="s">
        <v>302</v>
      </c>
      <c r="D1331" s="12" t="s">
        <v>20</v>
      </c>
      <c r="E1331" s="12">
        <v>3.5075997995657256E-2</v>
      </c>
      <c r="F1331" s="12">
        <v>125727</v>
      </c>
      <c r="G1331">
        <f t="shared" si="41"/>
        <v>4410</v>
      </c>
      <c r="H1331" s="16" t="s">
        <v>886</v>
      </c>
    </row>
    <row r="1332" spans="1:8">
      <c r="A1332" t="str">
        <f t="shared" si="40"/>
        <v>همداناسداباد</v>
      </c>
      <c r="B1332" s="12" t="s">
        <v>297</v>
      </c>
      <c r="C1332" s="12" t="s">
        <v>303</v>
      </c>
      <c r="D1332" s="12" t="s">
        <v>480</v>
      </c>
      <c r="E1332" s="12">
        <v>0.42016765139594037</v>
      </c>
      <c r="F1332" s="12">
        <v>101043</v>
      </c>
      <c r="G1332">
        <f t="shared" si="41"/>
        <v>42455</v>
      </c>
      <c r="H1332" s="16" t="s">
        <v>880</v>
      </c>
    </row>
    <row r="1333" spans="1:8">
      <c r="A1333" t="str">
        <f t="shared" si="40"/>
        <v>همداناسداباد</v>
      </c>
      <c r="B1333" s="12" t="s">
        <v>297</v>
      </c>
      <c r="C1333" s="12" t="s">
        <v>303</v>
      </c>
      <c r="D1333" s="12" t="s">
        <v>479</v>
      </c>
      <c r="E1333" s="12">
        <v>0.39634611007194959</v>
      </c>
      <c r="F1333" s="12">
        <v>101043</v>
      </c>
      <c r="G1333">
        <f t="shared" si="41"/>
        <v>40048</v>
      </c>
      <c r="H1333" s="16" t="s">
        <v>880</v>
      </c>
    </row>
    <row r="1334" spans="1:8">
      <c r="A1334" t="str">
        <f t="shared" si="40"/>
        <v>همداناسداباد</v>
      </c>
      <c r="B1334" s="12" t="s">
        <v>297</v>
      </c>
      <c r="C1334" s="12" t="s">
        <v>303</v>
      </c>
      <c r="D1334" s="12" t="s">
        <v>22</v>
      </c>
      <c r="E1334" s="12">
        <v>0.10884474926516434</v>
      </c>
      <c r="F1334" s="12">
        <v>101043</v>
      </c>
      <c r="G1334">
        <f t="shared" si="41"/>
        <v>10998</v>
      </c>
      <c r="H1334" s="16" t="s">
        <v>880</v>
      </c>
    </row>
    <row r="1335" spans="1:8">
      <c r="A1335" t="str">
        <f t="shared" si="40"/>
        <v>همداناسداباد</v>
      </c>
      <c r="B1335" s="12" t="s">
        <v>297</v>
      </c>
      <c r="C1335" s="12" t="s">
        <v>303</v>
      </c>
      <c r="D1335" s="12" t="s">
        <v>478</v>
      </c>
      <c r="E1335" s="12">
        <v>3.9408964500262267E-2</v>
      </c>
      <c r="F1335" s="12">
        <v>101043</v>
      </c>
      <c r="G1335">
        <f t="shared" si="41"/>
        <v>3982</v>
      </c>
      <c r="H1335" s="16" t="s">
        <v>880</v>
      </c>
    </row>
    <row r="1336" spans="1:8">
      <c r="A1336" t="str">
        <f t="shared" si="40"/>
        <v>همداناسداباد</v>
      </c>
      <c r="B1336" s="12" t="s">
        <v>297</v>
      </c>
      <c r="C1336" s="12" t="s">
        <v>303</v>
      </c>
      <c r="D1336" s="12" t="s">
        <v>20</v>
      </c>
      <c r="E1336" s="12">
        <v>3.5242421543303343E-2</v>
      </c>
      <c r="F1336" s="12">
        <v>101043</v>
      </c>
      <c r="G1336">
        <f t="shared" si="41"/>
        <v>3561</v>
      </c>
      <c r="H1336" s="16" t="s">
        <v>880</v>
      </c>
    </row>
    <row r="1337" spans="1:8">
      <c r="A1337" t="str">
        <f t="shared" si="40"/>
        <v>همدانبهار</v>
      </c>
      <c r="B1337" s="12" t="s">
        <v>297</v>
      </c>
      <c r="C1337" s="12" t="s">
        <v>304</v>
      </c>
      <c r="D1337" s="12" t="s">
        <v>480</v>
      </c>
      <c r="E1337" s="12">
        <v>0.40963623263685262</v>
      </c>
      <c r="F1337" s="12">
        <v>119362</v>
      </c>
      <c r="G1337">
        <f t="shared" si="41"/>
        <v>48895</v>
      </c>
      <c r="H1337" s="16" t="s">
        <v>887</v>
      </c>
    </row>
    <row r="1338" spans="1:8">
      <c r="A1338" t="str">
        <f t="shared" si="40"/>
        <v>همدانبهار</v>
      </c>
      <c r="B1338" s="12" t="s">
        <v>297</v>
      </c>
      <c r="C1338" s="12" t="s">
        <v>304</v>
      </c>
      <c r="D1338" s="12" t="s">
        <v>479</v>
      </c>
      <c r="E1338" s="12">
        <v>0.40117457817395819</v>
      </c>
      <c r="F1338" s="12">
        <v>119362</v>
      </c>
      <c r="G1338">
        <f t="shared" si="41"/>
        <v>47885</v>
      </c>
      <c r="H1338" s="16" t="s">
        <v>887</v>
      </c>
    </row>
    <row r="1339" spans="1:8">
      <c r="A1339" t="str">
        <f t="shared" si="40"/>
        <v>همدانبهار</v>
      </c>
      <c r="B1339" s="12" t="s">
        <v>297</v>
      </c>
      <c r="C1339" s="12" t="s">
        <v>304</v>
      </c>
      <c r="D1339" s="12" t="s">
        <v>22</v>
      </c>
      <c r="E1339" s="12">
        <v>0.10691007188217355</v>
      </c>
      <c r="F1339" s="12">
        <v>119362</v>
      </c>
      <c r="G1339">
        <f t="shared" si="41"/>
        <v>12761</v>
      </c>
      <c r="H1339" s="16" t="s">
        <v>887</v>
      </c>
    </row>
    <row r="1340" spans="1:8">
      <c r="A1340" t="str">
        <f t="shared" si="40"/>
        <v>همدانبهار</v>
      </c>
      <c r="B1340" s="12" t="s">
        <v>297</v>
      </c>
      <c r="C1340" s="12" t="s">
        <v>304</v>
      </c>
      <c r="D1340" s="12" t="s">
        <v>478</v>
      </c>
      <c r="E1340" s="12">
        <v>4.2777433353998758E-2</v>
      </c>
      <c r="F1340" s="12">
        <v>119362</v>
      </c>
      <c r="G1340">
        <f t="shared" si="41"/>
        <v>5106</v>
      </c>
      <c r="H1340" s="16" t="s">
        <v>887</v>
      </c>
    </row>
    <row r="1341" spans="1:8">
      <c r="A1341" t="str">
        <f t="shared" si="40"/>
        <v>همدانبهار</v>
      </c>
      <c r="B1341" s="12" t="s">
        <v>297</v>
      </c>
      <c r="C1341" s="12" t="s">
        <v>304</v>
      </c>
      <c r="D1341" s="12" t="s">
        <v>20</v>
      </c>
      <c r="E1341" s="12">
        <v>3.9526817580134384E-2</v>
      </c>
      <c r="F1341" s="12">
        <v>119362</v>
      </c>
      <c r="G1341">
        <f t="shared" si="41"/>
        <v>4718</v>
      </c>
      <c r="H1341" s="16" t="s">
        <v>887</v>
      </c>
    </row>
    <row r="1342" spans="1:8">
      <c r="A1342" t="str">
        <f t="shared" si="40"/>
        <v>همدانرزن</v>
      </c>
      <c r="B1342" s="12" t="s">
        <v>297</v>
      </c>
      <c r="C1342" s="12" t="s">
        <v>305</v>
      </c>
      <c r="D1342" s="12" t="s">
        <v>480</v>
      </c>
      <c r="E1342" s="12">
        <v>0.42388344478817408</v>
      </c>
      <c r="F1342" s="12">
        <v>107966</v>
      </c>
      <c r="G1342">
        <f t="shared" si="41"/>
        <v>45765</v>
      </c>
      <c r="H1342" s="16" t="s">
        <v>885</v>
      </c>
    </row>
    <row r="1343" spans="1:8">
      <c r="A1343" t="str">
        <f t="shared" si="40"/>
        <v>همدانرزن</v>
      </c>
      <c r="B1343" s="12" t="s">
        <v>297</v>
      </c>
      <c r="C1343" s="12" t="s">
        <v>305</v>
      </c>
      <c r="D1343" s="12" t="s">
        <v>479</v>
      </c>
      <c r="E1343" s="12">
        <v>0.38693662819776597</v>
      </c>
      <c r="F1343" s="12">
        <v>107966</v>
      </c>
      <c r="G1343">
        <f t="shared" si="41"/>
        <v>41776</v>
      </c>
      <c r="H1343" s="16" t="s">
        <v>885</v>
      </c>
    </row>
    <row r="1344" spans="1:8">
      <c r="A1344" t="str">
        <f t="shared" si="40"/>
        <v>همدانرزن</v>
      </c>
      <c r="B1344" s="12" t="s">
        <v>297</v>
      </c>
      <c r="C1344" s="12" t="s">
        <v>305</v>
      </c>
      <c r="D1344" s="12" t="s">
        <v>22</v>
      </c>
      <c r="E1344" s="12">
        <v>0.10475520071133505</v>
      </c>
      <c r="F1344" s="12">
        <v>107966</v>
      </c>
      <c r="G1344">
        <f t="shared" si="41"/>
        <v>11310</v>
      </c>
      <c r="H1344" s="16" t="s">
        <v>885</v>
      </c>
    </row>
    <row r="1345" spans="1:8">
      <c r="A1345" t="str">
        <f t="shared" si="40"/>
        <v>همدانرزن</v>
      </c>
      <c r="B1345" s="12" t="s">
        <v>297</v>
      </c>
      <c r="C1345" s="12" t="s">
        <v>305</v>
      </c>
      <c r="D1345" s="12" t="s">
        <v>478</v>
      </c>
      <c r="E1345" s="12">
        <v>4.1624215030657802E-2</v>
      </c>
      <c r="F1345" s="12">
        <v>107966</v>
      </c>
      <c r="G1345">
        <f t="shared" si="41"/>
        <v>4494</v>
      </c>
      <c r="H1345" s="16" t="s">
        <v>885</v>
      </c>
    </row>
    <row r="1346" spans="1:8">
      <c r="A1346" t="str">
        <f t="shared" ref="A1346:A1409" si="42">B1346&amp;C1346</f>
        <v>همدانرزن</v>
      </c>
      <c r="B1346" s="12" t="s">
        <v>297</v>
      </c>
      <c r="C1346" s="12" t="s">
        <v>305</v>
      </c>
      <c r="D1346" s="12" t="s">
        <v>20</v>
      </c>
      <c r="E1346" s="12">
        <v>4.2800511272067132E-2</v>
      </c>
      <c r="F1346" s="12">
        <v>107966</v>
      </c>
      <c r="G1346">
        <f t="shared" si="41"/>
        <v>4621</v>
      </c>
      <c r="H1346" s="16" t="s">
        <v>885</v>
      </c>
    </row>
    <row r="1347" spans="1:8">
      <c r="A1347" t="str">
        <f t="shared" si="42"/>
        <v>همدانفامنين</v>
      </c>
      <c r="B1347" s="12" t="s">
        <v>297</v>
      </c>
      <c r="C1347" s="12" t="s">
        <v>307</v>
      </c>
      <c r="D1347" s="12" t="s">
        <v>480</v>
      </c>
      <c r="E1347" s="12">
        <v>0.42680632531652007</v>
      </c>
      <c r="F1347" s="12">
        <v>39334</v>
      </c>
      <c r="G1347">
        <f t="shared" ref="G1347:G1410" si="43">IFERROR(ROUND(F1347*E1347,0),0)</f>
        <v>16788</v>
      </c>
      <c r="H1347" s="16" t="s">
        <v>884</v>
      </c>
    </row>
    <row r="1348" spans="1:8">
      <c r="A1348" t="str">
        <f t="shared" si="42"/>
        <v>همدانفامنين</v>
      </c>
      <c r="B1348" s="12" t="s">
        <v>297</v>
      </c>
      <c r="C1348" s="12" t="s">
        <v>307</v>
      </c>
      <c r="D1348" s="12" t="s">
        <v>479</v>
      </c>
      <c r="E1348" s="12">
        <v>0.3871714038745106</v>
      </c>
      <c r="F1348" s="12">
        <v>39334</v>
      </c>
      <c r="G1348">
        <f t="shared" si="43"/>
        <v>15229</v>
      </c>
      <c r="H1348" s="16" t="s">
        <v>884</v>
      </c>
    </row>
    <row r="1349" spans="1:8">
      <c r="A1349" t="str">
        <f t="shared" si="42"/>
        <v>همدانفامنين</v>
      </c>
      <c r="B1349" s="12" t="s">
        <v>297</v>
      </c>
      <c r="C1349" s="12" t="s">
        <v>307</v>
      </c>
      <c r="D1349" s="12" t="s">
        <v>22</v>
      </c>
      <c r="E1349" s="12">
        <v>0.10497279707123608</v>
      </c>
      <c r="F1349" s="12">
        <v>39334</v>
      </c>
      <c r="G1349">
        <f t="shared" si="43"/>
        <v>4129</v>
      </c>
      <c r="H1349" s="16" t="s">
        <v>884</v>
      </c>
    </row>
    <row r="1350" spans="1:8">
      <c r="A1350" t="str">
        <f t="shared" si="42"/>
        <v>همدانفامنين</v>
      </c>
      <c r="B1350" s="12" t="s">
        <v>297</v>
      </c>
      <c r="C1350" s="12" t="s">
        <v>307</v>
      </c>
      <c r="D1350" s="12" t="s">
        <v>478</v>
      </c>
      <c r="E1350" s="12">
        <v>4.1312859104082979E-2</v>
      </c>
      <c r="F1350" s="12">
        <v>39334</v>
      </c>
      <c r="G1350">
        <f t="shared" si="43"/>
        <v>1625</v>
      </c>
      <c r="H1350" s="16" t="s">
        <v>884</v>
      </c>
    </row>
    <row r="1351" spans="1:8">
      <c r="A1351" t="str">
        <f t="shared" si="42"/>
        <v>همدانفامنين</v>
      </c>
      <c r="B1351" s="12" t="s">
        <v>297</v>
      </c>
      <c r="C1351" s="12" t="s">
        <v>307</v>
      </c>
      <c r="D1351" s="12" t="s">
        <v>20</v>
      </c>
      <c r="E1351" s="12">
        <v>3.9812884527380889E-2</v>
      </c>
      <c r="F1351" s="12">
        <v>39334</v>
      </c>
      <c r="G1351">
        <f t="shared" si="43"/>
        <v>1566</v>
      </c>
      <c r="H1351" s="16" t="s">
        <v>884</v>
      </c>
    </row>
    <row r="1352" spans="1:8">
      <c r="A1352" t="str">
        <f t="shared" si="42"/>
        <v>چهارمحال وبختيارئبروجن</v>
      </c>
      <c r="B1352" s="12" t="s">
        <v>306</v>
      </c>
      <c r="C1352" s="12" t="s">
        <v>308</v>
      </c>
      <c r="D1352" s="12" t="s">
        <v>480</v>
      </c>
      <c r="E1352" s="12">
        <v>0.41499890572185882</v>
      </c>
      <c r="F1352" s="12">
        <v>123369</v>
      </c>
      <c r="G1352">
        <f t="shared" si="43"/>
        <v>51198</v>
      </c>
      <c r="H1352" s="16" t="s">
        <v>889</v>
      </c>
    </row>
    <row r="1353" spans="1:8">
      <c r="A1353" t="str">
        <f t="shared" si="42"/>
        <v>چهارمحال وبختيارئبروجن</v>
      </c>
      <c r="B1353" s="12" t="s">
        <v>306</v>
      </c>
      <c r="C1353" s="12" t="s">
        <v>308</v>
      </c>
      <c r="D1353" s="12" t="s">
        <v>479</v>
      </c>
      <c r="E1353" s="12">
        <v>0.40685261289302821</v>
      </c>
      <c r="F1353" s="12">
        <v>123369</v>
      </c>
      <c r="G1353">
        <f t="shared" si="43"/>
        <v>50193</v>
      </c>
      <c r="H1353" s="16" t="s">
        <v>889</v>
      </c>
    </row>
    <row r="1354" spans="1:8">
      <c r="A1354" t="str">
        <f t="shared" si="42"/>
        <v>چهارمحال وبختيارئبروجن</v>
      </c>
      <c r="B1354" s="12" t="s">
        <v>306</v>
      </c>
      <c r="C1354" s="12" t="s">
        <v>308</v>
      </c>
      <c r="D1354" s="12" t="s">
        <v>22</v>
      </c>
      <c r="E1354" s="12">
        <v>0.10569916267457789</v>
      </c>
      <c r="F1354" s="12">
        <v>123369</v>
      </c>
      <c r="G1354">
        <f t="shared" si="43"/>
        <v>13040</v>
      </c>
      <c r="H1354" s="16" t="s">
        <v>889</v>
      </c>
    </row>
    <row r="1355" spans="1:8">
      <c r="A1355" t="str">
        <f t="shared" si="42"/>
        <v>چهارمحال وبختيارئبروجن</v>
      </c>
      <c r="B1355" s="12" t="s">
        <v>306</v>
      </c>
      <c r="C1355" s="12" t="s">
        <v>308</v>
      </c>
      <c r="D1355" s="12" t="s">
        <v>478</v>
      </c>
      <c r="E1355" s="12">
        <v>3.8170042717376326E-2</v>
      </c>
      <c r="F1355" s="12">
        <v>123369</v>
      </c>
      <c r="G1355">
        <f t="shared" si="43"/>
        <v>4709</v>
      </c>
      <c r="H1355" s="16" t="s">
        <v>889</v>
      </c>
    </row>
    <row r="1356" spans="1:8">
      <c r="A1356" t="str">
        <f t="shared" si="42"/>
        <v>چهارمحال وبختيارئبروجن</v>
      </c>
      <c r="B1356" s="12" t="s">
        <v>306</v>
      </c>
      <c r="C1356" s="12" t="s">
        <v>308</v>
      </c>
      <c r="D1356" s="12" t="s">
        <v>20</v>
      </c>
      <c r="E1356" s="12">
        <v>3.4327910577211455E-2</v>
      </c>
      <c r="F1356" s="12">
        <v>123369</v>
      </c>
      <c r="G1356">
        <f t="shared" si="43"/>
        <v>4235</v>
      </c>
      <c r="H1356" s="16" t="s">
        <v>889</v>
      </c>
    </row>
    <row r="1357" spans="1:8">
      <c r="A1357" t="str">
        <f t="shared" si="42"/>
        <v>چهارمحال وبختيارئشهركرد</v>
      </c>
      <c r="B1357" s="12" t="s">
        <v>306</v>
      </c>
      <c r="C1357" s="12" t="s">
        <v>309</v>
      </c>
      <c r="D1357" s="12" t="s">
        <v>480</v>
      </c>
      <c r="E1357" s="12">
        <v>0.41822907056384145</v>
      </c>
      <c r="F1357" s="12">
        <v>319753</v>
      </c>
      <c r="G1357">
        <f t="shared" si="43"/>
        <v>133730</v>
      </c>
      <c r="H1357" s="16" t="s">
        <v>892</v>
      </c>
    </row>
    <row r="1358" spans="1:8">
      <c r="A1358" t="str">
        <f t="shared" si="42"/>
        <v>چهارمحال وبختيارئشهركرد</v>
      </c>
      <c r="B1358" s="12" t="s">
        <v>306</v>
      </c>
      <c r="C1358" s="12" t="s">
        <v>309</v>
      </c>
      <c r="D1358" s="12" t="s">
        <v>479</v>
      </c>
      <c r="E1358" s="12">
        <v>0.41506412762350942</v>
      </c>
      <c r="F1358" s="12">
        <v>319753</v>
      </c>
      <c r="G1358">
        <f t="shared" si="43"/>
        <v>132718</v>
      </c>
      <c r="H1358" s="16" t="s">
        <v>892</v>
      </c>
    </row>
    <row r="1359" spans="1:8">
      <c r="A1359" t="str">
        <f t="shared" si="42"/>
        <v>چهارمحال وبختيارئشهركرد</v>
      </c>
      <c r="B1359" s="12" t="s">
        <v>306</v>
      </c>
      <c r="C1359" s="12" t="s">
        <v>309</v>
      </c>
      <c r="D1359" s="12" t="s">
        <v>22</v>
      </c>
      <c r="E1359" s="12">
        <v>0.10096856010733285</v>
      </c>
      <c r="F1359" s="12">
        <v>319753</v>
      </c>
      <c r="G1359">
        <f t="shared" si="43"/>
        <v>32285</v>
      </c>
      <c r="H1359" s="16" t="s">
        <v>892</v>
      </c>
    </row>
    <row r="1360" spans="1:8">
      <c r="A1360" t="str">
        <f t="shared" si="42"/>
        <v>چهارمحال وبختيارئشهركرد</v>
      </c>
      <c r="B1360" s="12" t="s">
        <v>306</v>
      </c>
      <c r="C1360" s="12" t="s">
        <v>309</v>
      </c>
      <c r="D1360" s="12" t="s">
        <v>478</v>
      </c>
      <c r="E1360" s="12">
        <v>3.5680666014079619E-2</v>
      </c>
      <c r="F1360" s="12">
        <v>319753</v>
      </c>
      <c r="G1360">
        <f t="shared" si="43"/>
        <v>11409</v>
      </c>
      <c r="H1360" s="16" t="s">
        <v>892</v>
      </c>
    </row>
    <row r="1361" spans="1:8">
      <c r="A1361" t="str">
        <f t="shared" si="42"/>
        <v>چهارمحال وبختيارئشهركرد</v>
      </c>
      <c r="B1361" s="12" t="s">
        <v>306</v>
      </c>
      <c r="C1361" s="12" t="s">
        <v>309</v>
      </c>
      <c r="D1361" s="12" t="s">
        <v>20</v>
      </c>
      <c r="E1361" s="12">
        <v>3.0041938621373374E-2</v>
      </c>
      <c r="F1361" s="12">
        <v>319753</v>
      </c>
      <c r="G1361">
        <f t="shared" si="43"/>
        <v>9606</v>
      </c>
      <c r="H1361" s="16" t="s">
        <v>892</v>
      </c>
    </row>
    <row r="1362" spans="1:8">
      <c r="A1362" t="str">
        <f t="shared" si="42"/>
        <v>چهارمحال وبختيارئفارسان</v>
      </c>
      <c r="B1362" s="12" t="s">
        <v>306</v>
      </c>
      <c r="C1362" s="12" t="s">
        <v>310</v>
      </c>
      <c r="D1362" s="12" t="s">
        <v>480</v>
      </c>
      <c r="E1362" s="12">
        <v>0.46643355915623408</v>
      </c>
      <c r="F1362" s="12">
        <v>96093</v>
      </c>
      <c r="G1362">
        <f t="shared" si="43"/>
        <v>44821</v>
      </c>
      <c r="H1362" s="16" t="s">
        <v>897</v>
      </c>
    </row>
    <row r="1363" spans="1:8">
      <c r="A1363" t="str">
        <f t="shared" si="42"/>
        <v>چهارمحال وبختيارئفارسان</v>
      </c>
      <c r="B1363" s="12" t="s">
        <v>306</v>
      </c>
      <c r="C1363" s="12" t="s">
        <v>310</v>
      </c>
      <c r="D1363" s="12" t="s">
        <v>479</v>
      </c>
      <c r="E1363" s="12">
        <v>0.38705212658570343</v>
      </c>
      <c r="F1363" s="12">
        <v>96093</v>
      </c>
      <c r="G1363">
        <f t="shared" si="43"/>
        <v>37193</v>
      </c>
      <c r="H1363" s="16" t="s">
        <v>897</v>
      </c>
    </row>
    <row r="1364" spans="1:8">
      <c r="A1364" t="str">
        <f t="shared" si="42"/>
        <v>چهارمحال وبختيارئفارسان</v>
      </c>
      <c r="B1364" s="12" t="s">
        <v>306</v>
      </c>
      <c r="C1364" s="12" t="s">
        <v>310</v>
      </c>
      <c r="D1364" s="12" t="s">
        <v>22</v>
      </c>
      <c r="E1364" s="12">
        <v>8.7789953482563771E-2</v>
      </c>
      <c r="F1364" s="12">
        <v>96093</v>
      </c>
      <c r="G1364">
        <f t="shared" si="43"/>
        <v>8436</v>
      </c>
      <c r="H1364" s="16" t="s">
        <v>897</v>
      </c>
    </row>
    <row r="1365" spans="1:8">
      <c r="A1365" t="str">
        <f t="shared" si="42"/>
        <v>چهارمحال وبختيارئفارسان</v>
      </c>
      <c r="B1365" s="12" t="s">
        <v>306</v>
      </c>
      <c r="C1365" s="12" t="s">
        <v>310</v>
      </c>
      <c r="D1365" s="12" t="s">
        <v>478</v>
      </c>
      <c r="E1365" s="12">
        <v>3.093877805875558E-2</v>
      </c>
      <c r="F1365" s="12">
        <v>96093</v>
      </c>
      <c r="G1365">
        <f t="shared" si="43"/>
        <v>2973</v>
      </c>
      <c r="H1365" s="16" t="s">
        <v>897</v>
      </c>
    </row>
    <row r="1366" spans="1:8">
      <c r="A1366" t="str">
        <f t="shared" si="42"/>
        <v>چهارمحال وبختيارئفارسان</v>
      </c>
      <c r="B1366" s="12" t="s">
        <v>306</v>
      </c>
      <c r="C1366" s="12" t="s">
        <v>310</v>
      </c>
      <c r="D1366" s="12" t="s">
        <v>20</v>
      </c>
      <c r="E1366" s="12">
        <v>2.7775176131455984E-2</v>
      </c>
      <c r="F1366" s="12">
        <v>96093</v>
      </c>
      <c r="G1366">
        <f t="shared" si="43"/>
        <v>2669</v>
      </c>
      <c r="H1366" s="16" t="s">
        <v>897</v>
      </c>
    </row>
    <row r="1367" spans="1:8">
      <c r="A1367" t="str">
        <f t="shared" si="42"/>
        <v>چهارمحال وبختيارئلردگان</v>
      </c>
      <c r="B1367" s="12" t="s">
        <v>306</v>
      </c>
      <c r="C1367" s="12" t="s">
        <v>311</v>
      </c>
      <c r="D1367" s="12" t="s">
        <v>480</v>
      </c>
      <c r="E1367" s="12">
        <v>0.52919371089814182</v>
      </c>
      <c r="F1367" s="12">
        <v>213385</v>
      </c>
      <c r="G1367">
        <f t="shared" si="43"/>
        <v>112922</v>
      </c>
      <c r="H1367" s="16" t="s">
        <v>898</v>
      </c>
    </row>
    <row r="1368" spans="1:8">
      <c r="A1368" t="str">
        <f t="shared" si="42"/>
        <v>چهارمحال وبختيارئلردگان</v>
      </c>
      <c r="B1368" s="12" t="s">
        <v>306</v>
      </c>
      <c r="C1368" s="12" t="s">
        <v>311</v>
      </c>
      <c r="D1368" s="12" t="s">
        <v>479</v>
      </c>
      <c r="E1368" s="12">
        <v>0.348890503081285</v>
      </c>
      <c r="F1368" s="12">
        <v>213385</v>
      </c>
      <c r="G1368">
        <f t="shared" si="43"/>
        <v>74448</v>
      </c>
      <c r="H1368" s="16" t="s">
        <v>898</v>
      </c>
    </row>
    <row r="1369" spans="1:8">
      <c r="A1369" t="str">
        <f t="shared" si="42"/>
        <v>چهارمحال وبختيارئلردگان</v>
      </c>
      <c r="B1369" s="12" t="s">
        <v>306</v>
      </c>
      <c r="C1369" s="12" t="s">
        <v>311</v>
      </c>
      <c r="D1369" s="12" t="s">
        <v>22</v>
      </c>
      <c r="E1369" s="12">
        <v>7.5103685826088992E-2</v>
      </c>
      <c r="F1369" s="12">
        <v>213385</v>
      </c>
      <c r="G1369">
        <f t="shared" si="43"/>
        <v>16026</v>
      </c>
      <c r="H1369" s="16" t="s">
        <v>898</v>
      </c>
    </row>
    <row r="1370" spans="1:8">
      <c r="A1370" t="str">
        <f t="shared" si="42"/>
        <v>چهارمحال وبختيارئلردگان</v>
      </c>
      <c r="B1370" s="12" t="s">
        <v>306</v>
      </c>
      <c r="C1370" s="12" t="s">
        <v>311</v>
      </c>
      <c r="D1370" s="12" t="s">
        <v>478</v>
      </c>
      <c r="E1370" s="12">
        <v>2.5568807554420415E-2</v>
      </c>
      <c r="F1370" s="12">
        <v>213385</v>
      </c>
      <c r="G1370">
        <f t="shared" si="43"/>
        <v>5456</v>
      </c>
      <c r="H1370" s="16" t="s">
        <v>898</v>
      </c>
    </row>
    <row r="1371" spans="1:8">
      <c r="A1371" t="str">
        <f t="shared" si="42"/>
        <v>چهارمحال وبختيارئلردگان</v>
      </c>
      <c r="B1371" s="12" t="s">
        <v>306</v>
      </c>
      <c r="C1371" s="12" t="s">
        <v>311</v>
      </c>
      <c r="D1371" s="12" t="s">
        <v>20</v>
      </c>
      <c r="E1371" s="12">
        <v>2.1215174449937906E-2</v>
      </c>
      <c r="F1371" s="12">
        <v>213385</v>
      </c>
      <c r="G1371">
        <f t="shared" si="43"/>
        <v>4527</v>
      </c>
      <c r="H1371" s="16" t="s">
        <v>898</v>
      </c>
    </row>
    <row r="1372" spans="1:8">
      <c r="A1372" t="str">
        <f t="shared" si="42"/>
        <v>چهارمحال وبختيارئاردل</v>
      </c>
      <c r="B1372" s="12" t="s">
        <v>306</v>
      </c>
      <c r="C1372" s="12" t="s">
        <v>312</v>
      </c>
      <c r="D1372" s="12" t="s">
        <v>480</v>
      </c>
      <c r="E1372" s="12">
        <v>0.47933344224799868</v>
      </c>
      <c r="F1372" s="12">
        <v>48968</v>
      </c>
      <c r="G1372">
        <f t="shared" si="43"/>
        <v>23472</v>
      </c>
      <c r="H1372" s="16" t="s">
        <v>893</v>
      </c>
    </row>
    <row r="1373" spans="1:8">
      <c r="A1373" t="str">
        <f t="shared" si="42"/>
        <v>چهارمحال وبختيارئاردل</v>
      </c>
      <c r="B1373" s="12" t="s">
        <v>306</v>
      </c>
      <c r="C1373" s="12" t="s">
        <v>312</v>
      </c>
      <c r="D1373" s="12" t="s">
        <v>479</v>
      </c>
      <c r="E1373" s="12">
        <v>0.36291047214507433</v>
      </c>
      <c r="F1373" s="12">
        <v>48968</v>
      </c>
      <c r="G1373">
        <f t="shared" si="43"/>
        <v>17771</v>
      </c>
      <c r="H1373" s="16" t="s">
        <v>893</v>
      </c>
    </row>
    <row r="1374" spans="1:8">
      <c r="A1374" t="str">
        <f t="shared" si="42"/>
        <v>چهارمحال وبختيارئاردل</v>
      </c>
      <c r="B1374" s="12" t="s">
        <v>306</v>
      </c>
      <c r="C1374" s="12" t="s">
        <v>312</v>
      </c>
      <c r="D1374" s="12" t="s">
        <v>22</v>
      </c>
      <c r="E1374" s="12">
        <v>9.1958013396503835E-2</v>
      </c>
      <c r="F1374" s="12">
        <v>48968</v>
      </c>
      <c r="G1374">
        <f t="shared" si="43"/>
        <v>4503</v>
      </c>
      <c r="H1374" s="16" t="s">
        <v>893</v>
      </c>
    </row>
    <row r="1375" spans="1:8">
      <c r="A1375" t="str">
        <f t="shared" si="42"/>
        <v>چهارمحال وبختيارئاردل</v>
      </c>
      <c r="B1375" s="12" t="s">
        <v>306</v>
      </c>
      <c r="C1375" s="12" t="s">
        <v>312</v>
      </c>
      <c r="D1375" s="12" t="s">
        <v>478</v>
      </c>
      <c r="E1375" s="12">
        <v>3.394053259271361E-2</v>
      </c>
      <c r="F1375" s="12">
        <v>48968</v>
      </c>
      <c r="G1375">
        <f t="shared" si="43"/>
        <v>1662</v>
      </c>
      <c r="H1375" s="16" t="s">
        <v>893</v>
      </c>
    </row>
    <row r="1376" spans="1:8">
      <c r="A1376" t="str">
        <f t="shared" si="42"/>
        <v>چهارمحال وبختيارئاردل</v>
      </c>
      <c r="B1376" s="12" t="s">
        <v>306</v>
      </c>
      <c r="C1376" s="12" t="s">
        <v>312</v>
      </c>
      <c r="D1376" s="12" t="s">
        <v>20</v>
      </c>
      <c r="E1376" s="12">
        <v>3.1816696618199643E-2</v>
      </c>
      <c r="F1376" s="12">
        <v>48968</v>
      </c>
      <c r="G1376">
        <f t="shared" si="43"/>
        <v>1558</v>
      </c>
      <c r="H1376" s="16" t="s">
        <v>893</v>
      </c>
    </row>
    <row r="1377" spans="1:8">
      <c r="A1377" t="str">
        <f t="shared" si="42"/>
        <v>چهارمحال وبختيارئكوهرنگ</v>
      </c>
      <c r="B1377" s="12" t="s">
        <v>306</v>
      </c>
      <c r="C1377" s="12" t="s">
        <v>313</v>
      </c>
      <c r="D1377" s="12" t="s">
        <v>480</v>
      </c>
      <c r="E1377" s="12">
        <v>0.52011254440973798</v>
      </c>
      <c r="F1377" s="12">
        <v>41939</v>
      </c>
      <c r="G1377">
        <f t="shared" si="43"/>
        <v>21813</v>
      </c>
      <c r="H1377" s="16" t="s">
        <v>894</v>
      </c>
    </row>
    <row r="1378" spans="1:8">
      <c r="A1378" t="str">
        <f t="shared" si="42"/>
        <v>چهارمحال وبختيارئكوهرنگ</v>
      </c>
      <c r="B1378" s="12" t="s">
        <v>306</v>
      </c>
      <c r="C1378" s="12" t="s">
        <v>313</v>
      </c>
      <c r="D1378" s="12" t="s">
        <v>479</v>
      </c>
      <c r="E1378" s="12">
        <v>0.33870621617110563</v>
      </c>
      <c r="F1378" s="12">
        <v>41939</v>
      </c>
      <c r="G1378">
        <f t="shared" si="43"/>
        <v>14205</v>
      </c>
      <c r="H1378" s="16" t="s">
        <v>894</v>
      </c>
    </row>
    <row r="1379" spans="1:8">
      <c r="A1379" t="str">
        <f t="shared" si="42"/>
        <v>چهارمحال وبختيارئكوهرنگ</v>
      </c>
      <c r="B1379" s="12" t="s">
        <v>306</v>
      </c>
      <c r="C1379" s="12" t="s">
        <v>313</v>
      </c>
      <c r="D1379" s="12" t="s">
        <v>22</v>
      </c>
      <c r="E1379" s="12">
        <v>8.0736307494217799E-2</v>
      </c>
      <c r="F1379" s="12">
        <v>41939</v>
      </c>
      <c r="G1379">
        <f t="shared" si="43"/>
        <v>3386</v>
      </c>
      <c r="H1379" s="16" t="s">
        <v>894</v>
      </c>
    </row>
    <row r="1380" spans="1:8">
      <c r="A1380" t="str">
        <f t="shared" si="42"/>
        <v>چهارمحال وبختيارئكوهرنگ</v>
      </c>
      <c r="B1380" s="12" t="s">
        <v>306</v>
      </c>
      <c r="C1380" s="12" t="s">
        <v>313</v>
      </c>
      <c r="D1380" s="12" t="s">
        <v>478</v>
      </c>
      <c r="E1380" s="12">
        <v>2.9209089391735617E-2</v>
      </c>
      <c r="F1380" s="12">
        <v>41939</v>
      </c>
      <c r="G1380">
        <f t="shared" si="43"/>
        <v>1225</v>
      </c>
      <c r="H1380" s="16" t="s">
        <v>894</v>
      </c>
    </row>
    <row r="1381" spans="1:8">
      <c r="A1381" t="str">
        <f t="shared" si="42"/>
        <v>چهارمحال وبختيارئكوهرنگ</v>
      </c>
      <c r="B1381" s="12" t="s">
        <v>306</v>
      </c>
      <c r="C1381" s="12" t="s">
        <v>313</v>
      </c>
      <c r="D1381" s="12" t="s">
        <v>20</v>
      </c>
      <c r="E1381" s="12">
        <v>3.1188154223991987E-2</v>
      </c>
      <c r="F1381" s="12">
        <v>41939</v>
      </c>
      <c r="G1381">
        <f t="shared" si="43"/>
        <v>1308</v>
      </c>
      <c r="H1381" s="16" t="s">
        <v>894</v>
      </c>
    </row>
    <row r="1382" spans="1:8">
      <c r="A1382" t="str">
        <f t="shared" si="42"/>
        <v>چهارمحال وبختيارئكيار</v>
      </c>
      <c r="B1382" s="12" t="s">
        <v>306</v>
      </c>
      <c r="C1382" s="12" t="s">
        <v>314</v>
      </c>
      <c r="D1382" s="12" t="s">
        <v>480</v>
      </c>
      <c r="E1382" s="12">
        <v>0.41901811436915426</v>
      </c>
      <c r="F1382" s="12">
        <v>50678</v>
      </c>
      <c r="G1382">
        <f t="shared" si="43"/>
        <v>21235</v>
      </c>
      <c r="H1382" s="16" t="s">
        <v>896</v>
      </c>
    </row>
    <row r="1383" spans="1:8">
      <c r="A1383" t="str">
        <f t="shared" si="42"/>
        <v>چهارمحال وبختيارئكيار</v>
      </c>
      <c r="B1383" s="12" t="s">
        <v>306</v>
      </c>
      <c r="C1383" s="12" t="s">
        <v>314</v>
      </c>
      <c r="D1383" s="12" t="s">
        <v>479</v>
      </c>
      <c r="E1383" s="12">
        <v>0.38987331781048978</v>
      </c>
      <c r="F1383" s="12">
        <v>50678</v>
      </c>
      <c r="G1383">
        <f t="shared" si="43"/>
        <v>19758</v>
      </c>
      <c r="H1383" s="16" t="s">
        <v>896</v>
      </c>
    </row>
    <row r="1384" spans="1:8">
      <c r="A1384" t="str">
        <f t="shared" si="42"/>
        <v>چهارمحال وبختيارئكيار</v>
      </c>
      <c r="B1384" s="12" t="s">
        <v>306</v>
      </c>
      <c r="C1384" s="12" t="s">
        <v>314</v>
      </c>
      <c r="D1384" s="12" t="s">
        <v>22</v>
      </c>
      <c r="E1384" s="12">
        <v>0.10732467737479774</v>
      </c>
      <c r="F1384" s="12">
        <v>50678</v>
      </c>
      <c r="G1384">
        <f t="shared" si="43"/>
        <v>5439</v>
      </c>
      <c r="H1384" s="16" t="s">
        <v>896</v>
      </c>
    </row>
    <row r="1385" spans="1:8">
      <c r="A1385" t="str">
        <f t="shared" si="42"/>
        <v>چهارمحال وبختيارئكيار</v>
      </c>
      <c r="B1385" s="12" t="s">
        <v>306</v>
      </c>
      <c r="C1385" s="12" t="s">
        <v>314</v>
      </c>
      <c r="D1385" s="12" t="s">
        <v>478</v>
      </c>
      <c r="E1385" s="12">
        <v>4.181301550968862E-2</v>
      </c>
      <c r="F1385" s="12">
        <v>50678</v>
      </c>
      <c r="G1385">
        <f t="shared" si="43"/>
        <v>2119</v>
      </c>
      <c r="H1385" s="16" t="s">
        <v>896</v>
      </c>
    </row>
    <row r="1386" spans="1:8">
      <c r="A1386" t="str">
        <f t="shared" si="42"/>
        <v>چهارمحال وبختيارئكيار</v>
      </c>
      <c r="B1386" s="12" t="s">
        <v>306</v>
      </c>
      <c r="C1386" s="12" t="s">
        <v>314</v>
      </c>
      <c r="D1386" s="12" t="s">
        <v>20</v>
      </c>
      <c r="E1386" s="12">
        <v>4.1911677651051742E-2</v>
      </c>
      <c r="F1386" s="12">
        <v>50678</v>
      </c>
      <c r="G1386">
        <f t="shared" si="43"/>
        <v>2124</v>
      </c>
      <c r="H1386" s="16" t="s">
        <v>896</v>
      </c>
    </row>
    <row r="1387" spans="1:8">
      <c r="A1387" t="str">
        <f t="shared" si="42"/>
        <v>چهارمحال وبختيارئسامان</v>
      </c>
      <c r="B1387" s="12" t="s">
        <v>306</v>
      </c>
      <c r="C1387" s="12" t="s">
        <v>315</v>
      </c>
      <c r="D1387" s="12" t="s">
        <v>480</v>
      </c>
      <c r="E1387" s="12">
        <v>0.40856531049250533</v>
      </c>
      <c r="F1387" s="12">
        <v>35025</v>
      </c>
      <c r="G1387">
        <f t="shared" si="43"/>
        <v>14310</v>
      </c>
      <c r="H1387" s="16" t="s">
        <v>891</v>
      </c>
    </row>
    <row r="1388" spans="1:8">
      <c r="A1388" t="str">
        <f t="shared" si="42"/>
        <v>چهارمحال وبختيارئسامان</v>
      </c>
      <c r="B1388" s="12" t="s">
        <v>306</v>
      </c>
      <c r="C1388" s="12" t="s">
        <v>315</v>
      </c>
      <c r="D1388" s="12" t="s">
        <v>479</v>
      </c>
      <c r="E1388" s="12">
        <v>0.39931477516059954</v>
      </c>
      <c r="F1388" s="12">
        <v>35025</v>
      </c>
      <c r="G1388">
        <f t="shared" si="43"/>
        <v>13986</v>
      </c>
      <c r="H1388" s="16" t="s">
        <v>891</v>
      </c>
    </row>
    <row r="1389" spans="1:8">
      <c r="A1389" t="str">
        <f t="shared" si="42"/>
        <v>چهارمحال وبختيارئسامان</v>
      </c>
      <c r="B1389" s="12" t="s">
        <v>306</v>
      </c>
      <c r="C1389" s="12" t="s">
        <v>315</v>
      </c>
      <c r="D1389" s="12" t="s">
        <v>22</v>
      </c>
      <c r="E1389" s="12">
        <v>0.1126338329764454</v>
      </c>
      <c r="F1389" s="12">
        <v>35025</v>
      </c>
      <c r="G1389">
        <f t="shared" si="43"/>
        <v>3945</v>
      </c>
      <c r="H1389" s="16" t="s">
        <v>891</v>
      </c>
    </row>
    <row r="1390" spans="1:8">
      <c r="A1390" t="str">
        <f t="shared" si="42"/>
        <v>چهارمحال وبختيارئسامان</v>
      </c>
      <c r="B1390" s="12" t="s">
        <v>306</v>
      </c>
      <c r="C1390" s="12" t="s">
        <v>315</v>
      </c>
      <c r="D1390" s="12" t="s">
        <v>478</v>
      </c>
      <c r="E1390" s="12">
        <v>4.2084225553176299E-2</v>
      </c>
      <c r="F1390" s="12">
        <v>35025</v>
      </c>
      <c r="G1390">
        <f t="shared" si="43"/>
        <v>1474</v>
      </c>
      <c r="H1390" s="16" t="s">
        <v>891</v>
      </c>
    </row>
    <row r="1391" spans="1:8">
      <c r="A1391" t="str">
        <f t="shared" si="42"/>
        <v>چهارمحال وبختيارئسامان</v>
      </c>
      <c r="B1391" s="12" t="s">
        <v>306</v>
      </c>
      <c r="C1391" s="12" t="s">
        <v>315</v>
      </c>
      <c r="D1391" s="12" t="s">
        <v>20</v>
      </c>
      <c r="E1391" s="12">
        <v>3.7658815132048537E-2</v>
      </c>
      <c r="F1391" s="12">
        <v>35025</v>
      </c>
      <c r="G1391">
        <f t="shared" si="43"/>
        <v>1319</v>
      </c>
      <c r="H1391" s="16" t="s">
        <v>891</v>
      </c>
    </row>
    <row r="1392" spans="1:8">
      <c r="A1392" t="str">
        <f t="shared" si="42"/>
        <v>چهارمحال وبختيارئبن</v>
      </c>
      <c r="B1392" s="12" t="s">
        <v>306</v>
      </c>
      <c r="C1392" s="12" t="s">
        <v>317</v>
      </c>
      <c r="D1392" s="12" t="s">
        <v>480</v>
      </c>
      <c r="E1392" s="12">
        <v>0.41050834465698061</v>
      </c>
      <c r="F1392" s="12">
        <v>28701</v>
      </c>
      <c r="G1392">
        <f t="shared" si="43"/>
        <v>11782</v>
      </c>
      <c r="H1392" s="16" t="s">
        <v>895</v>
      </c>
    </row>
    <row r="1393" spans="1:8">
      <c r="A1393" t="str">
        <f t="shared" si="42"/>
        <v>چهارمحال وبختيارئبن</v>
      </c>
      <c r="B1393" s="12" t="s">
        <v>306</v>
      </c>
      <c r="C1393" s="12" t="s">
        <v>317</v>
      </c>
      <c r="D1393" s="12" t="s">
        <v>479</v>
      </c>
      <c r="E1393" s="12">
        <v>0.39629281209713946</v>
      </c>
      <c r="F1393" s="12">
        <v>28701</v>
      </c>
      <c r="G1393">
        <f t="shared" si="43"/>
        <v>11374</v>
      </c>
      <c r="H1393" s="16" t="s">
        <v>895</v>
      </c>
    </row>
    <row r="1394" spans="1:8">
      <c r="A1394" t="str">
        <f t="shared" si="42"/>
        <v>چهارمحال وبختيارئبن</v>
      </c>
      <c r="B1394" s="12" t="s">
        <v>306</v>
      </c>
      <c r="C1394" s="12" t="s">
        <v>317</v>
      </c>
      <c r="D1394" s="12" t="s">
        <v>22</v>
      </c>
      <c r="E1394" s="12">
        <v>0.10922964356642625</v>
      </c>
      <c r="F1394" s="12">
        <v>28701</v>
      </c>
      <c r="G1394">
        <f t="shared" si="43"/>
        <v>3135</v>
      </c>
      <c r="H1394" s="16" t="s">
        <v>895</v>
      </c>
    </row>
    <row r="1395" spans="1:8">
      <c r="A1395" t="str">
        <f t="shared" si="42"/>
        <v>چهارمحال وبختيارئبن</v>
      </c>
      <c r="B1395" s="12" t="s">
        <v>306</v>
      </c>
      <c r="C1395" s="12" t="s">
        <v>317</v>
      </c>
      <c r="D1395" s="12" t="s">
        <v>478</v>
      </c>
      <c r="E1395" s="12">
        <v>4.1218076025225599E-2</v>
      </c>
      <c r="F1395" s="12">
        <v>28701</v>
      </c>
      <c r="G1395">
        <f t="shared" si="43"/>
        <v>1183</v>
      </c>
      <c r="H1395" s="16" t="s">
        <v>895</v>
      </c>
    </row>
    <row r="1396" spans="1:8">
      <c r="A1396" t="str">
        <f t="shared" si="42"/>
        <v>چهارمحال وبختيارئبن</v>
      </c>
      <c r="B1396" s="12" t="s">
        <v>306</v>
      </c>
      <c r="C1396" s="12" t="s">
        <v>317</v>
      </c>
      <c r="D1396" s="12" t="s">
        <v>20</v>
      </c>
      <c r="E1396" s="12">
        <v>4.285564962893279E-2</v>
      </c>
      <c r="F1396" s="12">
        <v>28701</v>
      </c>
      <c r="G1396">
        <f t="shared" si="43"/>
        <v>1230</v>
      </c>
      <c r="H1396" s="16" t="s">
        <v>895</v>
      </c>
    </row>
    <row r="1397" spans="1:8">
      <c r="A1397" t="str">
        <f t="shared" si="42"/>
        <v>لرستاناليگودرز</v>
      </c>
      <c r="B1397" s="12" t="s">
        <v>316</v>
      </c>
      <c r="C1397" s="12" t="s">
        <v>318</v>
      </c>
      <c r="D1397" s="12" t="s">
        <v>480</v>
      </c>
      <c r="E1397" s="12">
        <v>0.46171340827442348</v>
      </c>
      <c r="F1397" s="12">
        <v>138064</v>
      </c>
      <c r="G1397">
        <f t="shared" si="43"/>
        <v>63746</v>
      </c>
      <c r="H1397" s="16" t="s">
        <v>823</v>
      </c>
    </row>
    <row r="1398" spans="1:8">
      <c r="A1398" t="str">
        <f t="shared" si="42"/>
        <v>لرستاناليگودرز</v>
      </c>
      <c r="B1398" s="12" t="s">
        <v>316</v>
      </c>
      <c r="C1398" s="12" t="s">
        <v>318</v>
      </c>
      <c r="D1398" s="12" t="s">
        <v>479</v>
      </c>
      <c r="E1398" s="12">
        <v>0.37679626839726504</v>
      </c>
      <c r="F1398" s="12">
        <v>138064</v>
      </c>
      <c r="G1398">
        <f t="shared" si="43"/>
        <v>52022</v>
      </c>
      <c r="H1398" s="16" t="s">
        <v>823</v>
      </c>
    </row>
    <row r="1399" spans="1:8">
      <c r="A1399" t="str">
        <f t="shared" si="42"/>
        <v>لرستاناليگودرز</v>
      </c>
      <c r="B1399" s="12" t="s">
        <v>316</v>
      </c>
      <c r="C1399" s="12" t="s">
        <v>318</v>
      </c>
      <c r="D1399" s="12" t="s">
        <v>22</v>
      </c>
      <c r="E1399" s="12">
        <v>9.1682118437825935E-2</v>
      </c>
      <c r="F1399" s="12">
        <v>138064</v>
      </c>
      <c r="G1399">
        <f t="shared" si="43"/>
        <v>12658</v>
      </c>
      <c r="H1399" s="16" t="s">
        <v>823</v>
      </c>
    </row>
    <row r="1400" spans="1:8">
      <c r="A1400" t="str">
        <f t="shared" si="42"/>
        <v>لرستاناليگودرز</v>
      </c>
      <c r="B1400" s="12" t="s">
        <v>316</v>
      </c>
      <c r="C1400" s="12" t="s">
        <v>318</v>
      </c>
      <c r="D1400" s="12" t="s">
        <v>478</v>
      </c>
      <c r="E1400" s="12">
        <v>3.5642890253795342E-2</v>
      </c>
      <c r="F1400" s="12">
        <v>138064</v>
      </c>
      <c r="G1400">
        <f t="shared" si="43"/>
        <v>4921</v>
      </c>
      <c r="H1400" s="16" t="s">
        <v>823</v>
      </c>
    </row>
    <row r="1401" spans="1:8">
      <c r="A1401" t="str">
        <f t="shared" si="42"/>
        <v>لرستاناليگودرز</v>
      </c>
      <c r="B1401" s="12" t="s">
        <v>316</v>
      </c>
      <c r="C1401" s="12" t="s">
        <v>318</v>
      </c>
      <c r="D1401" s="12" t="s">
        <v>20</v>
      </c>
      <c r="E1401" s="12">
        <v>3.4158071618959326E-2</v>
      </c>
      <c r="F1401" s="12">
        <v>138064</v>
      </c>
      <c r="G1401">
        <f t="shared" si="43"/>
        <v>4716</v>
      </c>
      <c r="H1401" s="16" t="s">
        <v>823</v>
      </c>
    </row>
    <row r="1402" spans="1:8">
      <c r="A1402" t="str">
        <f t="shared" si="42"/>
        <v>لرستانبروجرد</v>
      </c>
      <c r="B1402" s="12" t="s">
        <v>316</v>
      </c>
      <c r="C1402" s="12" t="s">
        <v>319</v>
      </c>
      <c r="D1402" s="12" t="s">
        <v>480</v>
      </c>
      <c r="E1402" s="12">
        <v>0.399795535244308</v>
      </c>
      <c r="F1402" s="12">
        <v>328663</v>
      </c>
      <c r="G1402">
        <f t="shared" si="43"/>
        <v>131398</v>
      </c>
      <c r="H1402" s="16" t="s">
        <v>820</v>
      </c>
    </row>
    <row r="1403" spans="1:8">
      <c r="A1403" t="str">
        <f t="shared" si="42"/>
        <v>لرستانبروجرد</v>
      </c>
      <c r="B1403" s="12" t="s">
        <v>316</v>
      </c>
      <c r="C1403" s="12" t="s">
        <v>319</v>
      </c>
      <c r="D1403" s="12" t="s">
        <v>479</v>
      </c>
      <c r="E1403" s="12">
        <v>0.40182192701946978</v>
      </c>
      <c r="F1403" s="12">
        <v>328663</v>
      </c>
      <c r="G1403">
        <f t="shared" si="43"/>
        <v>132064</v>
      </c>
      <c r="H1403" s="16" t="s">
        <v>820</v>
      </c>
    </row>
    <row r="1404" spans="1:8">
      <c r="A1404" t="str">
        <f t="shared" si="42"/>
        <v>لرستانبروجرد</v>
      </c>
      <c r="B1404" s="12" t="s">
        <v>316</v>
      </c>
      <c r="C1404" s="12" t="s">
        <v>319</v>
      </c>
      <c r="D1404" s="12" t="s">
        <v>22</v>
      </c>
      <c r="E1404" s="12">
        <v>0.11513617291876481</v>
      </c>
      <c r="F1404" s="12">
        <v>328663</v>
      </c>
      <c r="G1404">
        <f t="shared" si="43"/>
        <v>37841</v>
      </c>
      <c r="H1404" s="16" t="s">
        <v>820</v>
      </c>
    </row>
    <row r="1405" spans="1:8">
      <c r="A1405" t="str">
        <f t="shared" si="42"/>
        <v>لرستانبروجرد</v>
      </c>
      <c r="B1405" s="12" t="s">
        <v>316</v>
      </c>
      <c r="C1405" s="12" t="s">
        <v>319</v>
      </c>
      <c r="D1405" s="12" t="s">
        <v>478</v>
      </c>
      <c r="E1405" s="12">
        <v>4.2362541569936379E-2</v>
      </c>
      <c r="F1405" s="12">
        <v>328663</v>
      </c>
      <c r="G1405">
        <f t="shared" si="43"/>
        <v>13923</v>
      </c>
      <c r="H1405" s="16" t="s">
        <v>820</v>
      </c>
    </row>
    <row r="1406" spans="1:8">
      <c r="A1406" t="str">
        <f t="shared" si="42"/>
        <v>لرستانبروجرد</v>
      </c>
      <c r="B1406" s="12" t="s">
        <v>316</v>
      </c>
      <c r="C1406" s="12" t="s">
        <v>319</v>
      </c>
      <c r="D1406" s="12" t="s">
        <v>20</v>
      </c>
      <c r="E1406" s="12">
        <v>4.0886865877814052E-2</v>
      </c>
      <c r="F1406" s="12">
        <v>328663</v>
      </c>
      <c r="G1406">
        <f t="shared" si="43"/>
        <v>13438</v>
      </c>
      <c r="H1406" s="16" t="s">
        <v>820</v>
      </c>
    </row>
    <row r="1407" spans="1:8">
      <c r="A1407" t="str">
        <f t="shared" si="42"/>
        <v>لرستانخرم آباد</v>
      </c>
      <c r="B1407" s="12" t="s">
        <v>316</v>
      </c>
      <c r="C1407" s="12" t="s">
        <v>320</v>
      </c>
      <c r="D1407" s="12" t="s">
        <v>480</v>
      </c>
      <c r="E1407" s="12">
        <v>0.42101796712365286</v>
      </c>
      <c r="F1407" s="12">
        <v>510154</v>
      </c>
      <c r="G1407">
        <f t="shared" si="43"/>
        <v>214784</v>
      </c>
      <c r="H1407" s="16" t="s">
        <v>821</v>
      </c>
    </row>
    <row r="1408" spans="1:8">
      <c r="A1408" t="str">
        <f t="shared" si="42"/>
        <v>لرستانخرم آباد</v>
      </c>
      <c r="B1408" s="12" t="s">
        <v>316</v>
      </c>
      <c r="C1408" s="12" t="s">
        <v>320</v>
      </c>
      <c r="D1408" s="12" t="s">
        <v>479</v>
      </c>
      <c r="E1408" s="12">
        <v>0.41568428356927517</v>
      </c>
      <c r="F1408" s="12">
        <v>510154</v>
      </c>
      <c r="G1408">
        <f t="shared" si="43"/>
        <v>212063</v>
      </c>
      <c r="H1408" s="16" t="s">
        <v>821</v>
      </c>
    </row>
    <row r="1409" spans="1:8">
      <c r="A1409" t="str">
        <f t="shared" si="42"/>
        <v>لرستانخرم آباد</v>
      </c>
      <c r="B1409" s="12" t="s">
        <v>316</v>
      </c>
      <c r="C1409" s="12" t="s">
        <v>320</v>
      </c>
      <c r="D1409" s="12" t="s">
        <v>22</v>
      </c>
      <c r="E1409" s="12">
        <v>9.9930609188597946E-2</v>
      </c>
      <c r="F1409" s="12">
        <v>510154</v>
      </c>
      <c r="G1409">
        <f t="shared" si="43"/>
        <v>50980</v>
      </c>
      <c r="H1409" s="16" t="s">
        <v>821</v>
      </c>
    </row>
    <row r="1410" spans="1:8">
      <c r="A1410" t="str">
        <f t="shared" ref="A1410:A1473" si="44">B1410&amp;C1410</f>
        <v>لرستانخرم آباد</v>
      </c>
      <c r="B1410" s="12" t="s">
        <v>316</v>
      </c>
      <c r="C1410" s="12" t="s">
        <v>320</v>
      </c>
      <c r="D1410" s="12" t="s">
        <v>478</v>
      </c>
      <c r="E1410" s="12">
        <v>3.3223301199245721E-2</v>
      </c>
      <c r="F1410" s="12">
        <v>510154</v>
      </c>
      <c r="G1410">
        <f t="shared" si="43"/>
        <v>16949</v>
      </c>
      <c r="H1410" s="16" t="s">
        <v>821</v>
      </c>
    </row>
    <row r="1411" spans="1:8">
      <c r="A1411" t="str">
        <f t="shared" si="44"/>
        <v>لرستانخرم آباد</v>
      </c>
      <c r="B1411" s="12" t="s">
        <v>316</v>
      </c>
      <c r="C1411" s="12" t="s">
        <v>320</v>
      </c>
      <c r="D1411" s="12" t="s">
        <v>20</v>
      </c>
      <c r="E1411" s="12">
        <v>3.0132077764753389E-2</v>
      </c>
      <c r="F1411" s="12">
        <v>510154</v>
      </c>
      <c r="G1411">
        <f t="shared" ref="G1411:G1474" si="45">IFERROR(ROUND(F1411*E1411,0),0)</f>
        <v>15372</v>
      </c>
      <c r="H1411" s="16" t="s">
        <v>821</v>
      </c>
    </row>
    <row r="1412" spans="1:8">
      <c r="A1412" t="str">
        <f t="shared" si="44"/>
        <v>لرستاندلفان</v>
      </c>
      <c r="B1412" s="12" t="s">
        <v>316</v>
      </c>
      <c r="C1412" s="12" t="s">
        <v>321</v>
      </c>
      <c r="D1412" s="12" t="s">
        <v>480</v>
      </c>
      <c r="E1412" s="12">
        <v>0.48633597665069661</v>
      </c>
      <c r="F1412" s="12">
        <v>145272</v>
      </c>
      <c r="G1412">
        <f t="shared" si="45"/>
        <v>70651</v>
      </c>
      <c r="H1412" s="16" t="s">
        <v>822</v>
      </c>
    </row>
    <row r="1413" spans="1:8">
      <c r="A1413" t="str">
        <f t="shared" si="44"/>
        <v>لرستاندلفان</v>
      </c>
      <c r="B1413" s="12" t="s">
        <v>316</v>
      </c>
      <c r="C1413" s="12" t="s">
        <v>321</v>
      </c>
      <c r="D1413" s="12" t="s">
        <v>479</v>
      </c>
      <c r="E1413" s="12">
        <v>0.37806321934027204</v>
      </c>
      <c r="F1413" s="12">
        <v>145272</v>
      </c>
      <c r="G1413">
        <f t="shared" si="45"/>
        <v>54922</v>
      </c>
      <c r="H1413" s="16" t="s">
        <v>822</v>
      </c>
    </row>
    <row r="1414" spans="1:8">
      <c r="A1414" t="str">
        <f t="shared" si="44"/>
        <v>لرستاندلفان</v>
      </c>
      <c r="B1414" s="12" t="s">
        <v>316</v>
      </c>
      <c r="C1414" s="12" t="s">
        <v>321</v>
      </c>
      <c r="D1414" s="12" t="s">
        <v>22</v>
      </c>
      <c r="E1414" s="12">
        <v>8.0986012445619246E-2</v>
      </c>
      <c r="F1414" s="12">
        <v>145272</v>
      </c>
      <c r="G1414">
        <f t="shared" si="45"/>
        <v>11765</v>
      </c>
      <c r="H1414" s="16" t="s">
        <v>822</v>
      </c>
    </row>
    <row r="1415" spans="1:8">
      <c r="A1415" t="str">
        <f t="shared" si="44"/>
        <v>لرستاندلفان</v>
      </c>
      <c r="B1415" s="12" t="s">
        <v>316</v>
      </c>
      <c r="C1415" s="12" t="s">
        <v>321</v>
      </c>
      <c r="D1415" s="12" t="s">
        <v>478</v>
      </c>
      <c r="E1415" s="12">
        <v>2.8945701855829065E-2</v>
      </c>
      <c r="F1415" s="12">
        <v>145272</v>
      </c>
      <c r="G1415">
        <f t="shared" si="45"/>
        <v>4205</v>
      </c>
      <c r="H1415" s="16" t="s">
        <v>822</v>
      </c>
    </row>
    <row r="1416" spans="1:8">
      <c r="A1416" t="str">
        <f t="shared" si="44"/>
        <v>لرستاندلفان</v>
      </c>
      <c r="B1416" s="12" t="s">
        <v>316</v>
      </c>
      <c r="C1416" s="12" t="s">
        <v>321</v>
      </c>
      <c r="D1416" s="12" t="s">
        <v>20</v>
      </c>
      <c r="E1416" s="12">
        <v>2.5710391541384436E-2</v>
      </c>
      <c r="F1416" s="12">
        <v>145272</v>
      </c>
      <c r="G1416">
        <f t="shared" si="45"/>
        <v>3735</v>
      </c>
      <c r="H1416" s="16" t="s">
        <v>822</v>
      </c>
    </row>
    <row r="1417" spans="1:8">
      <c r="A1417" t="str">
        <f t="shared" si="44"/>
        <v>لرستاندورود</v>
      </c>
      <c r="B1417" s="12" t="s">
        <v>316</v>
      </c>
      <c r="C1417" s="12" t="s">
        <v>322</v>
      </c>
      <c r="D1417" s="12" t="s">
        <v>480</v>
      </c>
      <c r="E1417" s="12">
        <v>0.43895001536063355</v>
      </c>
      <c r="F1417" s="12">
        <v>175774</v>
      </c>
      <c r="G1417">
        <f t="shared" si="45"/>
        <v>77156</v>
      </c>
      <c r="H1417" s="16" t="s">
        <v>814</v>
      </c>
    </row>
    <row r="1418" spans="1:8">
      <c r="A1418" t="str">
        <f t="shared" si="44"/>
        <v>لرستاندورود</v>
      </c>
      <c r="B1418" s="12" t="s">
        <v>316</v>
      </c>
      <c r="C1418" s="12" t="s">
        <v>322</v>
      </c>
      <c r="D1418" s="12" t="s">
        <v>479</v>
      </c>
      <c r="E1418" s="12">
        <v>0.39898392253689396</v>
      </c>
      <c r="F1418" s="12">
        <v>175774</v>
      </c>
      <c r="G1418">
        <f t="shared" si="45"/>
        <v>70131</v>
      </c>
      <c r="H1418" s="16" t="s">
        <v>814</v>
      </c>
    </row>
    <row r="1419" spans="1:8">
      <c r="A1419" t="str">
        <f t="shared" si="44"/>
        <v>لرستاندورود</v>
      </c>
      <c r="B1419" s="12" t="s">
        <v>316</v>
      </c>
      <c r="C1419" s="12" t="s">
        <v>322</v>
      </c>
      <c r="D1419" s="12" t="s">
        <v>22</v>
      </c>
      <c r="E1419" s="12">
        <v>9.7727764060668812E-2</v>
      </c>
      <c r="F1419" s="12">
        <v>175774</v>
      </c>
      <c r="G1419">
        <f t="shared" si="45"/>
        <v>17178</v>
      </c>
      <c r="H1419" s="16" t="s">
        <v>814</v>
      </c>
    </row>
    <row r="1420" spans="1:8">
      <c r="A1420" t="str">
        <f t="shared" si="44"/>
        <v>لرستاندورود</v>
      </c>
      <c r="B1420" s="12" t="s">
        <v>316</v>
      </c>
      <c r="C1420" s="12" t="s">
        <v>322</v>
      </c>
      <c r="D1420" s="12" t="s">
        <v>478</v>
      </c>
      <c r="E1420" s="12">
        <v>3.3508937613071332E-2</v>
      </c>
      <c r="F1420" s="12">
        <v>175774</v>
      </c>
      <c r="G1420">
        <f t="shared" si="45"/>
        <v>5890</v>
      </c>
      <c r="H1420" s="16" t="s">
        <v>814</v>
      </c>
    </row>
    <row r="1421" spans="1:8">
      <c r="A1421" t="str">
        <f t="shared" si="44"/>
        <v>لرستاندورود</v>
      </c>
      <c r="B1421" s="12" t="s">
        <v>316</v>
      </c>
      <c r="C1421" s="12" t="s">
        <v>322</v>
      </c>
      <c r="D1421" s="12" t="s">
        <v>20</v>
      </c>
      <c r="E1421" s="12">
        <v>3.0852116922866862E-2</v>
      </c>
      <c r="F1421" s="12">
        <v>175774</v>
      </c>
      <c r="G1421">
        <f t="shared" si="45"/>
        <v>5423</v>
      </c>
      <c r="H1421" s="16" t="s">
        <v>814</v>
      </c>
    </row>
    <row r="1422" spans="1:8">
      <c r="A1422" t="str">
        <f t="shared" si="44"/>
        <v>لرستانکوهدشت</v>
      </c>
      <c r="B1422" s="12" t="s">
        <v>316</v>
      </c>
      <c r="C1422" s="12" t="s">
        <v>323</v>
      </c>
      <c r="D1422" s="12" t="s">
        <v>480</v>
      </c>
      <c r="E1422" s="12">
        <v>0.46026103628547271</v>
      </c>
      <c r="F1422" s="12">
        <v>167946</v>
      </c>
      <c r="G1422">
        <f t="shared" si="45"/>
        <v>77299</v>
      </c>
      <c r="H1422" s="16" t="s">
        <v>818</v>
      </c>
    </row>
    <row r="1423" spans="1:8">
      <c r="A1423" t="str">
        <f t="shared" si="44"/>
        <v>لرستانکوهدشت</v>
      </c>
      <c r="B1423" s="12" t="s">
        <v>316</v>
      </c>
      <c r="C1423" s="12" t="s">
        <v>323</v>
      </c>
      <c r="D1423" s="12" t="s">
        <v>479</v>
      </c>
      <c r="E1423" s="12">
        <v>0.39428744953735129</v>
      </c>
      <c r="F1423" s="12">
        <v>167946</v>
      </c>
      <c r="G1423">
        <f t="shared" si="45"/>
        <v>66219</v>
      </c>
      <c r="H1423" s="16" t="s">
        <v>818</v>
      </c>
    </row>
    <row r="1424" spans="1:8">
      <c r="A1424" t="str">
        <f t="shared" si="44"/>
        <v>لرستانکوهدشت</v>
      </c>
      <c r="B1424" s="12" t="s">
        <v>316</v>
      </c>
      <c r="C1424" s="12" t="s">
        <v>323</v>
      </c>
      <c r="D1424" s="12" t="s">
        <v>22</v>
      </c>
      <c r="E1424" s="12">
        <v>8.677193859931169E-2</v>
      </c>
      <c r="F1424" s="12">
        <v>167946</v>
      </c>
      <c r="G1424">
        <f t="shared" si="45"/>
        <v>14573</v>
      </c>
      <c r="H1424" s="16" t="s">
        <v>818</v>
      </c>
    </row>
    <row r="1425" spans="1:8">
      <c r="A1425" t="str">
        <f t="shared" si="44"/>
        <v>لرستانکوهدشت</v>
      </c>
      <c r="B1425" s="12" t="s">
        <v>316</v>
      </c>
      <c r="C1425" s="12" t="s">
        <v>323</v>
      </c>
      <c r="D1425" s="12" t="s">
        <v>478</v>
      </c>
      <c r="E1425" s="12">
        <v>2.9527348076167338E-2</v>
      </c>
      <c r="F1425" s="12">
        <v>167946</v>
      </c>
      <c r="G1425">
        <f t="shared" si="45"/>
        <v>4959</v>
      </c>
      <c r="H1425" s="16" t="s">
        <v>818</v>
      </c>
    </row>
    <row r="1426" spans="1:8">
      <c r="A1426" t="str">
        <f t="shared" si="44"/>
        <v>لرستانکوهدشت</v>
      </c>
      <c r="B1426" s="12" t="s">
        <v>316</v>
      </c>
      <c r="C1426" s="12" t="s">
        <v>323</v>
      </c>
      <c r="D1426" s="12" t="s">
        <v>20</v>
      </c>
      <c r="E1426" s="12">
        <v>2.9152227501696975E-2</v>
      </c>
      <c r="F1426" s="12">
        <v>167946</v>
      </c>
      <c r="G1426">
        <f t="shared" si="45"/>
        <v>4896</v>
      </c>
      <c r="H1426" s="16" t="s">
        <v>818</v>
      </c>
    </row>
    <row r="1427" spans="1:8">
      <c r="A1427" t="str">
        <f t="shared" si="44"/>
        <v>لرستانازنا</v>
      </c>
      <c r="B1427" s="12" t="s">
        <v>316</v>
      </c>
      <c r="C1427" s="12" t="s">
        <v>324</v>
      </c>
      <c r="D1427" s="12" t="s">
        <v>480</v>
      </c>
      <c r="E1427" s="12">
        <v>0.43363420048652745</v>
      </c>
      <c r="F1427" s="12">
        <v>75227</v>
      </c>
      <c r="G1427">
        <f t="shared" si="45"/>
        <v>32621</v>
      </c>
      <c r="H1427" s="16" t="s">
        <v>825</v>
      </c>
    </row>
    <row r="1428" spans="1:8">
      <c r="A1428" t="str">
        <f t="shared" si="44"/>
        <v>لرستانازنا</v>
      </c>
      <c r="B1428" s="12" t="s">
        <v>316</v>
      </c>
      <c r="C1428" s="12" t="s">
        <v>324</v>
      </c>
      <c r="D1428" s="12" t="s">
        <v>479</v>
      </c>
      <c r="E1428" s="12">
        <v>0.38716152445265661</v>
      </c>
      <c r="F1428" s="12">
        <v>75227</v>
      </c>
      <c r="G1428">
        <f t="shared" si="45"/>
        <v>29125</v>
      </c>
      <c r="H1428" s="16" t="s">
        <v>825</v>
      </c>
    </row>
    <row r="1429" spans="1:8">
      <c r="A1429" t="str">
        <f t="shared" si="44"/>
        <v>لرستانازنا</v>
      </c>
      <c r="B1429" s="12" t="s">
        <v>316</v>
      </c>
      <c r="C1429" s="12" t="s">
        <v>324</v>
      </c>
      <c r="D1429" s="12" t="s">
        <v>22</v>
      </c>
      <c r="E1429" s="12">
        <v>0.10008374652717775</v>
      </c>
      <c r="F1429" s="12">
        <v>75227</v>
      </c>
      <c r="G1429">
        <f t="shared" si="45"/>
        <v>7529</v>
      </c>
      <c r="H1429" s="16" t="s">
        <v>825</v>
      </c>
    </row>
    <row r="1430" spans="1:8">
      <c r="A1430" t="str">
        <f t="shared" si="44"/>
        <v>لرستانازنا</v>
      </c>
      <c r="B1430" s="12" t="s">
        <v>316</v>
      </c>
      <c r="C1430" s="12" t="s">
        <v>324</v>
      </c>
      <c r="D1430" s="12" t="s">
        <v>478</v>
      </c>
      <c r="E1430" s="12">
        <v>3.9427333271298867E-2</v>
      </c>
      <c r="F1430" s="12">
        <v>75227</v>
      </c>
      <c r="G1430">
        <f t="shared" si="45"/>
        <v>2966</v>
      </c>
      <c r="H1430" s="16" t="s">
        <v>825</v>
      </c>
    </row>
    <row r="1431" spans="1:8">
      <c r="A1431" t="str">
        <f t="shared" si="44"/>
        <v>لرستانازنا</v>
      </c>
      <c r="B1431" s="12" t="s">
        <v>316</v>
      </c>
      <c r="C1431" s="12" t="s">
        <v>324</v>
      </c>
      <c r="D1431" s="12" t="s">
        <v>20</v>
      </c>
      <c r="E1431" s="12">
        <v>3.9706488361891341E-2</v>
      </c>
      <c r="F1431" s="12">
        <v>75227</v>
      </c>
      <c r="G1431">
        <f t="shared" si="45"/>
        <v>2987</v>
      </c>
      <c r="H1431" s="16" t="s">
        <v>825</v>
      </c>
    </row>
    <row r="1432" spans="1:8">
      <c r="A1432" t="str">
        <f t="shared" si="44"/>
        <v>لرستانپلدختر</v>
      </c>
      <c r="B1432" s="12" t="s">
        <v>316</v>
      </c>
      <c r="C1432" s="12" t="s">
        <v>325</v>
      </c>
      <c r="D1432" s="12" t="s">
        <v>480</v>
      </c>
      <c r="E1432" s="12">
        <v>0.43064328119493617</v>
      </c>
      <c r="F1432" s="12">
        <v>73778</v>
      </c>
      <c r="G1432">
        <f t="shared" si="45"/>
        <v>31772</v>
      </c>
      <c r="H1432" s="16" t="s">
        <v>824</v>
      </c>
    </row>
    <row r="1433" spans="1:8">
      <c r="A1433" t="str">
        <f t="shared" si="44"/>
        <v>لرستانپلدختر</v>
      </c>
      <c r="B1433" s="12" t="s">
        <v>316</v>
      </c>
      <c r="C1433" s="12" t="s">
        <v>325</v>
      </c>
      <c r="D1433" s="12" t="s">
        <v>479</v>
      </c>
      <c r="E1433" s="12">
        <v>0.41329393586163898</v>
      </c>
      <c r="F1433" s="12">
        <v>73778</v>
      </c>
      <c r="G1433">
        <f t="shared" si="45"/>
        <v>30492</v>
      </c>
      <c r="H1433" s="16" t="s">
        <v>824</v>
      </c>
    </row>
    <row r="1434" spans="1:8">
      <c r="A1434" t="str">
        <f t="shared" si="44"/>
        <v>لرستانپلدختر</v>
      </c>
      <c r="B1434" s="12" t="s">
        <v>316</v>
      </c>
      <c r="C1434" s="12" t="s">
        <v>325</v>
      </c>
      <c r="D1434" s="12" t="s">
        <v>22</v>
      </c>
      <c r="E1434" s="12">
        <v>9.3727127327929732E-2</v>
      </c>
      <c r="F1434" s="12">
        <v>73778</v>
      </c>
      <c r="G1434">
        <f t="shared" si="45"/>
        <v>6915</v>
      </c>
      <c r="H1434" s="16" t="s">
        <v>824</v>
      </c>
    </row>
    <row r="1435" spans="1:8">
      <c r="A1435" t="str">
        <f t="shared" si="44"/>
        <v>لرستانپلدختر</v>
      </c>
      <c r="B1435" s="12" t="s">
        <v>316</v>
      </c>
      <c r="C1435" s="12" t="s">
        <v>325</v>
      </c>
      <c r="D1435" s="12" t="s">
        <v>478</v>
      </c>
      <c r="E1435" s="12">
        <v>3.1581230177017541E-2</v>
      </c>
      <c r="F1435" s="12">
        <v>73778</v>
      </c>
      <c r="G1435">
        <f t="shared" si="45"/>
        <v>2330</v>
      </c>
      <c r="H1435" s="16" t="s">
        <v>824</v>
      </c>
    </row>
    <row r="1436" spans="1:8">
      <c r="A1436" t="str">
        <f t="shared" si="44"/>
        <v>لرستانپلدختر</v>
      </c>
      <c r="B1436" s="12" t="s">
        <v>316</v>
      </c>
      <c r="C1436" s="12" t="s">
        <v>325</v>
      </c>
      <c r="D1436" s="12" t="s">
        <v>20</v>
      </c>
      <c r="E1436" s="12">
        <v>3.0740871262435958E-2</v>
      </c>
      <c r="F1436" s="12">
        <v>73778</v>
      </c>
      <c r="G1436">
        <f t="shared" si="45"/>
        <v>2268</v>
      </c>
      <c r="H1436" s="16" t="s">
        <v>824</v>
      </c>
    </row>
    <row r="1437" spans="1:8">
      <c r="A1437" t="str">
        <f t="shared" si="44"/>
        <v>لرستانسلسله</v>
      </c>
      <c r="B1437" s="12" t="s">
        <v>316</v>
      </c>
      <c r="C1437" s="12" t="s">
        <v>326</v>
      </c>
      <c r="D1437" s="12" t="s">
        <v>480</v>
      </c>
      <c r="E1437" s="12">
        <v>0.43463354168315005</v>
      </c>
      <c r="F1437" s="12">
        <v>75834</v>
      </c>
      <c r="G1437">
        <f t="shared" si="45"/>
        <v>32960</v>
      </c>
      <c r="H1437" s="16" t="s">
        <v>826</v>
      </c>
    </row>
    <row r="1438" spans="1:8">
      <c r="A1438" t="str">
        <f t="shared" si="44"/>
        <v>لرستانسلسله</v>
      </c>
      <c r="B1438" s="12" t="s">
        <v>316</v>
      </c>
      <c r="C1438" s="12" t="s">
        <v>326</v>
      </c>
      <c r="D1438" s="12" t="s">
        <v>479</v>
      </c>
      <c r="E1438" s="12">
        <v>0.4000184613761637</v>
      </c>
      <c r="F1438" s="12">
        <v>75834</v>
      </c>
      <c r="G1438">
        <f t="shared" si="45"/>
        <v>30335</v>
      </c>
      <c r="H1438" s="16" t="s">
        <v>826</v>
      </c>
    </row>
    <row r="1439" spans="1:8">
      <c r="A1439" t="str">
        <f t="shared" si="44"/>
        <v>لرستانسلسله</v>
      </c>
      <c r="B1439" s="12" t="s">
        <v>316</v>
      </c>
      <c r="C1439" s="12" t="s">
        <v>326</v>
      </c>
      <c r="D1439" s="12" t="s">
        <v>22</v>
      </c>
      <c r="E1439" s="12">
        <v>9.7766173484189145E-2</v>
      </c>
      <c r="F1439" s="12">
        <v>75834</v>
      </c>
      <c r="G1439">
        <f t="shared" si="45"/>
        <v>7414</v>
      </c>
      <c r="H1439" s="16" t="s">
        <v>826</v>
      </c>
    </row>
    <row r="1440" spans="1:8">
      <c r="A1440" t="str">
        <f t="shared" si="44"/>
        <v>لرستانسلسله</v>
      </c>
      <c r="B1440" s="12" t="s">
        <v>316</v>
      </c>
      <c r="C1440" s="12" t="s">
        <v>326</v>
      </c>
      <c r="D1440" s="12" t="s">
        <v>478</v>
      </c>
      <c r="E1440" s="12">
        <v>3.4232666086451986E-2</v>
      </c>
      <c r="F1440" s="12">
        <v>75834</v>
      </c>
      <c r="G1440">
        <f t="shared" si="45"/>
        <v>2596</v>
      </c>
      <c r="H1440" s="16" t="s">
        <v>826</v>
      </c>
    </row>
    <row r="1441" spans="1:8">
      <c r="A1441" t="str">
        <f t="shared" si="44"/>
        <v>لرستانسلسله</v>
      </c>
      <c r="B1441" s="12" t="s">
        <v>316</v>
      </c>
      <c r="C1441" s="12" t="s">
        <v>326</v>
      </c>
      <c r="D1441" s="12" t="s">
        <v>20</v>
      </c>
      <c r="E1441" s="12">
        <v>3.3322783975525488E-2</v>
      </c>
      <c r="F1441" s="12">
        <v>75834</v>
      </c>
      <c r="G1441">
        <f t="shared" si="45"/>
        <v>2527</v>
      </c>
      <c r="H1441" s="16" t="s">
        <v>826</v>
      </c>
    </row>
    <row r="1442" spans="1:8">
      <c r="A1442" t="str">
        <f t="shared" si="44"/>
        <v>لرستاندوره</v>
      </c>
      <c r="B1442" s="12" t="s">
        <v>316</v>
      </c>
      <c r="C1442" s="12" t="s">
        <v>327</v>
      </c>
      <c r="D1442" s="12" t="s">
        <v>480</v>
      </c>
      <c r="E1442" s="12">
        <v>0.45110478579698959</v>
      </c>
      <c r="F1442" s="12">
        <v>41456</v>
      </c>
      <c r="G1442">
        <f t="shared" si="45"/>
        <v>18701</v>
      </c>
      <c r="H1442" s="16" t="s">
        <v>815</v>
      </c>
    </row>
    <row r="1443" spans="1:8">
      <c r="A1443" t="str">
        <f t="shared" si="44"/>
        <v>لرستاندوره</v>
      </c>
      <c r="B1443" s="12" t="s">
        <v>316</v>
      </c>
      <c r="C1443" s="12" t="s">
        <v>327</v>
      </c>
      <c r="D1443" s="12" t="s">
        <v>479</v>
      </c>
      <c r="E1443" s="12">
        <v>0.38247780779621765</v>
      </c>
      <c r="F1443" s="12">
        <v>41456</v>
      </c>
      <c r="G1443">
        <f t="shared" si="45"/>
        <v>15856</v>
      </c>
      <c r="H1443" s="16" t="s">
        <v>815</v>
      </c>
    </row>
    <row r="1444" spans="1:8">
      <c r="A1444" t="str">
        <f t="shared" si="44"/>
        <v>لرستاندوره</v>
      </c>
      <c r="B1444" s="12" t="s">
        <v>316</v>
      </c>
      <c r="C1444" s="12" t="s">
        <v>327</v>
      </c>
      <c r="D1444" s="12" t="s">
        <v>22</v>
      </c>
      <c r="E1444" s="12">
        <v>9.7235623311462752E-2</v>
      </c>
      <c r="F1444" s="12">
        <v>41456</v>
      </c>
      <c r="G1444">
        <f t="shared" si="45"/>
        <v>4031</v>
      </c>
      <c r="H1444" s="16" t="s">
        <v>815</v>
      </c>
    </row>
    <row r="1445" spans="1:8">
      <c r="A1445" t="str">
        <f t="shared" si="44"/>
        <v>لرستاندوره</v>
      </c>
      <c r="B1445" s="12" t="s">
        <v>316</v>
      </c>
      <c r="C1445" s="12" t="s">
        <v>327</v>
      </c>
      <c r="D1445" s="12" t="s">
        <v>478</v>
      </c>
      <c r="E1445" s="12">
        <v>3.4639135468930916E-2</v>
      </c>
      <c r="F1445" s="12">
        <v>41456</v>
      </c>
      <c r="G1445">
        <f t="shared" si="45"/>
        <v>1436</v>
      </c>
      <c r="H1445" s="16" t="s">
        <v>815</v>
      </c>
    </row>
    <row r="1446" spans="1:8">
      <c r="A1446" t="str">
        <f t="shared" si="44"/>
        <v>لرستاندوره</v>
      </c>
      <c r="B1446" s="12" t="s">
        <v>316</v>
      </c>
      <c r="C1446" s="12" t="s">
        <v>327</v>
      </c>
      <c r="D1446" s="12" t="s">
        <v>20</v>
      </c>
      <c r="E1446" s="12">
        <v>3.4494403705133153E-2</v>
      </c>
      <c r="F1446" s="12">
        <v>41456</v>
      </c>
      <c r="G1446">
        <f t="shared" si="45"/>
        <v>1430</v>
      </c>
      <c r="H1446" s="16" t="s">
        <v>815</v>
      </c>
    </row>
    <row r="1447" spans="1:8">
      <c r="A1447" t="str">
        <f t="shared" si="44"/>
        <v>لرستانرومشکان</v>
      </c>
      <c r="B1447" s="12" t="s">
        <v>316</v>
      </c>
      <c r="C1447" s="12" t="s">
        <v>329</v>
      </c>
      <c r="D1447" s="12" t="s">
        <v>480</v>
      </c>
      <c r="E1447" s="12">
        <v>0.47207443390649495</v>
      </c>
      <c r="F1447" s="12">
        <v>38907</v>
      </c>
      <c r="G1447">
        <f t="shared" si="45"/>
        <v>18367</v>
      </c>
      <c r="H1447" s="16" t="s">
        <v>816</v>
      </c>
    </row>
    <row r="1448" spans="1:8">
      <c r="A1448" t="str">
        <f t="shared" si="44"/>
        <v>لرستانرومشکان</v>
      </c>
      <c r="B1448" s="12" t="s">
        <v>316</v>
      </c>
      <c r="C1448" s="12" t="s">
        <v>329</v>
      </c>
      <c r="D1448" s="12" t="s">
        <v>479</v>
      </c>
      <c r="E1448" s="12">
        <v>0.39113784151952091</v>
      </c>
      <c r="F1448" s="12">
        <v>38907</v>
      </c>
      <c r="G1448">
        <f t="shared" si="45"/>
        <v>15218</v>
      </c>
      <c r="H1448" s="16" t="s">
        <v>816</v>
      </c>
    </row>
    <row r="1449" spans="1:8">
      <c r="A1449" t="str">
        <f t="shared" si="44"/>
        <v>لرستانرومشکان</v>
      </c>
      <c r="B1449" s="12" t="s">
        <v>316</v>
      </c>
      <c r="C1449" s="12" t="s">
        <v>329</v>
      </c>
      <c r="D1449" s="12" t="s">
        <v>22</v>
      </c>
      <c r="E1449" s="12">
        <v>8.2401624386357217E-2</v>
      </c>
      <c r="F1449" s="12">
        <v>38907</v>
      </c>
      <c r="G1449">
        <f t="shared" si="45"/>
        <v>3206</v>
      </c>
      <c r="H1449" s="16" t="s">
        <v>816</v>
      </c>
    </row>
    <row r="1450" spans="1:8">
      <c r="A1450" t="str">
        <f t="shared" si="44"/>
        <v>لرستانرومشکان</v>
      </c>
      <c r="B1450" s="12" t="s">
        <v>316</v>
      </c>
      <c r="C1450" s="12" t="s">
        <v>329</v>
      </c>
      <c r="D1450" s="12" t="s">
        <v>478</v>
      </c>
      <c r="E1450" s="12">
        <v>2.7424370935821316E-2</v>
      </c>
      <c r="F1450" s="12">
        <v>38907</v>
      </c>
      <c r="G1450">
        <f t="shared" si="45"/>
        <v>1067</v>
      </c>
      <c r="H1450" s="16" t="s">
        <v>816</v>
      </c>
    </row>
    <row r="1451" spans="1:8">
      <c r="A1451" t="str">
        <f t="shared" si="44"/>
        <v>لرستانرومشکان</v>
      </c>
      <c r="B1451" s="12" t="s">
        <v>316</v>
      </c>
      <c r="C1451" s="12" t="s">
        <v>329</v>
      </c>
      <c r="D1451" s="12" t="s">
        <v>20</v>
      </c>
      <c r="E1451" s="12">
        <v>2.6884622304469634E-2</v>
      </c>
      <c r="F1451" s="12">
        <v>38907</v>
      </c>
      <c r="G1451">
        <f t="shared" si="45"/>
        <v>1046</v>
      </c>
      <c r="H1451" s="16" t="s">
        <v>816</v>
      </c>
    </row>
    <row r="1452" spans="1:8">
      <c r="A1452" t="str">
        <f t="shared" si="44"/>
        <v>ايلامايلام</v>
      </c>
      <c r="B1452" s="12" t="s">
        <v>328</v>
      </c>
      <c r="C1452" s="12" t="s">
        <v>328</v>
      </c>
      <c r="D1452" s="12" t="s">
        <v>480</v>
      </c>
      <c r="E1452" s="12">
        <v>0.4268270709457902</v>
      </c>
      <c r="F1452" s="12">
        <v>238647</v>
      </c>
      <c r="G1452">
        <f t="shared" si="45"/>
        <v>101861</v>
      </c>
      <c r="H1452" s="16" t="s">
        <v>621</v>
      </c>
    </row>
    <row r="1453" spans="1:8">
      <c r="A1453" t="str">
        <f t="shared" si="44"/>
        <v>ايلامايلام</v>
      </c>
      <c r="B1453" s="12" t="s">
        <v>328</v>
      </c>
      <c r="C1453" s="12" t="s">
        <v>328</v>
      </c>
      <c r="D1453" s="12" t="s">
        <v>479</v>
      </c>
      <c r="E1453" s="12">
        <v>0.41856801049248471</v>
      </c>
      <c r="F1453" s="12">
        <v>238647</v>
      </c>
      <c r="G1453">
        <f t="shared" si="45"/>
        <v>99890</v>
      </c>
      <c r="H1453" s="16" t="s">
        <v>621</v>
      </c>
    </row>
    <row r="1454" spans="1:8">
      <c r="A1454" t="str">
        <f t="shared" si="44"/>
        <v>ايلامايلام</v>
      </c>
      <c r="B1454" s="12" t="s">
        <v>328</v>
      </c>
      <c r="C1454" s="12" t="s">
        <v>328</v>
      </c>
      <c r="D1454" s="12" t="s">
        <v>22</v>
      </c>
      <c r="E1454" s="12">
        <v>9.4382078970194475E-2</v>
      </c>
      <c r="F1454" s="12">
        <v>238647</v>
      </c>
      <c r="G1454">
        <f t="shared" si="45"/>
        <v>22524</v>
      </c>
      <c r="H1454" s="16" t="s">
        <v>621</v>
      </c>
    </row>
    <row r="1455" spans="1:8">
      <c r="A1455" t="str">
        <f t="shared" si="44"/>
        <v>ايلامايلام</v>
      </c>
      <c r="B1455" s="12" t="s">
        <v>328</v>
      </c>
      <c r="C1455" s="12" t="s">
        <v>328</v>
      </c>
      <c r="D1455" s="12" t="s">
        <v>478</v>
      </c>
      <c r="E1455" s="12">
        <v>3.185038990643084E-2</v>
      </c>
      <c r="F1455" s="12">
        <v>238647</v>
      </c>
      <c r="G1455">
        <f t="shared" si="45"/>
        <v>7601</v>
      </c>
      <c r="H1455" s="16" t="s">
        <v>621</v>
      </c>
    </row>
    <row r="1456" spans="1:8">
      <c r="A1456" t="str">
        <f t="shared" si="44"/>
        <v>ايلامايلام</v>
      </c>
      <c r="B1456" s="12" t="s">
        <v>328</v>
      </c>
      <c r="C1456" s="12" t="s">
        <v>328</v>
      </c>
      <c r="D1456" s="12" t="s">
        <v>20</v>
      </c>
      <c r="E1456" s="12">
        <v>2.836825939567646E-2</v>
      </c>
      <c r="F1456" s="12">
        <v>238647</v>
      </c>
      <c r="G1456">
        <f t="shared" si="45"/>
        <v>6770</v>
      </c>
      <c r="H1456" s="16" t="s">
        <v>621</v>
      </c>
    </row>
    <row r="1457" spans="1:8">
      <c r="A1457" t="str">
        <f t="shared" si="44"/>
        <v>ايلامدره شهر</v>
      </c>
      <c r="B1457" s="12" t="s">
        <v>328</v>
      </c>
      <c r="C1457" s="12" t="s">
        <v>330</v>
      </c>
      <c r="D1457" s="12" t="s">
        <v>480</v>
      </c>
      <c r="E1457" s="12">
        <v>0.42686897924110173</v>
      </c>
      <c r="F1457" s="12">
        <v>44222</v>
      </c>
      <c r="G1457">
        <f t="shared" si="45"/>
        <v>18877</v>
      </c>
      <c r="H1457" s="16" t="s">
        <v>613</v>
      </c>
    </row>
    <row r="1458" spans="1:8">
      <c r="A1458" t="str">
        <f t="shared" si="44"/>
        <v>ايلامدره شهر</v>
      </c>
      <c r="B1458" s="12" t="s">
        <v>328</v>
      </c>
      <c r="C1458" s="12" t="s">
        <v>330</v>
      </c>
      <c r="D1458" s="12" t="s">
        <v>479</v>
      </c>
      <c r="E1458" s="12">
        <v>0.41576590837139887</v>
      </c>
      <c r="F1458" s="12">
        <v>44222</v>
      </c>
      <c r="G1458">
        <f t="shared" si="45"/>
        <v>18386</v>
      </c>
      <c r="H1458" s="16" t="s">
        <v>613</v>
      </c>
    </row>
    <row r="1459" spans="1:8">
      <c r="A1459" t="str">
        <f t="shared" si="44"/>
        <v>ايلامدره شهر</v>
      </c>
      <c r="B1459" s="12" t="s">
        <v>328</v>
      </c>
      <c r="C1459" s="12" t="s">
        <v>330</v>
      </c>
      <c r="D1459" s="12" t="s">
        <v>22</v>
      </c>
      <c r="E1459" s="12">
        <v>9.3776853150015826E-2</v>
      </c>
      <c r="F1459" s="12">
        <v>44222</v>
      </c>
      <c r="G1459">
        <f t="shared" si="45"/>
        <v>4147</v>
      </c>
      <c r="H1459" s="16" t="s">
        <v>613</v>
      </c>
    </row>
    <row r="1460" spans="1:8">
      <c r="A1460" t="str">
        <f t="shared" si="44"/>
        <v>ايلامدره شهر</v>
      </c>
      <c r="B1460" s="12" t="s">
        <v>328</v>
      </c>
      <c r="C1460" s="12" t="s">
        <v>330</v>
      </c>
      <c r="D1460" s="12" t="s">
        <v>478</v>
      </c>
      <c r="E1460" s="12">
        <v>3.2404685450680655E-2</v>
      </c>
      <c r="F1460" s="12">
        <v>44222</v>
      </c>
      <c r="G1460">
        <f t="shared" si="45"/>
        <v>1433</v>
      </c>
      <c r="H1460" s="16" t="s">
        <v>613</v>
      </c>
    </row>
    <row r="1461" spans="1:8">
      <c r="A1461" t="str">
        <f t="shared" si="44"/>
        <v>ايلامدره شهر</v>
      </c>
      <c r="B1461" s="12" t="s">
        <v>328</v>
      </c>
      <c r="C1461" s="12" t="s">
        <v>330</v>
      </c>
      <c r="D1461" s="12" t="s">
        <v>20</v>
      </c>
      <c r="E1461" s="12">
        <v>3.1206186965763646E-2</v>
      </c>
      <c r="F1461" s="12">
        <v>44222</v>
      </c>
      <c r="G1461">
        <f t="shared" si="45"/>
        <v>1380</v>
      </c>
      <c r="H1461" s="16" t="s">
        <v>613</v>
      </c>
    </row>
    <row r="1462" spans="1:8">
      <c r="A1462" t="str">
        <f t="shared" si="44"/>
        <v>ايلامدهلران</v>
      </c>
      <c r="B1462" s="12" t="s">
        <v>328</v>
      </c>
      <c r="C1462" s="12" t="s">
        <v>331</v>
      </c>
      <c r="D1462" s="12" t="s">
        <v>480</v>
      </c>
      <c r="E1462" s="12">
        <v>0.4470361619840183</v>
      </c>
      <c r="F1462" s="12">
        <v>66451</v>
      </c>
      <c r="G1462">
        <f t="shared" si="45"/>
        <v>29706</v>
      </c>
      <c r="H1462" s="16" t="s">
        <v>610</v>
      </c>
    </row>
    <row r="1463" spans="1:8">
      <c r="A1463" t="str">
        <f t="shared" si="44"/>
        <v>ايلامدهلران</v>
      </c>
      <c r="B1463" s="12" t="s">
        <v>328</v>
      </c>
      <c r="C1463" s="12" t="s">
        <v>331</v>
      </c>
      <c r="D1463" s="12" t="s">
        <v>479</v>
      </c>
      <c r="E1463" s="12">
        <v>0.40798483092805227</v>
      </c>
      <c r="F1463" s="12">
        <v>66451</v>
      </c>
      <c r="G1463">
        <f t="shared" si="45"/>
        <v>27111</v>
      </c>
      <c r="H1463" s="16" t="s">
        <v>610</v>
      </c>
    </row>
    <row r="1464" spans="1:8">
      <c r="A1464" t="str">
        <f t="shared" si="44"/>
        <v>ايلامدهلران</v>
      </c>
      <c r="B1464" s="12" t="s">
        <v>328</v>
      </c>
      <c r="C1464" s="12" t="s">
        <v>331</v>
      </c>
      <c r="D1464" s="12" t="s">
        <v>22</v>
      </c>
      <c r="E1464" s="12">
        <v>8.5988171735564556E-2</v>
      </c>
      <c r="F1464" s="12">
        <v>66451</v>
      </c>
      <c r="G1464">
        <f t="shared" si="45"/>
        <v>5714</v>
      </c>
      <c r="H1464" s="16" t="s">
        <v>610</v>
      </c>
    </row>
    <row r="1465" spans="1:8">
      <c r="A1465" t="str">
        <f t="shared" si="44"/>
        <v>ايلامدهلران</v>
      </c>
      <c r="B1465" s="12" t="s">
        <v>328</v>
      </c>
      <c r="C1465" s="12" t="s">
        <v>331</v>
      </c>
      <c r="D1465" s="12" t="s">
        <v>478</v>
      </c>
      <c r="E1465" s="12">
        <v>2.9931829468330048E-2</v>
      </c>
      <c r="F1465" s="12">
        <v>66451</v>
      </c>
      <c r="G1465">
        <f t="shared" si="45"/>
        <v>1989</v>
      </c>
      <c r="H1465" s="16" t="s">
        <v>610</v>
      </c>
    </row>
    <row r="1466" spans="1:8">
      <c r="A1466" t="str">
        <f t="shared" si="44"/>
        <v>ايلامدهلران</v>
      </c>
      <c r="B1466" s="12" t="s">
        <v>328</v>
      </c>
      <c r="C1466" s="12" t="s">
        <v>331</v>
      </c>
      <c r="D1466" s="12" t="s">
        <v>20</v>
      </c>
      <c r="E1466" s="12">
        <v>2.908910324901055E-2</v>
      </c>
      <c r="F1466" s="12">
        <v>66451</v>
      </c>
      <c r="G1466">
        <f t="shared" si="45"/>
        <v>1933</v>
      </c>
      <c r="H1466" s="16" t="s">
        <v>610</v>
      </c>
    </row>
    <row r="1467" spans="1:8">
      <c r="A1467" t="str">
        <f t="shared" si="44"/>
        <v>ايلامچرداول</v>
      </c>
      <c r="B1467" s="12" t="s">
        <v>328</v>
      </c>
      <c r="C1467" s="12" t="s">
        <v>332</v>
      </c>
      <c r="D1467" s="12" t="s">
        <v>480</v>
      </c>
      <c r="E1467" s="12">
        <v>0.421753433241084</v>
      </c>
      <c r="F1467" s="12">
        <v>57453</v>
      </c>
      <c r="G1467">
        <f t="shared" si="45"/>
        <v>24231</v>
      </c>
      <c r="H1467" s="16" t="s">
        <v>612</v>
      </c>
    </row>
    <row r="1468" spans="1:8">
      <c r="A1468" t="str">
        <f t="shared" si="44"/>
        <v>ايلامچرداول</v>
      </c>
      <c r="B1468" s="12" t="s">
        <v>328</v>
      </c>
      <c r="C1468" s="12" t="s">
        <v>332</v>
      </c>
      <c r="D1468" s="12" t="s">
        <v>479</v>
      </c>
      <c r="E1468" s="12">
        <v>0.40852522931787721</v>
      </c>
      <c r="F1468" s="12">
        <v>57453</v>
      </c>
      <c r="G1468">
        <f t="shared" si="45"/>
        <v>23471</v>
      </c>
      <c r="H1468" s="16" t="s">
        <v>612</v>
      </c>
    </row>
    <row r="1469" spans="1:8">
      <c r="A1469" t="str">
        <f t="shared" si="44"/>
        <v>ايلامچرداول</v>
      </c>
      <c r="B1469" s="12" t="s">
        <v>328</v>
      </c>
      <c r="C1469" s="12" t="s">
        <v>332</v>
      </c>
      <c r="D1469" s="12" t="s">
        <v>22</v>
      </c>
      <c r="E1469" s="12">
        <v>0.10098689363479714</v>
      </c>
      <c r="F1469" s="12">
        <v>57453</v>
      </c>
      <c r="G1469">
        <f t="shared" si="45"/>
        <v>5802</v>
      </c>
      <c r="H1469" s="16" t="s">
        <v>612</v>
      </c>
    </row>
    <row r="1470" spans="1:8">
      <c r="A1470" t="str">
        <f t="shared" si="44"/>
        <v>ايلامچرداول</v>
      </c>
      <c r="B1470" s="12" t="s">
        <v>328</v>
      </c>
      <c r="C1470" s="12" t="s">
        <v>332</v>
      </c>
      <c r="D1470" s="12" t="s">
        <v>478</v>
      </c>
      <c r="E1470" s="12">
        <v>3.4010408507823789E-2</v>
      </c>
      <c r="F1470" s="12">
        <v>57453</v>
      </c>
      <c r="G1470">
        <f t="shared" si="45"/>
        <v>1954</v>
      </c>
      <c r="H1470" s="16" t="s">
        <v>612</v>
      </c>
    </row>
    <row r="1471" spans="1:8">
      <c r="A1471" t="str">
        <f t="shared" si="44"/>
        <v>ايلامچرداول</v>
      </c>
      <c r="B1471" s="12" t="s">
        <v>328</v>
      </c>
      <c r="C1471" s="12" t="s">
        <v>332</v>
      </c>
      <c r="D1471" s="12" t="s">
        <v>20</v>
      </c>
      <c r="E1471" s="12">
        <v>3.4758846361373642E-2</v>
      </c>
      <c r="F1471" s="12">
        <v>57453</v>
      </c>
      <c r="G1471">
        <f t="shared" si="45"/>
        <v>1997</v>
      </c>
      <c r="H1471" s="16" t="s">
        <v>612</v>
      </c>
    </row>
    <row r="1472" spans="1:8">
      <c r="A1472" t="str">
        <f t="shared" si="44"/>
        <v>ايلاممهران</v>
      </c>
      <c r="B1472" s="12" t="s">
        <v>328</v>
      </c>
      <c r="C1472" s="12" t="s">
        <v>333</v>
      </c>
      <c r="D1472" s="12" t="s">
        <v>480</v>
      </c>
      <c r="E1472" s="12">
        <v>0.4640444974175606</v>
      </c>
      <c r="F1472" s="12">
        <v>30204</v>
      </c>
      <c r="G1472">
        <f t="shared" si="45"/>
        <v>14016</v>
      </c>
      <c r="H1472" s="16" t="s">
        <v>620</v>
      </c>
    </row>
    <row r="1473" spans="1:8">
      <c r="A1473" t="str">
        <f t="shared" si="44"/>
        <v>ايلاممهران</v>
      </c>
      <c r="B1473" s="12" t="s">
        <v>328</v>
      </c>
      <c r="C1473" s="12" t="s">
        <v>333</v>
      </c>
      <c r="D1473" s="12" t="s">
        <v>479</v>
      </c>
      <c r="E1473" s="12">
        <v>0.39772877764534498</v>
      </c>
      <c r="F1473" s="12">
        <v>30204</v>
      </c>
      <c r="G1473">
        <f t="shared" si="45"/>
        <v>12013</v>
      </c>
      <c r="H1473" s="16" t="s">
        <v>620</v>
      </c>
    </row>
    <row r="1474" spans="1:8">
      <c r="A1474" t="str">
        <f t="shared" ref="A1474:A1537" si="46">B1474&amp;C1474</f>
        <v>ايلاممهران</v>
      </c>
      <c r="B1474" s="12" t="s">
        <v>328</v>
      </c>
      <c r="C1474" s="12" t="s">
        <v>333</v>
      </c>
      <c r="D1474" s="12" t="s">
        <v>22</v>
      </c>
      <c r="E1474" s="12">
        <v>8.0121838167130185E-2</v>
      </c>
      <c r="F1474" s="12">
        <v>30204</v>
      </c>
      <c r="G1474">
        <f t="shared" si="45"/>
        <v>2420</v>
      </c>
      <c r="H1474" s="16" t="s">
        <v>620</v>
      </c>
    </row>
    <row r="1475" spans="1:8">
      <c r="A1475" t="str">
        <f t="shared" si="46"/>
        <v>ايلاممهران</v>
      </c>
      <c r="B1475" s="12" t="s">
        <v>328</v>
      </c>
      <c r="C1475" s="12" t="s">
        <v>333</v>
      </c>
      <c r="D1475" s="12" t="s">
        <v>478</v>
      </c>
      <c r="E1475" s="12">
        <v>2.9433187657263937E-2</v>
      </c>
      <c r="F1475" s="12">
        <v>30204</v>
      </c>
      <c r="G1475">
        <f t="shared" ref="G1475:G1538" si="47">IFERROR(ROUND(F1475*E1475,0),0)</f>
        <v>889</v>
      </c>
      <c r="H1475" s="16" t="s">
        <v>620</v>
      </c>
    </row>
    <row r="1476" spans="1:8">
      <c r="A1476" t="str">
        <f t="shared" si="46"/>
        <v>ايلاممهران</v>
      </c>
      <c r="B1476" s="12" t="s">
        <v>328</v>
      </c>
      <c r="C1476" s="12" t="s">
        <v>333</v>
      </c>
      <c r="D1476" s="12" t="s">
        <v>20</v>
      </c>
      <c r="E1476" s="12">
        <v>2.8473049927161966E-2</v>
      </c>
      <c r="F1476" s="12">
        <v>30204</v>
      </c>
      <c r="G1476">
        <f t="shared" si="47"/>
        <v>860</v>
      </c>
      <c r="H1476" s="16" t="s">
        <v>620</v>
      </c>
    </row>
    <row r="1477" spans="1:8">
      <c r="A1477" t="str">
        <f t="shared" si="46"/>
        <v>ايلامآبدانان</v>
      </c>
      <c r="B1477" s="12" t="s">
        <v>328</v>
      </c>
      <c r="C1477" s="12" t="s">
        <v>334</v>
      </c>
      <c r="D1477" s="12" t="s">
        <v>480</v>
      </c>
      <c r="E1477" s="12">
        <v>0.42364090814413663</v>
      </c>
      <c r="F1477" s="12">
        <v>48010</v>
      </c>
      <c r="G1477">
        <f t="shared" si="47"/>
        <v>20339</v>
      </c>
      <c r="H1477" s="16" t="s">
        <v>616</v>
      </c>
    </row>
    <row r="1478" spans="1:8">
      <c r="A1478" t="str">
        <f t="shared" si="46"/>
        <v>ايلامآبدانان</v>
      </c>
      <c r="B1478" s="12" t="s">
        <v>328</v>
      </c>
      <c r="C1478" s="12" t="s">
        <v>334</v>
      </c>
      <c r="D1478" s="12" t="s">
        <v>479</v>
      </c>
      <c r="E1478" s="12">
        <v>0.41174755259320972</v>
      </c>
      <c r="F1478" s="12">
        <v>48010</v>
      </c>
      <c r="G1478">
        <f t="shared" si="47"/>
        <v>19768</v>
      </c>
      <c r="H1478" s="16" t="s">
        <v>616</v>
      </c>
    </row>
    <row r="1479" spans="1:8">
      <c r="A1479" t="str">
        <f t="shared" si="46"/>
        <v>ايلامآبدانان</v>
      </c>
      <c r="B1479" s="12" t="s">
        <v>328</v>
      </c>
      <c r="C1479" s="12" t="s">
        <v>334</v>
      </c>
      <c r="D1479" s="12" t="s">
        <v>22</v>
      </c>
      <c r="E1479" s="12">
        <v>9.4938554467819208E-2</v>
      </c>
      <c r="F1479" s="12">
        <v>48010</v>
      </c>
      <c r="G1479">
        <f t="shared" si="47"/>
        <v>4558</v>
      </c>
      <c r="H1479" s="16" t="s">
        <v>616</v>
      </c>
    </row>
    <row r="1480" spans="1:8">
      <c r="A1480" t="str">
        <f t="shared" si="46"/>
        <v>ايلامآبدانان</v>
      </c>
      <c r="B1480" s="12" t="s">
        <v>328</v>
      </c>
      <c r="C1480" s="12" t="s">
        <v>334</v>
      </c>
      <c r="D1480" s="12" t="s">
        <v>478</v>
      </c>
      <c r="E1480" s="12">
        <v>3.4451156009164756E-2</v>
      </c>
      <c r="F1480" s="12">
        <v>48010</v>
      </c>
      <c r="G1480">
        <f t="shared" si="47"/>
        <v>1654</v>
      </c>
      <c r="H1480" s="16" t="s">
        <v>616</v>
      </c>
    </row>
    <row r="1481" spans="1:8">
      <c r="A1481" t="str">
        <f t="shared" si="46"/>
        <v>ايلامآبدانان</v>
      </c>
      <c r="B1481" s="12" t="s">
        <v>328</v>
      </c>
      <c r="C1481" s="12" t="s">
        <v>334</v>
      </c>
      <c r="D1481" s="12" t="s">
        <v>20</v>
      </c>
      <c r="E1481" s="12">
        <v>3.5159341803790878E-2</v>
      </c>
      <c r="F1481" s="12">
        <v>48010</v>
      </c>
      <c r="G1481">
        <f t="shared" si="47"/>
        <v>1688</v>
      </c>
      <c r="H1481" s="16" t="s">
        <v>616</v>
      </c>
    </row>
    <row r="1482" spans="1:8">
      <c r="A1482" t="str">
        <f t="shared" si="46"/>
        <v>ايلامايوان</v>
      </c>
      <c r="B1482" s="12" t="s">
        <v>328</v>
      </c>
      <c r="C1482" s="12" t="s">
        <v>335</v>
      </c>
      <c r="D1482" s="12" t="s">
        <v>480</v>
      </c>
      <c r="E1482" s="12">
        <v>0.39437891189215213</v>
      </c>
      <c r="F1482" s="12">
        <v>49848</v>
      </c>
      <c r="G1482">
        <f t="shared" si="47"/>
        <v>19659</v>
      </c>
      <c r="H1482" s="16" t="s">
        <v>618</v>
      </c>
    </row>
    <row r="1483" spans="1:8">
      <c r="A1483" t="str">
        <f t="shared" si="46"/>
        <v>ايلامايوان</v>
      </c>
      <c r="B1483" s="12" t="s">
        <v>328</v>
      </c>
      <c r="C1483" s="12" t="s">
        <v>335</v>
      </c>
      <c r="D1483" s="12" t="s">
        <v>479</v>
      </c>
      <c r="E1483" s="12">
        <v>0.41957550954902906</v>
      </c>
      <c r="F1483" s="12">
        <v>49848</v>
      </c>
      <c r="G1483">
        <f t="shared" si="47"/>
        <v>20915</v>
      </c>
      <c r="H1483" s="16" t="s">
        <v>618</v>
      </c>
    </row>
    <row r="1484" spans="1:8">
      <c r="A1484" t="str">
        <f t="shared" si="46"/>
        <v>ايلامايوان</v>
      </c>
      <c r="B1484" s="12" t="s">
        <v>328</v>
      </c>
      <c r="C1484" s="12" t="s">
        <v>335</v>
      </c>
      <c r="D1484" s="12" t="s">
        <v>22</v>
      </c>
      <c r="E1484" s="12">
        <v>0.11031535869041888</v>
      </c>
      <c r="F1484" s="12">
        <v>49848</v>
      </c>
      <c r="G1484">
        <f t="shared" si="47"/>
        <v>5499</v>
      </c>
      <c r="H1484" s="16" t="s">
        <v>618</v>
      </c>
    </row>
    <row r="1485" spans="1:8">
      <c r="A1485" t="str">
        <f t="shared" si="46"/>
        <v>ايلامايوان</v>
      </c>
      <c r="B1485" s="12" t="s">
        <v>328</v>
      </c>
      <c r="C1485" s="12" t="s">
        <v>335</v>
      </c>
      <c r="D1485" s="12" t="s">
        <v>478</v>
      </c>
      <c r="E1485" s="12">
        <v>3.7774835499919758E-2</v>
      </c>
      <c r="F1485" s="12">
        <v>49848</v>
      </c>
      <c r="G1485">
        <f t="shared" si="47"/>
        <v>1883</v>
      </c>
      <c r="H1485" s="16" t="s">
        <v>618</v>
      </c>
    </row>
    <row r="1486" spans="1:8">
      <c r="A1486" t="str">
        <f t="shared" si="46"/>
        <v>ايلامايوان</v>
      </c>
      <c r="B1486" s="12" t="s">
        <v>328</v>
      </c>
      <c r="C1486" s="12" t="s">
        <v>335</v>
      </c>
      <c r="D1486" s="12" t="s">
        <v>20</v>
      </c>
      <c r="E1486" s="12">
        <v>3.7995506339271387E-2</v>
      </c>
      <c r="F1486" s="12">
        <v>49848</v>
      </c>
      <c r="G1486">
        <f t="shared" si="47"/>
        <v>1894</v>
      </c>
      <c r="H1486" s="16" t="s">
        <v>618</v>
      </c>
    </row>
    <row r="1487" spans="1:8">
      <c r="A1487" t="str">
        <f t="shared" si="46"/>
        <v>ايلامملكشاهي</v>
      </c>
      <c r="B1487" s="12" t="s">
        <v>328</v>
      </c>
      <c r="C1487" s="12" t="s">
        <v>336</v>
      </c>
      <c r="D1487" s="12" t="s">
        <v>480</v>
      </c>
      <c r="E1487" s="12">
        <v>0.42916354556803993</v>
      </c>
      <c r="F1487" s="12">
        <v>20025</v>
      </c>
      <c r="G1487">
        <f t="shared" si="47"/>
        <v>8594</v>
      </c>
      <c r="H1487" s="16" t="s">
        <v>617</v>
      </c>
    </row>
    <row r="1488" spans="1:8">
      <c r="A1488" t="str">
        <f t="shared" si="46"/>
        <v>ايلامملكشاهي</v>
      </c>
      <c r="B1488" s="12" t="s">
        <v>328</v>
      </c>
      <c r="C1488" s="12" t="s">
        <v>336</v>
      </c>
      <c r="D1488" s="12" t="s">
        <v>479</v>
      </c>
      <c r="E1488" s="12">
        <v>0.40409488139825217</v>
      </c>
      <c r="F1488" s="12">
        <v>20025</v>
      </c>
      <c r="G1488">
        <f t="shared" si="47"/>
        <v>8092</v>
      </c>
      <c r="H1488" s="16" t="s">
        <v>617</v>
      </c>
    </row>
    <row r="1489" spans="1:8">
      <c r="A1489" t="str">
        <f t="shared" si="46"/>
        <v>ايلامملكشاهي</v>
      </c>
      <c r="B1489" s="12" t="s">
        <v>328</v>
      </c>
      <c r="C1489" s="12" t="s">
        <v>336</v>
      </c>
      <c r="D1489" s="12" t="s">
        <v>22</v>
      </c>
      <c r="E1489" s="12">
        <v>9.7228464419475649E-2</v>
      </c>
      <c r="F1489" s="12">
        <v>20025</v>
      </c>
      <c r="G1489">
        <f t="shared" si="47"/>
        <v>1947</v>
      </c>
      <c r="H1489" s="16" t="s">
        <v>617</v>
      </c>
    </row>
    <row r="1490" spans="1:8">
      <c r="A1490" t="str">
        <f t="shared" si="46"/>
        <v>ايلامملكشاهي</v>
      </c>
      <c r="B1490" s="12" t="s">
        <v>328</v>
      </c>
      <c r="C1490" s="12" t="s">
        <v>336</v>
      </c>
      <c r="D1490" s="12" t="s">
        <v>478</v>
      </c>
      <c r="E1490" s="12">
        <v>3.6853932584269666E-2</v>
      </c>
      <c r="F1490" s="12">
        <v>20025</v>
      </c>
      <c r="G1490">
        <f t="shared" si="47"/>
        <v>738</v>
      </c>
      <c r="H1490" s="16" t="s">
        <v>617</v>
      </c>
    </row>
    <row r="1491" spans="1:8">
      <c r="A1491" t="str">
        <f t="shared" si="46"/>
        <v>ايلامملكشاهي</v>
      </c>
      <c r="B1491" s="12" t="s">
        <v>328</v>
      </c>
      <c r="C1491" s="12" t="s">
        <v>336</v>
      </c>
      <c r="D1491" s="12" t="s">
        <v>20</v>
      </c>
      <c r="E1491" s="12">
        <v>3.270911360799001E-2</v>
      </c>
      <c r="F1491" s="12">
        <v>20025</v>
      </c>
      <c r="G1491">
        <f t="shared" si="47"/>
        <v>655</v>
      </c>
      <c r="H1491" s="16" t="s">
        <v>617</v>
      </c>
    </row>
    <row r="1492" spans="1:8">
      <c r="A1492" t="str">
        <f t="shared" si="46"/>
        <v>ايلامسيروان</v>
      </c>
      <c r="B1492" s="12" t="s">
        <v>328</v>
      </c>
      <c r="C1492" s="12" t="s">
        <v>337</v>
      </c>
      <c r="D1492" s="12" t="s">
        <v>480</v>
      </c>
      <c r="E1492" s="12">
        <v>0.38711703538279013</v>
      </c>
      <c r="F1492" s="12">
        <v>14329</v>
      </c>
      <c r="G1492">
        <f t="shared" si="47"/>
        <v>5547</v>
      </c>
      <c r="H1492" s="16" t="s">
        <v>619</v>
      </c>
    </row>
    <row r="1493" spans="1:8">
      <c r="A1493" t="str">
        <f t="shared" si="46"/>
        <v>ايلامسيروان</v>
      </c>
      <c r="B1493" s="12" t="s">
        <v>328</v>
      </c>
      <c r="C1493" s="12" t="s">
        <v>337</v>
      </c>
      <c r="D1493" s="12" t="s">
        <v>479</v>
      </c>
      <c r="E1493" s="12">
        <v>0.40058622374206154</v>
      </c>
      <c r="F1493" s="12">
        <v>14329</v>
      </c>
      <c r="G1493">
        <f t="shared" si="47"/>
        <v>5740</v>
      </c>
      <c r="H1493" s="16" t="s">
        <v>619</v>
      </c>
    </row>
    <row r="1494" spans="1:8">
      <c r="A1494" t="str">
        <f t="shared" si="46"/>
        <v>ايلامسيروان</v>
      </c>
      <c r="B1494" s="12" t="s">
        <v>328</v>
      </c>
      <c r="C1494" s="12" t="s">
        <v>337</v>
      </c>
      <c r="D1494" s="12" t="s">
        <v>22</v>
      </c>
      <c r="E1494" s="12">
        <v>0.11584897759787843</v>
      </c>
      <c r="F1494" s="12">
        <v>14329</v>
      </c>
      <c r="G1494">
        <f t="shared" si="47"/>
        <v>1660</v>
      </c>
      <c r="H1494" s="16" t="s">
        <v>619</v>
      </c>
    </row>
    <row r="1495" spans="1:8">
      <c r="A1495" t="str">
        <f t="shared" si="46"/>
        <v>ايلامسيروان</v>
      </c>
      <c r="B1495" s="12" t="s">
        <v>328</v>
      </c>
      <c r="C1495" s="12" t="s">
        <v>337</v>
      </c>
      <c r="D1495" s="12" t="s">
        <v>478</v>
      </c>
      <c r="E1495" s="12">
        <v>4.5502128550492009E-2</v>
      </c>
      <c r="F1495" s="12">
        <v>14329</v>
      </c>
      <c r="G1495">
        <f t="shared" si="47"/>
        <v>652</v>
      </c>
      <c r="H1495" s="16" t="s">
        <v>619</v>
      </c>
    </row>
    <row r="1496" spans="1:8">
      <c r="A1496" t="str">
        <f t="shared" si="46"/>
        <v>ايلامسيروان</v>
      </c>
      <c r="B1496" s="12" t="s">
        <v>328</v>
      </c>
      <c r="C1496" s="12" t="s">
        <v>337</v>
      </c>
      <c r="D1496" s="12" t="s">
        <v>20</v>
      </c>
      <c r="E1496" s="12">
        <v>5.0875846186056249E-2</v>
      </c>
      <c r="F1496" s="12">
        <v>14329</v>
      </c>
      <c r="G1496">
        <f t="shared" si="47"/>
        <v>729</v>
      </c>
      <c r="H1496" s="16" t="s">
        <v>619</v>
      </c>
    </row>
    <row r="1497" spans="1:8">
      <c r="A1497" t="str">
        <f t="shared" si="46"/>
        <v xml:space="preserve">ايلامبدره </v>
      </c>
      <c r="B1497" s="12" t="s">
        <v>328</v>
      </c>
      <c r="C1497" s="12" t="s">
        <v>339</v>
      </c>
      <c r="D1497" s="12" t="s">
        <v>480</v>
      </c>
      <c r="E1497" s="12">
        <v>0.39130157921548653</v>
      </c>
      <c r="F1497" s="12">
        <v>15704</v>
      </c>
      <c r="G1497">
        <f t="shared" si="47"/>
        <v>6145</v>
      </c>
      <c r="H1497" s="16" t="s">
        <v>614</v>
      </c>
    </row>
    <row r="1498" spans="1:8">
      <c r="A1498" t="str">
        <f t="shared" si="46"/>
        <v xml:space="preserve">ايلامبدره </v>
      </c>
      <c r="B1498" s="12" t="s">
        <v>328</v>
      </c>
      <c r="C1498" s="12" t="s">
        <v>339</v>
      </c>
      <c r="D1498" s="12" t="s">
        <v>479</v>
      </c>
      <c r="E1498" s="12">
        <v>0.41142384105960267</v>
      </c>
      <c r="F1498" s="12">
        <v>15704</v>
      </c>
      <c r="G1498">
        <f t="shared" si="47"/>
        <v>6461</v>
      </c>
      <c r="H1498" s="16" t="s">
        <v>614</v>
      </c>
    </row>
    <row r="1499" spans="1:8">
      <c r="A1499" t="str">
        <f t="shared" si="46"/>
        <v xml:space="preserve">ايلامبدره </v>
      </c>
      <c r="B1499" s="12" t="s">
        <v>328</v>
      </c>
      <c r="C1499" s="12" t="s">
        <v>339</v>
      </c>
      <c r="D1499" s="12" t="s">
        <v>22</v>
      </c>
      <c r="E1499" s="12">
        <v>0.10895313295975548</v>
      </c>
      <c r="F1499" s="12">
        <v>15704</v>
      </c>
      <c r="G1499">
        <f t="shared" si="47"/>
        <v>1711</v>
      </c>
      <c r="H1499" s="16" t="s">
        <v>614</v>
      </c>
    </row>
    <row r="1500" spans="1:8">
      <c r="A1500" t="str">
        <f t="shared" si="46"/>
        <v xml:space="preserve">ايلامبدره </v>
      </c>
      <c r="B1500" s="12" t="s">
        <v>328</v>
      </c>
      <c r="C1500" s="12" t="s">
        <v>339</v>
      </c>
      <c r="D1500" s="12" t="s">
        <v>478</v>
      </c>
      <c r="E1500" s="12">
        <v>4.584819154355578E-2</v>
      </c>
      <c r="F1500" s="12">
        <v>15704</v>
      </c>
      <c r="G1500">
        <f t="shared" si="47"/>
        <v>720</v>
      </c>
      <c r="H1500" s="16" t="s">
        <v>614</v>
      </c>
    </row>
    <row r="1501" spans="1:8">
      <c r="A1501" t="str">
        <f t="shared" si="46"/>
        <v xml:space="preserve">ايلامبدره </v>
      </c>
      <c r="B1501" s="12" t="s">
        <v>328</v>
      </c>
      <c r="C1501" s="12" t="s">
        <v>339</v>
      </c>
      <c r="D1501" s="12" t="s">
        <v>20</v>
      </c>
      <c r="E1501" s="12">
        <v>4.2536933265410089E-2</v>
      </c>
      <c r="F1501" s="12">
        <v>15704</v>
      </c>
      <c r="G1501">
        <f t="shared" si="47"/>
        <v>668</v>
      </c>
      <c r="H1501" s="16" t="s">
        <v>614</v>
      </c>
    </row>
    <row r="1502" spans="1:8">
      <c r="A1502" t="str">
        <f t="shared" si="46"/>
        <v>كهگيلويه وبويراحمدبويراحمد</v>
      </c>
      <c r="B1502" s="12" t="s">
        <v>338</v>
      </c>
      <c r="C1502" s="12" t="s">
        <v>340</v>
      </c>
      <c r="D1502" s="12" t="s">
        <v>480</v>
      </c>
      <c r="E1502" s="12">
        <v>0.49183591805662641</v>
      </c>
      <c r="F1502" s="12">
        <v>307383</v>
      </c>
      <c r="G1502">
        <f t="shared" si="47"/>
        <v>151182</v>
      </c>
      <c r="H1502" s="16" t="s">
        <v>953</v>
      </c>
    </row>
    <row r="1503" spans="1:8">
      <c r="A1503" t="str">
        <f t="shared" si="46"/>
        <v>كهگيلويه وبويراحمدبويراحمد</v>
      </c>
      <c r="B1503" s="12" t="s">
        <v>338</v>
      </c>
      <c r="C1503" s="12" t="s">
        <v>340</v>
      </c>
      <c r="D1503" s="12" t="s">
        <v>479</v>
      </c>
      <c r="E1503" s="12">
        <v>0.38598100740769659</v>
      </c>
      <c r="F1503" s="12">
        <v>307383</v>
      </c>
      <c r="G1503">
        <f t="shared" si="47"/>
        <v>118644</v>
      </c>
      <c r="H1503" s="16" t="s">
        <v>953</v>
      </c>
    </row>
    <row r="1504" spans="1:8">
      <c r="A1504" t="str">
        <f t="shared" si="46"/>
        <v>كهگيلويه وبويراحمدبويراحمد</v>
      </c>
      <c r="B1504" s="12" t="s">
        <v>338</v>
      </c>
      <c r="C1504" s="12" t="s">
        <v>340</v>
      </c>
      <c r="D1504" s="12" t="s">
        <v>22</v>
      </c>
      <c r="E1504" s="12">
        <v>7.743759414151076E-2</v>
      </c>
      <c r="F1504" s="12">
        <v>307383</v>
      </c>
      <c r="G1504">
        <f t="shared" si="47"/>
        <v>23803</v>
      </c>
      <c r="H1504" s="16" t="s">
        <v>953</v>
      </c>
    </row>
    <row r="1505" spans="1:8">
      <c r="A1505" t="str">
        <f t="shared" si="46"/>
        <v>كهگيلويه وبويراحمدبويراحمد</v>
      </c>
      <c r="B1505" s="12" t="s">
        <v>338</v>
      </c>
      <c r="C1505" s="12" t="s">
        <v>340</v>
      </c>
      <c r="D1505" s="12" t="s">
        <v>478</v>
      </c>
      <c r="E1505" s="12">
        <v>2.3787912799341539E-2</v>
      </c>
      <c r="F1505" s="12">
        <v>307383</v>
      </c>
      <c r="G1505">
        <f t="shared" si="47"/>
        <v>7312</v>
      </c>
      <c r="H1505" s="16" t="s">
        <v>953</v>
      </c>
    </row>
    <row r="1506" spans="1:8">
      <c r="A1506" t="str">
        <f t="shared" si="46"/>
        <v>كهگيلويه وبويراحمدبويراحمد</v>
      </c>
      <c r="B1506" s="12" t="s">
        <v>338</v>
      </c>
      <c r="C1506" s="12" t="s">
        <v>340</v>
      </c>
      <c r="D1506" s="12" t="s">
        <v>20</v>
      </c>
      <c r="E1506" s="12">
        <v>2.095106105412466E-2</v>
      </c>
      <c r="F1506" s="12">
        <v>307383</v>
      </c>
      <c r="G1506">
        <f t="shared" si="47"/>
        <v>6440</v>
      </c>
      <c r="H1506" s="16" t="s">
        <v>953</v>
      </c>
    </row>
    <row r="1507" spans="1:8">
      <c r="A1507" t="str">
        <f t="shared" si="46"/>
        <v>كهگيلويه وبويراحمدكهگيلويه</v>
      </c>
      <c r="B1507" s="12" t="s">
        <v>338</v>
      </c>
      <c r="C1507" s="12" t="s">
        <v>341</v>
      </c>
      <c r="D1507" s="12" t="s">
        <v>480</v>
      </c>
      <c r="E1507" s="12">
        <v>0.48306785019455251</v>
      </c>
      <c r="F1507" s="12">
        <v>131584</v>
      </c>
      <c r="G1507">
        <f t="shared" si="47"/>
        <v>63564</v>
      </c>
      <c r="H1507" s="16" t="s">
        <v>954</v>
      </c>
    </row>
    <row r="1508" spans="1:8">
      <c r="A1508" t="str">
        <f t="shared" si="46"/>
        <v>كهگيلويه وبويراحمدكهگيلويه</v>
      </c>
      <c r="B1508" s="12" t="s">
        <v>338</v>
      </c>
      <c r="C1508" s="12" t="s">
        <v>341</v>
      </c>
      <c r="D1508" s="12" t="s">
        <v>479</v>
      </c>
      <c r="E1508" s="12">
        <v>0.37340406128404668</v>
      </c>
      <c r="F1508" s="12">
        <v>131584</v>
      </c>
      <c r="G1508">
        <f t="shared" si="47"/>
        <v>49134</v>
      </c>
      <c r="H1508" s="16" t="s">
        <v>954</v>
      </c>
    </row>
    <row r="1509" spans="1:8">
      <c r="A1509" t="str">
        <f t="shared" si="46"/>
        <v>كهگيلويه وبويراحمدكهگيلويه</v>
      </c>
      <c r="B1509" s="12" t="s">
        <v>338</v>
      </c>
      <c r="C1509" s="12" t="s">
        <v>341</v>
      </c>
      <c r="D1509" s="12" t="s">
        <v>22</v>
      </c>
      <c r="E1509" s="12">
        <v>8.4546753404669259E-2</v>
      </c>
      <c r="F1509" s="12">
        <v>131584</v>
      </c>
      <c r="G1509">
        <f t="shared" si="47"/>
        <v>11125</v>
      </c>
      <c r="H1509" s="16" t="s">
        <v>954</v>
      </c>
    </row>
    <row r="1510" spans="1:8">
      <c r="A1510" t="str">
        <f t="shared" si="46"/>
        <v>كهگيلويه وبويراحمدكهگيلويه</v>
      </c>
      <c r="B1510" s="12" t="s">
        <v>338</v>
      </c>
      <c r="C1510" s="12" t="s">
        <v>341</v>
      </c>
      <c r="D1510" s="12" t="s">
        <v>478</v>
      </c>
      <c r="E1510" s="12">
        <v>2.8802893968871594E-2</v>
      </c>
      <c r="F1510" s="12">
        <v>131584</v>
      </c>
      <c r="G1510">
        <f t="shared" si="47"/>
        <v>3790</v>
      </c>
      <c r="H1510" s="16" t="s">
        <v>954</v>
      </c>
    </row>
    <row r="1511" spans="1:8">
      <c r="A1511" t="str">
        <f t="shared" si="46"/>
        <v>كهگيلويه وبويراحمدكهگيلويه</v>
      </c>
      <c r="B1511" s="12" t="s">
        <v>338</v>
      </c>
      <c r="C1511" s="12" t="s">
        <v>341</v>
      </c>
      <c r="D1511" s="12" t="s">
        <v>20</v>
      </c>
      <c r="E1511" s="12">
        <v>3.0186040856031129E-2</v>
      </c>
      <c r="F1511" s="12">
        <v>131584</v>
      </c>
      <c r="G1511">
        <f t="shared" si="47"/>
        <v>3972</v>
      </c>
      <c r="H1511" s="16" t="s">
        <v>954</v>
      </c>
    </row>
    <row r="1512" spans="1:8">
      <c r="A1512" t="str">
        <f t="shared" si="46"/>
        <v>كهگيلويه وبويراحمدگچساران</v>
      </c>
      <c r="B1512" s="12" t="s">
        <v>338</v>
      </c>
      <c r="C1512" s="12" t="s">
        <v>342</v>
      </c>
      <c r="D1512" s="12" t="s">
        <v>480</v>
      </c>
      <c r="E1512" s="12">
        <v>0.43092139344719582</v>
      </c>
      <c r="F1512" s="12">
        <v>125473</v>
      </c>
      <c r="G1512">
        <f t="shared" si="47"/>
        <v>54069</v>
      </c>
      <c r="H1512" s="16" t="s">
        <v>949</v>
      </c>
    </row>
    <row r="1513" spans="1:8">
      <c r="A1513" t="str">
        <f t="shared" si="46"/>
        <v>كهگيلويه وبويراحمدگچساران</v>
      </c>
      <c r="B1513" s="12" t="s">
        <v>338</v>
      </c>
      <c r="C1513" s="12" t="s">
        <v>342</v>
      </c>
      <c r="D1513" s="12" t="s">
        <v>479</v>
      </c>
      <c r="E1513" s="12">
        <v>0.4125349676822902</v>
      </c>
      <c r="F1513" s="12">
        <v>125473</v>
      </c>
      <c r="G1513">
        <f t="shared" si="47"/>
        <v>51762</v>
      </c>
      <c r="H1513" s="16" t="s">
        <v>949</v>
      </c>
    </row>
    <row r="1514" spans="1:8">
      <c r="A1514" t="str">
        <f t="shared" si="46"/>
        <v>كهگيلويه وبويراحمدگچساران</v>
      </c>
      <c r="B1514" s="12" t="s">
        <v>338</v>
      </c>
      <c r="C1514" s="12" t="s">
        <v>342</v>
      </c>
      <c r="D1514" s="12" t="s">
        <v>22</v>
      </c>
      <c r="E1514" s="12">
        <v>9.6283662620643487E-2</v>
      </c>
      <c r="F1514" s="12">
        <v>125473</v>
      </c>
      <c r="G1514">
        <f t="shared" si="47"/>
        <v>12081</v>
      </c>
      <c r="H1514" s="16" t="s">
        <v>949</v>
      </c>
    </row>
    <row r="1515" spans="1:8">
      <c r="A1515" t="str">
        <f t="shared" si="46"/>
        <v>كهگيلويه وبويراحمدگچساران</v>
      </c>
      <c r="B1515" s="12" t="s">
        <v>338</v>
      </c>
      <c r="C1515" s="12" t="s">
        <v>342</v>
      </c>
      <c r="D1515" s="12" t="s">
        <v>478</v>
      </c>
      <c r="E1515" s="12">
        <v>3.2421317733695693E-2</v>
      </c>
      <c r="F1515" s="12">
        <v>125473</v>
      </c>
      <c r="G1515">
        <f t="shared" si="47"/>
        <v>4068</v>
      </c>
      <c r="H1515" s="16" t="s">
        <v>949</v>
      </c>
    </row>
    <row r="1516" spans="1:8">
      <c r="A1516" t="str">
        <f t="shared" si="46"/>
        <v>كهگيلويه وبويراحمدگچساران</v>
      </c>
      <c r="B1516" s="12" t="s">
        <v>338</v>
      </c>
      <c r="C1516" s="12" t="s">
        <v>342</v>
      </c>
      <c r="D1516" s="12" t="s">
        <v>20</v>
      </c>
      <c r="E1516" s="12">
        <v>2.7814748989822512E-2</v>
      </c>
      <c r="F1516" s="12">
        <v>125473</v>
      </c>
      <c r="G1516">
        <f t="shared" si="47"/>
        <v>3490</v>
      </c>
      <c r="H1516" s="16" t="s">
        <v>949</v>
      </c>
    </row>
    <row r="1517" spans="1:8">
      <c r="A1517" t="str">
        <f t="shared" si="46"/>
        <v>كهگيلويه وبويراحمددنا</v>
      </c>
      <c r="B1517" s="12" t="s">
        <v>338</v>
      </c>
      <c r="C1517" s="12" t="s">
        <v>343</v>
      </c>
      <c r="D1517" s="12" t="s">
        <v>480</v>
      </c>
      <c r="E1517" s="12">
        <v>0.45584387527305026</v>
      </c>
      <c r="F1517" s="12">
        <v>41659</v>
      </c>
      <c r="G1517">
        <f t="shared" si="47"/>
        <v>18990</v>
      </c>
      <c r="H1517" s="16" t="s">
        <v>952</v>
      </c>
    </row>
    <row r="1518" spans="1:8">
      <c r="A1518" t="str">
        <f t="shared" si="46"/>
        <v>كهگيلويه وبويراحمددنا</v>
      </c>
      <c r="B1518" s="12" t="s">
        <v>338</v>
      </c>
      <c r="C1518" s="12" t="s">
        <v>343</v>
      </c>
      <c r="D1518" s="12" t="s">
        <v>479</v>
      </c>
      <c r="E1518" s="12">
        <v>0.38363858950046809</v>
      </c>
      <c r="F1518" s="12">
        <v>41659</v>
      </c>
      <c r="G1518">
        <f t="shared" si="47"/>
        <v>15982</v>
      </c>
      <c r="H1518" s="16" t="s">
        <v>952</v>
      </c>
    </row>
    <row r="1519" spans="1:8">
      <c r="A1519" t="str">
        <f t="shared" si="46"/>
        <v>كهگيلويه وبويراحمددنا</v>
      </c>
      <c r="B1519" s="12" t="s">
        <v>338</v>
      </c>
      <c r="C1519" s="12" t="s">
        <v>343</v>
      </c>
      <c r="D1519" s="12" t="s">
        <v>22</v>
      </c>
      <c r="E1519" s="12">
        <v>9.1744881058114694E-2</v>
      </c>
      <c r="F1519" s="12">
        <v>41659</v>
      </c>
      <c r="G1519">
        <f t="shared" si="47"/>
        <v>3822</v>
      </c>
      <c r="H1519" s="16" t="s">
        <v>952</v>
      </c>
    </row>
    <row r="1520" spans="1:8">
      <c r="A1520" t="str">
        <f t="shared" si="46"/>
        <v>كهگيلويه وبويراحمددنا</v>
      </c>
      <c r="B1520" s="12" t="s">
        <v>338</v>
      </c>
      <c r="C1520" s="12" t="s">
        <v>343</v>
      </c>
      <c r="D1520" s="12" t="s">
        <v>478</v>
      </c>
      <c r="E1520" s="12">
        <v>3.4542355793465998E-2</v>
      </c>
      <c r="F1520" s="12">
        <v>41659</v>
      </c>
      <c r="G1520">
        <f t="shared" si="47"/>
        <v>1439</v>
      </c>
      <c r="H1520" s="16" t="s">
        <v>952</v>
      </c>
    </row>
    <row r="1521" spans="1:8">
      <c r="A1521" t="str">
        <f t="shared" si="46"/>
        <v>كهگيلويه وبويراحمددنا</v>
      </c>
      <c r="B1521" s="12" t="s">
        <v>338</v>
      </c>
      <c r="C1521" s="12" t="s">
        <v>343</v>
      </c>
      <c r="D1521" s="12" t="s">
        <v>20</v>
      </c>
      <c r="E1521" s="12">
        <v>3.4230298374900985E-2</v>
      </c>
      <c r="F1521" s="12">
        <v>41659</v>
      </c>
      <c r="G1521">
        <f t="shared" si="47"/>
        <v>1426</v>
      </c>
      <c r="H1521" s="16" t="s">
        <v>952</v>
      </c>
    </row>
    <row r="1522" spans="1:8">
      <c r="A1522" t="str">
        <f t="shared" si="46"/>
        <v>كهگيلويه وبويراحمدبهمئي</v>
      </c>
      <c r="B1522" s="12" t="s">
        <v>338</v>
      </c>
      <c r="C1522" s="12" t="s">
        <v>344</v>
      </c>
      <c r="D1522" s="12" t="s">
        <v>480</v>
      </c>
      <c r="E1522" s="12">
        <v>0.52072599228439009</v>
      </c>
      <c r="F1522" s="12">
        <v>38623</v>
      </c>
      <c r="G1522">
        <f t="shared" si="47"/>
        <v>20112</v>
      </c>
      <c r="H1522" s="16" t="s">
        <v>958</v>
      </c>
    </row>
    <row r="1523" spans="1:8">
      <c r="A1523" t="str">
        <f t="shared" si="46"/>
        <v>كهگيلويه وبويراحمدبهمئي</v>
      </c>
      <c r="B1523" s="12" t="s">
        <v>338</v>
      </c>
      <c r="C1523" s="12" t="s">
        <v>344</v>
      </c>
      <c r="D1523" s="12" t="s">
        <v>479</v>
      </c>
      <c r="E1523" s="12">
        <v>0.35851694586127436</v>
      </c>
      <c r="F1523" s="12">
        <v>38623</v>
      </c>
      <c r="G1523">
        <f t="shared" si="47"/>
        <v>13847</v>
      </c>
      <c r="H1523" s="16" t="s">
        <v>958</v>
      </c>
    </row>
    <row r="1524" spans="1:8">
      <c r="A1524" t="str">
        <f t="shared" si="46"/>
        <v>كهگيلويه وبويراحمدبهمئي</v>
      </c>
      <c r="B1524" s="12" t="s">
        <v>338</v>
      </c>
      <c r="C1524" s="12" t="s">
        <v>344</v>
      </c>
      <c r="D1524" s="12" t="s">
        <v>22</v>
      </c>
      <c r="E1524" s="12">
        <v>7.2288532739559333E-2</v>
      </c>
      <c r="F1524" s="12">
        <v>38623</v>
      </c>
      <c r="G1524">
        <f t="shared" si="47"/>
        <v>2792</v>
      </c>
      <c r="H1524" s="16" t="s">
        <v>958</v>
      </c>
    </row>
    <row r="1525" spans="1:8">
      <c r="A1525" t="str">
        <f t="shared" si="46"/>
        <v>كهگيلويه وبويراحمدبهمئي</v>
      </c>
      <c r="B1525" s="12" t="s">
        <v>338</v>
      </c>
      <c r="C1525" s="12" t="s">
        <v>344</v>
      </c>
      <c r="D1525" s="12" t="s">
        <v>478</v>
      </c>
      <c r="E1525" s="12">
        <v>2.4881547264583279E-2</v>
      </c>
      <c r="F1525" s="12">
        <v>38623</v>
      </c>
      <c r="G1525">
        <f t="shared" si="47"/>
        <v>961</v>
      </c>
      <c r="H1525" s="16" t="s">
        <v>958</v>
      </c>
    </row>
    <row r="1526" spans="1:8">
      <c r="A1526" t="str">
        <f t="shared" si="46"/>
        <v>كهگيلويه وبويراحمدبهمئي</v>
      </c>
      <c r="B1526" s="12" t="s">
        <v>338</v>
      </c>
      <c r="C1526" s="12" t="s">
        <v>344</v>
      </c>
      <c r="D1526" s="12" t="s">
        <v>20</v>
      </c>
      <c r="E1526" s="12">
        <v>2.3690547083344123E-2</v>
      </c>
      <c r="F1526" s="12">
        <v>38623</v>
      </c>
      <c r="G1526">
        <f t="shared" si="47"/>
        <v>915</v>
      </c>
      <c r="H1526" s="16" t="s">
        <v>958</v>
      </c>
    </row>
    <row r="1527" spans="1:8">
      <c r="A1527" t="str">
        <f t="shared" si="46"/>
        <v>كهگيلويه وبويراحمدچرام</v>
      </c>
      <c r="B1527" s="12" t="s">
        <v>338</v>
      </c>
      <c r="C1527" s="12" t="s">
        <v>345</v>
      </c>
      <c r="D1527" s="12" t="s">
        <v>480</v>
      </c>
      <c r="E1527" s="12">
        <v>0.43824353221094481</v>
      </c>
      <c r="F1527" s="12">
        <v>33203</v>
      </c>
      <c r="G1527">
        <f t="shared" si="47"/>
        <v>14551</v>
      </c>
      <c r="H1527" s="16" t="s">
        <v>951</v>
      </c>
    </row>
    <row r="1528" spans="1:8">
      <c r="A1528" t="str">
        <f t="shared" si="46"/>
        <v>كهگيلويه وبويراحمدچرام</v>
      </c>
      <c r="B1528" s="12" t="s">
        <v>338</v>
      </c>
      <c r="C1528" s="12" t="s">
        <v>345</v>
      </c>
      <c r="D1528" s="12" t="s">
        <v>479</v>
      </c>
      <c r="E1528" s="12">
        <v>0.39562690118362798</v>
      </c>
      <c r="F1528" s="12">
        <v>33203</v>
      </c>
      <c r="G1528">
        <f t="shared" si="47"/>
        <v>13136</v>
      </c>
      <c r="H1528" s="16" t="s">
        <v>951</v>
      </c>
    </row>
    <row r="1529" spans="1:8">
      <c r="A1529" t="str">
        <f t="shared" si="46"/>
        <v>كهگيلويه وبويراحمدچرام</v>
      </c>
      <c r="B1529" s="12" t="s">
        <v>338</v>
      </c>
      <c r="C1529" s="12" t="s">
        <v>345</v>
      </c>
      <c r="D1529" s="12" t="s">
        <v>22</v>
      </c>
      <c r="E1529" s="12">
        <v>9.601542029334699E-2</v>
      </c>
      <c r="F1529" s="12">
        <v>33203</v>
      </c>
      <c r="G1529">
        <f t="shared" si="47"/>
        <v>3188</v>
      </c>
      <c r="H1529" s="16" t="s">
        <v>951</v>
      </c>
    </row>
    <row r="1530" spans="1:8">
      <c r="A1530" t="str">
        <f t="shared" si="46"/>
        <v>كهگيلويه وبويراحمدچرام</v>
      </c>
      <c r="B1530" s="12" t="s">
        <v>338</v>
      </c>
      <c r="C1530" s="12" t="s">
        <v>345</v>
      </c>
      <c r="D1530" s="12" t="s">
        <v>478</v>
      </c>
      <c r="E1530" s="12">
        <v>3.4514953468060112E-2</v>
      </c>
      <c r="F1530" s="12">
        <v>33203</v>
      </c>
      <c r="G1530">
        <f t="shared" si="47"/>
        <v>1146</v>
      </c>
      <c r="H1530" s="16" t="s">
        <v>951</v>
      </c>
    </row>
    <row r="1531" spans="1:8">
      <c r="A1531" t="str">
        <f t="shared" si="46"/>
        <v>كهگيلويه وبويراحمدچرام</v>
      </c>
      <c r="B1531" s="12" t="s">
        <v>338</v>
      </c>
      <c r="C1531" s="12" t="s">
        <v>345</v>
      </c>
      <c r="D1531" s="12" t="s">
        <v>20</v>
      </c>
      <c r="E1531" s="12">
        <v>3.5629310604463449E-2</v>
      </c>
      <c r="F1531" s="12">
        <v>33203</v>
      </c>
      <c r="G1531">
        <f t="shared" si="47"/>
        <v>1183</v>
      </c>
      <c r="H1531" s="16" t="s">
        <v>951</v>
      </c>
    </row>
    <row r="1532" spans="1:8">
      <c r="A1532" t="str">
        <f t="shared" si="46"/>
        <v>كهگيلويه وبويراحمدباشت</v>
      </c>
      <c r="B1532" s="12" t="s">
        <v>338</v>
      </c>
      <c r="C1532" s="12" t="s">
        <v>346</v>
      </c>
      <c r="D1532" s="12" t="s">
        <v>480</v>
      </c>
      <c r="E1532" s="12">
        <v>0.43642595766362502</v>
      </c>
      <c r="F1532" s="12">
        <v>21589</v>
      </c>
      <c r="G1532">
        <f t="shared" si="47"/>
        <v>9422</v>
      </c>
      <c r="H1532" s="16" t="s">
        <v>955</v>
      </c>
    </row>
    <row r="1533" spans="1:8">
      <c r="A1533" t="str">
        <f t="shared" si="46"/>
        <v>كهگيلويه وبويراحمدباشت</v>
      </c>
      <c r="B1533" s="12" t="s">
        <v>338</v>
      </c>
      <c r="C1533" s="12" t="s">
        <v>346</v>
      </c>
      <c r="D1533" s="12" t="s">
        <v>479</v>
      </c>
      <c r="E1533" s="12">
        <v>0.40001852795405068</v>
      </c>
      <c r="F1533" s="12">
        <v>21589</v>
      </c>
      <c r="G1533">
        <f t="shared" si="47"/>
        <v>8636</v>
      </c>
      <c r="H1533" s="16" t="s">
        <v>955</v>
      </c>
    </row>
    <row r="1534" spans="1:8">
      <c r="A1534" t="str">
        <f t="shared" si="46"/>
        <v>كهگيلويه وبويراحمدباشت</v>
      </c>
      <c r="B1534" s="12" t="s">
        <v>338</v>
      </c>
      <c r="C1534" s="12" t="s">
        <v>346</v>
      </c>
      <c r="D1534" s="12" t="s">
        <v>22</v>
      </c>
      <c r="E1534" s="12">
        <v>9.2408170827736349E-2</v>
      </c>
      <c r="F1534" s="12">
        <v>21589</v>
      </c>
      <c r="G1534">
        <f t="shared" si="47"/>
        <v>1995</v>
      </c>
      <c r="H1534" s="16" t="s">
        <v>955</v>
      </c>
    </row>
    <row r="1535" spans="1:8">
      <c r="A1535" t="str">
        <f t="shared" si="46"/>
        <v>كهگيلويه وبويراحمدباشت</v>
      </c>
      <c r="B1535" s="12" t="s">
        <v>338</v>
      </c>
      <c r="C1535" s="12" t="s">
        <v>346</v>
      </c>
      <c r="D1535" s="12" t="s">
        <v>478</v>
      </c>
      <c r="E1535" s="12">
        <v>3.4091435453240074E-2</v>
      </c>
      <c r="F1535" s="12">
        <v>21589</v>
      </c>
      <c r="G1535">
        <f t="shared" si="47"/>
        <v>736</v>
      </c>
      <c r="H1535" s="16" t="s">
        <v>955</v>
      </c>
    </row>
    <row r="1536" spans="1:8">
      <c r="A1536" t="str">
        <f t="shared" si="46"/>
        <v>كهگيلويه وبويراحمدباشت</v>
      </c>
      <c r="B1536" s="12" t="s">
        <v>338</v>
      </c>
      <c r="C1536" s="12" t="s">
        <v>346</v>
      </c>
      <c r="D1536" s="12" t="s">
        <v>20</v>
      </c>
      <c r="E1536" s="12">
        <v>3.6963268331094541E-2</v>
      </c>
      <c r="F1536" s="12">
        <v>21589</v>
      </c>
      <c r="G1536">
        <f t="shared" si="47"/>
        <v>798</v>
      </c>
      <c r="H1536" s="16" t="s">
        <v>955</v>
      </c>
    </row>
    <row r="1537" spans="1:8">
      <c r="A1537" t="str">
        <f t="shared" si="46"/>
        <v xml:space="preserve">كهگيلويه وبويراحمدلنده </v>
      </c>
      <c r="B1537" s="12" t="s">
        <v>338</v>
      </c>
      <c r="C1537" s="12" t="s">
        <v>348</v>
      </c>
      <c r="D1537" s="12" t="s">
        <v>480</v>
      </c>
      <c r="E1537" s="12">
        <v>0.46683451590753033</v>
      </c>
      <c r="F1537" s="12">
        <v>21845</v>
      </c>
      <c r="G1537">
        <f t="shared" si="47"/>
        <v>10198</v>
      </c>
      <c r="H1537" s="16" t="s">
        <v>956</v>
      </c>
    </row>
    <row r="1538" spans="1:8">
      <c r="A1538" t="str">
        <f t="shared" ref="A1538:A1601" si="48">B1538&amp;C1538</f>
        <v xml:space="preserve">كهگيلويه وبويراحمدلنده </v>
      </c>
      <c r="B1538" s="12" t="s">
        <v>338</v>
      </c>
      <c r="C1538" s="12" t="s">
        <v>348</v>
      </c>
      <c r="D1538" s="12" t="s">
        <v>479</v>
      </c>
      <c r="E1538" s="12">
        <v>0.37308308537422752</v>
      </c>
      <c r="F1538" s="12">
        <v>21845</v>
      </c>
      <c r="G1538">
        <f t="shared" si="47"/>
        <v>8150</v>
      </c>
      <c r="H1538" s="16" t="s">
        <v>956</v>
      </c>
    </row>
    <row r="1539" spans="1:8">
      <c r="A1539" t="str">
        <f t="shared" si="48"/>
        <v xml:space="preserve">كهگيلويه وبويراحمدلنده </v>
      </c>
      <c r="B1539" s="12" t="s">
        <v>338</v>
      </c>
      <c r="C1539" s="12" t="s">
        <v>348</v>
      </c>
      <c r="D1539" s="12" t="s">
        <v>22</v>
      </c>
      <c r="E1539" s="12">
        <v>9.0409704737926297E-2</v>
      </c>
      <c r="F1539" s="12">
        <v>21845</v>
      </c>
      <c r="G1539">
        <f t="shared" ref="G1539:G1602" si="49">IFERROR(ROUND(F1539*E1539,0),0)</f>
        <v>1975</v>
      </c>
      <c r="H1539" s="16" t="s">
        <v>956</v>
      </c>
    </row>
    <row r="1540" spans="1:8">
      <c r="A1540" t="str">
        <f t="shared" si="48"/>
        <v xml:space="preserve">كهگيلويه وبويراحمدلنده </v>
      </c>
      <c r="B1540" s="12" t="s">
        <v>338</v>
      </c>
      <c r="C1540" s="12" t="s">
        <v>348</v>
      </c>
      <c r="D1540" s="12" t="s">
        <v>478</v>
      </c>
      <c r="E1540" s="12">
        <v>3.3279926756694896E-2</v>
      </c>
      <c r="F1540" s="12">
        <v>21845</v>
      </c>
      <c r="G1540">
        <f t="shared" si="49"/>
        <v>727</v>
      </c>
      <c r="H1540" s="16" t="s">
        <v>956</v>
      </c>
    </row>
    <row r="1541" spans="1:8">
      <c r="A1541" t="str">
        <f t="shared" si="48"/>
        <v xml:space="preserve">كهگيلويه وبويراحمدلنده </v>
      </c>
      <c r="B1541" s="12" t="s">
        <v>338</v>
      </c>
      <c r="C1541" s="12" t="s">
        <v>348</v>
      </c>
      <c r="D1541" s="12" t="s">
        <v>20</v>
      </c>
      <c r="E1541" s="12">
        <v>3.6484321355001147E-2</v>
      </c>
      <c r="F1541" s="12">
        <v>21845</v>
      </c>
      <c r="G1541">
        <f t="shared" si="49"/>
        <v>797</v>
      </c>
      <c r="H1541" s="16" t="s">
        <v>956</v>
      </c>
    </row>
    <row r="1542" spans="1:8">
      <c r="A1542" t="str">
        <f t="shared" si="48"/>
        <v>بوشهربوشهر</v>
      </c>
      <c r="B1542" s="12" t="s">
        <v>347</v>
      </c>
      <c r="C1542" s="12" t="s">
        <v>347</v>
      </c>
      <c r="D1542" s="12" t="s">
        <v>480</v>
      </c>
      <c r="E1542" s="12">
        <v>0.45435434355455151</v>
      </c>
      <c r="F1542" s="12">
        <v>305867</v>
      </c>
      <c r="G1542">
        <f t="shared" si="49"/>
        <v>138972</v>
      </c>
      <c r="H1542" s="16" t="s">
        <v>633</v>
      </c>
    </row>
    <row r="1543" spans="1:8">
      <c r="A1543" t="str">
        <f t="shared" si="48"/>
        <v>بوشهربوشهر</v>
      </c>
      <c r="B1543" s="12" t="s">
        <v>347</v>
      </c>
      <c r="C1543" s="12" t="s">
        <v>347</v>
      </c>
      <c r="D1543" s="12" t="s">
        <v>479</v>
      </c>
      <c r="E1543" s="12">
        <v>0.41158411989524857</v>
      </c>
      <c r="F1543" s="12">
        <v>305867</v>
      </c>
      <c r="G1543">
        <f t="shared" si="49"/>
        <v>125890</v>
      </c>
      <c r="H1543" s="16" t="s">
        <v>633</v>
      </c>
    </row>
    <row r="1544" spans="1:8">
      <c r="A1544" t="str">
        <f t="shared" si="48"/>
        <v>بوشهربوشهر</v>
      </c>
      <c r="B1544" s="12" t="s">
        <v>347</v>
      </c>
      <c r="C1544" s="12" t="s">
        <v>347</v>
      </c>
      <c r="D1544" s="12" t="s">
        <v>22</v>
      </c>
      <c r="E1544" s="12">
        <v>8.738111662912311E-2</v>
      </c>
      <c r="F1544" s="12">
        <v>305867</v>
      </c>
      <c r="G1544">
        <f t="shared" si="49"/>
        <v>26727</v>
      </c>
      <c r="H1544" s="16" t="s">
        <v>633</v>
      </c>
    </row>
    <row r="1545" spans="1:8">
      <c r="A1545" t="str">
        <f t="shared" si="48"/>
        <v>بوشهربوشهر</v>
      </c>
      <c r="B1545" s="12" t="s">
        <v>347</v>
      </c>
      <c r="C1545" s="12" t="s">
        <v>347</v>
      </c>
      <c r="D1545" s="12" t="s">
        <v>478</v>
      </c>
      <c r="E1545" s="12">
        <v>2.6714225464008867E-2</v>
      </c>
      <c r="F1545" s="12">
        <v>305867</v>
      </c>
      <c r="G1545">
        <f t="shared" si="49"/>
        <v>8171</v>
      </c>
      <c r="H1545" s="16" t="s">
        <v>633</v>
      </c>
    </row>
    <row r="1546" spans="1:8">
      <c r="A1546" t="str">
        <f t="shared" si="48"/>
        <v>بوشهربوشهر</v>
      </c>
      <c r="B1546" s="12" t="s">
        <v>347</v>
      </c>
      <c r="C1546" s="12" t="s">
        <v>347</v>
      </c>
      <c r="D1546" s="12" t="s">
        <v>20</v>
      </c>
      <c r="E1546" s="12">
        <v>1.9976002641671053E-2</v>
      </c>
      <c r="F1546" s="12">
        <v>305867</v>
      </c>
      <c r="G1546">
        <f t="shared" si="49"/>
        <v>6110</v>
      </c>
      <c r="H1546" s="16" t="s">
        <v>633</v>
      </c>
    </row>
    <row r="1547" spans="1:8">
      <c r="A1547" t="str">
        <f t="shared" si="48"/>
        <v>بوشهرتنگستان</v>
      </c>
      <c r="B1547" s="12" t="s">
        <v>347</v>
      </c>
      <c r="C1547" s="12" t="s">
        <v>349</v>
      </c>
      <c r="D1547" s="12" t="s">
        <v>480</v>
      </c>
      <c r="E1547" s="12">
        <v>0.46363962027583738</v>
      </c>
      <c r="F1547" s="12">
        <v>78162</v>
      </c>
      <c r="G1547">
        <f t="shared" si="49"/>
        <v>36239</v>
      </c>
      <c r="H1547" s="16" t="s">
        <v>625</v>
      </c>
    </row>
    <row r="1548" spans="1:8">
      <c r="A1548" t="str">
        <f t="shared" si="48"/>
        <v>بوشهرتنگستان</v>
      </c>
      <c r="B1548" s="12" t="s">
        <v>347</v>
      </c>
      <c r="C1548" s="12" t="s">
        <v>349</v>
      </c>
      <c r="D1548" s="12" t="s">
        <v>479</v>
      </c>
      <c r="E1548" s="12">
        <v>0.38211662956423836</v>
      </c>
      <c r="F1548" s="12">
        <v>78162</v>
      </c>
      <c r="G1548">
        <f t="shared" si="49"/>
        <v>29867</v>
      </c>
      <c r="H1548" s="16" t="s">
        <v>625</v>
      </c>
    </row>
    <row r="1549" spans="1:8">
      <c r="A1549" t="str">
        <f t="shared" si="48"/>
        <v>بوشهرتنگستان</v>
      </c>
      <c r="B1549" s="12" t="s">
        <v>347</v>
      </c>
      <c r="C1549" s="12" t="s">
        <v>349</v>
      </c>
      <c r="D1549" s="12" t="s">
        <v>22</v>
      </c>
      <c r="E1549" s="12">
        <v>9.3587676876231415E-2</v>
      </c>
      <c r="F1549" s="12">
        <v>78162</v>
      </c>
      <c r="G1549">
        <f t="shared" si="49"/>
        <v>7315</v>
      </c>
      <c r="H1549" s="16" t="s">
        <v>625</v>
      </c>
    </row>
    <row r="1550" spans="1:8">
      <c r="A1550" t="str">
        <f t="shared" si="48"/>
        <v>بوشهرتنگستان</v>
      </c>
      <c r="B1550" s="12" t="s">
        <v>347</v>
      </c>
      <c r="C1550" s="12" t="s">
        <v>349</v>
      </c>
      <c r="D1550" s="12" t="s">
        <v>478</v>
      </c>
      <c r="E1550" s="12">
        <v>3.2291906553056471E-2</v>
      </c>
      <c r="F1550" s="12">
        <v>78162</v>
      </c>
      <c r="G1550">
        <f t="shared" si="49"/>
        <v>2524</v>
      </c>
      <c r="H1550" s="16" t="s">
        <v>625</v>
      </c>
    </row>
    <row r="1551" spans="1:8">
      <c r="A1551" t="str">
        <f t="shared" si="48"/>
        <v>بوشهرتنگستان</v>
      </c>
      <c r="B1551" s="12" t="s">
        <v>347</v>
      </c>
      <c r="C1551" s="12" t="s">
        <v>349</v>
      </c>
      <c r="D1551" s="12" t="s">
        <v>20</v>
      </c>
      <c r="E1551" s="12">
        <v>2.8389754612215656E-2</v>
      </c>
      <c r="F1551" s="12">
        <v>78162</v>
      </c>
      <c r="G1551">
        <f t="shared" si="49"/>
        <v>2219</v>
      </c>
      <c r="H1551" s="16" t="s">
        <v>625</v>
      </c>
    </row>
    <row r="1552" spans="1:8">
      <c r="A1552" t="str">
        <f t="shared" si="48"/>
        <v>بوشهردشتستان</v>
      </c>
      <c r="B1552" s="12" t="s">
        <v>347</v>
      </c>
      <c r="C1552" s="12" t="s">
        <v>350</v>
      </c>
      <c r="D1552" s="12" t="s">
        <v>480</v>
      </c>
      <c r="E1552" s="12">
        <v>0.44892218965680247</v>
      </c>
      <c r="F1552" s="12">
        <v>253848</v>
      </c>
      <c r="G1552">
        <f t="shared" si="49"/>
        <v>113958</v>
      </c>
      <c r="H1552" s="16" t="s">
        <v>629</v>
      </c>
    </row>
    <row r="1553" spans="1:8">
      <c r="A1553" t="str">
        <f t="shared" si="48"/>
        <v>بوشهردشتستان</v>
      </c>
      <c r="B1553" s="12" t="s">
        <v>347</v>
      </c>
      <c r="C1553" s="12" t="s">
        <v>350</v>
      </c>
      <c r="D1553" s="12" t="s">
        <v>479</v>
      </c>
      <c r="E1553" s="12">
        <v>0.38750354542876053</v>
      </c>
      <c r="F1553" s="12">
        <v>253848</v>
      </c>
      <c r="G1553">
        <f t="shared" si="49"/>
        <v>98367</v>
      </c>
      <c r="H1553" s="16" t="s">
        <v>629</v>
      </c>
    </row>
    <row r="1554" spans="1:8">
      <c r="A1554" t="str">
        <f t="shared" si="48"/>
        <v>بوشهردشتستان</v>
      </c>
      <c r="B1554" s="12" t="s">
        <v>347</v>
      </c>
      <c r="C1554" s="12" t="s">
        <v>350</v>
      </c>
      <c r="D1554" s="12" t="s">
        <v>22</v>
      </c>
      <c r="E1554" s="12">
        <v>9.6597176262960507E-2</v>
      </c>
      <c r="F1554" s="12">
        <v>253848</v>
      </c>
      <c r="G1554">
        <f t="shared" si="49"/>
        <v>24521</v>
      </c>
      <c r="H1554" s="16" t="s">
        <v>629</v>
      </c>
    </row>
    <row r="1555" spans="1:8">
      <c r="A1555" t="str">
        <f t="shared" si="48"/>
        <v>بوشهردشتستان</v>
      </c>
      <c r="B1555" s="12" t="s">
        <v>347</v>
      </c>
      <c r="C1555" s="12" t="s">
        <v>350</v>
      </c>
      <c r="D1555" s="12" t="s">
        <v>478</v>
      </c>
      <c r="E1555" s="12">
        <v>3.4776716775393152E-2</v>
      </c>
      <c r="F1555" s="12">
        <v>253848</v>
      </c>
      <c r="G1555">
        <f t="shared" si="49"/>
        <v>8828</v>
      </c>
      <c r="H1555" s="16" t="s">
        <v>629</v>
      </c>
    </row>
    <row r="1556" spans="1:8">
      <c r="A1556" t="str">
        <f t="shared" si="48"/>
        <v>بوشهردشتستان</v>
      </c>
      <c r="B1556" s="12" t="s">
        <v>347</v>
      </c>
      <c r="C1556" s="12" t="s">
        <v>350</v>
      </c>
      <c r="D1556" s="12" t="s">
        <v>20</v>
      </c>
      <c r="E1556" s="12">
        <v>3.2172796319057076E-2</v>
      </c>
      <c r="F1556" s="12">
        <v>253848</v>
      </c>
      <c r="G1556">
        <f t="shared" si="49"/>
        <v>8167</v>
      </c>
      <c r="H1556" s="16" t="s">
        <v>629</v>
      </c>
    </row>
    <row r="1557" spans="1:8">
      <c r="A1557" t="str">
        <f t="shared" si="48"/>
        <v>بوشهردشتي</v>
      </c>
      <c r="B1557" s="12" t="s">
        <v>347</v>
      </c>
      <c r="C1557" s="12" t="s">
        <v>351</v>
      </c>
      <c r="D1557" s="12" t="s">
        <v>480</v>
      </c>
      <c r="E1557" s="12">
        <v>0.46428735052916115</v>
      </c>
      <c r="F1557" s="12">
        <v>87308</v>
      </c>
      <c r="G1557">
        <f t="shared" si="49"/>
        <v>40536</v>
      </c>
      <c r="H1557" s="16" t="s">
        <v>624</v>
      </c>
    </row>
    <row r="1558" spans="1:8">
      <c r="A1558" t="str">
        <f t="shared" si="48"/>
        <v>بوشهردشتي</v>
      </c>
      <c r="B1558" s="12" t="s">
        <v>347</v>
      </c>
      <c r="C1558" s="12" t="s">
        <v>351</v>
      </c>
      <c r="D1558" s="12" t="s">
        <v>479</v>
      </c>
      <c r="E1558" s="12">
        <v>0.3762427268978788</v>
      </c>
      <c r="F1558" s="12">
        <v>87308</v>
      </c>
      <c r="G1558">
        <f t="shared" si="49"/>
        <v>32849</v>
      </c>
      <c r="H1558" s="16" t="s">
        <v>624</v>
      </c>
    </row>
    <row r="1559" spans="1:8">
      <c r="A1559" t="str">
        <f t="shared" si="48"/>
        <v>بوشهردشتي</v>
      </c>
      <c r="B1559" s="12" t="s">
        <v>347</v>
      </c>
      <c r="C1559" s="12" t="s">
        <v>351</v>
      </c>
      <c r="D1559" s="12" t="s">
        <v>22</v>
      </c>
      <c r="E1559" s="12">
        <v>9.2889540477390384E-2</v>
      </c>
      <c r="F1559" s="12">
        <v>87308</v>
      </c>
      <c r="G1559">
        <f t="shared" si="49"/>
        <v>8110</v>
      </c>
      <c r="H1559" s="16" t="s">
        <v>624</v>
      </c>
    </row>
    <row r="1560" spans="1:8">
      <c r="A1560" t="str">
        <f t="shared" si="48"/>
        <v>بوشهردشتي</v>
      </c>
      <c r="B1560" s="12" t="s">
        <v>347</v>
      </c>
      <c r="C1560" s="12" t="s">
        <v>351</v>
      </c>
      <c r="D1560" s="12" t="s">
        <v>478</v>
      </c>
      <c r="E1560" s="12">
        <v>3.3719704952581663E-2</v>
      </c>
      <c r="F1560" s="12">
        <v>87308</v>
      </c>
      <c r="G1560">
        <f t="shared" si="49"/>
        <v>2944</v>
      </c>
      <c r="H1560" s="16" t="s">
        <v>624</v>
      </c>
    </row>
    <row r="1561" spans="1:8">
      <c r="A1561" t="str">
        <f t="shared" si="48"/>
        <v>بوشهردشتي</v>
      </c>
      <c r="B1561" s="12" t="s">
        <v>347</v>
      </c>
      <c r="C1561" s="12" t="s">
        <v>351</v>
      </c>
      <c r="D1561" s="12" t="s">
        <v>20</v>
      </c>
      <c r="E1561" s="12">
        <v>3.288358455124387E-2</v>
      </c>
      <c r="F1561" s="12">
        <v>87308</v>
      </c>
      <c r="G1561">
        <f t="shared" si="49"/>
        <v>2871</v>
      </c>
      <c r="H1561" s="16" t="s">
        <v>624</v>
      </c>
    </row>
    <row r="1562" spans="1:8">
      <c r="A1562" t="str">
        <f t="shared" si="48"/>
        <v>بوشهردير</v>
      </c>
      <c r="B1562" s="12" t="s">
        <v>347</v>
      </c>
      <c r="C1562" s="12" t="s">
        <v>352</v>
      </c>
      <c r="D1562" s="12" t="s">
        <v>480</v>
      </c>
      <c r="E1562" s="12">
        <v>0.48160627217209595</v>
      </c>
      <c r="F1562" s="12">
        <v>61733</v>
      </c>
      <c r="G1562">
        <f t="shared" si="49"/>
        <v>29731</v>
      </c>
      <c r="H1562" s="16" t="s">
        <v>632</v>
      </c>
    </row>
    <row r="1563" spans="1:8">
      <c r="A1563" t="str">
        <f t="shared" si="48"/>
        <v>بوشهردير</v>
      </c>
      <c r="B1563" s="12" t="s">
        <v>347</v>
      </c>
      <c r="C1563" s="12" t="s">
        <v>352</v>
      </c>
      <c r="D1563" s="12" t="s">
        <v>479</v>
      </c>
      <c r="E1563" s="12">
        <v>0.38719971490126837</v>
      </c>
      <c r="F1563" s="12">
        <v>61733</v>
      </c>
      <c r="G1563">
        <f t="shared" si="49"/>
        <v>23903</v>
      </c>
      <c r="H1563" s="16" t="s">
        <v>632</v>
      </c>
    </row>
    <row r="1564" spans="1:8">
      <c r="A1564" t="str">
        <f t="shared" si="48"/>
        <v>بوشهردير</v>
      </c>
      <c r="B1564" s="12" t="s">
        <v>347</v>
      </c>
      <c r="C1564" s="12" t="s">
        <v>352</v>
      </c>
      <c r="D1564" s="12" t="s">
        <v>22</v>
      </c>
      <c r="E1564" s="12">
        <v>8.2921614047592046E-2</v>
      </c>
      <c r="F1564" s="12">
        <v>61733</v>
      </c>
      <c r="G1564">
        <f t="shared" si="49"/>
        <v>5119</v>
      </c>
      <c r="H1564" s="16" t="s">
        <v>632</v>
      </c>
    </row>
    <row r="1565" spans="1:8">
      <c r="A1565" t="str">
        <f t="shared" si="48"/>
        <v>بوشهردير</v>
      </c>
      <c r="B1565" s="12" t="s">
        <v>347</v>
      </c>
      <c r="C1565" s="12" t="s">
        <v>352</v>
      </c>
      <c r="D1565" s="12" t="s">
        <v>478</v>
      </c>
      <c r="E1565" s="12">
        <v>2.5918066512238186E-2</v>
      </c>
      <c r="F1565" s="12">
        <v>61733</v>
      </c>
      <c r="G1565">
        <f t="shared" si="49"/>
        <v>1600</v>
      </c>
      <c r="H1565" s="16" t="s">
        <v>632</v>
      </c>
    </row>
    <row r="1566" spans="1:8">
      <c r="A1566" t="str">
        <f t="shared" si="48"/>
        <v>بوشهردير</v>
      </c>
      <c r="B1566" s="12" t="s">
        <v>347</v>
      </c>
      <c r="C1566" s="12" t="s">
        <v>352</v>
      </c>
      <c r="D1566" s="12" t="s">
        <v>20</v>
      </c>
      <c r="E1566" s="12">
        <v>2.2370531158375586E-2</v>
      </c>
      <c r="F1566" s="12">
        <v>61733</v>
      </c>
      <c r="G1566">
        <f t="shared" si="49"/>
        <v>1381</v>
      </c>
      <c r="H1566" s="16" t="s">
        <v>632</v>
      </c>
    </row>
    <row r="1567" spans="1:8">
      <c r="A1567" t="str">
        <f t="shared" si="48"/>
        <v>بوشهركنگان</v>
      </c>
      <c r="B1567" s="12" t="s">
        <v>347</v>
      </c>
      <c r="C1567" s="12" t="s">
        <v>353</v>
      </c>
      <c r="D1567" s="12" t="s">
        <v>480</v>
      </c>
      <c r="E1567" s="12">
        <v>0.42316020977837931</v>
      </c>
      <c r="F1567" s="12">
        <v>118220</v>
      </c>
      <c r="G1567">
        <f t="shared" si="49"/>
        <v>50026</v>
      </c>
      <c r="H1567" s="16" t="s">
        <v>622</v>
      </c>
    </row>
    <row r="1568" spans="1:8">
      <c r="A1568" t="str">
        <f t="shared" si="48"/>
        <v>بوشهركنگان</v>
      </c>
      <c r="B1568" s="12" t="s">
        <v>347</v>
      </c>
      <c r="C1568" s="12" t="s">
        <v>353</v>
      </c>
      <c r="D1568" s="12" t="s">
        <v>479</v>
      </c>
      <c r="E1568" s="12">
        <v>0.48064625274911182</v>
      </c>
      <c r="F1568" s="12">
        <v>118220</v>
      </c>
      <c r="G1568">
        <f t="shared" si="49"/>
        <v>56822</v>
      </c>
      <c r="H1568" s="16" t="s">
        <v>622</v>
      </c>
    </row>
    <row r="1569" spans="1:8">
      <c r="A1569" t="str">
        <f t="shared" si="48"/>
        <v>بوشهركنگان</v>
      </c>
      <c r="B1569" s="12" t="s">
        <v>347</v>
      </c>
      <c r="C1569" s="12" t="s">
        <v>353</v>
      </c>
      <c r="D1569" s="12" t="s">
        <v>22</v>
      </c>
      <c r="E1569" s="12">
        <v>6.7196751818643208E-2</v>
      </c>
      <c r="F1569" s="12">
        <v>118220</v>
      </c>
      <c r="G1569">
        <f t="shared" si="49"/>
        <v>7944</v>
      </c>
      <c r="H1569" s="16" t="s">
        <v>622</v>
      </c>
    </row>
    <row r="1570" spans="1:8">
      <c r="A1570" t="str">
        <f t="shared" si="48"/>
        <v>بوشهركنگان</v>
      </c>
      <c r="B1570" s="12" t="s">
        <v>347</v>
      </c>
      <c r="C1570" s="12" t="s">
        <v>353</v>
      </c>
      <c r="D1570" s="12" t="s">
        <v>478</v>
      </c>
      <c r="E1570" s="12">
        <v>1.7061410928776857E-2</v>
      </c>
      <c r="F1570" s="12">
        <v>118220</v>
      </c>
      <c r="G1570">
        <f t="shared" si="49"/>
        <v>2017</v>
      </c>
      <c r="H1570" s="16" t="s">
        <v>622</v>
      </c>
    </row>
    <row r="1571" spans="1:8">
      <c r="A1571" t="str">
        <f t="shared" si="48"/>
        <v>بوشهركنگان</v>
      </c>
      <c r="B1571" s="12" t="s">
        <v>347</v>
      </c>
      <c r="C1571" s="12" t="s">
        <v>353</v>
      </c>
      <c r="D1571" s="12" t="s">
        <v>20</v>
      </c>
      <c r="E1571" s="12">
        <v>1.1994586364405346E-2</v>
      </c>
      <c r="F1571" s="12">
        <v>118220</v>
      </c>
      <c r="G1571">
        <f t="shared" si="49"/>
        <v>1418</v>
      </c>
      <c r="H1571" s="16" t="s">
        <v>622</v>
      </c>
    </row>
    <row r="1572" spans="1:8">
      <c r="A1572" t="str">
        <f t="shared" si="48"/>
        <v>بوشهرگناوه</v>
      </c>
      <c r="B1572" s="12" t="s">
        <v>347</v>
      </c>
      <c r="C1572" s="12" t="s">
        <v>354</v>
      </c>
      <c r="D1572" s="12" t="s">
        <v>480</v>
      </c>
      <c r="E1572" s="12">
        <v>0.45618091802272032</v>
      </c>
      <c r="F1572" s="12">
        <v>104224</v>
      </c>
      <c r="G1572">
        <f t="shared" si="49"/>
        <v>47545</v>
      </c>
      <c r="H1572" s="16" t="s">
        <v>631</v>
      </c>
    </row>
    <row r="1573" spans="1:8">
      <c r="A1573" t="str">
        <f t="shared" si="48"/>
        <v>بوشهرگناوه</v>
      </c>
      <c r="B1573" s="12" t="s">
        <v>347</v>
      </c>
      <c r="C1573" s="12" t="s">
        <v>354</v>
      </c>
      <c r="D1573" s="12" t="s">
        <v>479</v>
      </c>
      <c r="E1573" s="12">
        <v>0.39518728891618055</v>
      </c>
      <c r="F1573" s="12">
        <v>104224</v>
      </c>
      <c r="G1573">
        <f t="shared" si="49"/>
        <v>41188</v>
      </c>
      <c r="H1573" s="16" t="s">
        <v>631</v>
      </c>
    </row>
    <row r="1574" spans="1:8">
      <c r="A1574" t="str">
        <f t="shared" si="48"/>
        <v>بوشهرگناوه</v>
      </c>
      <c r="B1574" s="12" t="s">
        <v>347</v>
      </c>
      <c r="C1574" s="12" t="s">
        <v>354</v>
      </c>
      <c r="D1574" s="12" t="s">
        <v>22</v>
      </c>
      <c r="E1574" s="12">
        <v>8.9182913724286147E-2</v>
      </c>
      <c r="F1574" s="12">
        <v>104224</v>
      </c>
      <c r="G1574">
        <f t="shared" si="49"/>
        <v>9295</v>
      </c>
      <c r="H1574" s="16" t="s">
        <v>631</v>
      </c>
    </row>
    <row r="1575" spans="1:8">
      <c r="A1575" t="str">
        <f t="shared" si="48"/>
        <v>بوشهرگناوه</v>
      </c>
      <c r="B1575" s="12" t="s">
        <v>347</v>
      </c>
      <c r="C1575" s="12" t="s">
        <v>354</v>
      </c>
      <c r="D1575" s="12" t="s">
        <v>478</v>
      </c>
      <c r="E1575" s="12">
        <v>3.1461083819465767E-2</v>
      </c>
      <c r="F1575" s="12">
        <v>104224</v>
      </c>
      <c r="G1575">
        <f t="shared" si="49"/>
        <v>3279</v>
      </c>
      <c r="H1575" s="16" t="s">
        <v>631</v>
      </c>
    </row>
    <row r="1576" spans="1:8">
      <c r="A1576" t="str">
        <f t="shared" si="48"/>
        <v>بوشهرگناوه</v>
      </c>
      <c r="B1576" s="12" t="s">
        <v>347</v>
      </c>
      <c r="C1576" s="12" t="s">
        <v>354</v>
      </c>
      <c r="D1576" s="12" t="s">
        <v>20</v>
      </c>
      <c r="E1576" s="12">
        <v>2.8035769112680381E-2</v>
      </c>
      <c r="F1576" s="12">
        <v>104224</v>
      </c>
      <c r="G1576">
        <f t="shared" si="49"/>
        <v>2922</v>
      </c>
      <c r="H1576" s="16" t="s">
        <v>631</v>
      </c>
    </row>
    <row r="1577" spans="1:8">
      <c r="A1577" t="str">
        <f t="shared" si="48"/>
        <v>بوشهرديلم</v>
      </c>
      <c r="B1577" s="12" t="s">
        <v>347</v>
      </c>
      <c r="C1577" s="12" t="s">
        <v>355</v>
      </c>
      <c r="D1577" s="12" t="s">
        <v>480</v>
      </c>
      <c r="E1577" s="12">
        <v>0.45048203330411918</v>
      </c>
      <c r="F1577" s="12">
        <v>35371</v>
      </c>
      <c r="G1577">
        <f t="shared" si="49"/>
        <v>15934</v>
      </c>
      <c r="H1577" s="16" t="s">
        <v>626</v>
      </c>
    </row>
    <row r="1578" spans="1:8">
      <c r="A1578" t="str">
        <f t="shared" si="48"/>
        <v>بوشهرديلم</v>
      </c>
      <c r="B1578" s="12" t="s">
        <v>347</v>
      </c>
      <c r="C1578" s="12" t="s">
        <v>355</v>
      </c>
      <c r="D1578" s="12" t="s">
        <v>479</v>
      </c>
      <c r="E1578" s="12">
        <v>0.39761386446523989</v>
      </c>
      <c r="F1578" s="12">
        <v>35371</v>
      </c>
      <c r="G1578">
        <f t="shared" si="49"/>
        <v>14064</v>
      </c>
      <c r="H1578" s="16" t="s">
        <v>626</v>
      </c>
    </row>
    <row r="1579" spans="1:8">
      <c r="A1579" t="str">
        <f t="shared" si="48"/>
        <v>بوشهرديلم</v>
      </c>
      <c r="B1579" s="12" t="s">
        <v>347</v>
      </c>
      <c r="C1579" s="12" t="s">
        <v>355</v>
      </c>
      <c r="D1579" s="12" t="s">
        <v>22</v>
      </c>
      <c r="E1579" s="12">
        <v>8.9169093325040291E-2</v>
      </c>
      <c r="F1579" s="12">
        <v>35371</v>
      </c>
      <c r="G1579">
        <f t="shared" si="49"/>
        <v>3154</v>
      </c>
      <c r="H1579" s="16" t="s">
        <v>626</v>
      </c>
    </row>
    <row r="1580" spans="1:8">
      <c r="A1580" t="str">
        <f t="shared" si="48"/>
        <v>بوشهرديلم</v>
      </c>
      <c r="B1580" s="12" t="s">
        <v>347</v>
      </c>
      <c r="C1580" s="12" t="s">
        <v>355</v>
      </c>
      <c r="D1580" s="12" t="s">
        <v>478</v>
      </c>
      <c r="E1580" s="12">
        <v>3.3473749681942833E-2</v>
      </c>
      <c r="F1580" s="12">
        <v>35371</v>
      </c>
      <c r="G1580">
        <f t="shared" si="49"/>
        <v>1184</v>
      </c>
      <c r="H1580" s="16" t="s">
        <v>626</v>
      </c>
    </row>
    <row r="1581" spans="1:8">
      <c r="A1581" t="str">
        <f t="shared" si="48"/>
        <v>بوشهرديلم</v>
      </c>
      <c r="B1581" s="12" t="s">
        <v>347</v>
      </c>
      <c r="C1581" s="12" t="s">
        <v>355</v>
      </c>
      <c r="D1581" s="12" t="s">
        <v>20</v>
      </c>
      <c r="E1581" s="12">
        <v>2.9430889711910886E-2</v>
      </c>
      <c r="F1581" s="12">
        <v>35371</v>
      </c>
      <c r="G1581">
        <f t="shared" si="49"/>
        <v>1041</v>
      </c>
      <c r="H1581" s="16" t="s">
        <v>626</v>
      </c>
    </row>
    <row r="1582" spans="1:8">
      <c r="A1582" t="str">
        <f t="shared" si="48"/>
        <v>بوشهرجم</v>
      </c>
      <c r="B1582" s="12" t="s">
        <v>347</v>
      </c>
      <c r="C1582" s="12" t="s">
        <v>356</v>
      </c>
      <c r="D1582" s="12" t="s">
        <v>480</v>
      </c>
      <c r="E1582" s="12">
        <v>0.49209818196719074</v>
      </c>
      <c r="F1582" s="12">
        <v>73211</v>
      </c>
      <c r="G1582">
        <f t="shared" si="49"/>
        <v>36027</v>
      </c>
      <c r="H1582" s="16" t="s">
        <v>630</v>
      </c>
    </row>
    <row r="1583" spans="1:8">
      <c r="A1583" t="str">
        <f t="shared" si="48"/>
        <v>بوشهرجم</v>
      </c>
      <c r="B1583" s="12" t="s">
        <v>347</v>
      </c>
      <c r="C1583" s="12" t="s">
        <v>356</v>
      </c>
      <c r="D1583" s="12" t="s">
        <v>479</v>
      </c>
      <c r="E1583" s="12">
        <v>0.40735681796451351</v>
      </c>
      <c r="F1583" s="12">
        <v>73211</v>
      </c>
      <c r="G1583">
        <f t="shared" si="49"/>
        <v>29823</v>
      </c>
      <c r="H1583" s="16" t="s">
        <v>630</v>
      </c>
    </row>
    <row r="1584" spans="1:8">
      <c r="A1584" t="str">
        <f t="shared" si="48"/>
        <v>بوشهرجم</v>
      </c>
      <c r="B1584" s="12" t="s">
        <v>347</v>
      </c>
      <c r="C1584" s="12" t="s">
        <v>356</v>
      </c>
      <c r="D1584" s="12" t="s">
        <v>22</v>
      </c>
      <c r="E1584" s="12">
        <v>6.5195120951769547E-2</v>
      </c>
      <c r="F1584" s="12">
        <v>73211</v>
      </c>
      <c r="G1584">
        <f t="shared" si="49"/>
        <v>4773</v>
      </c>
      <c r="H1584" s="16" t="s">
        <v>630</v>
      </c>
    </row>
    <row r="1585" spans="1:8">
      <c r="A1585" t="str">
        <f t="shared" si="48"/>
        <v>بوشهرجم</v>
      </c>
      <c r="B1585" s="12" t="s">
        <v>347</v>
      </c>
      <c r="C1585" s="12" t="s">
        <v>356</v>
      </c>
      <c r="D1585" s="12" t="s">
        <v>478</v>
      </c>
      <c r="E1585" s="12">
        <v>1.9300378358443403E-2</v>
      </c>
      <c r="F1585" s="12">
        <v>73211</v>
      </c>
      <c r="G1585">
        <f t="shared" si="49"/>
        <v>1413</v>
      </c>
      <c r="H1585" s="16" t="s">
        <v>630</v>
      </c>
    </row>
    <row r="1586" spans="1:8">
      <c r="A1586" t="str">
        <f t="shared" si="48"/>
        <v>بوشهرجم</v>
      </c>
      <c r="B1586" s="12" t="s">
        <v>347</v>
      </c>
      <c r="C1586" s="12" t="s">
        <v>356</v>
      </c>
      <c r="D1586" s="12" t="s">
        <v>20</v>
      </c>
      <c r="E1586" s="12">
        <v>1.6035841608501456E-2</v>
      </c>
      <c r="F1586" s="12">
        <v>73211</v>
      </c>
      <c r="G1586">
        <f t="shared" si="49"/>
        <v>1174</v>
      </c>
      <c r="H1586" s="16" t="s">
        <v>630</v>
      </c>
    </row>
    <row r="1587" spans="1:8">
      <c r="A1587" t="str">
        <f t="shared" si="48"/>
        <v xml:space="preserve">بوشهرعسلویه </v>
      </c>
      <c r="B1587" s="12" t="s">
        <v>347</v>
      </c>
      <c r="C1587" s="12" t="s">
        <v>358</v>
      </c>
      <c r="D1587" s="12" t="s">
        <v>480</v>
      </c>
      <c r="E1587" s="12">
        <v>0.40101656296555954</v>
      </c>
      <c r="F1587" s="12">
        <v>79877</v>
      </c>
      <c r="G1587">
        <f t="shared" si="49"/>
        <v>32032</v>
      </c>
      <c r="H1587" s="16" t="s">
        <v>627</v>
      </c>
    </row>
    <row r="1588" spans="1:8">
      <c r="A1588" t="str">
        <f t="shared" si="48"/>
        <v xml:space="preserve">بوشهرعسلویه </v>
      </c>
      <c r="B1588" s="12" t="s">
        <v>347</v>
      </c>
      <c r="C1588" s="12" t="s">
        <v>358</v>
      </c>
      <c r="D1588" s="12" t="s">
        <v>479</v>
      </c>
      <c r="E1588" s="12">
        <v>0.49981847089900722</v>
      </c>
      <c r="F1588" s="12">
        <v>79877</v>
      </c>
      <c r="G1588">
        <f t="shared" si="49"/>
        <v>39924</v>
      </c>
      <c r="H1588" s="16" t="s">
        <v>627</v>
      </c>
    </row>
    <row r="1589" spans="1:8">
      <c r="A1589" t="str">
        <f t="shared" si="48"/>
        <v xml:space="preserve">بوشهرعسلویه </v>
      </c>
      <c r="B1589" s="12" t="s">
        <v>347</v>
      </c>
      <c r="C1589" s="12" t="s">
        <v>358</v>
      </c>
      <c r="D1589" s="12" t="s">
        <v>22</v>
      </c>
      <c r="E1589" s="12">
        <v>7.0445810433541575E-2</v>
      </c>
      <c r="F1589" s="12">
        <v>79877</v>
      </c>
      <c r="G1589">
        <f t="shared" si="49"/>
        <v>5627</v>
      </c>
      <c r="H1589" s="16" t="s">
        <v>627</v>
      </c>
    </row>
    <row r="1590" spans="1:8">
      <c r="A1590" t="str">
        <f t="shared" si="48"/>
        <v xml:space="preserve">بوشهرعسلویه </v>
      </c>
      <c r="B1590" s="12" t="s">
        <v>347</v>
      </c>
      <c r="C1590" s="12" t="s">
        <v>358</v>
      </c>
      <c r="D1590" s="12" t="s">
        <v>478</v>
      </c>
      <c r="E1590" s="12">
        <v>1.6976100754910677E-2</v>
      </c>
      <c r="F1590" s="12">
        <v>79877</v>
      </c>
      <c r="G1590">
        <f t="shared" si="49"/>
        <v>1356</v>
      </c>
      <c r="H1590" s="16" t="s">
        <v>627</v>
      </c>
    </row>
    <row r="1591" spans="1:8">
      <c r="A1591" t="str">
        <f t="shared" si="48"/>
        <v xml:space="preserve">بوشهرعسلویه </v>
      </c>
      <c r="B1591" s="12" t="s">
        <v>347</v>
      </c>
      <c r="C1591" s="12" t="s">
        <v>358</v>
      </c>
      <c r="D1591" s="12" t="s">
        <v>20</v>
      </c>
      <c r="E1591" s="12">
        <v>1.1743054946980983E-2</v>
      </c>
      <c r="F1591" s="12">
        <v>79877</v>
      </c>
      <c r="G1591">
        <f t="shared" si="49"/>
        <v>938</v>
      </c>
      <c r="H1591" s="16" t="s">
        <v>627</v>
      </c>
    </row>
    <row r="1592" spans="1:8">
      <c r="A1592" t="str">
        <f t="shared" si="48"/>
        <v>زنجانابهر</v>
      </c>
      <c r="B1592" s="12" t="s">
        <v>357</v>
      </c>
      <c r="C1592" s="12" t="s">
        <v>359</v>
      </c>
      <c r="D1592" s="12" t="s">
        <v>480</v>
      </c>
      <c r="E1592" s="12">
        <v>0.40973170509669282</v>
      </c>
      <c r="F1592" s="12">
        <v>153786</v>
      </c>
      <c r="G1592">
        <f t="shared" si="49"/>
        <v>63011</v>
      </c>
      <c r="H1592" s="16" t="s">
        <v>740</v>
      </c>
    </row>
    <row r="1593" spans="1:8">
      <c r="A1593" t="str">
        <f t="shared" si="48"/>
        <v>زنجانابهر</v>
      </c>
      <c r="B1593" s="12" t="s">
        <v>357</v>
      </c>
      <c r="C1593" s="12" t="s">
        <v>359</v>
      </c>
      <c r="D1593" s="12" t="s">
        <v>479</v>
      </c>
      <c r="E1593" s="12">
        <v>0.41421195687513818</v>
      </c>
      <c r="F1593" s="12">
        <v>153786</v>
      </c>
      <c r="G1593">
        <f t="shared" si="49"/>
        <v>63700</v>
      </c>
      <c r="H1593" s="16" t="s">
        <v>740</v>
      </c>
    </row>
    <row r="1594" spans="1:8">
      <c r="A1594" t="str">
        <f t="shared" si="48"/>
        <v>زنجانابهر</v>
      </c>
      <c r="B1594" s="12" t="s">
        <v>357</v>
      </c>
      <c r="C1594" s="12" t="s">
        <v>359</v>
      </c>
      <c r="D1594" s="12" t="s">
        <v>22</v>
      </c>
      <c r="E1594" s="12">
        <v>0.10378057820607858</v>
      </c>
      <c r="F1594" s="12">
        <v>153786</v>
      </c>
      <c r="G1594">
        <f t="shared" si="49"/>
        <v>15960</v>
      </c>
      <c r="H1594" s="16" t="s">
        <v>740</v>
      </c>
    </row>
    <row r="1595" spans="1:8">
      <c r="A1595" t="str">
        <f t="shared" si="48"/>
        <v>زنجانابهر</v>
      </c>
      <c r="B1595" s="12" t="s">
        <v>357</v>
      </c>
      <c r="C1595" s="12" t="s">
        <v>359</v>
      </c>
      <c r="D1595" s="12" t="s">
        <v>478</v>
      </c>
      <c r="E1595" s="12">
        <v>3.7870807485726916E-2</v>
      </c>
      <c r="F1595" s="12">
        <v>153786</v>
      </c>
      <c r="G1595">
        <f t="shared" si="49"/>
        <v>5824</v>
      </c>
      <c r="H1595" s="16" t="s">
        <v>740</v>
      </c>
    </row>
    <row r="1596" spans="1:8">
      <c r="A1596" t="str">
        <f t="shared" si="48"/>
        <v>زنجانابهر</v>
      </c>
      <c r="B1596" s="12" t="s">
        <v>357</v>
      </c>
      <c r="C1596" s="12" t="s">
        <v>359</v>
      </c>
      <c r="D1596" s="12" t="s">
        <v>20</v>
      </c>
      <c r="E1596" s="12">
        <v>3.438544470888117E-2</v>
      </c>
      <c r="F1596" s="12">
        <v>153786</v>
      </c>
      <c r="G1596">
        <f t="shared" si="49"/>
        <v>5288</v>
      </c>
      <c r="H1596" s="16" t="s">
        <v>740</v>
      </c>
    </row>
    <row r="1597" spans="1:8">
      <c r="A1597" t="str">
        <f t="shared" si="48"/>
        <v>زنجانخدابنده</v>
      </c>
      <c r="B1597" s="12" t="s">
        <v>357</v>
      </c>
      <c r="C1597" s="12" t="s">
        <v>360</v>
      </c>
      <c r="D1597" s="12" t="s">
        <v>480</v>
      </c>
      <c r="E1597" s="12">
        <v>0.46337852861562256</v>
      </c>
      <c r="F1597" s="12">
        <v>165504</v>
      </c>
      <c r="G1597">
        <f t="shared" si="49"/>
        <v>76691</v>
      </c>
      <c r="H1597" s="16" t="s">
        <v>746</v>
      </c>
    </row>
    <row r="1598" spans="1:8">
      <c r="A1598" t="str">
        <f t="shared" si="48"/>
        <v>زنجانخدابنده</v>
      </c>
      <c r="B1598" s="12" t="s">
        <v>357</v>
      </c>
      <c r="C1598" s="12" t="s">
        <v>360</v>
      </c>
      <c r="D1598" s="12" t="s">
        <v>479</v>
      </c>
      <c r="E1598" s="12">
        <v>0.37830505607115233</v>
      </c>
      <c r="F1598" s="12">
        <v>165504</v>
      </c>
      <c r="G1598">
        <f t="shared" si="49"/>
        <v>62611</v>
      </c>
      <c r="H1598" s="16" t="s">
        <v>746</v>
      </c>
    </row>
    <row r="1599" spans="1:8">
      <c r="A1599" t="str">
        <f t="shared" si="48"/>
        <v>زنجانخدابنده</v>
      </c>
      <c r="B1599" s="12" t="s">
        <v>357</v>
      </c>
      <c r="C1599" s="12" t="s">
        <v>360</v>
      </c>
      <c r="D1599" s="12" t="s">
        <v>22</v>
      </c>
      <c r="E1599" s="12">
        <v>9.3478103248259864E-2</v>
      </c>
      <c r="F1599" s="12">
        <v>165504</v>
      </c>
      <c r="G1599">
        <f t="shared" si="49"/>
        <v>15471</v>
      </c>
      <c r="H1599" s="16" t="s">
        <v>746</v>
      </c>
    </row>
    <row r="1600" spans="1:8">
      <c r="A1600" t="str">
        <f t="shared" si="48"/>
        <v>زنجانخدابنده</v>
      </c>
      <c r="B1600" s="12" t="s">
        <v>357</v>
      </c>
      <c r="C1600" s="12" t="s">
        <v>360</v>
      </c>
      <c r="D1600" s="12" t="s">
        <v>478</v>
      </c>
      <c r="E1600" s="12">
        <v>3.3074729311678271E-2</v>
      </c>
      <c r="F1600" s="12">
        <v>165504</v>
      </c>
      <c r="G1600">
        <f t="shared" si="49"/>
        <v>5474</v>
      </c>
      <c r="H1600" s="16" t="s">
        <v>746</v>
      </c>
    </row>
    <row r="1601" spans="1:8">
      <c r="A1601" t="str">
        <f t="shared" si="48"/>
        <v>زنجانخدابنده</v>
      </c>
      <c r="B1601" s="12" t="s">
        <v>357</v>
      </c>
      <c r="C1601" s="12" t="s">
        <v>360</v>
      </c>
      <c r="D1601" s="12" t="s">
        <v>20</v>
      </c>
      <c r="E1601" s="12">
        <v>3.1793793503480279E-2</v>
      </c>
      <c r="F1601" s="12">
        <v>165504</v>
      </c>
      <c r="G1601">
        <f t="shared" si="49"/>
        <v>5262</v>
      </c>
      <c r="H1601" s="16" t="s">
        <v>746</v>
      </c>
    </row>
    <row r="1602" spans="1:8">
      <c r="A1602" t="str">
        <f t="shared" ref="A1602:A1665" si="50">B1602&amp;C1602</f>
        <v>زنجانزنجان</v>
      </c>
      <c r="B1602" s="12" t="s">
        <v>357</v>
      </c>
      <c r="C1602" s="12" t="s">
        <v>357</v>
      </c>
      <c r="D1602" s="12" t="s">
        <v>480</v>
      </c>
      <c r="E1602" s="12">
        <v>0.41338932881130103</v>
      </c>
      <c r="F1602" s="12">
        <v>528376</v>
      </c>
      <c r="G1602">
        <f t="shared" si="49"/>
        <v>218425</v>
      </c>
      <c r="H1602" s="16" t="s">
        <v>739</v>
      </c>
    </row>
    <row r="1603" spans="1:8">
      <c r="A1603" t="str">
        <f t="shared" si="50"/>
        <v>زنجانزنجان</v>
      </c>
      <c r="B1603" s="12" t="s">
        <v>357</v>
      </c>
      <c r="C1603" s="12" t="s">
        <v>357</v>
      </c>
      <c r="D1603" s="12" t="s">
        <v>479</v>
      </c>
      <c r="E1603" s="12">
        <v>0.41286129574393993</v>
      </c>
      <c r="F1603" s="12">
        <v>528376</v>
      </c>
      <c r="G1603">
        <f t="shared" ref="G1603:G1666" si="51">IFERROR(ROUND(F1603*E1603,0),0)</f>
        <v>218146</v>
      </c>
      <c r="H1603" s="16" t="s">
        <v>739</v>
      </c>
    </row>
    <row r="1604" spans="1:8">
      <c r="A1604" t="str">
        <f t="shared" si="50"/>
        <v>زنجانزنجان</v>
      </c>
      <c r="B1604" s="12" t="s">
        <v>357</v>
      </c>
      <c r="C1604" s="12" t="s">
        <v>357</v>
      </c>
      <c r="D1604" s="12" t="s">
        <v>22</v>
      </c>
      <c r="E1604" s="12">
        <v>0.10186685239299287</v>
      </c>
      <c r="F1604" s="12">
        <v>528376</v>
      </c>
      <c r="G1604">
        <f t="shared" si="51"/>
        <v>53824</v>
      </c>
      <c r="H1604" s="16" t="s">
        <v>739</v>
      </c>
    </row>
    <row r="1605" spans="1:8">
      <c r="A1605" t="str">
        <f t="shared" si="50"/>
        <v>زنجانزنجان</v>
      </c>
      <c r="B1605" s="12" t="s">
        <v>357</v>
      </c>
      <c r="C1605" s="12" t="s">
        <v>357</v>
      </c>
      <c r="D1605" s="12" t="s">
        <v>478</v>
      </c>
      <c r="E1605" s="12">
        <v>3.8097869698850817E-2</v>
      </c>
      <c r="F1605" s="12">
        <v>528376</v>
      </c>
      <c r="G1605">
        <f t="shared" si="51"/>
        <v>20130</v>
      </c>
      <c r="H1605" s="16" t="s">
        <v>739</v>
      </c>
    </row>
    <row r="1606" spans="1:8">
      <c r="A1606" t="str">
        <f t="shared" si="50"/>
        <v>زنجانزنجان</v>
      </c>
      <c r="B1606" s="12" t="s">
        <v>357</v>
      </c>
      <c r="C1606" s="12" t="s">
        <v>357</v>
      </c>
      <c r="D1606" s="12" t="s">
        <v>20</v>
      </c>
      <c r="E1606" s="12">
        <v>3.379790149439036E-2</v>
      </c>
      <c r="F1606" s="12">
        <v>528376</v>
      </c>
      <c r="G1606">
        <f t="shared" si="51"/>
        <v>17858</v>
      </c>
      <c r="H1606" s="16" t="s">
        <v>739</v>
      </c>
    </row>
    <row r="1607" spans="1:8">
      <c r="A1607" t="str">
        <f t="shared" si="50"/>
        <v>زنجانايجرود</v>
      </c>
      <c r="B1607" s="12" t="s">
        <v>357</v>
      </c>
      <c r="C1607" s="12" t="s">
        <v>361</v>
      </c>
      <c r="D1607" s="12" t="s">
        <v>480</v>
      </c>
      <c r="E1607" s="12">
        <v>0.43526640675763484</v>
      </c>
      <c r="F1607" s="12">
        <v>36936</v>
      </c>
      <c r="G1607">
        <f t="shared" si="51"/>
        <v>16077</v>
      </c>
      <c r="H1607" s="16" t="s">
        <v>744</v>
      </c>
    </row>
    <row r="1608" spans="1:8">
      <c r="A1608" t="str">
        <f t="shared" si="50"/>
        <v>زنجانايجرود</v>
      </c>
      <c r="B1608" s="12" t="s">
        <v>357</v>
      </c>
      <c r="C1608" s="12" t="s">
        <v>361</v>
      </c>
      <c r="D1608" s="12" t="s">
        <v>479</v>
      </c>
      <c r="E1608" s="12">
        <v>0.37394411955815465</v>
      </c>
      <c r="F1608" s="12">
        <v>36936</v>
      </c>
      <c r="G1608">
        <f t="shared" si="51"/>
        <v>13812</v>
      </c>
      <c r="H1608" s="16" t="s">
        <v>744</v>
      </c>
    </row>
    <row r="1609" spans="1:8">
      <c r="A1609" t="str">
        <f t="shared" si="50"/>
        <v>زنجانايجرود</v>
      </c>
      <c r="B1609" s="12" t="s">
        <v>357</v>
      </c>
      <c r="C1609" s="12" t="s">
        <v>361</v>
      </c>
      <c r="D1609" s="12" t="s">
        <v>22</v>
      </c>
      <c r="E1609" s="12">
        <v>0.10120207927225471</v>
      </c>
      <c r="F1609" s="12">
        <v>36936</v>
      </c>
      <c r="G1609">
        <f t="shared" si="51"/>
        <v>3738</v>
      </c>
      <c r="H1609" s="16" t="s">
        <v>744</v>
      </c>
    </row>
    <row r="1610" spans="1:8">
      <c r="A1610" t="str">
        <f t="shared" si="50"/>
        <v>زنجانايجرود</v>
      </c>
      <c r="B1610" s="12" t="s">
        <v>357</v>
      </c>
      <c r="C1610" s="12" t="s">
        <v>361</v>
      </c>
      <c r="D1610" s="12" t="s">
        <v>478</v>
      </c>
      <c r="E1610" s="12">
        <v>4.3886722980290234E-2</v>
      </c>
      <c r="F1610" s="12">
        <v>36936</v>
      </c>
      <c r="G1610">
        <f t="shared" si="51"/>
        <v>1621</v>
      </c>
      <c r="H1610" s="16" t="s">
        <v>744</v>
      </c>
    </row>
    <row r="1611" spans="1:8">
      <c r="A1611" t="str">
        <f t="shared" si="50"/>
        <v>زنجانايجرود</v>
      </c>
      <c r="B1611" s="12" t="s">
        <v>357</v>
      </c>
      <c r="C1611" s="12" t="s">
        <v>361</v>
      </c>
      <c r="D1611" s="12" t="s">
        <v>20</v>
      </c>
      <c r="E1611" s="12">
        <v>4.5781893004115226E-2</v>
      </c>
      <c r="F1611" s="12">
        <v>36936</v>
      </c>
      <c r="G1611">
        <f t="shared" si="51"/>
        <v>1691</v>
      </c>
      <c r="H1611" s="16" t="s">
        <v>744</v>
      </c>
    </row>
    <row r="1612" spans="1:8">
      <c r="A1612" t="str">
        <f t="shared" si="50"/>
        <v>زنجانخرمدره</v>
      </c>
      <c r="B1612" s="12" t="s">
        <v>357</v>
      </c>
      <c r="C1612" s="12" t="s">
        <v>362</v>
      </c>
      <c r="D1612" s="12" t="s">
        <v>480</v>
      </c>
      <c r="E1612" s="12">
        <v>0.41270163630033657</v>
      </c>
      <c r="F1612" s="12">
        <v>68936</v>
      </c>
      <c r="G1612">
        <f t="shared" si="51"/>
        <v>28450</v>
      </c>
      <c r="H1612" s="16" t="s">
        <v>747</v>
      </c>
    </row>
    <row r="1613" spans="1:8">
      <c r="A1613" t="str">
        <f t="shared" si="50"/>
        <v>زنجانخرمدره</v>
      </c>
      <c r="B1613" s="12" t="s">
        <v>357</v>
      </c>
      <c r="C1613" s="12" t="s">
        <v>362</v>
      </c>
      <c r="D1613" s="12" t="s">
        <v>479</v>
      </c>
      <c r="E1613" s="12">
        <v>0.41384762678426368</v>
      </c>
      <c r="F1613" s="12">
        <v>68936</v>
      </c>
      <c r="G1613">
        <f t="shared" si="51"/>
        <v>28529</v>
      </c>
      <c r="H1613" s="16" t="s">
        <v>747</v>
      </c>
    </row>
    <row r="1614" spans="1:8">
      <c r="A1614" t="str">
        <f t="shared" si="50"/>
        <v>زنجانخرمدره</v>
      </c>
      <c r="B1614" s="12" t="s">
        <v>357</v>
      </c>
      <c r="C1614" s="12" t="s">
        <v>362</v>
      </c>
      <c r="D1614" s="12" t="s">
        <v>22</v>
      </c>
      <c r="E1614" s="12">
        <v>0.10564871765115469</v>
      </c>
      <c r="F1614" s="12">
        <v>68936</v>
      </c>
      <c r="G1614">
        <f t="shared" si="51"/>
        <v>7283</v>
      </c>
      <c r="H1614" s="16" t="s">
        <v>747</v>
      </c>
    </row>
    <row r="1615" spans="1:8">
      <c r="A1615" t="str">
        <f t="shared" si="50"/>
        <v>زنجانخرمدره</v>
      </c>
      <c r="B1615" s="12" t="s">
        <v>357</v>
      </c>
      <c r="C1615" s="12" t="s">
        <v>362</v>
      </c>
      <c r="D1615" s="12" t="s">
        <v>478</v>
      </c>
      <c r="E1615" s="12">
        <v>3.5917372635487992E-2</v>
      </c>
      <c r="F1615" s="12">
        <v>68936</v>
      </c>
      <c r="G1615">
        <f t="shared" si="51"/>
        <v>2476</v>
      </c>
      <c r="H1615" s="16" t="s">
        <v>747</v>
      </c>
    </row>
    <row r="1616" spans="1:8">
      <c r="A1616" t="str">
        <f t="shared" si="50"/>
        <v>زنجانخرمدره</v>
      </c>
      <c r="B1616" s="12" t="s">
        <v>357</v>
      </c>
      <c r="C1616" s="12" t="s">
        <v>362</v>
      </c>
      <c r="D1616" s="12" t="s">
        <v>20</v>
      </c>
      <c r="E1616" s="12">
        <v>3.1739584542184056E-2</v>
      </c>
      <c r="F1616" s="12">
        <v>68936</v>
      </c>
      <c r="G1616">
        <f t="shared" si="51"/>
        <v>2188</v>
      </c>
      <c r="H1616" s="16" t="s">
        <v>747</v>
      </c>
    </row>
    <row r="1617" spans="1:8">
      <c r="A1617" t="str">
        <f t="shared" si="50"/>
        <v>زنجانطارم</v>
      </c>
      <c r="B1617" s="12" t="s">
        <v>357</v>
      </c>
      <c r="C1617" s="12" t="s">
        <v>363</v>
      </c>
      <c r="D1617" s="12" t="s">
        <v>480</v>
      </c>
      <c r="E1617" s="12">
        <v>0.422301731803362</v>
      </c>
      <c r="F1617" s="12">
        <v>47234</v>
      </c>
      <c r="G1617">
        <f t="shared" si="51"/>
        <v>19947</v>
      </c>
      <c r="H1617" s="16" t="s">
        <v>745</v>
      </c>
    </row>
    <row r="1618" spans="1:8">
      <c r="A1618" t="str">
        <f t="shared" si="50"/>
        <v>زنجانطارم</v>
      </c>
      <c r="B1618" s="12" t="s">
        <v>357</v>
      </c>
      <c r="C1618" s="12" t="s">
        <v>363</v>
      </c>
      <c r="D1618" s="12" t="s">
        <v>479</v>
      </c>
      <c r="E1618" s="12">
        <v>0.38883008002709912</v>
      </c>
      <c r="F1618" s="12">
        <v>47234</v>
      </c>
      <c r="G1618">
        <f t="shared" si="51"/>
        <v>18366</v>
      </c>
      <c r="H1618" s="16" t="s">
        <v>745</v>
      </c>
    </row>
    <row r="1619" spans="1:8">
      <c r="A1619" t="str">
        <f t="shared" si="50"/>
        <v>زنجانطارم</v>
      </c>
      <c r="B1619" s="12" t="s">
        <v>357</v>
      </c>
      <c r="C1619" s="12" t="s">
        <v>363</v>
      </c>
      <c r="D1619" s="12" t="s">
        <v>22</v>
      </c>
      <c r="E1619" s="12">
        <v>0.10640640216792988</v>
      </c>
      <c r="F1619" s="12">
        <v>47234</v>
      </c>
      <c r="G1619">
        <f t="shared" si="51"/>
        <v>5026</v>
      </c>
      <c r="H1619" s="16" t="s">
        <v>745</v>
      </c>
    </row>
    <row r="1620" spans="1:8">
      <c r="A1620" t="str">
        <f t="shared" si="50"/>
        <v>زنجانطارم</v>
      </c>
      <c r="B1620" s="12" t="s">
        <v>357</v>
      </c>
      <c r="C1620" s="12" t="s">
        <v>363</v>
      </c>
      <c r="D1620" s="12" t="s">
        <v>478</v>
      </c>
      <c r="E1620" s="12">
        <v>4.1559046449591394E-2</v>
      </c>
      <c r="F1620" s="12">
        <v>47234</v>
      </c>
      <c r="G1620">
        <f t="shared" si="51"/>
        <v>1963</v>
      </c>
      <c r="H1620" s="16" t="s">
        <v>745</v>
      </c>
    </row>
    <row r="1621" spans="1:8">
      <c r="A1621" t="str">
        <f t="shared" si="50"/>
        <v>زنجانطارم</v>
      </c>
      <c r="B1621" s="12" t="s">
        <v>357</v>
      </c>
      <c r="C1621" s="12" t="s">
        <v>363</v>
      </c>
      <c r="D1621" s="12" t="s">
        <v>20</v>
      </c>
      <c r="E1621" s="12">
        <v>4.0839225981284664E-2</v>
      </c>
      <c r="F1621" s="12">
        <v>47234</v>
      </c>
      <c r="G1621">
        <f t="shared" si="51"/>
        <v>1929</v>
      </c>
      <c r="H1621" s="16" t="s">
        <v>745</v>
      </c>
    </row>
    <row r="1622" spans="1:8">
      <c r="A1622" t="str">
        <f t="shared" si="50"/>
        <v>زنجانماهنشان</v>
      </c>
      <c r="B1622" s="12" t="s">
        <v>357</v>
      </c>
      <c r="C1622" s="12" t="s">
        <v>364</v>
      </c>
      <c r="D1622" s="12" t="s">
        <v>480</v>
      </c>
      <c r="E1622" s="12">
        <v>0.46171314842693478</v>
      </c>
      <c r="F1622" s="12">
        <v>39191</v>
      </c>
      <c r="G1622">
        <f t="shared" si="51"/>
        <v>18095</v>
      </c>
      <c r="H1622" s="16" t="s">
        <v>743</v>
      </c>
    </row>
    <row r="1623" spans="1:8">
      <c r="A1623" t="str">
        <f t="shared" si="50"/>
        <v>زنجانماهنشان</v>
      </c>
      <c r="B1623" s="12" t="s">
        <v>357</v>
      </c>
      <c r="C1623" s="12" t="s">
        <v>364</v>
      </c>
      <c r="D1623" s="12" t="s">
        <v>479</v>
      </c>
      <c r="E1623" s="12">
        <v>0.36903880993085147</v>
      </c>
      <c r="F1623" s="12">
        <v>39191</v>
      </c>
      <c r="G1623">
        <f t="shared" si="51"/>
        <v>14463</v>
      </c>
      <c r="H1623" s="16" t="s">
        <v>743</v>
      </c>
    </row>
    <row r="1624" spans="1:8">
      <c r="A1624" t="str">
        <f t="shared" si="50"/>
        <v>زنجانماهنشان</v>
      </c>
      <c r="B1624" s="12" t="s">
        <v>357</v>
      </c>
      <c r="C1624" s="12" t="s">
        <v>364</v>
      </c>
      <c r="D1624" s="12" t="s">
        <v>22</v>
      </c>
      <c r="E1624" s="12">
        <v>9.4307366487203698E-2</v>
      </c>
      <c r="F1624" s="12">
        <v>39191</v>
      </c>
      <c r="G1624">
        <f t="shared" si="51"/>
        <v>3696</v>
      </c>
      <c r="H1624" s="16" t="s">
        <v>743</v>
      </c>
    </row>
    <row r="1625" spans="1:8">
      <c r="A1625" t="str">
        <f t="shared" si="50"/>
        <v>زنجانماهنشان</v>
      </c>
      <c r="B1625" s="12" t="s">
        <v>357</v>
      </c>
      <c r="C1625" s="12" t="s">
        <v>364</v>
      </c>
      <c r="D1625" s="12" t="s">
        <v>478</v>
      </c>
      <c r="E1625" s="12">
        <v>3.7661708045214459E-2</v>
      </c>
      <c r="F1625" s="12">
        <v>39191</v>
      </c>
      <c r="G1625">
        <f t="shared" si="51"/>
        <v>1476</v>
      </c>
      <c r="H1625" s="16" t="s">
        <v>743</v>
      </c>
    </row>
    <row r="1626" spans="1:8">
      <c r="A1626" t="str">
        <f t="shared" si="50"/>
        <v>زنجانماهنشان</v>
      </c>
      <c r="B1626" s="12" t="s">
        <v>357</v>
      </c>
      <c r="C1626" s="12" t="s">
        <v>364</v>
      </c>
      <c r="D1626" s="12" t="s">
        <v>20</v>
      </c>
      <c r="E1626" s="12">
        <v>3.732999923451813E-2</v>
      </c>
      <c r="F1626" s="12">
        <v>39191</v>
      </c>
      <c r="G1626">
        <f t="shared" si="51"/>
        <v>1463</v>
      </c>
      <c r="H1626" s="16" t="s">
        <v>743</v>
      </c>
    </row>
    <row r="1627" spans="1:8">
      <c r="A1627" t="str">
        <f t="shared" si="50"/>
        <v>زنجانسلطانیه</v>
      </c>
      <c r="B1627" s="12" t="s">
        <v>357</v>
      </c>
      <c r="C1627" s="12" t="s">
        <v>366</v>
      </c>
      <c r="D1627" s="12" t="s">
        <v>480</v>
      </c>
      <c r="E1627" s="12">
        <v>0.42219261384988555</v>
      </c>
      <c r="F1627" s="12">
        <v>29271</v>
      </c>
      <c r="G1627">
        <f t="shared" si="51"/>
        <v>12358</v>
      </c>
      <c r="H1627" s="16" t="s">
        <v>741</v>
      </c>
    </row>
    <row r="1628" spans="1:8">
      <c r="A1628" t="str">
        <f t="shared" si="50"/>
        <v>زنجانسلطانیه</v>
      </c>
      <c r="B1628" s="12" t="s">
        <v>357</v>
      </c>
      <c r="C1628" s="12" t="s">
        <v>366</v>
      </c>
      <c r="D1628" s="12" t="s">
        <v>479</v>
      </c>
      <c r="E1628" s="12">
        <v>0.38553517132998533</v>
      </c>
      <c r="F1628" s="12">
        <v>29271</v>
      </c>
      <c r="G1628">
        <f t="shared" si="51"/>
        <v>11285</v>
      </c>
      <c r="H1628" s="16" t="s">
        <v>741</v>
      </c>
    </row>
    <row r="1629" spans="1:8">
      <c r="A1629" t="str">
        <f t="shared" si="50"/>
        <v>زنجانسلطانیه</v>
      </c>
      <c r="B1629" s="12" t="s">
        <v>357</v>
      </c>
      <c r="C1629" s="12" t="s">
        <v>366</v>
      </c>
      <c r="D1629" s="12" t="s">
        <v>22</v>
      </c>
      <c r="E1629" s="12">
        <v>0.10354958832974616</v>
      </c>
      <c r="F1629" s="12">
        <v>29271</v>
      </c>
      <c r="G1629">
        <f t="shared" si="51"/>
        <v>3031</v>
      </c>
      <c r="H1629" s="16" t="s">
        <v>741</v>
      </c>
    </row>
    <row r="1630" spans="1:8">
      <c r="A1630" t="str">
        <f t="shared" si="50"/>
        <v>زنجانسلطانیه</v>
      </c>
      <c r="B1630" s="12" t="s">
        <v>357</v>
      </c>
      <c r="C1630" s="12" t="s">
        <v>366</v>
      </c>
      <c r="D1630" s="12" t="s">
        <v>478</v>
      </c>
      <c r="E1630" s="12">
        <v>4.5300809675105053E-2</v>
      </c>
      <c r="F1630" s="12">
        <v>29271</v>
      </c>
      <c r="G1630">
        <f t="shared" si="51"/>
        <v>1326</v>
      </c>
      <c r="H1630" s="16" t="s">
        <v>741</v>
      </c>
    </row>
    <row r="1631" spans="1:8">
      <c r="A1631" t="str">
        <f t="shared" si="50"/>
        <v>زنجانسلطانیه</v>
      </c>
      <c r="B1631" s="12" t="s">
        <v>357</v>
      </c>
      <c r="C1631" s="12" t="s">
        <v>366</v>
      </c>
      <c r="D1631" s="12" t="s">
        <v>20</v>
      </c>
      <c r="E1631" s="12">
        <v>4.3319326295650988E-2</v>
      </c>
      <c r="F1631" s="12">
        <v>29271</v>
      </c>
      <c r="G1631">
        <f t="shared" si="51"/>
        <v>1268</v>
      </c>
      <c r="H1631" s="16" t="s">
        <v>741</v>
      </c>
    </row>
    <row r="1632" spans="1:8">
      <c r="A1632" t="str">
        <f t="shared" si="50"/>
        <v>سمناندامغان</v>
      </c>
      <c r="B1632" s="12" t="s">
        <v>365</v>
      </c>
      <c r="C1632" s="12" t="s">
        <v>367</v>
      </c>
      <c r="D1632" s="12" t="s">
        <v>480</v>
      </c>
      <c r="E1632" s="12">
        <v>0.39941469987578165</v>
      </c>
      <c r="F1632" s="12">
        <v>94994</v>
      </c>
      <c r="G1632">
        <f t="shared" si="51"/>
        <v>37942</v>
      </c>
      <c r="H1632" s="16" t="s">
        <v>752</v>
      </c>
    </row>
    <row r="1633" spans="1:8">
      <c r="A1633" t="str">
        <f t="shared" si="50"/>
        <v>سمناندامغان</v>
      </c>
      <c r="B1633" s="12" t="s">
        <v>365</v>
      </c>
      <c r="C1633" s="12" t="s">
        <v>367</v>
      </c>
      <c r="D1633" s="12" t="s">
        <v>479</v>
      </c>
      <c r="E1633" s="12">
        <v>0.39371960334336903</v>
      </c>
      <c r="F1633" s="12">
        <v>94994</v>
      </c>
      <c r="G1633">
        <f t="shared" si="51"/>
        <v>37401</v>
      </c>
      <c r="H1633" s="16" t="s">
        <v>752</v>
      </c>
    </row>
    <row r="1634" spans="1:8">
      <c r="A1634" t="str">
        <f t="shared" si="50"/>
        <v>سمناندامغان</v>
      </c>
      <c r="B1634" s="12" t="s">
        <v>365</v>
      </c>
      <c r="C1634" s="12" t="s">
        <v>367</v>
      </c>
      <c r="D1634" s="12" t="s">
        <v>22</v>
      </c>
      <c r="E1634" s="12">
        <v>0.11688106617260037</v>
      </c>
      <c r="F1634" s="12">
        <v>94994</v>
      </c>
      <c r="G1634">
        <f t="shared" si="51"/>
        <v>11103</v>
      </c>
      <c r="H1634" s="16" t="s">
        <v>752</v>
      </c>
    </row>
    <row r="1635" spans="1:8">
      <c r="A1635" t="str">
        <f t="shared" si="50"/>
        <v>سمناندامغان</v>
      </c>
      <c r="B1635" s="12" t="s">
        <v>365</v>
      </c>
      <c r="C1635" s="12" t="s">
        <v>367</v>
      </c>
      <c r="D1635" s="12" t="s">
        <v>478</v>
      </c>
      <c r="E1635" s="12">
        <v>4.5729203949723143E-2</v>
      </c>
      <c r="F1635" s="12">
        <v>94994</v>
      </c>
      <c r="G1635">
        <f t="shared" si="51"/>
        <v>4344</v>
      </c>
      <c r="H1635" s="16" t="s">
        <v>752</v>
      </c>
    </row>
    <row r="1636" spans="1:8">
      <c r="A1636" t="str">
        <f t="shared" si="50"/>
        <v>سمناندامغان</v>
      </c>
      <c r="B1636" s="12" t="s">
        <v>365</v>
      </c>
      <c r="C1636" s="12" t="s">
        <v>367</v>
      </c>
      <c r="D1636" s="12" t="s">
        <v>20</v>
      </c>
      <c r="E1636" s="12">
        <v>4.4202791755268755E-2</v>
      </c>
      <c r="F1636" s="12">
        <v>94994</v>
      </c>
      <c r="G1636">
        <f t="shared" si="51"/>
        <v>4199</v>
      </c>
      <c r="H1636" s="16" t="s">
        <v>752</v>
      </c>
    </row>
    <row r="1637" spans="1:8">
      <c r="A1637" t="str">
        <f t="shared" si="50"/>
        <v>سمنانسمنان</v>
      </c>
      <c r="B1637" s="12" t="s">
        <v>365</v>
      </c>
      <c r="C1637" s="12" t="s">
        <v>365</v>
      </c>
      <c r="D1637" s="12" t="s">
        <v>480</v>
      </c>
      <c r="E1637" s="12">
        <v>0.44808737753418143</v>
      </c>
      <c r="F1637" s="12">
        <v>201791</v>
      </c>
      <c r="G1637">
        <f t="shared" si="51"/>
        <v>90420</v>
      </c>
      <c r="H1637" s="16" t="s">
        <v>748</v>
      </c>
    </row>
    <row r="1638" spans="1:8">
      <c r="A1638" t="str">
        <f t="shared" si="50"/>
        <v>سمنانسمنان</v>
      </c>
      <c r="B1638" s="12" t="s">
        <v>365</v>
      </c>
      <c r="C1638" s="12" t="s">
        <v>365</v>
      </c>
      <c r="D1638" s="12" t="s">
        <v>479</v>
      </c>
      <c r="E1638" s="12">
        <v>0.4049833738868433</v>
      </c>
      <c r="F1638" s="12">
        <v>201791</v>
      </c>
      <c r="G1638">
        <f t="shared" si="51"/>
        <v>81722</v>
      </c>
      <c r="H1638" s="16" t="s">
        <v>748</v>
      </c>
    </row>
    <row r="1639" spans="1:8">
      <c r="A1639" t="str">
        <f t="shared" si="50"/>
        <v>سمنانسمنان</v>
      </c>
      <c r="B1639" s="12" t="s">
        <v>365</v>
      </c>
      <c r="C1639" s="12" t="s">
        <v>365</v>
      </c>
      <c r="D1639" s="12" t="s">
        <v>22</v>
      </c>
      <c r="E1639" s="12">
        <v>8.9518363058808365E-2</v>
      </c>
      <c r="F1639" s="12">
        <v>201791</v>
      </c>
      <c r="G1639">
        <f t="shared" si="51"/>
        <v>18064</v>
      </c>
      <c r="H1639" s="16" t="s">
        <v>748</v>
      </c>
    </row>
    <row r="1640" spans="1:8">
      <c r="A1640" t="str">
        <f t="shared" si="50"/>
        <v>سمنانسمنان</v>
      </c>
      <c r="B1640" s="12" t="s">
        <v>365</v>
      </c>
      <c r="C1640" s="12" t="s">
        <v>365</v>
      </c>
      <c r="D1640" s="12" t="s">
        <v>478</v>
      </c>
      <c r="E1640" s="12">
        <v>3.0645568930229791E-2</v>
      </c>
      <c r="F1640" s="12">
        <v>201791</v>
      </c>
      <c r="G1640">
        <f t="shared" si="51"/>
        <v>6184</v>
      </c>
      <c r="H1640" s="16" t="s">
        <v>748</v>
      </c>
    </row>
    <row r="1641" spans="1:8">
      <c r="A1641" t="str">
        <f t="shared" si="50"/>
        <v>سمنانسمنان</v>
      </c>
      <c r="B1641" s="12" t="s">
        <v>365</v>
      </c>
      <c r="C1641" s="12" t="s">
        <v>365</v>
      </c>
      <c r="D1641" s="12" t="s">
        <v>20</v>
      </c>
      <c r="E1641" s="12">
        <v>2.6760360967535719E-2</v>
      </c>
      <c r="F1641" s="12">
        <v>201791</v>
      </c>
      <c r="G1641">
        <f t="shared" si="51"/>
        <v>5400</v>
      </c>
      <c r="H1641" s="16" t="s">
        <v>748</v>
      </c>
    </row>
    <row r="1642" spans="1:8">
      <c r="A1642" t="str">
        <f t="shared" si="50"/>
        <v>سمنانشاهرود</v>
      </c>
      <c r="B1642" s="12" t="s">
        <v>365</v>
      </c>
      <c r="C1642" s="12" t="s">
        <v>368</v>
      </c>
      <c r="D1642" s="12" t="s">
        <v>480</v>
      </c>
      <c r="E1642" s="12">
        <v>0.40309213199115246</v>
      </c>
      <c r="F1642" s="12">
        <v>221530</v>
      </c>
      <c r="G1642">
        <f t="shared" si="51"/>
        <v>89297</v>
      </c>
      <c r="H1642" s="16" t="s">
        <v>753</v>
      </c>
    </row>
    <row r="1643" spans="1:8">
      <c r="A1643" t="str">
        <f t="shared" si="50"/>
        <v>سمنانشاهرود</v>
      </c>
      <c r="B1643" s="12" t="s">
        <v>365</v>
      </c>
      <c r="C1643" s="12" t="s">
        <v>368</v>
      </c>
      <c r="D1643" s="12" t="s">
        <v>479</v>
      </c>
      <c r="E1643" s="12">
        <v>0.40513248769918297</v>
      </c>
      <c r="F1643" s="12">
        <v>221530</v>
      </c>
      <c r="G1643">
        <f t="shared" si="51"/>
        <v>89749</v>
      </c>
      <c r="H1643" s="16" t="s">
        <v>753</v>
      </c>
    </row>
    <row r="1644" spans="1:8">
      <c r="A1644" t="str">
        <f t="shared" si="50"/>
        <v>سمنانشاهرود</v>
      </c>
      <c r="B1644" s="12" t="s">
        <v>365</v>
      </c>
      <c r="C1644" s="12" t="s">
        <v>368</v>
      </c>
      <c r="D1644" s="12" t="s">
        <v>22</v>
      </c>
      <c r="E1644" s="12">
        <v>0.11010246919153162</v>
      </c>
      <c r="F1644" s="12">
        <v>221530</v>
      </c>
      <c r="G1644">
        <f t="shared" si="51"/>
        <v>24391</v>
      </c>
      <c r="H1644" s="16" t="s">
        <v>753</v>
      </c>
    </row>
    <row r="1645" spans="1:8">
      <c r="A1645" t="str">
        <f t="shared" si="50"/>
        <v>سمنانشاهرود</v>
      </c>
      <c r="B1645" s="12" t="s">
        <v>365</v>
      </c>
      <c r="C1645" s="12" t="s">
        <v>368</v>
      </c>
      <c r="D1645" s="12" t="s">
        <v>478</v>
      </c>
      <c r="E1645" s="12">
        <v>4.2179388796099851E-2</v>
      </c>
      <c r="F1645" s="12">
        <v>221530</v>
      </c>
      <c r="G1645">
        <f t="shared" si="51"/>
        <v>9344</v>
      </c>
      <c r="H1645" s="16" t="s">
        <v>753</v>
      </c>
    </row>
    <row r="1646" spans="1:8">
      <c r="A1646" t="str">
        <f t="shared" si="50"/>
        <v>سمنانشاهرود</v>
      </c>
      <c r="B1646" s="12" t="s">
        <v>365</v>
      </c>
      <c r="C1646" s="12" t="s">
        <v>368</v>
      </c>
      <c r="D1646" s="12" t="s">
        <v>20</v>
      </c>
      <c r="E1646" s="12">
        <v>3.9475466076829321E-2</v>
      </c>
      <c r="F1646" s="12">
        <v>221530</v>
      </c>
      <c r="G1646">
        <f t="shared" si="51"/>
        <v>8745</v>
      </c>
      <c r="H1646" s="16" t="s">
        <v>753</v>
      </c>
    </row>
    <row r="1647" spans="1:8">
      <c r="A1647" t="str">
        <f t="shared" si="50"/>
        <v>سمنانگرمسار</v>
      </c>
      <c r="B1647" s="12" t="s">
        <v>365</v>
      </c>
      <c r="C1647" s="12" t="s">
        <v>369</v>
      </c>
      <c r="D1647" s="12" t="s">
        <v>480</v>
      </c>
      <c r="E1647" s="12">
        <v>0.40695128976508993</v>
      </c>
      <c r="F1647" s="12">
        <v>78115</v>
      </c>
      <c r="G1647">
        <f t="shared" si="51"/>
        <v>31789</v>
      </c>
      <c r="H1647" s="16" t="s">
        <v>755</v>
      </c>
    </row>
    <row r="1648" spans="1:8">
      <c r="A1648" t="str">
        <f t="shared" si="50"/>
        <v>سمنانگرمسار</v>
      </c>
      <c r="B1648" s="12" t="s">
        <v>365</v>
      </c>
      <c r="C1648" s="12" t="s">
        <v>369</v>
      </c>
      <c r="D1648" s="12" t="s">
        <v>479</v>
      </c>
      <c r="E1648" s="12">
        <v>0.40519746527555528</v>
      </c>
      <c r="F1648" s="12">
        <v>78115</v>
      </c>
      <c r="G1648">
        <f t="shared" si="51"/>
        <v>31652</v>
      </c>
      <c r="H1648" s="16" t="s">
        <v>755</v>
      </c>
    </row>
    <row r="1649" spans="1:8">
      <c r="A1649" t="str">
        <f t="shared" si="50"/>
        <v>سمنانگرمسار</v>
      </c>
      <c r="B1649" s="12" t="s">
        <v>365</v>
      </c>
      <c r="C1649" s="12" t="s">
        <v>369</v>
      </c>
      <c r="D1649" s="12" t="s">
        <v>22</v>
      </c>
      <c r="E1649" s="12">
        <v>0.1118863214491455</v>
      </c>
      <c r="F1649" s="12">
        <v>78115</v>
      </c>
      <c r="G1649">
        <f t="shared" si="51"/>
        <v>8740</v>
      </c>
      <c r="H1649" s="16" t="s">
        <v>755</v>
      </c>
    </row>
    <row r="1650" spans="1:8">
      <c r="A1650" t="str">
        <f t="shared" si="50"/>
        <v>سمنانگرمسار</v>
      </c>
      <c r="B1650" s="12" t="s">
        <v>365</v>
      </c>
      <c r="C1650" s="12" t="s">
        <v>369</v>
      </c>
      <c r="D1650" s="12" t="s">
        <v>478</v>
      </c>
      <c r="E1650" s="12">
        <v>3.9569864942712668E-2</v>
      </c>
      <c r="F1650" s="12">
        <v>78115</v>
      </c>
      <c r="G1650">
        <f t="shared" si="51"/>
        <v>3091</v>
      </c>
      <c r="H1650" s="16" t="s">
        <v>755</v>
      </c>
    </row>
    <row r="1651" spans="1:8">
      <c r="A1651" t="str">
        <f t="shared" si="50"/>
        <v>سمنانگرمسار</v>
      </c>
      <c r="B1651" s="12" t="s">
        <v>365</v>
      </c>
      <c r="C1651" s="12" t="s">
        <v>369</v>
      </c>
      <c r="D1651" s="12" t="s">
        <v>20</v>
      </c>
      <c r="E1651" s="12">
        <v>3.6433463483325865E-2</v>
      </c>
      <c r="F1651" s="12">
        <v>78115</v>
      </c>
      <c r="G1651">
        <f t="shared" si="51"/>
        <v>2846</v>
      </c>
      <c r="H1651" s="16" t="s">
        <v>755</v>
      </c>
    </row>
    <row r="1652" spans="1:8">
      <c r="A1652" t="str">
        <f t="shared" si="50"/>
        <v>سمنانمهدئ شهر</v>
      </c>
      <c r="B1652" s="12" t="s">
        <v>365</v>
      </c>
      <c r="C1652" s="12" t="s">
        <v>370</v>
      </c>
      <c r="D1652" s="12" t="s">
        <v>480</v>
      </c>
      <c r="E1652" s="12">
        <v>0.39742431089019431</v>
      </c>
      <c r="F1652" s="12">
        <v>48686</v>
      </c>
      <c r="G1652">
        <f t="shared" si="51"/>
        <v>19349</v>
      </c>
      <c r="H1652" s="16" t="s">
        <v>751</v>
      </c>
    </row>
    <row r="1653" spans="1:8">
      <c r="A1653" t="str">
        <f t="shared" si="50"/>
        <v>سمنانمهدئ شهر</v>
      </c>
      <c r="B1653" s="12" t="s">
        <v>365</v>
      </c>
      <c r="C1653" s="12" t="s">
        <v>370</v>
      </c>
      <c r="D1653" s="12" t="s">
        <v>479</v>
      </c>
      <c r="E1653" s="12">
        <v>0.39693135603664298</v>
      </c>
      <c r="F1653" s="12">
        <v>48686</v>
      </c>
      <c r="G1653">
        <f t="shared" si="51"/>
        <v>19325</v>
      </c>
      <c r="H1653" s="16" t="s">
        <v>751</v>
      </c>
    </row>
    <row r="1654" spans="1:8">
      <c r="A1654" t="str">
        <f t="shared" si="50"/>
        <v>سمنانمهدئ شهر</v>
      </c>
      <c r="B1654" s="12" t="s">
        <v>365</v>
      </c>
      <c r="C1654" s="12" t="s">
        <v>370</v>
      </c>
      <c r="D1654" s="12" t="s">
        <v>22</v>
      </c>
      <c r="E1654" s="12">
        <v>0.11724109600295773</v>
      </c>
      <c r="F1654" s="12">
        <v>48686</v>
      </c>
      <c r="G1654">
        <f t="shared" si="51"/>
        <v>5708</v>
      </c>
      <c r="H1654" s="16" t="s">
        <v>751</v>
      </c>
    </row>
    <row r="1655" spans="1:8">
      <c r="A1655" t="str">
        <f t="shared" si="50"/>
        <v>سمنانمهدئ شهر</v>
      </c>
      <c r="B1655" s="12" t="s">
        <v>365</v>
      </c>
      <c r="C1655" s="12" t="s">
        <v>370</v>
      </c>
      <c r="D1655" s="12" t="s">
        <v>478</v>
      </c>
      <c r="E1655" s="12">
        <v>4.6029659450355337E-2</v>
      </c>
      <c r="F1655" s="12">
        <v>48686</v>
      </c>
      <c r="G1655">
        <f t="shared" si="51"/>
        <v>2241</v>
      </c>
      <c r="H1655" s="16" t="s">
        <v>751</v>
      </c>
    </row>
    <row r="1656" spans="1:8">
      <c r="A1656" t="str">
        <f t="shared" si="50"/>
        <v>سمنانمهدئ شهر</v>
      </c>
      <c r="B1656" s="12" t="s">
        <v>365</v>
      </c>
      <c r="C1656" s="12" t="s">
        <v>370</v>
      </c>
      <c r="D1656" s="12" t="s">
        <v>20</v>
      </c>
      <c r="E1656" s="12">
        <v>4.2496816333237479E-2</v>
      </c>
      <c r="F1656" s="12">
        <v>48686</v>
      </c>
      <c r="G1656">
        <f t="shared" si="51"/>
        <v>2069</v>
      </c>
      <c r="H1656" s="16" t="s">
        <v>751</v>
      </c>
    </row>
    <row r="1657" spans="1:8">
      <c r="A1657" t="str">
        <f t="shared" si="50"/>
        <v>سمنانآرادان</v>
      </c>
      <c r="B1657" s="12" t="s">
        <v>365</v>
      </c>
      <c r="C1657" s="12" t="s">
        <v>371</v>
      </c>
      <c r="D1657" s="12" t="s">
        <v>480</v>
      </c>
      <c r="E1657" s="12">
        <v>0.35233124074204697</v>
      </c>
      <c r="F1657" s="12">
        <v>14177</v>
      </c>
      <c r="G1657">
        <f t="shared" si="51"/>
        <v>4995</v>
      </c>
      <c r="H1657" s="16" t="s">
        <v>750</v>
      </c>
    </row>
    <row r="1658" spans="1:8">
      <c r="A1658" t="str">
        <f t="shared" si="50"/>
        <v>سمنانآرادان</v>
      </c>
      <c r="B1658" s="12" t="s">
        <v>365</v>
      </c>
      <c r="C1658" s="12" t="s">
        <v>371</v>
      </c>
      <c r="D1658" s="12" t="s">
        <v>479</v>
      </c>
      <c r="E1658" s="12">
        <v>0.37306905551244973</v>
      </c>
      <c r="F1658" s="12">
        <v>14177</v>
      </c>
      <c r="G1658">
        <f t="shared" si="51"/>
        <v>5289</v>
      </c>
      <c r="H1658" s="16" t="s">
        <v>750</v>
      </c>
    </row>
    <row r="1659" spans="1:8">
      <c r="A1659" t="str">
        <f t="shared" si="50"/>
        <v>سمنانآرادان</v>
      </c>
      <c r="B1659" s="12" t="s">
        <v>365</v>
      </c>
      <c r="C1659" s="12" t="s">
        <v>371</v>
      </c>
      <c r="D1659" s="12" t="s">
        <v>22</v>
      </c>
      <c r="E1659" s="12">
        <v>0.13670028920081823</v>
      </c>
      <c r="F1659" s="12">
        <v>14177</v>
      </c>
      <c r="G1659">
        <f t="shared" si="51"/>
        <v>1938</v>
      </c>
      <c r="H1659" s="16" t="s">
        <v>750</v>
      </c>
    </row>
    <row r="1660" spans="1:8">
      <c r="A1660" t="str">
        <f t="shared" si="50"/>
        <v>سمنانآرادان</v>
      </c>
      <c r="B1660" s="12" t="s">
        <v>365</v>
      </c>
      <c r="C1660" s="12" t="s">
        <v>371</v>
      </c>
      <c r="D1660" s="12" t="s">
        <v>478</v>
      </c>
      <c r="E1660" s="12">
        <v>6.2283981096141638E-2</v>
      </c>
      <c r="F1660" s="12">
        <v>14177</v>
      </c>
      <c r="G1660">
        <f t="shared" si="51"/>
        <v>883</v>
      </c>
      <c r="H1660" s="16" t="s">
        <v>750</v>
      </c>
    </row>
    <row r="1661" spans="1:8">
      <c r="A1661" t="str">
        <f t="shared" si="50"/>
        <v>سمنانآرادان</v>
      </c>
      <c r="B1661" s="12" t="s">
        <v>365</v>
      </c>
      <c r="C1661" s="12" t="s">
        <v>371</v>
      </c>
      <c r="D1661" s="12" t="s">
        <v>20</v>
      </c>
      <c r="E1661" s="12">
        <v>7.5685970233476757E-2</v>
      </c>
      <c r="F1661" s="12">
        <v>14177</v>
      </c>
      <c r="G1661">
        <f t="shared" si="51"/>
        <v>1073</v>
      </c>
      <c r="H1661" s="16" t="s">
        <v>750</v>
      </c>
    </row>
    <row r="1662" spans="1:8">
      <c r="A1662" t="str">
        <f t="shared" si="50"/>
        <v>سمنانميامي</v>
      </c>
      <c r="B1662" s="12" t="s">
        <v>365</v>
      </c>
      <c r="C1662" s="12" t="s">
        <v>372</v>
      </c>
      <c r="D1662" s="12" t="s">
        <v>480</v>
      </c>
      <c r="E1662" s="12">
        <v>0.43481970339514692</v>
      </c>
      <c r="F1662" s="12">
        <v>39851</v>
      </c>
      <c r="G1662">
        <f t="shared" si="51"/>
        <v>17328</v>
      </c>
      <c r="H1662" s="16" t="s">
        <v>754</v>
      </c>
    </row>
    <row r="1663" spans="1:8">
      <c r="A1663" t="str">
        <f t="shared" si="50"/>
        <v>سمنانميامي</v>
      </c>
      <c r="B1663" s="12" t="s">
        <v>365</v>
      </c>
      <c r="C1663" s="12" t="s">
        <v>372</v>
      </c>
      <c r="D1663" s="12" t="s">
        <v>479</v>
      </c>
      <c r="E1663" s="12">
        <v>0.37695415422448619</v>
      </c>
      <c r="F1663" s="12">
        <v>39851</v>
      </c>
      <c r="G1663">
        <f t="shared" si="51"/>
        <v>15022</v>
      </c>
      <c r="H1663" s="16" t="s">
        <v>754</v>
      </c>
    </row>
    <row r="1664" spans="1:8">
      <c r="A1664" t="str">
        <f t="shared" si="50"/>
        <v>سمنانميامي</v>
      </c>
      <c r="B1664" s="12" t="s">
        <v>365</v>
      </c>
      <c r="C1664" s="12" t="s">
        <v>372</v>
      </c>
      <c r="D1664" s="12" t="s">
        <v>22</v>
      </c>
      <c r="E1664" s="12">
        <v>0.10484053097789266</v>
      </c>
      <c r="F1664" s="12">
        <v>39851</v>
      </c>
      <c r="G1664">
        <f t="shared" si="51"/>
        <v>4178</v>
      </c>
      <c r="H1664" s="16" t="s">
        <v>754</v>
      </c>
    </row>
    <row r="1665" spans="1:8">
      <c r="A1665" t="str">
        <f t="shared" si="50"/>
        <v>سمنانميامي</v>
      </c>
      <c r="B1665" s="12" t="s">
        <v>365</v>
      </c>
      <c r="C1665" s="12" t="s">
        <v>372</v>
      </c>
      <c r="D1665" s="12" t="s">
        <v>478</v>
      </c>
      <c r="E1665" s="12">
        <v>4.1103109081327943E-2</v>
      </c>
      <c r="F1665" s="12">
        <v>39851</v>
      </c>
      <c r="G1665">
        <f t="shared" si="51"/>
        <v>1638</v>
      </c>
      <c r="H1665" s="16" t="s">
        <v>754</v>
      </c>
    </row>
    <row r="1666" spans="1:8">
      <c r="A1666" t="str">
        <f t="shared" ref="A1666:A1729" si="52">B1666&amp;C1666</f>
        <v>سمنانميامي</v>
      </c>
      <c r="B1666" s="12" t="s">
        <v>365</v>
      </c>
      <c r="C1666" s="12" t="s">
        <v>372</v>
      </c>
      <c r="D1666" s="12" t="s">
        <v>20</v>
      </c>
      <c r="E1666" s="12">
        <v>4.2131941482020527E-2</v>
      </c>
      <c r="F1666" s="12">
        <v>39851</v>
      </c>
      <c r="G1666">
        <f t="shared" si="51"/>
        <v>1679</v>
      </c>
      <c r="H1666" s="16" t="s">
        <v>754</v>
      </c>
    </row>
    <row r="1667" spans="1:8">
      <c r="A1667" t="str">
        <f t="shared" si="52"/>
        <v>سمنانسرخه</v>
      </c>
      <c r="B1667" s="12" t="s">
        <v>365</v>
      </c>
      <c r="C1667" s="12" t="s">
        <v>374</v>
      </c>
      <c r="D1667" s="12" t="s">
        <v>480</v>
      </c>
      <c r="E1667" s="12">
        <v>0.39037735849056604</v>
      </c>
      <c r="F1667" s="12">
        <v>15900</v>
      </c>
      <c r="G1667">
        <f t="shared" ref="G1667:G1730" si="53">IFERROR(ROUND(F1667*E1667,0),0)</f>
        <v>6207</v>
      </c>
      <c r="H1667" s="16" t="s">
        <v>749</v>
      </c>
    </row>
    <row r="1668" spans="1:8">
      <c r="A1668" t="str">
        <f t="shared" si="52"/>
        <v>سمنانسرخه</v>
      </c>
      <c r="B1668" s="12" t="s">
        <v>365</v>
      </c>
      <c r="C1668" s="12" t="s">
        <v>374</v>
      </c>
      <c r="D1668" s="12" t="s">
        <v>479</v>
      </c>
      <c r="E1668" s="12">
        <v>0.39037735849056604</v>
      </c>
      <c r="F1668" s="12">
        <v>15900</v>
      </c>
      <c r="G1668">
        <f t="shared" si="53"/>
        <v>6207</v>
      </c>
      <c r="H1668" s="16" t="s">
        <v>749</v>
      </c>
    </row>
    <row r="1669" spans="1:8">
      <c r="A1669" t="str">
        <f t="shared" si="52"/>
        <v>سمنانسرخه</v>
      </c>
      <c r="B1669" s="12" t="s">
        <v>365</v>
      </c>
      <c r="C1669" s="12" t="s">
        <v>374</v>
      </c>
      <c r="D1669" s="12" t="s">
        <v>22</v>
      </c>
      <c r="E1669" s="12">
        <v>0.11672955974842768</v>
      </c>
      <c r="F1669" s="12">
        <v>15900</v>
      </c>
      <c r="G1669">
        <f t="shared" si="53"/>
        <v>1856</v>
      </c>
      <c r="H1669" s="16" t="s">
        <v>749</v>
      </c>
    </row>
    <row r="1670" spans="1:8">
      <c r="A1670" t="str">
        <f t="shared" si="52"/>
        <v>سمنانسرخه</v>
      </c>
      <c r="B1670" s="12" t="s">
        <v>365</v>
      </c>
      <c r="C1670" s="12" t="s">
        <v>374</v>
      </c>
      <c r="D1670" s="12" t="s">
        <v>478</v>
      </c>
      <c r="E1670" s="12">
        <v>5.0125786163522014E-2</v>
      </c>
      <c r="F1670" s="12">
        <v>15900</v>
      </c>
      <c r="G1670">
        <f t="shared" si="53"/>
        <v>797</v>
      </c>
      <c r="H1670" s="16" t="s">
        <v>749</v>
      </c>
    </row>
    <row r="1671" spans="1:8">
      <c r="A1671" t="str">
        <f t="shared" si="52"/>
        <v>سمنانسرخه</v>
      </c>
      <c r="B1671" s="12" t="s">
        <v>365</v>
      </c>
      <c r="C1671" s="12" t="s">
        <v>374</v>
      </c>
      <c r="D1671" s="12" t="s">
        <v>20</v>
      </c>
      <c r="E1671" s="12">
        <v>5.2327044025157234E-2</v>
      </c>
      <c r="F1671" s="12">
        <v>15900</v>
      </c>
      <c r="G1671">
        <f t="shared" si="53"/>
        <v>832</v>
      </c>
      <c r="H1671" s="16" t="s">
        <v>749</v>
      </c>
    </row>
    <row r="1672" spans="1:8">
      <c r="A1672" t="str">
        <f t="shared" si="52"/>
        <v>يزداردكان</v>
      </c>
      <c r="B1672" s="12" t="s">
        <v>373</v>
      </c>
      <c r="C1672" s="12" t="s">
        <v>375</v>
      </c>
      <c r="D1672" s="12" t="s">
        <v>480</v>
      </c>
      <c r="E1672" s="12">
        <v>0.44882834768519908</v>
      </c>
      <c r="F1672" s="12">
        <v>99987</v>
      </c>
      <c r="G1672">
        <f t="shared" si="53"/>
        <v>44877</v>
      </c>
      <c r="H1672" s="16" t="s">
        <v>996</v>
      </c>
    </row>
    <row r="1673" spans="1:8">
      <c r="A1673" t="str">
        <f t="shared" si="52"/>
        <v>يزداردكان</v>
      </c>
      <c r="B1673" s="12" t="s">
        <v>373</v>
      </c>
      <c r="C1673" s="12" t="s">
        <v>375</v>
      </c>
      <c r="D1673" s="12" t="s">
        <v>479</v>
      </c>
      <c r="E1673" s="12">
        <v>0.39246101993259125</v>
      </c>
      <c r="F1673" s="12">
        <v>99987</v>
      </c>
      <c r="G1673">
        <f t="shared" si="53"/>
        <v>39241</v>
      </c>
      <c r="H1673" s="16" t="s">
        <v>996</v>
      </c>
    </row>
    <row r="1674" spans="1:8">
      <c r="A1674" t="str">
        <f t="shared" si="52"/>
        <v>يزداردكان</v>
      </c>
      <c r="B1674" s="12" t="s">
        <v>373</v>
      </c>
      <c r="C1674" s="12" t="s">
        <v>375</v>
      </c>
      <c r="D1674" s="12" t="s">
        <v>22</v>
      </c>
      <c r="E1674" s="12">
        <v>9.0611779531339073E-2</v>
      </c>
      <c r="F1674" s="12">
        <v>99987</v>
      </c>
      <c r="G1674">
        <f t="shared" si="53"/>
        <v>9060</v>
      </c>
      <c r="H1674" s="16" t="s">
        <v>996</v>
      </c>
    </row>
    <row r="1675" spans="1:8">
      <c r="A1675" t="str">
        <f t="shared" si="52"/>
        <v>يزداردكان</v>
      </c>
      <c r="B1675" s="12" t="s">
        <v>373</v>
      </c>
      <c r="C1675" s="12" t="s">
        <v>375</v>
      </c>
      <c r="D1675" s="12" t="s">
        <v>478</v>
      </c>
      <c r="E1675" s="12">
        <v>3.4094432276195907E-2</v>
      </c>
      <c r="F1675" s="12">
        <v>99987</v>
      </c>
      <c r="G1675">
        <f t="shared" si="53"/>
        <v>3409</v>
      </c>
      <c r="H1675" s="16" t="s">
        <v>996</v>
      </c>
    </row>
    <row r="1676" spans="1:8">
      <c r="A1676" t="str">
        <f t="shared" si="52"/>
        <v>يزداردكان</v>
      </c>
      <c r="B1676" s="12" t="s">
        <v>373</v>
      </c>
      <c r="C1676" s="12" t="s">
        <v>375</v>
      </c>
      <c r="D1676" s="12" t="s">
        <v>20</v>
      </c>
      <c r="E1676" s="12">
        <v>3.4044425775350794E-2</v>
      </c>
      <c r="F1676" s="12">
        <v>99987</v>
      </c>
      <c r="G1676">
        <f t="shared" si="53"/>
        <v>3404</v>
      </c>
      <c r="H1676" s="16" t="s">
        <v>996</v>
      </c>
    </row>
    <row r="1677" spans="1:8">
      <c r="A1677" t="str">
        <f t="shared" si="52"/>
        <v>يزدبافق</v>
      </c>
      <c r="B1677" s="12" t="s">
        <v>373</v>
      </c>
      <c r="C1677" s="12" t="s">
        <v>376</v>
      </c>
      <c r="D1677" s="12" t="s">
        <v>480</v>
      </c>
      <c r="E1677" s="12">
        <v>0.48304385375683717</v>
      </c>
      <c r="F1677" s="12">
        <v>52105</v>
      </c>
      <c r="G1677">
        <f t="shared" si="53"/>
        <v>25169</v>
      </c>
      <c r="H1677" s="16" t="s">
        <v>991</v>
      </c>
    </row>
    <row r="1678" spans="1:8">
      <c r="A1678" t="str">
        <f t="shared" si="52"/>
        <v>يزدبافق</v>
      </c>
      <c r="B1678" s="12" t="s">
        <v>373</v>
      </c>
      <c r="C1678" s="12" t="s">
        <v>376</v>
      </c>
      <c r="D1678" s="12" t="s">
        <v>479</v>
      </c>
      <c r="E1678" s="12">
        <v>0.37368774589770654</v>
      </c>
      <c r="F1678" s="12">
        <v>52105</v>
      </c>
      <c r="G1678">
        <f t="shared" si="53"/>
        <v>19471</v>
      </c>
      <c r="H1678" s="16" t="s">
        <v>991</v>
      </c>
    </row>
    <row r="1679" spans="1:8">
      <c r="A1679" t="str">
        <f t="shared" si="52"/>
        <v>يزدبافق</v>
      </c>
      <c r="B1679" s="12" t="s">
        <v>373</v>
      </c>
      <c r="C1679" s="12" t="s">
        <v>376</v>
      </c>
      <c r="D1679" s="12" t="s">
        <v>22</v>
      </c>
      <c r="E1679" s="12">
        <v>8.1662028596104025E-2</v>
      </c>
      <c r="F1679" s="12">
        <v>52105</v>
      </c>
      <c r="G1679">
        <f t="shared" si="53"/>
        <v>4255</v>
      </c>
      <c r="H1679" s="16" t="s">
        <v>991</v>
      </c>
    </row>
    <row r="1680" spans="1:8">
      <c r="A1680" t="str">
        <f t="shared" si="52"/>
        <v>يزدبافق</v>
      </c>
      <c r="B1680" s="12" t="s">
        <v>373</v>
      </c>
      <c r="C1680" s="12" t="s">
        <v>376</v>
      </c>
      <c r="D1680" s="12" t="s">
        <v>478</v>
      </c>
      <c r="E1680" s="12">
        <v>2.9728432971883698E-2</v>
      </c>
      <c r="F1680" s="12">
        <v>52105</v>
      </c>
      <c r="G1680">
        <f t="shared" si="53"/>
        <v>1549</v>
      </c>
      <c r="H1680" s="16" t="s">
        <v>991</v>
      </c>
    </row>
    <row r="1681" spans="1:8">
      <c r="A1681" t="str">
        <f t="shared" si="52"/>
        <v>يزدبافق</v>
      </c>
      <c r="B1681" s="12" t="s">
        <v>373</v>
      </c>
      <c r="C1681" s="12" t="s">
        <v>376</v>
      </c>
      <c r="D1681" s="12" t="s">
        <v>20</v>
      </c>
      <c r="E1681" s="12">
        <v>3.187793877746857E-2</v>
      </c>
      <c r="F1681" s="12">
        <v>52105</v>
      </c>
      <c r="G1681">
        <f t="shared" si="53"/>
        <v>1661</v>
      </c>
      <c r="H1681" s="16" t="s">
        <v>991</v>
      </c>
    </row>
    <row r="1682" spans="1:8">
      <c r="A1682" t="str">
        <f t="shared" si="52"/>
        <v>يزدتفت</v>
      </c>
      <c r="B1682" s="12" t="s">
        <v>373</v>
      </c>
      <c r="C1682" s="12" t="s">
        <v>377</v>
      </c>
      <c r="D1682" s="12" t="s">
        <v>480</v>
      </c>
      <c r="E1682" s="12">
        <v>0.3733565440469101</v>
      </c>
      <c r="F1682" s="12">
        <v>43658</v>
      </c>
      <c r="G1682">
        <f t="shared" si="53"/>
        <v>16300</v>
      </c>
      <c r="H1682" s="16" t="s">
        <v>1002</v>
      </c>
    </row>
    <row r="1683" spans="1:8">
      <c r="A1683" t="str">
        <f t="shared" si="52"/>
        <v>يزدتفت</v>
      </c>
      <c r="B1683" s="12" t="s">
        <v>373</v>
      </c>
      <c r="C1683" s="12" t="s">
        <v>377</v>
      </c>
      <c r="D1683" s="12" t="s">
        <v>479</v>
      </c>
      <c r="E1683" s="12">
        <v>0.34722158596362634</v>
      </c>
      <c r="F1683" s="12">
        <v>43658</v>
      </c>
      <c r="G1683">
        <f t="shared" si="53"/>
        <v>15159</v>
      </c>
      <c r="H1683" s="16" t="s">
        <v>1002</v>
      </c>
    </row>
    <row r="1684" spans="1:8">
      <c r="A1684" t="str">
        <f t="shared" si="52"/>
        <v>يزدتفت</v>
      </c>
      <c r="B1684" s="12" t="s">
        <v>373</v>
      </c>
      <c r="C1684" s="12" t="s">
        <v>377</v>
      </c>
      <c r="D1684" s="12" t="s">
        <v>22</v>
      </c>
      <c r="E1684" s="12">
        <v>0.13149938155664484</v>
      </c>
      <c r="F1684" s="12">
        <v>43658</v>
      </c>
      <c r="G1684">
        <f t="shared" si="53"/>
        <v>5741</v>
      </c>
      <c r="H1684" s="16" t="s">
        <v>1002</v>
      </c>
    </row>
    <row r="1685" spans="1:8">
      <c r="A1685" t="str">
        <f t="shared" si="52"/>
        <v>يزدتفت</v>
      </c>
      <c r="B1685" s="12" t="s">
        <v>373</v>
      </c>
      <c r="C1685" s="12" t="s">
        <v>377</v>
      </c>
      <c r="D1685" s="12" t="s">
        <v>478</v>
      </c>
      <c r="E1685" s="12">
        <v>6.4455540794356128E-2</v>
      </c>
      <c r="F1685" s="12">
        <v>43658</v>
      </c>
      <c r="G1685">
        <f t="shared" si="53"/>
        <v>2814</v>
      </c>
      <c r="H1685" s="16" t="s">
        <v>1002</v>
      </c>
    </row>
    <row r="1686" spans="1:8">
      <c r="A1686" t="str">
        <f t="shared" si="52"/>
        <v>يزدتفت</v>
      </c>
      <c r="B1686" s="12" t="s">
        <v>373</v>
      </c>
      <c r="C1686" s="12" t="s">
        <v>377</v>
      </c>
      <c r="D1686" s="12" t="s">
        <v>20</v>
      </c>
      <c r="E1686" s="12">
        <v>8.3421137019561137E-2</v>
      </c>
      <c r="F1686" s="12">
        <v>43658</v>
      </c>
      <c r="G1686">
        <f t="shared" si="53"/>
        <v>3642</v>
      </c>
      <c r="H1686" s="16" t="s">
        <v>1002</v>
      </c>
    </row>
    <row r="1687" spans="1:8">
      <c r="A1687" t="str">
        <f t="shared" si="52"/>
        <v>يزدمهريز</v>
      </c>
      <c r="B1687" s="12" t="s">
        <v>373</v>
      </c>
      <c r="C1687" s="12" t="s">
        <v>378</v>
      </c>
      <c r="D1687" s="12" t="s">
        <v>480</v>
      </c>
      <c r="E1687" s="12">
        <v>0.44098354367256126</v>
      </c>
      <c r="F1687" s="12">
        <v>52138</v>
      </c>
      <c r="G1687">
        <f t="shared" si="53"/>
        <v>22992</v>
      </c>
      <c r="H1687" s="16" t="s">
        <v>995</v>
      </c>
    </row>
    <row r="1688" spans="1:8">
      <c r="A1688" t="str">
        <f t="shared" si="52"/>
        <v>يزدمهريز</v>
      </c>
      <c r="B1688" s="12" t="s">
        <v>373</v>
      </c>
      <c r="C1688" s="12" t="s">
        <v>378</v>
      </c>
      <c r="D1688" s="12" t="s">
        <v>479</v>
      </c>
      <c r="E1688" s="12">
        <v>0.37076604396025931</v>
      </c>
      <c r="F1688" s="12">
        <v>52138</v>
      </c>
      <c r="G1688">
        <f t="shared" si="53"/>
        <v>19331</v>
      </c>
      <c r="H1688" s="16" t="s">
        <v>995</v>
      </c>
    </row>
    <row r="1689" spans="1:8">
      <c r="A1689" t="str">
        <f t="shared" si="52"/>
        <v>يزدمهريز</v>
      </c>
      <c r="B1689" s="12" t="s">
        <v>373</v>
      </c>
      <c r="C1689" s="12" t="s">
        <v>378</v>
      </c>
      <c r="D1689" s="12" t="s">
        <v>22</v>
      </c>
      <c r="E1689" s="12">
        <v>9.7855690667075834E-2</v>
      </c>
      <c r="F1689" s="12">
        <v>52138</v>
      </c>
      <c r="G1689">
        <f t="shared" si="53"/>
        <v>5102</v>
      </c>
      <c r="H1689" s="16" t="s">
        <v>995</v>
      </c>
    </row>
    <row r="1690" spans="1:8">
      <c r="A1690" t="str">
        <f t="shared" si="52"/>
        <v>يزدمهريز</v>
      </c>
      <c r="B1690" s="12" t="s">
        <v>373</v>
      </c>
      <c r="C1690" s="12" t="s">
        <v>378</v>
      </c>
      <c r="D1690" s="12" t="s">
        <v>478</v>
      </c>
      <c r="E1690" s="12">
        <v>4.1716214661091718E-2</v>
      </c>
      <c r="F1690" s="12">
        <v>52138</v>
      </c>
      <c r="G1690">
        <f t="shared" si="53"/>
        <v>2175</v>
      </c>
      <c r="H1690" s="16" t="s">
        <v>995</v>
      </c>
    </row>
    <row r="1691" spans="1:8">
      <c r="A1691" t="str">
        <f t="shared" si="52"/>
        <v>يزدمهريز</v>
      </c>
      <c r="B1691" s="12" t="s">
        <v>373</v>
      </c>
      <c r="C1691" s="12" t="s">
        <v>378</v>
      </c>
      <c r="D1691" s="12" t="s">
        <v>20</v>
      </c>
      <c r="E1691" s="12">
        <v>4.8659327170202153E-2</v>
      </c>
      <c r="F1691" s="12">
        <v>52138</v>
      </c>
      <c r="G1691">
        <f t="shared" si="53"/>
        <v>2537</v>
      </c>
      <c r="H1691" s="16" t="s">
        <v>995</v>
      </c>
    </row>
    <row r="1692" spans="1:8">
      <c r="A1692" t="str">
        <f t="shared" si="52"/>
        <v>يزديزد</v>
      </c>
      <c r="B1692" s="12" t="s">
        <v>373</v>
      </c>
      <c r="C1692" s="12" t="s">
        <v>373</v>
      </c>
      <c r="D1692" s="12" t="s">
        <v>480</v>
      </c>
      <c r="E1692" s="12">
        <v>0.45312644742936542</v>
      </c>
      <c r="F1692" s="12">
        <v>669290</v>
      </c>
      <c r="G1692">
        <f t="shared" si="53"/>
        <v>303273</v>
      </c>
      <c r="H1692" s="16" t="s">
        <v>1001</v>
      </c>
    </row>
    <row r="1693" spans="1:8">
      <c r="A1693" t="str">
        <f t="shared" si="52"/>
        <v>يزديزد</v>
      </c>
      <c r="B1693" s="12" t="s">
        <v>373</v>
      </c>
      <c r="C1693" s="12" t="s">
        <v>373</v>
      </c>
      <c r="D1693" s="12" t="s">
        <v>479</v>
      </c>
      <c r="E1693" s="12">
        <v>0.39050187512139728</v>
      </c>
      <c r="F1693" s="12">
        <v>669290</v>
      </c>
      <c r="G1693">
        <f t="shared" si="53"/>
        <v>261359</v>
      </c>
      <c r="H1693" s="16" t="s">
        <v>1001</v>
      </c>
    </row>
    <row r="1694" spans="1:8">
      <c r="A1694" t="str">
        <f t="shared" si="52"/>
        <v>يزديزد</v>
      </c>
      <c r="B1694" s="12" t="s">
        <v>373</v>
      </c>
      <c r="C1694" s="12" t="s">
        <v>373</v>
      </c>
      <c r="D1694" s="12" t="s">
        <v>22</v>
      </c>
      <c r="E1694" s="12">
        <v>9.3787446398422208E-2</v>
      </c>
      <c r="F1694" s="12">
        <v>669290</v>
      </c>
      <c r="G1694">
        <f t="shared" si="53"/>
        <v>62771</v>
      </c>
      <c r="H1694" s="16" t="s">
        <v>1001</v>
      </c>
    </row>
    <row r="1695" spans="1:8">
      <c r="A1695" t="str">
        <f t="shared" si="52"/>
        <v>يزديزد</v>
      </c>
      <c r="B1695" s="12" t="s">
        <v>373</v>
      </c>
      <c r="C1695" s="12" t="s">
        <v>373</v>
      </c>
      <c r="D1695" s="12" t="s">
        <v>478</v>
      </c>
      <c r="E1695" s="12">
        <v>3.3017077798861483E-2</v>
      </c>
      <c r="F1695" s="12">
        <v>669290</v>
      </c>
      <c r="G1695">
        <f t="shared" si="53"/>
        <v>22098</v>
      </c>
      <c r="H1695" s="16" t="s">
        <v>1001</v>
      </c>
    </row>
    <row r="1696" spans="1:8">
      <c r="A1696" t="str">
        <f t="shared" si="52"/>
        <v>يزديزد</v>
      </c>
      <c r="B1696" s="12" t="s">
        <v>373</v>
      </c>
      <c r="C1696" s="12" t="s">
        <v>373</v>
      </c>
      <c r="D1696" s="12" t="s">
        <v>20</v>
      </c>
      <c r="E1696" s="12">
        <v>2.9565659131318263E-2</v>
      </c>
      <c r="F1696" s="12">
        <v>669290</v>
      </c>
      <c r="G1696">
        <f t="shared" si="53"/>
        <v>19788</v>
      </c>
      <c r="H1696" s="16" t="s">
        <v>1001</v>
      </c>
    </row>
    <row r="1697" spans="1:8">
      <c r="A1697" t="str">
        <f t="shared" si="52"/>
        <v>يزدميبد</v>
      </c>
      <c r="B1697" s="12" t="s">
        <v>373</v>
      </c>
      <c r="C1697" s="12" t="s">
        <v>379</v>
      </c>
      <c r="D1697" s="12" t="s">
        <v>480</v>
      </c>
      <c r="E1697" s="12">
        <v>0.4707809993348202</v>
      </c>
      <c r="F1697" s="12">
        <v>102228</v>
      </c>
      <c r="G1697">
        <f t="shared" si="53"/>
        <v>48127</v>
      </c>
      <c r="H1697" s="16" t="s">
        <v>997</v>
      </c>
    </row>
    <row r="1698" spans="1:8">
      <c r="A1698" t="str">
        <f t="shared" si="52"/>
        <v>يزدميبد</v>
      </c>
      <c r="B1698" s="12" t="s">
        <v>373</v>
      </c>
      <c r="C1698" s="12" t="s">
        <v>379</v>
      </c>
      <c r="D1698" s="12" t="s">
        <v>479</v>
      </c>
      <c r="E1698" s="12">
        <v>0.36938999100050868</v>
      </c>
      <c r="F1698" s="12">
        <v>102228</v>
      </c>
      <c r="G1698">
        <f t="shared" si="53"/>
        <v>37762</v>
      </c>
      <c r="H1698" s="16" t="s">
        <v>997</v>
      </c>
    </row>
    <row r="1699" spans="1:8">
      <c r="A1699" t="str">
        <f t="shared" si="52"/>
        <v>يزدميبد</v>
      </c>
      <c r="B1699" s="12" t="s">
        <v>373</v>
      </c>
      <c r="C1699" s="12" t="s">
        <v>379</v>
      </c>
      <c r="D1699" s="12" t="s">
        <v>22</v>
      </c>
      <c r="E1699" s="12">
        <v>9.1912196267167512E-2</v>
      </c>
      <c r="F1699" s="12">
        <v>102228</v>
      </c>
      <c r="G1699">
        <f t="shared" si="53"/>
        <v>9396</v>
      </c>
      <c r="H1699" s="16" t="s">
        <v>997</v>
      </c>
    </row>
    <row r="1700" spans="1:8">
      <c r="A1700" t="str">
        <f t="shared" si="52"/>
        <v>يزدميبد</v>
      </c>
      <c r="B1700" s="12" t="s">
        <v>373</v>
      </c>
      <c r="C1700" s="12" t="s">
        <v>379</v>
      </c>
      <c r="D1700" s="12" t="s">
        <v>478</v>
      </c>
      <c r="E1700" s="12">
        <v>3.3523105215792152E-2</v>
      </c>
      <c r="F1700" s="12">
        <v>102228</v>
      </c>
      <c r="G1700">
        <f t="shared" si="53"/>
        <v>3427</v>
      </c>
      <c r="H1700" s="16" t="s">
        <v>997</v>
      </c>
    </row>
    <row r="1701" spans="1:8">
      <c r="A1701" t="str">
        <f t="shared" si="52"/>
        <v>يزدميبد</v>
      </c>
      <c r="B1701" s="12" t="s">
        <v>373</v>
      </c>
      <c r="C1701" s="12" t="s">
        <v>379</v>
      </c>
      <c r="D1701" s="12" t="s">
        <v>20</v>
      </c>
      <c r="E1701" s="12">
        <v>3.441327229330516E-2</v>
      </c>
      <c r="F1701" s="12">
        <v>102228</v>
      </c>
      <c r="G1701">
        <f t="shared" si="53"/>
        <v>3518</v>
      </c>
      <c r="H1701" s="16" t="s">
        <v>997</v>
      </c>
    </row>
    <row r="1702" spans="1:8">
      <c r="A1702" t="str">
        <f t="shared" si="52"/>
        <v>يزدابركوه</v>
      </c>
      <c r="B1702" s="12" t="s">
        <v>373</v>
      </c>
      <c r="C1702" s="12" t="s">
        <v>380</v>
      </c>
      <c r="D1702" s="12" t="s">
        <v>480</v>
      </c>
      <c r="E1702" s="12">
        <v>0.42163494611327679</v>
      </c>
      <c r="F1702" s="12">
        <v>52332</v>
      </c>
      <c r="G1702">
        <f t="shared" si="53"/>
        <v>22065</v>
      </c>
      <c r="H1702" s="16" t="s">
        <v>1000</v>
      </c>
    </row>
    <row r="1703" spans="1:8">
      <c r="A1703" t="str">
        <f t="shared" si="52"/>
        <v>يزدابركوه</v>
      </c>
      <c r="B1703" s="12" t="s">
        <v>373</v>
      </c>
      <c r="C1703" s="12" t="s">
        <v>380</v>
      </c>
      <c r="D1703" s="12" t="s">
        <v>479</v>
      </c>
      <c r="E1703" s="12">
        <v>0.38989528395627915</v>
      </c>
      <c r="F1703" s="12">
        <v>52332</v>
      </c>
      <c r="G1703">
        <f t="shared" si="53"/>
        <v>20404</v>
      </c>
      <c r="H1703" s="16" t="s">
        <v>1000</v>
      </c>
    </row>
    <row r="1704" spans="1:8">
      <c r="A1704" t="str">
        <f t="shared" si="52"/>
        <v>يزدابركوه</v>
      </c>
      <c r="B1704" s="12" t="s">
        <v>373</v>
      </c>
      <c r="C1704" s="12" t="s">
        <v>380</v>
      </c>
      <c r="D1704" s="12" t="s">
        <v>22</v>
      </c>
      <c r="E1704" s="12">
        <v>0.10148666208056256</v>
      </c>
      <c r="F1704" s="12">
        <v>52332</v>
      </c>
      <c r="G1704">
        <f t="shared" si="53"/>
        <v>5311</v>
      </c>
      <c r="H1704" s="16" t="s">
        <v>1000</v>
      </c>
    </row>
    <row r="1705" spans="1:8">
      <c r="A1705" t="str">
        <f t="shared" si="52"/>
        <v>يزدابركوه</v>
      </c>
      <c r="B1705" s="12" t="s">
        <v>373</v>
      </c>
      <c r="C1705" s="12" t="s">
        <v>380</v>
      </c>
      <c r="D1705" s="12" t="s">
        <v>478</v>
      </c>
      <c r="E1705" s="12">
        <v>4.0644347626691127E-2</v>
      </c>
      <c r="F1705" s="12">
        <v>52332</v>
      </c>
      <c r="G1705">
        <f t="shared" si="53"/>
        <v>2127</v>
      </c>
      <c r="H1705" s="16" t="s">
        <v>1000</v>
      </c>
    </row>
    <row r="1706" spans="1:8">
      <c r="A1706" t="str">
        <f t="shared" si="52"/>
        <v>يزدابركوه</v>
      </c>
      <c r="B1706" s="12" t="s">
        <v>373</v>
      </c>
      <c r="C1706" s="12" t="s">
        <v>380</v>
      </c>
      <c r="D1706" s="12" t="s">
        <v>20</v>
      </c>
      <c r="E1706" s="12">
        <v>4.6415195291599785E-2</v>
      </c>
      <c r="F1706" s="12">
        <v>52332</v>
      </c>
      <c r="G1706">
        <f t="shared" si="53"/>
        <v>2429</v>
      </c>
      <c r="H1706" s="16" t="s">
        <v>1000</v>
      </c>
    </row>
    <row r="1707" spans="1:8">
      <c r="A1707" t="str">
        <f t="shared" si="52"/>
        <v>يزداشکذر</v>
      </c>
      <c r="B1707" s="12" t="s">
        <v>373</v>
      </c>
      <c r="C1707" s="12" t="s">
        <v>381</v>
      </c>
      <c r="D1707" s="12" t="s">
        <v>480</v>
      </c>
      <c r="E1707" s="12">
        <v>0.46374654475866467</v>
      </c>
      <c r="F1707" s="12">
        <v>32921</v>
      </c>
      <c r="G1707">
        <f t="shared" si="53"/>
        <v>15267</v>
      </c>
      <c r="H1707" s="16" t="s">
        <v>998</v>
      </c>
    </row>
    <row r="1708" spans="1:8">
      <c r="A1708" t="str">
        <f t="shared" si="52"/>
        <v>يزداشکذر</v>
      </c>
      <c r="B1708" s="12" t="s">
        <v>373</v>
      </c>
      <c r="C1708" s="12" t="s">
        <v>381</v>
      </c>
      <c r="D1708" s="12" t="s">
        <v>479</v>
      </c>
      <c r="E1708" s="12">
        <v>0.36967285319400989</v>
      </c>
      <c r="F1708" s="12">
        <v>32921</v>
      </c>
      <c r="G1708">
        <f t="shared" si="53"/>
        <v>12170</v>
      </c>
      <c r="H1708" s="16" t="s">
        <v>998</v>
      </c>
    </row>
    <row r="1709" spans="1:8">
      <c r="A1709" t="str">
        <f t="shared" si="52"/>
        <v>يزداشکذر</v>
      </c>
      <c r="B1709" s="12" t="s">
        <v>373</v>
      </c>
      <c r="C1709" s="12" t="s">
        <v>381</v>
      </c>
      <c r="D1709" s="12" t="s">
        <v>22</v>
      </c>
      <c r="E1709" s="12">
        <v>8.8970565900185289E-2</v>
      </c>
      <c r="F1709" s="12">
        <v>32921</v>
      </c>
      <c r="G1709">
        <f t="shared" si="53"/>
        <v>2929</v>
      </c>
      <c r="H1709" s="16" t="s">
        <v>998</v>
      </c>
    </row>
    <row r="1710" spans="1:8">
      <c r="A1710" t="str">
        <f t="shared" si="52"/>
        <v>يزداشکذر</v>
      </c>
      <c r="B1710" s="12" t="s">
        <v>373</v>
      </c>
      <c r="C1710" s="12" t="s">
        <v>381</v>
      </c>
      <c r="D1710" s="12" t="s">
        <v>478</v>
      </c>
      <c r="E1710" s="12">
        <v>3.7787430515476443E-2</v>
      </c>
      <c r="F1710" s="12">
        <v>32921</v>
      </c>
      <c r="G1710">
        <f t="shared" si="53"/>
        <v>1244</v>
      </c>
      <c r="H1710" s="16" t="s">
        <v>998</v>
      </c>
    </row>
    <row r="1711" spans="1:8">
      <c r="A1711" t="str">
        <f t="shared" si="52"/>
        <v>يزداشکذر</v>
      </c>
      <c r="B1711" s="12" t="s">
        <v>373</v>
      </c>
      <c r="C1711" s="12" t="s">
        <v>381</v>
      </c>
      <c r="D1711" s="12" t="s">
        <v>20</v>
      </c>
      <c r="E1711" s="12">
        <v>3.9792229883660886E-2</v>
      </c>
      <c r="F1711" s="12">
        <v>32921</v>
      </c>
      <c r="G1711">
        <f t="shared" si="53"/>
        <v>1310</v>
      </c>
      <c r="H1711" s="16" t="s">
        <v>998</v>
      </c>
    </row>
    <row r="1712" spans="1:8">
      <c r="A1712" t="str">
        <f t="shared" si="52"/>
        <v>يزدخاتم</v>
      </c>
      <c r="B1712" s="12" t="s">
        <v>373</v>
      </c>
      <c r="C1712" s="12" t="s">
        <v>382</v>
      </c>
      <c r="D1712" s="12" t="s">
        <v>480</v>
      </c>
      <c r="E1712" s="12">
        <v>0.4426675282018146</v>
      </c>
      <c r="F1712" s="12">
        <v>37143</v>
      </c>
      <c r="G1712">
        <f t="shared" si="53"/>
        <v>16442</v>
      </c>
      <c r="H1712" s="16" t="s">
        <v>993</v>
      </c>
    </row>
    <row r="1713" spans="1:8">
      <c r="A1713" t="str">
        <f t="shared" si="52"/>
        <v>يزدخاتم</v>
      </c>
      <c r="B1713" s="12" t="s">
        <v>373</v>
      </c>
      <c r="C1713" s="12" t="s">
        <v>382</v>
      </c>
      <c r="D1713" s="12" t="s">
        <v>479</v>
      </c>
      <c r="E1713" s="12">
        <v>0.38898311929569501</v>
      </c>
      <c r="F1713" s="12">
        <v>37143</v>
      </c>
      <c r="G1713">
        <f t="shared" si="53"/>
        <v>14448</v>
      </c>
      <c r="H1713" s="16" t="s">
        <v>993</v>
      </c>
    </row>
    <row r="1714" spans="1:8">
      <c r="A1714" t="str">
        <f t="shared" si="52"/>
        <v>يزدخاتم</v>
      </c>
      <c r="B1714" s="12" t="s">
        <v>373</v>
      </c>
      <c r="C1714" s="12" t="s">
        <v>382</v>
      </c>
      <c r="D1714" s="12" t="s">
        <v>22</v>
      </c>
      <c r="E1714" s="12">
        <v>9.6491936569474732E-2</v>
      </c>
      <c r="F1714" s="12">
        <v>37143</v>
      </c>
      <c r="G1714">
        <f t="shared" si="53"/>
        <v>3584</v>
      </c>
      <c r="H1714" s="16" t="s">
        <v>993</v>
      </c>
    </row>
    <row r="1715" spans="1:8">
      <c r="A1715" t="str">
        <f t="shared" si="52"/>
        <v>يزدخاتم</v>
      </c>
      <c r="B1715" s="12" t="s">
        <v>373</v>
      </c>
      <c r="C1715" s="12" t="s">
        <v>382</v>
      </c>
      <c r="D1715" s="12" t="s">
        <v>478</v>
      </c>
      <c r="E1715" s="12">
        <v>3.6669089734270251E-2</v>
      </c>
      <c r="F1715" s="12">
        <v>37143</v>
      </c>
      <c r="G1715">
        <f t="shared" si="53"/>
        <v>1362</v>
      </c>
      <c r="H1715" s="16" t="s">
        <v>993</v>
      </c>
    </row>
    <row r="1716" spans="1:8">
      <c r="A1716" t="str">
        <f t="shared" si="52"/>
        <v>يزدخاتم</v>
      </c>
      <c r="B1716" s="12" t="s">
        <v>373</v>
      </c>
      <c r="C1716" s="12" t="s">
        <v>382</v>
      </c>
      <c r="D1716" s="12" t="s">
        <v>20</v>
      </c>
      <c r="E1716" s="12">
        <v>3.5188326198745387E-2</v>
      </c>
      <c r="F1716" s="12">
        <v>37143</v>
      </c>
      <c r="G1716">
        <f t="shared" si="53"/>
        <v>1307</v>
      </c>
      <c r="H1716" s="16" t="s">
        <v>993</v>
      </c>
    </row>
    <row r="1717" spans="1:8">
      <c r="A1717" t="str">
        <f t="shared" si="52"/>
        <v/>
      </c>
      <c r="B1717" s="12" t="s">
        <v>1003</v>
      </c>
      <c r="C1717" s="12" t="s">
        <v>1003</v>
      </c>
      <c r="D1717" s="12" t="s">
        <v>480</v>
      </c>
      <c r="E1717" s="12">
        <v>0.46645257483656383</v>
      </c>
      <c r="F1717" s="12">
        <v>17438</v>
      </c>
      <c r="G1717">
        <f t="shared" si="53"/>
        <v>8134</v>
      </c>
      <c r="H1717" s="16" t="s">
        <v>994</v>
      </c>
    </row>
    <row r="1718" spans="1:8">
      <c r="A1718" t="str">
        <f t="shared" si="52"/>
        <v/>
      </c>
      <c r="B1718" s="12" t="s">
        <v>1003</v>
      </c>
      <c r="C1718" s="12" t="s">
        <v>1003</v>
      </c>
      <c r="D1718" s="12" t="s">
        <v>479</v>
      </c>
      <c r="E1718" s="12">
        <v>0.3562908590434683</v>
      </c>
      <c r="F1718" s="12">
        <v>17438</v>
      </c>
      <c r="G1718">
        <f t="shared" si="53"/>
        <v>6213</v>
      </c>
      <c r="H1718" s="16" t="s">
        <v>994</v>
      </c>
    </row>
    <row r="1719" spans="1:8">
      <c r="A1719" t="str">
        <f t="shared" si="52"/>
        <v/>
      </c>
      <c r="B1719" s="12" t="s">
        <v>1003</v>
      </c>
      <c r="C1719" s="12" t="s">
        <v>1003</v>
      </c>
      <c r="D1719" s="12" t="s">
        <v>22</v>
      </c>
      <c r="E1719" s="12">
        <v>9.0549374928317466E-2</v>
      </c>
      <c r="F1719" s="12">
        <v>17438</v>
      </c>
      <c r="G1719">
        <f t="shared" si="53"/>
        <v>1579</v>
      </c>
      <c r="H1719" s="16" t="s">
        <v>994</v>
      </c>
    </row>
    <row r="1720" spans="1:8">
      <c r="A1720" t="str">
        <f t="shared" si="52"/>
        <v/>
      </c>
      <c r="B1720" s="12" t="s">
        <v>1003</v>
      </c>
      <c r="C1720" s="12" t="s">
        <v>1003</v>
      </c>
      <c r="D1720" s="12" t="s">
        <v>478</v>
      </c>
      <c r="E1720" s="12">
        <v>4.1403830714531485E-2</v>
      </c>
      <c r="F1720" s="12">
        <v>17438</v>
      </c>
      <c r="G1720">
        <f t="shared" si="53"/>
        <v>722</v>
      </c>
      <c r="H1720" s="16" t="s">
        <v>994</v>
      </c>
    </row>
    <row r="1721" spans="1:8">
      <c r="A1721" t="str">
        <f t="shared" si="52"/>
        <v/>
      </c>
      <c r="B1721" s="12" t="s">
        <v>1003</v>
      </c>
      <c r="C1721" s="12" t="s">
        <v>1003</v>
      </c>
      <c r="D1721" s="12" t="s">
        <v>20</v>
      </c>
      <c r="E1721" s="12">
        <v>4.536070650303934E-2</v>
      </c>
      <c r="F1721" s="12">
        <v>17438</v>
      </c>
      <c r="G1721">
        <f t="shared" si="53"/>
        <v>791</v>
      </c>
      <c r="H1721" s="16" t="s">
        <v>994</v>
      </c>
    </row>
    <row r="1722" spans="1:8">
      <c r="A1722" t="str">
        <f t="shared" si="52"/>
        <v>هرمزگانابوموسي</v>
      </c>
      <c r="B1722" s="12" t="s">
        <v>383</v>
      </c>
      <c r="C1722" s="12" t="s">
        <v>385</v>
      </c>
      <c r="D1722" s="12" t="s">
        <v>480</v>
      </c>
      <c r="E1722" s="12">
        <v>0.47785012128175669</v>
      </c>
      <c r="F1722" s="12">
        <v>7833</v>
      </c>
      <c r="G1722">
        <f t="shared" si="53"/>
        <v>3743</v>
      </c>
      <c r="H1722" s="16" t="s">
        <v>872</v>
      </c>
    </row>
    <row r="1723" spans="1:8">
      <c r="A1723" t="str">
        <f t="shared" si="52"/>
        <v>هرمزگانابوموسي</v>
      </c>
      <c r="B1723" s="12" t="s">
        <v>383</v>
      </c>
      <c r="C1723" s="12" t="s">
        <v>385</v>
      </c>
      <c r="D1723" s="12" t="s">
        <v>479</v>
      </c>
      <c r="E1723" s="12">
        <v>0.47031788586748374</v>
      </c>
      <c r="F1723" s="12">
        <v>7833</v>
      </c>
      <c r="G1723">
        <f t="shared" si="53"/>
        <v>3684</v>
      </c>
      <c r="H1723" s="16" t="s">
        <v>872</v>
      </c>
    </row>
    <row r="1724" spans="1:8">
      <c r="A1724" t="str">
        <f t="shared" si="52"/>
        <v>هرمزگانابوموسي</v>
      </c>
      <c r="B1724" s="12" t="s">
        <v>383</v>
      </c>
      <c r="C1724" s="12" t="s">
        <v>385</v>
      </c>
      <c r="D1724" s="12" t="s">
        <v>22</v>
      </c>
      <c r="E1724" s="12">
        <v>4.3533767394357208E-2</v>
      </c>
      <c r="F1724" s="12">
        <v>7833</v>
      </c>
      <c r="G1724">
        <f t="shared" si="53"/>
        <v>341</v>
      </c>
      <c r="H1724" s="16" t="s">
        <v>872</v>
      </c>
    </row>
    <row r="1725" spans="1:8">
      <c r="A1725" t="str">
        <f t="shared" si="52"/>
        <v>هرمزگانابوموسي</v>
      </c>
      <c r="B1725" s="12" t="s">
        <v>383</v>
      </c>
      <c r="C1725" s="12" t="s">
        <v>385</v>
      </c>
      <c r="D1725" s="12" t="s">
        <v>478</v>
      </c>
      <c r="E1725" s="12">
        <v>6.7662453721434954E-3</v>
      </c>
      <c r="F1725" s="12">
        <v>7833</v>
      </c>
      <c r="G1725">
        <f t="shared" si="53"/>
        <v>53</v>
      </c>
      <c r="H1725" s="16" t="s">
        <v>872</v>
      </c>
    </row>
    <row r="1726" spans="1:8">
      <c r="A1726" t="str">
        <f t="shared" si="52"/>
        <v>هرمزگانابوموسي</v>
      </c>
      <c r="B1726" s="12" t="s">
        <v>383</v>
      </c>
      <c r="C1726" s="12" t="s">
        <v>385</v>
      </c>
      <c r="D1726" s="12" t="s">
        <v>20</v>
      </c>
      <c r="E1726" s="12">
        <v>1.7873100983020554E-3</v>
      </c>
      <c r="F1726" s="12">
        <v>7833</v>
      </c>
      <c r="G1726">
        <f t="shared" si="53"/>
        <v>14</v>
      </c>
      <c r="H1726" s="16" t="s">
        <v>872</v>
      </c>
    </row>
    <row r="1727" spans="1:8">
      <c r="A1727" t="str">
        <f t="shared" si="52"/>
        <v>هرمزگانبندرعباس</v>
      </c>
      <c r="B1727" s="12" t="s">
        <v>383</v>
      </c>
      <c r="C1727" s="12" t="s">
        <v>386</v>
      </c>
      <c r="D1727" s="12" t="s">
        <v>480</v>
      </c>
      <c r="E1727" s="12">
        <v>0.48028685158273837</v>
      </c>
      <c r="F1727" s="12">
        <v>696388</v>
      </c>
      <c r="G1727">
        <f t="shared" si="53"/>
        <v>334466</v>
      </c>
      <c r="H1727" s="16" t="s">
        <v>876</v>
      </c>
    </row>
    <row r="1728" spans="1:8">
      <c r="A1728" t="str">
        <f t="shared" si="52"/>
        <v>هرمزگانبندرعباس</v>
      </c>
      <c r="B1728" s="12" t="s">
        <v>383</v>
      </c>
      <c r="C1728" s="12" t="s">
        <v>386</v>
      </c>
      <c r="D1728" s="12" t="s">
        <v>479</v>
      </c>
      <c r="E1728" s="12">
        <v>0.39736181553961297</v>
      </c>
      <c r="F1728" s="12">
        <v>696388</v>
      </c>
      <c r="G1728">
        <f t="shared" si="53"/>
        <v>276718</v>
      </c>
      <c r="H1728" s="16" t="s">
        <v>876</v>
      </c>
    </row>
    <row r="1729" spans="1:8">
      <c r="A1729" t="str">
        <f t="shared" si="52"/>
        <v>هرمزگانبندرعباس</v>
      </c>
      <c r="B1729" s="12" t="s">
        <v>383</v>
      </c>
      <c r="C1729" s="12" t="s">
        <v>386</v>
      </c>
      <c r="D1729" s="12" t="s">
        <v>22</v>
      </c>
      <c r="E1729" s="12">
        <v>7.8451954944657287E-2</v>
      </c>
      <c r="F1729" s="12">
        <v>696388</v>
      </c>
      <c r="G1729">
        <f t="shared" si="53"/>
        <v>54633</v>
      </c>
      <c r="H1729" s="16" t="s">
        <v>876</v>
      </c>
    </row>
    <row r="1730" spans="1:8">
      <c r="A1730" t="str">
        <f t="shared" ref="A1730:A1793" si="54">B1730&amp;C1730</f>
        <v>هرمزگانبندرعباس</v>
      </c>
      <c r="B1730" s="12" t="s">
        <v>383</v>
      </c>
      <c r="C1730" s="12" t="s">
        <v>386</v>
      </c>
      <c r="D1730" s="12" t="s">
        <v>478</v>
      </c>
      <c r="E1730" s="12">
        <v>2.4035451501174632E-2</v>
      </c>
      <c r="F1730" s="12">
        <v>696388</v>
      </c>
      <c r="G1730">
        <f t="shared" si="53"/>
        <v>16738</v>
      </c>
      <c r="H1730" s="16" t="s">
        <v>876</v>
      </c>
    </row>
    <row r="1731" spans="1:8">
      <c r="A1731" t="str">
        <f t="shared" si="54"/>
        <v>هرمزگانبندرعباس</v>
      </c>
      <c r="B1731" s="12" t="s">
        <v>383</v>
      </c>
      <c r="C1731" s="12" t="s">
        <v>386</v>
      </c>
      <c r="D1731" s="12" t="s">
        <v>20</v>
      </c>
      <c r="E1731" s="12">
        <v>1.9865362412907747E-2</v>
      </c>
      <c r="F1731" s="12">
        <v>696388</v>
      </c>
      <c r="G1731">
        <f t="shared" ref="G1731:G1794" si="55">IFERROR(ROUND(F1731*E1731,0),0)</f>
        <v>13834</v>
      </c>
      <c r="H1731" s="16" t="s">
        <v>876</v>
      </c>
    </row>
    <row r="1732" spans="1:8">
      <c r="A1732" t="str">
        <f t="shared" si="54"/>
        <v>هرمزگانبندرلنگه</v>
      </c>
      <c r="B1732" s="12" t="s">
        <v>383</v>
      </c>
      <c r="C1732" s="12" t="s">
        <v>387</v>
      </c>
      <c r="D1732" s="12" t="s">
        <v>480</v>
      </c>
      <c r="E1732" s="12">
        <v>0.49543556286572055</v>
      </c>
      <c r="F1732" s="12">
        <v>163547</v>
      </c>
      <c r="G1732">
        <f t="shared" si="55"/>
        <v>81027</v>
      </c>
      <c r="H1732" s="16" t="s">
        <v>868</v>
      </c>
    </row>
    <row r="1733" spans="1:8">
      <c r="A1733" t="str">
        <f t="shared" si="54"/>
        <v>هرمزگانبندرلنگه</v>
      </c>
      <c r="B1733" s="12" t="s">
        <v>383</v>
      </c>
      <c r="C1733" s="12" t="s">
        <v>387</v>
      </c>
      <c r="D1733" s="12" t="s">
        <v>479</v>
      </c>
      <c r="E1733" s="12">
        <v>0.38755831656954881</v>
      </c>
      <c r="F1733" s="12">
        <v>163547</v>
      </c>
      <c r="G1733">
        <f t="shared" si="55"/>
        <v>63384</v>
      </c>
      <c r="H1733" s="16" t="s">
        <v>868</v>
      </c>
    </row>
    <row r="1734" spans="1:8">
      <c r="A1734" t="str">
        <f t="shared" si="54"/>
        <v>هرمزگانبندرلنگه</v>
      </c>
      <c r="B1734" s="12" t="s">
        <v>383</v>
      </c>
      <c r="C1734" s="12" t="s">
        <v>387</v>
      </c>
      <c r="D1734" s="12" t="s">
        <v>22</v>
      </c>
      <c r="E1734" s="12">
        <v>7.4412859911829624E-2</v>
      </c>
      <c r="F1734" s="12">
        <v>163547</v>
      </c>
      <c r="G1734">
        <f t="shared" si="55"/>
        <v>12170</v>
      </c>
      <c r="H1734" s="16" t="s">
        <v>868</v>
      </c>
    </row>
    <row r="1735" spans="1:8">
      <c r="A1735" t="str">
        <f t="shared" si="54"/>
        <v>هرمزگانبندرلنگه</v>
      </c>
      <c r="B1735" s="12" t="s">
        <v>383</v>
      </c>
      <c r="C1735" s="12" t="s">
        <v>387</v>
      </c>
      <c r="D1735" s="12" t="s">
        <v>478</v>
      </c>
      <c r="E1735" s="12">
        <v>2.2727411692051825E-2</v>
      </c>
      <c r="F1735" s="12">
        <v>163547</v>
      </c>
      <c r="G1735">
        <f t="shared" si="55"/>
        <v>3717</v>
      </c>
      <c r="H1735" s="16" t="s">
        <v>868</v>
      </c>
    </row>
    <row r="1736" spans="1:8">
      <c r="A1736" t="str">
        <f t="shared" si="54"/>
        <v>هرمزگانبندرلنگه</v>
      </c>
      <c r="B1736" s="12" t="s">
        <v>383</v>
      </c>
      <c r="C1736" s="12" t="s">
        <v>387</v>
      </c>
      <c r="D1736" s="12" t="s">
        <v>20</v>
      </c>
      <c r="E1736" s="12">
        <v>1.9823047808886742E-2</v>
      </c>
      <c r="F1736" s="12">
        <v>163547</v>
      </c>
      <c r="G1736">
        <f t="shared" si="55"/>
        <v>3242</v>
      </c>
      <c r="H1736" s="16" t="s">
        <v>868</v>
      </c>
    </row>
    <row r="1737" spans="1:8">
      <c r="A1737" t="str">
        <f t="shared" si="54"/>
        <v>هرمزگانقشم</v>
      </c>
      <c r="B1737" s="12" t="s">
        <v>383</v>
      </c>
      <c r="C1737" s="12" t="s">
        <v>388</v>
      </c>
      <c r="D1737" s="12" t="s">
        <v>480</v>
      </c>
      <c r="E1737" s="12">
        <v>0.53811879566228749</v>
      </c>
      <c r="F1737" s="12">
        <v>152615</v>
      </c>
      <c r="G1737">
        <f t="shared" si="55"/>
        <v>82125</v>
      </c>
      <c r="H1737" s="16" t="s">
        <v>878</v>
      </c>
    </row>
    <row r="1738" spans="1:8">
      <c r="A1738" t="str">
        <f t="shared" si="54"/>
        <v>هرمزگانقشم</v>
      </c>
      <c r="B1738" s="12" t="s">
        <v>383</v>
      </c>
      <c r="C1738" s="12" t="s">
        <v>388</v>
      </c>
      <c r="D1738" s="12" t="s">
        <v>479</v>
      </c>
      <c r="E1738" s="12">
        <v>0.35571208596795861</v>
      </c>
      <c r="F1738" s="12">
        <v>152615</v>
      </c>
      <c r="G1738">
        <f t="shared" si="55"/>
        <v>54287</v>
      </c>
      <c r="H1738" s="16" t="s">
        <v>878</v>
      </c>
    </row>
    <row r="1739" spans="1:8">
      <c r="A1739" t="str">
        <f t="shared" si="54"/>
        <v>هرمزگانقشم</v>
      </c>
      <c r="B1739" s="12" t="s">
        <v>383</v>
      </c>
      <c r="C1739" s="12" t="s">
        <v>388</v>
      </c>
      <c r="D1739" s="12" t="s">
        <v>22</v>
      </c>
      <c r="E1739" s="12">
        <v>6.6068210857386234E-2</v>
      </c>
      <c r="F1739" s="12">
        <v>152615</v>
      </c>
      <c r="G1739">
        <f t="shared" si="55"/>
        <v>10083</v>
      </c>
      <c r="H1739" s="16" t="s">
        <v>878</v>
      </c>
    </row>
    <row r="1740" spans="1:8">
      <c r="A1740" t="str">
        <f t="shared" si="54"/>
        <v>هرمزگانقشم</v>
      </c>
      <c r="B1740" s="12" t="s">
        <v>383</v>
      </c>
      <c r="C1740" s="12" t="s">
        <v>388</v>
      </c>
      <c r="D1740" s="12" t="s">
        <v>478</v>
      </c>
      <c r="E1740" s="12">
        <v>2.0843298496215967E-2</v>
      </c>
      <c r="F1740" s="12">
        <v>152615</v>
      </c>
      <c r="G1740">
        <f t="shared" si="55"/>
        <v>3181</v>
      </c>
      <c r="H1740" s="16" t="s">
        <v>878</v>
      </c>
    </row>
    <row r="1741" spans="1:8">
      <c r="A1741" t="str">
        <f t="shared" si="54"/>
        <v>هرمزگانقشم</v>
      </c>
      <c r="B1741" s="12" t="s">
        <v>383</v>
      </c>
      <c r="C1741" s="12" t="s">
        <v>388</v>
      </c>
      <c r="D1741" s="12" t="s">
        <v>20</v>
      </c>
      <c r="E1741" s="12">
        <v>1.9264161452019788E-2</v>
      </c>
      <c r="F1741" s="12">
        <v>152615</v>
      </c>
      <c r="G1741">
        <f t="shared" si="55"/>
        <v>2940</v>
      </c>
      <c r="H1741" s="16" t="s">
        <v>878</v>
      </c>
    </row>
    <row r="1742" spans="1:8">
      <c r="A1742" t="str">
        <f t="shared" si="54"/>
        <v>هرمزگانميناب</v>
      </c>
      <c r="B1742" s="12" t="s">
        <v>383</v>
      </c>
      <c r="C1742" s="12" t="s">
        <v>389</v>
      </c>
      <c r="D1742" s="12" t="s">
        <v>480</v>
      </c>
      <c r="E1742" s="12">
        <v>0.52009391597711363</v>
      </c>
      <c r="F1742" s="12">
        <v>263214</v>
      </c>
      <c r="G1742">
        <f t="shared" si="55"/>
        <v>136896</v>
      </c>
      <c r="H1742" s="16" t="s">
        <v>870</v>
      </c>
    </row>
    <row r="1743" spans="1:8">
      <c r="A1743" t="str">
        <f t="shared" si="54"/>
        <v>هرمزگانميناب</v>
      </c>
      <c r="B1743" s="12" t="s">
        <v>383</v>
      </c>
      <c r="C1743" s="12" t="s">
        <v>389</v>
      </c>
      <c r="D1743" s="12" t="s">
        <v>479</v>
      </c>
      <c r="E1743" s="12">
        <v>0.35125031343317603</v>
      </c>
      <c r="F1743" s="12">
        <v>263214</v>
      </c>
      <c r="G1743">
        <f t="shared" si="55"/>
        <v>92454</v>
      </c>
      <c r="H1743" s="16" t="s">
        <v>870</v>
      </c>
    </row>
    <row r="1744" spans="1:8">
      <c r="A1744" t="str">
        <f t="shared" si="54"/>
        <v>هرمزگانميناب</v>
      </c>
      <c r="B1744" s="12" t="s">
        <v>383</v>
      </c>
      <c r="C1744" s="12" t="s">
        <v>389</v>
      </c>
      <c r="D1744" s="12" t="s">
        <v>22</v>
      </c>
      <c r="E1744" s="12">
        <v>7.3297772914814568E-2</v>
      </c>
      <c r="F1744" s="12">
        <v>263214</v>
      </c>
      <c r="G1744">
        <f t="shared" si="55"/>
        <v>19293</v>
      </c>
      <c r="H1744" s="16" t="s">
        <v>870</v>
      </c>
    </row>
    <row r="1745" spans="1:8">
      <c r="A1745" t="str">
        <f t="shared" si="54"/>
        <v>هرمزگانميناب</v>
      </c>
      <c r="B1745" s="12" t="s">
        <v>383</v>
      </c>
      <c r="C1745" s="12" t="s">
        <v>389</v>
      </c>
      <c r="D1745" s="12" t="s">
        <v>478</v>
      </c>
      <c r="E1745" s="12">
        <v>2.6898265289840205E-2</v>
      </c>
      <c r="F1745" s="12">
        <v>263214</v>
      </c>
      <c r="G1745">
        <f t="shared" si="55"/>
        <v>7080</v>
      </c>
      <c r="H1745" s="16" t="s">
        <v>870</v>
      </c>
    </row>
    <row r="1746" spans="1:8">
      <c r="A1746" t="str">
        <f t="shared" si="54"/>
        <v>هرمزگانميناب</v>
      </c>
      <c r="B1746" s="12" t="s">
        <v>383</v>
      </c>
      <c r="C1746" s="12" t="s">
        <v>389</v>
      </c>
      <c r="D1746" s="12" t="s">
        <v>20</v>
      </c>
      <c r="E1746" s="12">
        <v>2.8444535625004749E-2</v>
      </c>
      <c r="F1746" s="12">
        <v>263214</v>
      </c>
      <c r="G1746">
        <f t="shared" si="55"/>
        <v>7487</v>
      </c>
      <c r="H1746" s="16" t="s">
        <v>870</v>
      </c>
    </row>
    <row r="1747" spans="1:8">
      <c r="A1747" t="str">
        <f t="shared" si="54"/>
        <v>هرمزگانجاسك</v>
      </c>
      <c r="B1747" s="12" t="s">
        <v>383</v>
      </c>
      <c r="C1747" s="12" t="s">
        <v>390</v>
      </c>
      <c r="D1747" s="12" t="s">
        <v>480</v>
      </c>
      <c r="E1747" s="12">
        <v>0.56959570341638077</v>
      </c>
      <c r="F1747" s="12">
        <v>60327</v>
      </c>
      <c r="G1747">
        <f t="shared" si="55"/>
        <v>34362</v>
      </c>
      <c r="H1747" s="16" t="s">
        <v>866</v>
      </c>
    </row>
    <row r="1748" spans="1:8">
      <c r="A1748" t="str">
        <f t="shared" si="54"/>
        <v>هرمزگانجاسك</v>
      </c>
      <c r="B1748" s="12" t="s">
        <v>383</v>
      </c>
      <c r="C1748" s="12" t="s">
        <v>390</v>
      </c>
      <c r="D1748" s="12" t="s">
        <v>479</v>
      </c>
      <c r="E1748" s="12">
        <v>0.31740348434366039</v>
      </c>
      <c r="F1748" s="12">
        <v>60327</v>
      </c>
      <c r="G1748">
        <f t="shared" si="55"/>
        <v>19148</v>
      </c>
      <c r="H1748" s="16" t="s">
        <v>866</v>
      </c>
    </row>
    <row r="1749" spans="1:8">
      <c r="A1749" t="str">
        <f t="shared" si="54"/>
        <v>هرمزگانجاسك</v>
      </c>
      <c r="B1749" s="12" t="s">
        <v>383</v>
      </c>
      <c r="C1749" s="12" t="s">
        <v>390</v>
      </c>
      <c r="D1749" s="12" t="s">
        <v>22</v>
      </c>
      <c r="E1749" s="12">
        <v>6.4266414706516159E-2</v>
      </c>
      <c r="F1749" s="12">
        <v>60327</v>
      </c>
      <c r="G1749">
        <f t="shared" si="55"/>
        <v>3877</v>
      </c>
      <c r="H1749" s="16" t="s">
        <v>866</v>
      </c>
    </row>
    <row r="1750" spans="1:8">
      <c r="A1750" t="str">
        <f t="shared" si="54"/>
        <v>هرمزگانجاسك</v>
      </c>
      <c r="B1750" s="12" t="s">
        <v>383</v>
      </c>
      <c r="C1750" s="12" t="s">
        <v>390</v>
      </c>
      <c r="D1750" s="12" t="s">
        <v>478</v>
      </c>
      <c r="E1750" s="12">
        <v>2.3820180018897012E-2</v>
      </c>
      <c r="F1750" s="12">
        <v>60327</v>
      </c>
      <c r="G1750">
        <f t="shared" si="55"/>
        <v>1437</v>
      </c>
      <c r="H1750" s="16" t="s">
        <v>866</v>
      </c>
    </row>
    <row r="1751" spans="1:8">
      <c r="A1751" t="str">
        <f t="shared" si="54"/>
        <v>هرمزگانجاسك</v>
      </c>
      <c r="B1751" s="12" t="s">
        <v>383</v>
      </c>
      <c r="C1751" s="12" t="s">
        <v>390</v>
      </c>
      <c r="D1751" s="12" t="s">
        <v>20</v>
      </c>
      <c r="E1751" s="12">
        <v>2.4997099143003961E-2</v>
      </c>
      <c r="F1751" s="12">
        <v>60327</v>
      </c>
      <c r="G1751">
        <f t="shared" si="55"/>
        <v>1508</v>
      </c>
      <c r="H1751" s="16" t="s">
        <v>866</v>
      </c>
    </row>
    <row r="1752" spans="1:8">
      <c r="A1752" t="str">
        <f t="shared" si="54"/>
        <v>هرمزگانرودان</v>
      </c>
      <c r="B1752" s="12" t="s">
        <v>383</v>
      </c>
      <c r="C1752" s="12" t="s">
        <v>391</v>
      </c>
      <c r="D1752" s="12" t="s">
        <v>480</v>
      </c>
      <c r="E1752" s="12">
        <v>0.50946522840436526</v>
      </c>
      <c r="F1752" s="12">
        <v>126727</v>
      </c>
      <c r="G1752">
        <f t="shared" si="55"/>
        <v>64563</v>
      </c>
      <c r="H1752" s="16" t="s">
        <v>875</v>
      </c>
    </row>
    <row r="1753" spans="1:8">
      <c r="A1753" t="str">
        <f t="shared" si="54"/>
        <v>هرمزگانرودان</v>
      </c>
      <c r="B1753" s="12" t="s">
        <v>383</v>
      </c>
      <c r="C1753" s="12" t="s">
        <v>391</v>
      </c>
      <c r="D1753" s="12" t="s">
        <v>479</v>
      </c>
      <c r="E1753" s="12">
        <v>0.35551224285274646</v>
      </c>
      <c r="F1753" s="12">
        <v>126727</v>
      </c>
      <c r="G1753">
        <f t="shared" si="55"/>
        <v>45053</v>
      </c>
      <c r="H1753" s="16" t="s">
        <v>875</v>
      </c>
    </row>
    <row r="1754" spans="1:8">
      <c r="A1754" t="str">
        <f t="shared" si="54"/>
        <v>هرمزگانرودان</v>
      </c>
      <c r="B1754" s="12" t="s">
        <v>383</v>
      </c>
      <c r="C1754" s="12" t="s">
        <v>391</v>
      </c>
      <c r="D1754" s="12" t="s">
        <v>22</v>
      </c>
      <c r="E1754" s="12">
        <v>7.6503034081135041E-2</v>
      </c>
      <c r="F1754" s="12">
        <v>126727</v>
      </c>
      <c r="G1754">
        <f t="shared" si="55"/>
        <v>9695</v>
      </c>
      <c r="H1754" s="16" t="s">
        <v>875</v>
      </c>
    </row>
    <row r="1755" spans="1:8">
      <c r="A1755" t="str">
        <f t="shared" si="54"/>
        <v>هرمزگانرودان</v>
      </c>
      <c r="B1755" s="12" t="s">
        <v>383</v>
      </c>
      <c r="C1755" s="12" t="s">
        <v>391</v>
      </c>
      <c r="D1755" s="12" t="s">
        <v>478</v>
      </c>
      <c r="E1755" s="12">
        <v>2.8320720919772426E-2</v>
      </c>
      <c r="F1755" s="12">
        <v>126727</v>
      </c>
      <c r="G1755">
        <f t="shared" si="55"/>
        <v>3589</v>
      </c>
      <c r="H1755" s="16" t="s">
        <v>875</v>
      </c>
    </row>
    <row r="1756" spans="1:8">
      <c r="A1756" t="str">
        <f t="shared" si="54"/>
        <v>هرمزگانرودان</v>
      </c>
      <c r="B1756" s="12" t="s">
        <v>383</v>
      </c>
      <c r="C1756" s="12" t="s">
        <v>391</v>
      </c>
      <c r="D1756" s="12" t="s">
        <v>20</v>
      </c>
      <c r="E1756" s="12">
        <v>3.0159318850757927E-2</v>
      </c>
      <c r="F1756" s="12">
        <v>126727</v>
      </c>
      <c r="G1756">
        <f t="shared" si="55"/>
        <v>3822</v>
      </c>
      <c r="H1756" s="16" t="s">
        <v>875</v>
      </c>
    </row>
    <row r="1757" spans="1:8">
      <c r="A1757" t="str">
        <f t="shared" si="54"/>
        <v>هرمزگانحاجي اباد</v>
      </c>
      <c r="B1757" s="12" t="s">
        <v>383</v>
      </c>
      <c r="C1757" s="12" t="s">
        <v>392</v>
      </c>
      <c r="D1757" s="12" t="s">
        <v>480</v>
      </c>
      <c r="E1757" s="12">
        <v>0.46574033125526054</v>
      </c>
      <c r="F1757" s="12">
        <v>70097</v>
      </c>
      <c r="G1757">
        <f t="shared" si="55"/>
        <v>32647</v>
      </c>
      <c r="H1757" s="16" t="s">
        <v>877</v>
      </c>
    </row>
    <row r="1758" spans="1:8">
      <c r="A1758" t="str">
        <f t="shared" si="54"/>
        <v>هرمزگانحاجي اباد</v>
      </c>
      <c r="B1758" s="12" t="s">
        <v>383</v>
      </c>
      <c r="C1758" s="12" t="s">
        <v>392</v>
      </c>
      <c r="D1758" s="12" t="s">
        <v>479</v>
      </c>
      <c r="E1758" s="12">
        <v>0.36927400602022908</v>
      </c>
      <c r="F1758" s="12">
        <v>70097</v>
      </c>
      <c r="G1758">
        <f t="shared" si="55"/>
        <v>25885</v>
      </c>
      <c r="H1758" s="16" t="s">
        <v>877</v>
      </c>
    </row>
    <row r="1759" spans="1:8">
      <c r="A1759" t="str">
        <f t="shared" si="54"/>
        <v>هرمزگانحاجي اباد</v>
      </c>
      <c r="B1759" s="12" t="s">
        <v>383</v>
      </c>
      <c r="C1759" s="12" t="s">
        <v>392</v>
      </c>
      <c r="D1759" s="12" t="s">
        <v>22</v>
      </c>
      <c r="E1759" s="12">
        <v>9.4511890665791687E-2</v>
      </c>
      <c r="F1759" s="12">
        <v>70097</v>
      </c>
      <c r="G1759">
        <f t="shared" si="55"/>
        <v>6625</v>
      </c>
      <c r="H1759" s="16" t="s">
        <v>877</v>
      </c>
    </row>
    <row r="1760" spans="1:8">
      <c r="A1760" t="str">
        <f t="shared" si="54"/>
        <v>هرمزگانحاجي اباد</v>
      </c>
      <c r="B1760" s="12" t="s">
        <v>383</v>
      </c>
      <c r="C1760" s="12" t="s">
        <v>392</v>
      </c>
      <c r="D1760" s="12" t="s">
        <v>478</v>
      </c>
      <c r="E1760" s="12">
        <v>3.5436609270011556E-2</v>
      </c>
      <c r="F1760" s="12">
        <v>70097</v>
      </c>
      <c r="G1760">
        <f t="shared" si="55"/>
        <v>2484</v>
      </c>
      <c r="H1760" s="16" t="s">
        <v>877</v>
      </c>
    </row>
    <row r="1761" spans="1:8">
      <c r="A1761" t="str">
        <f t="shared" si="54"/>
        <v>هرمزگانحاجي اباد</v>
      </c>
      <c r="B1761" s="12" t="s">
        <v>383</v>
      </c>
      <c r="C1761" s="12" t="s">
        <v>392</v>
      </c>
      <c r="D1761" s="12" t="s">
        <v>20</v>
      </c>
      <c r="E1761" s="12">
        <v>3.496583305990271E-2</v>
      </c>
      <c r="F1761" s="12">
        <v>70097</v>
      </c>
      <c r="G1761">
        <f t="shared" si="55"/>
        <v>2451</v>
      </c>
      <c r="H1761" s="16" t="s">
        <v>877</v>
      </c>
    </row>
    <row r="1762" spans="1:8">
      <c r="A1762" t="str">
        <f t="shared" si="54"/>
        <v>هرمزگانبستك</v>
      </c>
      <c r="B1762" s="12" t="s">
        <v>383</v>
      </c>
      <c r="C1762" s="12" t="s">
        <v>393</v>
      </c>
      <c r="D1762" s="12" t="s">
        <v>480</v>
      </c>
      <c r="E1762" s="12">
        <v>0.51646262457466008</v>
      </c>
      <c r="F1762" s="12">
        <v>82581</v>
      </c>
      <c r="G1762">
        <f t="shared" si="55"/>
        <v>42650</v>
      </c>
      <c r="H1762" s="16" t="s">
        <v>867</v>
      </c>
    </row>
    <row r="1763" spans="1:8">
      <c r="A1763" t="str">
        <f t="shared" si="54"/>
        <v>هرمزگانبستك</v>
      </c>
      <c r="B1763" s="12" t="s">
        <v>383</v>
      </c>
      <c r="C1763" s="12" t="s">
        <v>393</v>
      </c>
      <c r="D1763" s="12" t="s">
        <v>479</v>
      </c>
      <c r="E1763" s="12">
        <v>0.34115595597050169</v>
      </c>
      <c r="F1763" s="12">
        <v>82581</v>
      </c>
      <c r="G1763">
        <f t="shared" si="55"/>
        <v>28173</v>
      </c>
      <c r="H1763" s="16" t="s">
        <v>867</v>
      </c>
    </row>
    <row r="1764" spans="1:8">
      <c r="A1764" t="str">
        <f t="shared" si="54"/>
        <v>هرمزگانبستك</v>
      </c>
      <c r="B1764" s="12" t="s">
        <v>383</v>
      </c>
      <c r="C1764" s="12" t="s">
        <v>393</v>
      </c>
      <c r="D1764" s="12" t="s">
        <v>22</v>
      </c>
      <c r="E1764" s="12">
        <v>8.3251595403301001E-2</v>
      </c>
      <c r="F1764" s="12">
        <v>82581</v>
      </c>
      <c r="G1764">
        <f t="shared" si="55"/>
        <v>6875</v>
      </c>
      <c r="H1764" s="16" t="s">
        <v>867</v>
      </c>
    </row>
    <row r="1765" spans="1:8">
      <c r="A1765" t="str">
        <f t="shared" si="54"/>
        <v>هرمزگانبستك</v>
      </c>
      <c r="B1765" s="12" t="s">
        <v>383</v>
      </c>
      <c r="C1765" s="12" t="s">
        <v>393</v>
      </c>
      <c r="D1765" s="12" t="s">
        <v>478</v>
      </c>
      <c r="E1765" s="12">
        <v>2.9558857364284763E-2</v>
      </c>
      <c r="F1765" s="12">
        <v>82581</v>
      </c>
      <c r="G1765">
        <f t="shared" si="55"/>
        <v>2441</v>
      </c>
      <c r="H1765" s="16" t="s">
        <v>867</v>
      </c>
    </row>
    <row r="1766" spans="1:8">
      <c r="A1766" t="str">
        <f t="shared" si="54"/>
        <v>هرمزگانبستك</v>
      </c>
      <c r="B1766" s="12" t="s">
        <v>383</v>
      </c>
      <c r="C1766" s="12" t="s">
        <v>393</v>
      </c>
      <c r="D1766" s="12" t="s">
        <v>20</v>
      </c>
      <c r="E1766" s="12">
        <v>2.9486201426478245E-2</v>
      </c>
      <c r="F1766" s="12">
        <v>82581</v>
      </c>
      <c r="G1766">
        <f t="shared" si="55"/>
        <v>2435</v>
      </c>
      <c r="H1766" s="16" t="s">
        <v>867</v>
      </c>
    </row>
    <row r="1767" spans="1:8">
      <c r="A1767" t="str">
        <f t="shared" si="54"/>
        <v>هرمزگانخمير</v>
      </c>
      <c r="B1767" s="12" t="s">
        <v>383</v>
      </c>
      <c r="C1767" s="12" t="s">
        <v>394</v>
      </c>
      <c r="D1767" s="12" t="s">
        <v>480</v>
      </c>
      <c r="E1767" s="12">
        <v>0.5205179805757284</v>
      </c>
      <c r="F1767" s="12">
        <v>57145</v>
      </c>
      <c r="G1767">
        <f t="shared" si="55"/>
        <v>29745</v>
      </c>
      <c r="H1767" s="16" t="s">
        <v>865</v>
      </c>
    </row>
    <row r="1768" spans="1:8">
      <c r="A1768" t="str">
        <f t="shared" si="54"/>
        <v>هرمزگانخمير</v>
      </c>
      <c r="B1768" s="12" t="s">
        <v>383</v>
      </c>
      <c r="C1768" s="12" t="s">
        <v>394</v>
      </c>
      <c r="D1768" s="12" t="s">
        <v>479</v>
      </c>
      <c r="E1768" s="12">
        <v>0.35406422259165282</v>
      </c>
      <c r="F1768" s="12">
        <v>57145</v>
      </c>
      <c r="G1768">
        <f t="shared" si="55"/>
        <v>20233</v>
      </c>
      <c r="H1768" s="16" t="s">
        <v>865</v>
      </c>
    </row>
    <row r="1769" spans="1:8">
      <c r="A1769" t="str">
        <f t="shared" si="54"/>
        <v>هرمزگانخمير</v>
      </c>
      <c r="B1769" s="12" t="s">
        <v>383</v>
      </c>
      <c r="C1769" s="12" t="s">
        <v>394</v>
      </c>
      <c r="D1769" s="12" t="s">
        <v>22</v>
      </c>
      <c r="E1769" s="12">
        <v>7.5404672324787814E-2</v>
      </c>
      <c r="F1769" s="12">
        <v>57145</v>
      </c>
      <c r="G1769">
        <f t="shared" si="55"/>
        <v>4309</v>
      </c>
      <c r="H1769" s="16" t="s">
        <v>865</v>
      </c>
    </row>
    <row r="1770" spans="1:8">
      <c r="A1770" t="str">
        <f t="shared" si="54"/>
        <v>هرمزگانخمير</v>
      </c>
      <c r="B1770" s="12" t="s">
        <v>383</v>
      </c>
      <c r="C1770" s="12" t="s">
        <v>394</v>
      </c>
      <c r="D1770" s="12" t="s">
        <v>478</v>
      </c>
      <c r="E1770" s="12">
        <v>2.5864030098871293E-2</v>
      </c>
      <c r="F1770" s="12">
        <v>57145</v>
      </c>
      <c r="G1770">
        <f t="shared" si="55"/>
        <v>1478</v>
      </c>
      <c r="H1770" s="16" t="s">
        <v>865</v>
      </c>
    </row>
    <row r="1771" spans="1:8">
      <c r="A1771" t="str">
        <f t="shared" si="54"/>
        <v>هرمزگانخمير</v>
      </c>
      <c r="B1771" s="12" t="s">
        <v>383</v>
      </c>
      <c r="C1771" s="12" t="s">
        <v>394</v>
      </c>
      <c r="D1771" s="12" t="s">
        <v>20</v>
      </c>
      <c r="E1771" s="12">
        <v>2.4271589815381925E-2</v>
      </c>
      <c r="F1771" s="12">
        <v>57145</v>
      </c>
      <c r="G1771">
        <f t="shared" si="55"/>
        <v>1387</v>
      </c>
      <c r="H1771" s="16" t="s">
        <v>865</v>
      </c>
    </row>
    <row r="1772" spans="1:8">
      <c r="A1772" t="str">
        <f t="shared" si="54"/>
        <v>هرمزگانگاوبندئ</v>
      </c>
      <c r="B1772" s="12" t="s">
        <v>383</v>
      </c>
      <c r="C1772" s="12" t="s">
        <v>395</v>
      </c>
      <c r="D1772" s="12" t="s">
        <v>480</v>
      </c>
      <c r="E1772" s="12">
        <v>0.50992369354092804</v>
      </c>
      <c r="F1772" s="12">
        <v>51896</v>
      </c>
      <c r="G1772">
        <f t="shared" si="55"/>
        <v>26463</v>
      </c>
      <c r="H1772" s="16" t="s">
        <v>873</v>
      </c>
    </row>
    <row r="1773" spans="1:8">
      <c r="A1773" t="str">
        <f t="shared" si="54"/>
        <v>هرمزگانگاوبندئ</v>
      </c>
      <c r="B1773" s="12" t="s">
        <v>383</v>
      </c>
      <c r="C1773" s="12" t="s">
        <v>395</v>
      </c>
      <c r="D1773" s="12" t="s">
        <v>479</v>
      </c>
      <c r="E1773" s="12">
        <v>0.36160783104670879</v>
      </c>
      <c r="F1773" s="12">
        <v>51896</v>
      </c>
      <c r="G1773">
        <f t="shared" si="55"/>
        <v>18766</v>
      </c>
      <c r="H1773" s="16" t="s">
        <v>873</v>
      </c>
    </row>
    <row r="1774" spans="1:8">
      <c r="A1774" t="str">
        <f t="shared" si="54"/>
        <v>هرمزگانگاوبندئ</v>
      </c>
      <c r="B1774" s="12" t="s">
        <v>383</v>
      </c>
      <c r="C1774" s="12" t="s">
        <v>395</v>
      </c>
      <c r="D1774" s="12" t="s">
        <v>22</v>
      </c>
      <c r="E1774" s="12">
        <v>7.7616772005549561E-2</v>
      </c>
      <c r="F1774" s="12">
        <v>51896</v>
      </c>
      <c r="G1774">
        <f t="shared" si="55"/>
        <v>4028</v>
      </c>
      <c r="H1774" s="16" t="s">
        <v>873</v>
      </c>
    </row>
    <row r="1775" spans="1:8">
      <c r="A1775" t="str">
        <f t="shared" si="54"/>
        <v>هرمزگانگاوبندئ</v>
      </c>
      <c r="B1775" s="12" t="s">
        <v>383</v>
      </c>
      <c r="C1775" s="12" t="s">
        <v>395</v>
      </c>
      <c r="D1775" s="12" t="s">
        <v>478</v>
      </c>
      <c r="E1775" s="12">
        <v>2.6495298288885465E-2</v>
      </c>
      <c r="F1775" s="12">
        <v>51896</v>
      </c>
      <c r="G1775">
        <f t="shared" si="55"/>
        <v>1375</v>
      </c>
      <c r="H1775" s="16" t="s">
        <v>873</v>
      </c>
    </row>
    <row r="1776" spans="1:8">
      <c r="A1776" t="str">
        <f t="shared" si="54"/>
        <v>هرمزگانگاوبندئ</v>
      </c>
      <c r="B1776" s="12" t="s">
        <v>383</v>
      </c>
      <c r="C1776" s="12" t="s">
        <v>395</v>
      </c>
      <c r="D1776" s="12" t="s">
        <v>20</v>
      </c>
      <c r="E1776" s="12">
        <v>2.4279327886542315E-2</v>
      </c>
      <c r="F1776" s="12">
        <v>51896</v>
      </c>
      <c r="G1776">
        <f t="shared" si="55"/>
        <v>1260</v>
      </c>
      <c r="H1776" s="16" t="s">
        <v>873</v>
      </c>
    </row>
    <row r="1777" spans="1:8">
      <c r="A1777" t="str">
        <f t="shared" si="54"/>
        <v>هرمزگانسيريك</v>
      </c>
      <c r="B1777" s="12" t="s">
        <v>383</v>
      </c>
      <c r="C1777" s="12" t="s">
        <v>396</v>
      </c>
      <c r="D1777" s="12" t="s">
        <v>480</v>
      </c>
      <c r="E1777" s="12">
        <v>0.54106207928197458</v>
      </c>
      <c r="F1777" s="12">
        <v>46795</v>
      </c>
      <c r="G1777">
        <f t="shared" si="55"/>
        <v>25319</v>
      </c>
      <c r="H1777" s="16" t="s">
        <v>869</v>
      </c>
    </row>
    <row r="1778" spans="1:8">
      <c r="A1778" t="str">
        <f t="shared" si="54"/>
        <v>هرمزگانسيريك</v>
      </c>
      <c r="B1778" s="12" t="s">
        <v>383</v>
      </c>
      <c r="C1778" s="12" t="s">
        <v>396</v>
      </c>
      <c r="D1778" s="12" t="s">
        <v>479</v>
      </c>
      <c r="E1778" s="12">
        <v>0.33339031947857678</v>
      </c>
      <c r="F1778" s="12">
        <v>46795</v>
      </c>
      <c r="G1778">
        <f t="shared" si="55"/>
        <v>15601</v>
      </c>
      <c r="H1778" s="16" t="s">
        <v>869</v>
      </c>
    </row>
    <row r="1779" spans="1:8">
      <c r="A1779" t="str">
        <f t="shared" si="54"/>
        <v>هرمزگانسيريك</v>
      </c>
      <c r="B1779" s="12" t="s">
        <v>383</v>
      </c>
      <c r="C1779" s="12" t="s">
        <v>396</v>
      </c>
      <c r="D1779" s="12" t="s">
        <v>22</v>
      </c>
      <c r="E1779" s="12">
        <v>6.859707233678812E-2</v>
      </c>
      <c r="F1779" s="12">
        <v>46795</v>
      </c>
      <c r="G1779">
        <f t="shared" si="55"/>
        <v>3210</v>
      </c>
      <c r="H1779" s="16" t="s">
        <v>869</v>
      </c>
    </row>
    <row r="1780" spans="1:8">
      <c r="A1780" t="str">
        <f t="shared" si="54"/>
        <v>هرمزگانسيريك</v>
      </c>
      <c r="B1780" s="12" t="s">
        <v>383</v>
      </c>
      <c r="C1780" s="12" t="s">
        <v>396</v>
      </c>
      <c r="D1780" s="12" t="s">
        <v>478</v>
      </c>
      <c r="E1780" s="12">
        <v>2.4318837482637034E-2</v>
      </c>
      <c r="F1780" s="12">
        <v>46795</v>
      </c>
      <c r="G1780">
        <f t="shared" si="55"/>
        <v>1138</v>
      </c>
      <c r="H1780" s="16" t="s">
        <v>869</v>
      </c>
    </row>
    <row r="1781" spans="1:8">
      <c r="A1781" t="str">
        <f t="shared" si="54"/>
        <v>هرمزگانسيريك</v>
      </c>
      <c r="B1781" s="12" t="s">
        <v>383</v>
      </c>
      <c r="C1781" s="12" t="s">
        <v>396</v>
      </c>
      <c r="D1781" s="12" t="s">
        <v>20</v>
      </c>
      <c r="E1781" s="12">
        <v>3.2738540442354955E-2</v>
      </c>
      <c r="F1781" s="12">
        <v>46795</v>
      </c>
      <c r="G1781">
        <f t="shared" si="55"/>
        <v>1532</v>
      </c>
      <c r="H1781" s="16" t="s">
        <v>869</v>
      </c>
    </row>
    <row r="1782" spans="1:8">
      <c r="A1782" t="str">
        <f t="shared" si="54"/>
        <v>هرمزگانبشاگرد</v>
      </c>
      <c r="B1782" s="12" t="s">
        <v>383</v>
      </c>
      <c r="C1782" s="12" t="s">
        <v>398</v>
      </c>
      <c r="D1782" s="12" t="s">
        <v>480</v>
      </c>
      <c r="E1782" s="12">
        <v>0.57075197341088491</v>
      </c>
      <c r="F1782" s="12">
        <v>36105</v>
      </c>
      <c r="G1782">
        <f t="shared" si="55"/>
        <v>20607</v>
      </c>
      <c r="H1782" s="16" t="s">
        <v>871</v>
      </c>
    </row>
    <row r="1783" spans="1:8">
      <c r="A1783" t="str">
        <f t="shared" si="54"/>
        <v>هرمزگانبشاگرد</v>
      </c>
      <c r="B1783" s="12" t="s">
        <v>383</v>
      </c>
      <c r="C1783" s="12" t="s">
        <v>398</v>
      </c>
      <c r="D1783" s="12" t="s">
        <v>479</v>
      </c>
      <c r="E1783" s="12">
        <v>0.30253427503115909</v>
      </c>
      <c r="F1783" s="12">
        <v>36105</v>
      </c>
      <c r="G1783">
        <f t="shared" si="55"/>
        <v>10923</v>
      </c>
      <c r="H1783" s="16" t="s">
        <v>871</v>
      </c>
    </row>
    <row r="1784" spans="1:8">
      <c r="A1784" t="str">
        <f t="shared" si="54"/>
        <v>هرمزگانبشاگرد</v>
      </c>
      <c r="B1784" s="12" t="s">
        <v>383</v>
      </c>
      <c r="C1784" s="12" t="s">
        <v>398</v>
      </c>
      <c r="D1784" s="12" t="s">
        <v>22</v>
      </c>
      <c r="E1784" s="12">
        <v>6.8716244287494802E-2</v>
      </c>
      <c r="F1784" s="12">
        <v>36105</v>
      </c>
      <c r="G1784">
        <f t="shared" si="55"/>
        <v>2481</v>
      </c>
      <c r="H1784" s="16" t="s">
        <v>871</v>
      </c>
    </row>
    <row r="1785" spans="1:8">
      <c r="A1785" t="str">
        <f t="shared" si="54"/>
        <v>هرمزگانبشاگرد</v>
      </c>
      <c r="B1785" s="12" t="s">
        <v>383</v>
      </c>
      <c r="C1785" s="12" t="s">
        <v>398</v>
      </c>
      <c r="D1785" s="12" t="s">
        <v>478</v>
      </c>
      <c r="E1785" s="12">
        <v>2.8887965655726353E-2</v>
      </c>
      <c r="F1785" s="12">
        <v>36105</v>
      </c>
      <c r="G1785">
        <f t="shared" si="55"/>
        <v>1043</v>
      </c>
      <c r="H1785" s="16" t="s">
        <v>871</v>
      </c>
    </row>
    <row r="1786" spans="1:8">
      <c r="A1786" t="str">
        <f t="shared" si="54"/>
        <v>هرمزگانبشاگرد</v>
      </c>
      <c r="B1786" s="12" t="s">
        <v>383</v>
      </c>
      <c r="C1786" s="12" t="s">
        <v>398</v>
      </c>
      <c r="D1786" s="12" t="s">
        <v>20</v>
      </c>
      <c r="E1786" s="12">
        <v>2.91095416147348E-2</v>
      </c>
      <c r="F1786" s="12">
        <v>36105</v>
      </c>
      <c r="G1786">
        <f t="shared" si="55"/>
        <v>1051</v>
      </c>
      <c r="H1786" s="16" t="s">
        <v>871</v>
      </c>
    </row>
    <row r="1787" spans="1:8">
      <c r="A1787" t="str">
        <f t="shared" si="54"/>
        <v>تهرانتهران</v>
      </c>
      <c r="B1787" s="12" t="s">
        <v>397</v>
      </c>
      <c r="C1787" s="12" t="s">
        <v>397</v>
      </c>
      <c r="D1787" s="12" t="s">
        <v>480</v>
      </c>
      <c r="E1787" s="12">
        <v>0.33814737452351296</v>
      </c>
      <c r="F1787" s="12">
        <v>8824741</v>
      </c>
      <c r="G1787">
        <f t="shared" si="55"/>
        <v>2984063</v>
      </c>
      <c r="H1787" s="16" t="s">
        <v>641</v>
      </c>
    </row>
    <row r="1788" spans="1:8">
      <c r="A1788" t="str">
        <f t="shared" si="54"/>
        <v>تهرانتهران</v>
      </c>
      <c r="B1788" s="12" t="s">
        <v>397</v>
      </c>
      <c r="C1788" s="12" t="s">
        <v>397</v>
      </c>
      <c r="D1788" s="12" t="s">
        <v>479</v>
      </c>
      <c r="E1788" s="12">
        <v>0.43322755874648333</v>
      </c>
      <c r="F1788" s="12">
        <v>8824741</v>
      </c>
      <c r="G1788">
        <f t="shared" si="55"/>
        <v>3823121</v>
      </c>
      <c r="H1788" s="16" t="s">
        <v>641</v>
      </c>
    </row>
    <row r="1789" spans="1:8">
      <c r="A1789" t="str">
        <f t="shared" si="54"/>
        <v>تهرانتهران</v>
      </c>
      <c r="B1789" s="12" t="s">
        <v>397</v>
      </c>
      <c r="C1789" s="12" t="s">
        <v>397</v>
      </c>
      <c r="D1789" s="12" t="s">
        <v>22</v>
      </c>
      <c r="E1789" s="12">
        <v>0.13155955511895476</v>
      </c>
      <c r="F1789" s="12">
        <v>8824741</v>
      </c>
      <c r="G1789">
        <f t="shared" si="55"/>
        <v>1160979</v>
      </c>
      <c r="H1789" s="16" t="s">
        <v>641</v>
      </c>
    </row>
    <row r="1790" spans="1:8">
      <c r="A1790" t="str">
        <f t="shared" si="54"/>
        <v>تهرانتهران</v>
      </c>
      <c r="B1790" s="12" t="s">
        <v>397</v>
      </c>
      <c r="C1790" s="12" t="s">
        <v>397</v>
      </c>
      <c r="D1790" s="12" t="s">
        <v>478</v>
      </c>
      <c r="E1790" s="12">
        <v>5.0765569210473149E-2</v>
      </c>
      <c r="F1790" s="12">
        <v>8824741</v>
      </c>
      <c r="G1790">
        <f t="shared" si="55"/>
        <v>447993</v>
      </c>
      <c r="H1790" s="16" t="s">
        <v>641</v>
      </c>
    </row>
    <row r="1791" spans="1:8">
      <c r="A1791" t="str">
        <f t="shared" si="54"/>
        <v>تهرانتهران</v>
      </c>
      <c r="B1791" s="12" t="s">
        <v>397</v>
      </c>
      <c r="C1791" s="12" t="s">
        <v>397</v>
      </c>
      <c r="D1791" s="12" t="s">
        <v>20</v>
      </c>
      <c r="E1791" s="12">
        <v>4.630005571834913E-2</v>
      </c>
      <c r="F1791" s="12">
        <v>8824741</v>
      </c>
      <c r="G1791">
        <f t="shared" si="55"/>
        <v>408586</v>
      </c>
      <c r="H1791" s="16" t="s">
        <v>641</v>
      </c>
    </row>
    <row r="1792" spans="1:8">
      <c r="A1792" t="str">
        <f t="shared" si="54"/>
        <v>تهراندماوند</v>
      </c>
      <c r="B1792" s="12" t="s">
        <v>397</v>
      </c>
      <c r="C1792" s="12" t="s">
        <v>399</v>
      </c>
      <c r="D1792" s="12" t="s">
        <v>480</v>
      </c>
      <c r="E1792" s="12">
        <v>0.4093188893431024</v>
      </c>
      <c r="F1792" s="12">
        <v>127204</v>
      </c>
      <c r="G1792">
        <f t="shared" si="55"/>
        <v>52067</v>
      </c>
      <c r="H1792" s="16" t="s">
        <v>643</v>
      </c>
    </row>
    <row r="1793" spans="1:8">
      <c r="A1793" t="str">
        <f t="shared" si="54"/>
        <v>تهراندماوند</v>
      </c>
      <c r="B1793" s="12" t="s">
        <v>397</v>
      </c>
      <c r="C1793" s="12" t="s">
        <v>399</v>
      </c>
      <c r="D1793" s="12" t="s">
        <v>479</v>
      </c>
      <c r="E1793" s="12">
        <v>0.40861922581050908</v>
      </c>
      <c r="F1793" s="12">
        <v>127204</v>
      </c>
      <c r="G1793">
        <f t="shared" si="55"/>
        <v>51978</v>
      </c>
      <c r="H1793" s="16" t="s">
        <v>643</v>
      </c>
    </row>
    <row r="1794" spans="1:8">
      <c r="A1794" t="str">
        <f t="shared" ref="A1794:A1857" si="56">B1794&amp;C1794</f>
        <v>تهراندماوند</v>
      </c>
      <c r="B1794" s="12" t="s">
        <v>397</v>
      </c>
      <c r="C1794" s="12" t="s">
        <v>399</v>
      </c>
      <c r="D1794" s="12" t="s">
        <v>22</v>
      </c>
      <c r="E1794" s="12">
        <v>0.10828275840382377</v>
      </c>
      <c r="F1794" s="12">
        <v>127204</v>
      </c>
      <c r="G1794">
        <f t="shared" si="55"/>
        <v>13774</v>
      </c>
      <c r="H1794" s="16" t="s">
        <v>643</v>
      </c>
    </row>
    <row r="1795" spans="1:8">
      <c r="A1795" t="str">
        <f t="shared" si="56"/>
        <v>تهراندماوند</v>
      </c>
      <c r="B1795" s="12" t="s">
        <v>397</v>
      </c>
      <c r="C1795" s="12" t="s">
        <v>399</v>
      </c>
      <c r="D1795" s="12" t="s">
        <v>478</v>
      </c>
      <c r="E1795" s="12">
        <v>3.8921732021005628E-2</v>
      </c>
      <c r="F1795" s="12">
        <v>127204</v>
      </c>
      <c r="G1795">
        <f t="shared" ref="G1795:G1858" si="57">IFERROR(ROUND(F1795*E1795,0),0)</f>
        <v>4951</v>
      </c>
      <c r="H1795" s="16" t="s">
        <v>643</v>
      </c>
    </row>
    <row r="1796" spans="1:8">
      <c r="A1796" t="str">
        <f t="shared" si="56"/>
        <v>تهراندماوند</v>
      </c>
      <c r="B1796" s="12" t="s">
        <v>397</v>
      </c>
      <c r="C1796" s="12" t="s">
        <v>399</v>
      </c>
      <c r="D1796" s="12" t="s">
        <v>20</v>
      </c>
      <c r="E1796" s="12">
        <v>3.484167164554574E-2</v>
      </c>
      <c r="F1796" s="12">
        <v>127204</v>
      </c>
      <c r="G1796">
        <f t="shared" si="57"/>
        <v>4432</v>
      </c>
      <c r="H1796" s="16" t="s">
        <v>643</v>
      </c>
    </row>
    <row r="1797" spans="1:8">
      <c r="A1797" t="str">
        <f t="shared" si="56"/>
        <v>تهرانرئ</v>
      </c>
      <c r="B1797" s="12" t="s">
        <v>397</v>
      </c>
      <c r="C1797" s="12" t="s">
        <v>400</v>
      </c>
      <c r="D1797" s="12" t="s">
        <v>480</v>
      </c>
      <c r="E1797" s="12">
        <v>0.4480769392958851</v>
      </c>
      <c r="F1797" s="12">
        <v>355709</v>
      </c>
      <c r="G1797">
        <f t="shared" si="57"/>
        <v>159385</v>
      </c>
      <c r="H1797" s="16" t="s">
        <v>639</v>
      </c>
    </row>
    <row r="1798" spans="1:8">
      <c r="A1798" t="str">
        <f t="shared" si="56"/>
        <v>تهرانرئ</v>
      </c>
      <c r="B1798" s="12" t="s">
        <v>397</v>
      </c>
      <c r="C1798" s="12" t="s">
        <v>400</v>
      </c>
      <c r="D1798" s="12" t="s">
        <v>479</v>
      </c>
      <c r="E1798" s="12">
        <v>0.41208965755716048</v>
      </c>
      <c r="F1798" s="12">
        <v>355709</v>
      </c>
      <c r="G1798">
        <f t="shared" si="57"/>
        <v>146584</v>
      </c>
      <c r="H1798" s="16" t="s">
        <v>639</v>
      </c>
    </row>
    <row r="1799" spans="1:8">
      <c r="A1799" t="str">
        <f t="shared" si="56"/>
        <v>تهرانرئ</v>
      </c>
      <c r="B1799" s="12" t="s">
        <v>397</v>
      </c>
      <c r="C1799" s="12" t="s">
        <v>400</v>
      </c>
      <c r="D1799" s="12" t="s">
        <v>22</v>
      </c>
      <c r="E1799" s="12">
        <v>9.0087684033859139E-2</v>
      </c>
      <c r="F1799" s="12">
        <v>355709</v>
      </c>
      <c r="G1799">
        <f t="shared" si="57"/>
        <v>32045</v>
      </c>
      <c r="H1799" s="16" t="s">
        <v>639</v>
      </c>
    </row>
    <row r="1800" spans="1:8">
      <c r="A1800" t="str">
        <f t="shared" si="56"/>
        <v>تهرانرئ</v>
      </c>
      <c r="B1800" s="12" t="s">
        <v>397</v>
      </c>
      <c r="C1800" s="12" t="s">
        <v>400</v>
      </c>
      <c r="D1800" s="12" t="s">
        <v>478</v>
      </c>
      <c r="E1800" s="12">
        <v>2.798354834991524E-2</v>
      </c>
      <c r="F1800" s="12">
        <v>355709</v>
      </c>
      <c r="G1800">
        <f t="shared" si="57"/>
        <v>9954</v>
      </c>
      <c r="H1800" s="16" t="s">
        <v>639</v>
      </c>
    </row>
    <row r="1801" spans="1:8">
      <c r="A1801" t="str">
        <f t="shared" si="56"/>
        <v>تهرانرئ</v>
      </c>
      <c r="B1801" s="12" t="s">
        <v>397</v>
      </c>
      <c r="C1801" s="12" t="s">
        <v>400</v>
      </c>
      <c r="D1801" s="12" t="s">
        <v>20</v>
      </c>
      <c r="E1801" s="12">
        <v>2.1759359476425953E-2</v>
      </c>
      <c r="F1801" s="12">
        <v>355709</v>
      </c>
      <c r="G1801">
        <f t="shared" si="57"/>
        <v>7740</v>
      </c>
      <c r="H1801" s="16" t="s">
        <v>639</v>
      </c>
    </row>
    <row r="1802" spans="1:8">
      <c r="A1802" t="str">
        <f t="shared" si="56"/>
        <v>تهرانشميرانات</v>
      </c>
      <c r="B1802" s="12" t="s">
        <v>397</v>
      </c>
      <c r="C1802" s="12" t="s">
        <v>401</v>
      </c>
      <c r="D1802" s="12" t="s">
        <v>480</v>
      </c>
      <c r="E1802" s="12">
        <v>0.3338840244506856</v>
      </c>
      <c r="F1802" s="12">
        <v>48424</v>
      </c>
      <c r="G1802">
        <f t="shared" si="57"/>
        <v>16168</v>
      </c>
      <c r="H1802" s="16" t="s">
        <v>635</v>
      </c>
    </row>
    <row r="1803" spans="1:8">
      <c r="A1803" t="str">
        <f t="shared" si="56"/>
        <v>تهرانشميرانات</v>
      </c>
      <c r="B1803" s="12" t="s">
        <v>397</v>
      </c>
      <c r="C1803" s="12" t="s">
        <v>401</v>
      </c>
      <c r="D1803" s="12" t="s">
        <v>479</v>
      </c>
      <c r="E1803" s="12">
        <v>0.41892450024781103</v>
      </c>
      <c r="F1803" s="12">
        <v>48424</v>
      </c>
      <c r="G1803">
        <f t="shared" si="57"/>
        <v>20286</v>
      </c>
      <c r="H1803" s="16" t="s">
        <v>635</v>
      </c>
    </row>
    <row r="1804" spans="1:8">
      <c r="A1804" t="str">
        <f t="shared" si="56"/>
        <v>تهرانشميرانات</v>
      </c>
      <c r="B1804" s="12" t="s">
        <v>397</v>
      </c>
      <c r="C1804" s="12" t="s">
        <v>401</v>
      </c>
      <c r="D1804" s="12" t="s">
        <v>22</v>
      </c>
      <c r="E1804" s="12">
        <v>0.13962084916570297</v>
      </c>
      <c r="F1804" s="12">
        <v>48424</v>
      </c>
      <c r="G1804">
        <f t="shared" si="57"/>
        <v>6761</v>
      </c>
      <c r="H1804" s="16" t="s">
        <v>635</v>
      </c>
    </row>
    <row r="1805" spans="1:8">
      <c r="A1805" t="str">
        <f t="shared" si="56"/>
        <v>تهرانشميرانات</v>
      </c>
      <c r="B1805" s="12" t="s">
        <v>397</v>
      </c>
      <c r="C1805" s="12" t="s">
        <v>401</v>
      </c>
      <c r="D1805" s="12" t="s">
        <v>478</v>
      </c>
      <c r="E1805" s="12">
        <v>5.5654221047414507E-2</v>
      </c>
      <c r="F1805" s="12">
        <v>48424</v>
      </c>
      <c r="G1805">
        <f t="shared" si="57"/>
        <v>2695</v>
      </c>
      <c r="H1805" s="16" t="s">
        <v>635</v>
      </c>
    </row>
    <row r="1806" spans="1:8">
      <c r="A1806" t="str">
        <f t="shared" si="56"/>
        <v>تهرانشميرانات</v>
      </c>
      <c r="B1806" s="12" t="s">
        <v>397</v>
      </c>
      <c r="C1806" s="12" t="s">
        <v>401</v>
      </c>
      <c r="D1806" s="12" t="s">
        <v>20</v>
      </c>
      <c r="E1806" s="12">
        <v>5.1751197753180239E-2</v>
      </c>
      <c r="F1806" s="12">
        <v>48424</v>
      </c>
      <c r="G1806">
        <f t="shared" si="57"/>
        <v>2506</v>
      </c>
      <c r="H1806" s="16" t="s">
        <v>635</v>
      </c>
    </row>
    <row r="1807" spans="1:8">
      <c r="A1807" t="str">
        <f t="shared" si="56"/>
        <v>تهرانورامين</v>
      </c>
      <c r="B1807" s="12" t="s">
        <v>397</v>
      </c>
      <c r="C1807" s="12" t="s">
        <v>402</v>
      </c>
      <c r="D1807" s="12" t="s">
        <v>480</v>
      </c>
      <c r="E1807" s="12">
        <v>0.42375891397243709</v>
      </c>
      <c r="F1807" s="12">
        <v>291116</v>
      </c>
      <c r="G1807">
        <f t="shared" si="57"/>
        <v>123363</v>
      </c>
      <c r="H1807" s="16" t="s">
        <v>645</v>
      </c>
    </row>
    <row r="1808" spans="1:8">
      <c r="A1808" t="str">
        <f t="shared" si="56"/>
        <v>تهرانورامين</v>
      </c>
      <c r="B1808" s="12" t="s">
        <v>397</v>
      </c>
      <c r="C1808" s="12" t="s">
        <v>402</v>
      </c>
      <c r="D1808" s="12" t="s">
        <v>479</v>
      </c>
      <c r="E1808" s="12">
        <v>0.41484150647851714</v>
      </c>
      <c r="F1808" s="12">
        <v>291116</v>
      </c>
      <c r="G1808">
        <f t="shared" si="57"/>
        <v>120767</v>
      </c>
      <c r="H1808" s="16" t="s">
        <v>645</v>
      </c>
    </row>
    <row r="1809" spans="1:8">
      <c r="A1809" t="str">
        <f t="shared" si="56"/>
        <v>تهرانورامين</v>
      </c>
      <c r="B1809" s="12" t="s">
        <v>397</v>
      </c>
      <c r="C1809" s="12" t="s">
        <v>402</v>
      </c>
      <c r="D1809" s="12" t="s">
        <v>22</v>
      </c>
      <c r="E1809" s="12">
        <v>0.10116242322648017</v>
      </c>
      <c r="F1809" s="12">
        <v>291116</v>
      </c>
      <c r="G1809">
        <f t="shared" si="57"/>
        <v>29450</v>
      </c>
      <c r="H1809" s="16" t="s">
        <v>645</v>
      </c>
    </row>
    <row r="1810" spans="1:8">
      <c r="A1810" t="str">
        <f t="shared" si="56"/>
        <v>تهرانورامين</v>
      </c>
      <c r="B1810" s="12" t="s">
        <v>397</v>
      </c>
      <c r="C1810" s="12" t="s">
        <v>402</v>
      </c>
      <c r="D1810" s="12" t="s">
        <v>478</v>
      </c>
      <c r="E1810" s="12">
        <v>3.3883400431443139E-2</v>
      </c>
      <c r="F1810" s="12">
        <v>291116</v>
      </c>
      <c r="G1810">
        <f t="shared" si="57"/>
        <v>9864</v>
      </c>
      <c r="H1810" s="16" t="s">
        <v>645</v>
      </c>
    </row>
    <row r="1811" spans="1:8">
      <c r="A1811" t="str">
        <f t="shared" si="56"/>
        <v>تهرانورامين</v>
      </c>
      <c r="B1811" s="12" t="s">
        <v>397</v>
      </c>
      <c r="C1811" s="12" t="s">
        <v>402</v>
      </c>
      <c r="D1811" s="12" t="s">
        <v>20</v>
      </c>
      <c r="E1811" s="12">
        <v>2.6357190947938279E-2</v>
      </c>
      <c r="F1811" s="12">
        <v>291116</v>
      </c>
      <c r="G1811">
        <f t="shared" si="57"/>
        <v>7673</v>
      </c>
      <c r="H1811" s="16" t="s">
        <v>645</v>
      </c>
    </row>
    <row r="1812" spans="1:8">
      <c r="A1812" t="str">
        <f t="shared" si="56"/>
        <v>تهرانشهريار</v>
      </c>
      <c r="B1812" s="12" t="s">
        <v>397</v>
      </c>
      <c r="C1812" s="12" t="s">
        <v>403</v>
      </c>
      <c r="D1812" s="12" t="s">
        <v>480</v>
      </c>
      <c r="E1812" s="12">
        <v>0.43108690193854066</v>
      </c>
      <c r="F1812" s="12">
        <v>768671</v>
      </c>
      <c r="G1812">
        <f t="shared" si="57"/>
        <v>331364</v>
      </c>
      <c r="H1812" s="16" t="s">
        <v>646</v>
      </c>
    </row>
    <row r="1813" spans="1:8">
      <c r="A1813" t="str">
        <f t="shared" si="56"/>
        <v>تهرانشهريار</v>
      </c>
      <c r="B1813" s="12" t="s">
        <v>397</v>
      </c>
      <c r="C1813" s="12" t="s">
        <v>403</v>
      </c>
      <c r="D1813" s="12" t="s">
        <v>479</v>
      </c>
      <c r="E1813" s="12">
        <v>0.42586360094240577</v>
      </c>
      <c r="F1813" s="12">
        <v>768671</v>
      </c>
      <c r="G1813">
        <f t="shared" si="57"/>
        <v>327349</v>
      </c>
      <c r="H1813" s="16" t="s">
        <v>646</v>
      </c>
    </row>
    <row r="1814" spans="1:8">
      <c r="A1814" t="str">
        <f t="shared" si="56"/>
        <v>تهرانشهريار</v>
      </c>
      <c r="B1814" s="12" t="s">
        <v>397</v>
      </c>
      <c r="C1814" s="12" t="s">
        <v>403</v>
      </c>
      <c r="D1814" s="12" t="s">
        <v>22</v>
      </c>
      <c r="E1814" s="12">
        <v>9.3843790126074744E-2</v>
      </c>
      <c r="F1814" s="12">
        <v>768671</v>
      </c>
      <c r="G1814">
        <f t="shared" si="57"/>
        <v>72135</v>
      </c>
      <c r="H1814" s="16" t="s">
        <v>646</v>
      </c>
    </row>
    <row r="1815" spans="1:8">
      <c r="A1815" t="str">
        <f t="shared" si="56"/>
        <v>تهرانشهريار</v>
      </c>
      <c r="B1815" s="12" t="s">
        <v>397</v>
      </c>
      <c r="C1815" s="12" t="s">
        <v>403</v>
      </c>
      <c r="D1815" s="12" t="s">
        <v>478</v>
      </c>
      <c r="E1815" s="12">
        <v>2.8300794488149025E-2</v>
      </c>
      <c r="F1815" s="12">
        <v>768671</v>
      </c>
      <c r="G1815">
        <f t="shared" si="57"/>
        <v>21754</v>
      </c>
      <c r="H1815" s="16" t="s">
        <v>646</v>
      </c>
    </row>
    <row r="1816" spans="1:8">
      <c r="A1816" t="str">
        <f t="shared" si="56"/>
        <v>تهرانشهريار</v>
      </c>
      <c r="B1816" s="12" t="s">
        <v>397</v>
      </c>
      <c r="C1816" s="12" t="s">
        <v>403</v>
      </c>
      <c r="D1816" s="12" t="s">
        <v>20</v>
      </c>
      <c r="E1816" s="12">
        <v>2.0903611558130853E-2</v>
      </c>
      <c r="F1816" s="12">
        <v>768671</v>
      </c>
      <c r="G1816">
        <f t="shared" si="57"/>
        <v>16068</v>
      </c>
      <c r="H1816" s="16" t="s">
        <v>646</v>
      </c>
    </row>
    <row r="1817" spans="1:8">
      <c r="A1817" t="str">
        <f t="shared" si="56"/>
        <v>تهراناسلامشهر</v>
      </c>
      <c r="B1817" s="12" t="s">
        <v>397</v>
      </c>
      <c r="C1817" s="12" t="s">
        <v>404</v>
      </c>
      <c r="D1817" s="12" t="s">
        <v>480</v>
      </c>
      <c r="E1817" s="12">
        <v>0.41599644220647752</v>
      </c>
      <c r="F1817" s="12">
        <v>557649</v>
      </c>
      <c r="G1817">
        <f t="shared" si="57"/>
        <v>231980</v>
      </c>
      <c r="H1817" s="16" t="s">
        <v>648</v>
      </c>
    </row>
    <row r="1818" spans="1:8">
      <c r="A1818" t="str">
        <f t="shared" si="56"/>
        <v>تهراناسلامشهر</v>
      </c>
      <c r="B1818" s="12" t="s">
        <v>397</v>
      </c>
      <c r="C1818" s="12" t="s">
        <v>404</v>
      </c>
      <c r="D1818" s="12" t="s">
        <v>479</v>
      </c>
      <c r="E1818" s="12">
        <v>0.42987972721192003</v>
      </c>
      <c r="F1818" s="12">
        <v>557649</v>
      </c>
      <c r="G1818">
        <f t="shared" si="57"/>
        <v>239722</v>
      </c>
      <c r="H1818" s="16" t="s">
        <v>648</v>
      </c>
    </row>
    <row r="1819" spans="1:8">
      <c r="A1819" t="str">
        <f t="shared" si="56"/>
        <v>تهراناسلامشهر</v>
      </c>
      <c r="B1819" s="12" t="s">
        <v>397</v>
      </c>
      <c r="C1819" s="12" t="s">
        <v>404</v>
      </c>
      <c r="D1819" s="12" t="s">
        <v>22</v>
      </c>
      <c r="E1819" s="12">
        <v>9.7846494838150874E-2</v>
      </c>
      <c r="F1819" s="12">
        <v>557649</v>
      </c>
      <c r="G1819">
        <f t="shared" si="57"/>
        <v>54564</v>
      </c>
      <c r="H1819" s="16" t="s">
        <v>648</v>
      </c>
    </row>
    <row r="1820" spans="1:8">
      <c r="A1820" t="str">
        <f t="shared" si="56"/>
        <v>تهراناسلامشهر</v>
      </c>
      <c r="B1820" s="12" t="s">
        <v>397</v>
      </c>
      <c r="C1820" s="12" t="s">
        <v>404</v>
      </c>
      <c r="D1820" s="12" t="s">
        <v>478</v>
      </c>
      <c r="E1820" s="12">
        <v>3.1462443221452918E-2</v>
      </c>
      <c r="F1820" s="12">
        <v>557649</v>
      </c>
      <c r="G1820">
        <f t="shared" si="57"/>
        <v>17545</v>
      </c>
      <c r="H1820" s="16" t="s">
        <v>648</v>
      </c>
    </row>
    <row r="1821" spans="1:8">
      <c r="A1821" t="str">
        <f t="shared" si="56"/>
        <v>تهراناسلامشهر</v>
      </c>
      <c r="B1821" s="12" t="s">
        <v>397</v>
      </c>
      <c r="C1821" s="12" t="s">
        <v>404</v>
      </c>
      <c r="D1821" s="12" t="s">
        <v>20</v>
      </c>
      <c r="E1821" s="12">
        <v>2.4822065492809995E-2</v>
      </c>
      <c r="F1821" s="12">
        <v>557649</v>
      </c>
      <c r="G1821">
        <f t="shared" si="57"/>
        <v>13842</v>
      </c>
      <c r="H1821" s="16" t="s">
        <v>648</v>
      </c>
    </row>
    <row r="1822" spans="1:8">
      <c r="A1822" t="str">
        <f t="shared" si="56"/>
        <v>تهرانرباطكريم</v>
      </c>
      <c r="B1822" s="12" t="s">
        <v>397</v>
      </c>
      <c r="C1822" s="12" t="s">
        <v>405</v>
      </c>
      <c r="D1822" s="12" t="s">
        <v>480</v>
      </c>
      <c r="E1822" s="12">
        <v>0.44495442986404526</v>
      </c>
      <c r="F1822" s="12">
        <v>304366</v>
      </c>
      <c r="G1822">
        <f t="shared" si="57"/>
        <v>135429</v>
      </c>
      <c r="H1822" s="16" t="s">
        <v>634</v>
      </c>
    </row>
    <row r="1823" spans="1:8">
      <c r="A1823" t="str">
        <f t="shared" si="56"/>
        <v>تهرانرباطكريم</v>
      </c>
      <c r="B1823" s="12" t="s">
        <v>397</v>
      </c>
      <c r="C1823" s="12" t="s">
        <v>405</v>
      </c>
      <c r="D1823" s="12" t="s">
        <v>479</v>
      </c>
      <c r="E1823" s="12">
        <v>0.4252248937134897</v>
      </c>
      <c r="F1823" s="12">
        <v>304366</v>
      </c>
      <c r="G1823">
        <f t="shared" si="57"/>
        <v>129424</v>
      </c>
      <c r="H1823" s="16" t="s">
        <v>634</v>
      </c>
    </row>
    <row r="1824" spans="1:8">
      <c r="A1824" t="str">
        <f t="shared" si="56"/>
        <v>تهرانرباطكريم</v>
      </c>
      <c r="B1824" s="12" t="s">
        <v>397</v>
      </c>
      <c r="C1824" s="12" t="s">
        <v>405</v>
      </c>
      <c r="D1824" s="12" t="s">
        <v>22</v>
      </c>
      <c r="E1824" s="12">
        <v>8.5676455320239445E-2</v>
      </c>
      <c r="F1824" s="12">
        <v>304366</v>
      </c>
      <c r="G1824">
        <f t="shared" si="57"/>
        <v>26077</v>
      </c>
      <c r="H1824" s="16" t="s">
        <v>634</v>
      </c>
    </row>
    <row r="1825" spans="1:8">
      <c r="A1825" t="str">
        <f t="shared" si="56"/>
        <v>تهرانرباطكريم</v>
      </c>
      <c r="B1825" s="12" t="s">
        <v>397</v>
      </c>
      <c r="C1825" s="12" t="s">
        <v>405</v>
      </c>
      <c r="D1825" s="12" t="s">
        <v>478</v>
      </c>
      <c r="E1825" s="12">
        <v>2.5383912789207728E-2</v>
      </c>
      <c r="F1825" s="12">
        <v>304366</v>
      </c>
      <c r="G1825">
        <f t="shared" si="57"/>
        <v>7726</v>
      </c>
      <c r="H1825" s="16" t="s">
        <v>634</v>
      </c>
    </row>
    <row r="1826" spans="1:8">
      <c r="A1826" t="str">
        <f t="shared" si="56"/>
        <v>تهرانرباطكريم</v>
      </c>
      <c r="B1826" s="12" t="s">
        <v>397</v>
      </c>
      <c r="C1826" s="12" t="s">
        <v>405</v>
      </c>
      <c r="D1826" s="12" t="s">
        <v>20</v>
      </c>
      <c r="E1826" s="12">
        <v>1.8757022794924531E-2</v>
      </c>
      <c r="F1826" s="12">
        <v>304366</v>
      </c>
      <c r="G1826">
        <f t="shared" si="57"/>
        <v>5709</v>
      </c>
      <c r="H1826" s="16" t="s">
        <v>634</v>
      </c>
    </row>
    <row r="1827" spans="1:8">
      <c r="A1827" t="str">
        <f t="shared" si="56"/>
        <v>تهرانپاكدشت</v>
      </c>
      <c r="B1827" s="12" t="s">
        <v>397</v>
      </c>
      <c r="C1827" s="12" t="s">
        <v>406</v>
      </c>
      <c r="D1827" s="12" t="s">
        <v>480</v>
      </c>
      <c r="E1827" s="12">
        <v>0.4745527405272808</v>
      </c>
      <c r="F1827" s="12">
        <v>361591</v>
      </c>
      <c r="G1827">
        <f t="shared" si="57"/>
        <v>171594</v>
      </c>
      <c r="H1827" s="16" t="s">
        <v>642</v>
      </c>
    </row>
    <row r="1828" spans="1:8">
      <c r="A1828" t="str">
        <f t="shared" si="56"/>
        <v>تهرانپاكدشت</v>
      </c>
      <c r="B1828" s="12" t="s">
        <v>397</v>
      </c>
      <c r="C1828" s="12" t="s">
        <v>406</v>
      </c>
      <c r="D1828" s="12" t="s">
        <v>479</v>
      </c>
      <c r="E1828" s="12">
        <v>0.40914182045460201</v>
      </c>
      <c r="F1828" s="12">
        <v>361591</v>
      </c>
      <c r="G1828">
        <f t="shared" si="57"/>
        <v>147942</v>
      </c>
      <c r="H1828" s="16" t="s">
        <v>642</v>
      </c>
    </row>
    <row r="1829" spans="1:8">
      <c r="A1829" t="str">
        <f t="shared" si="56"/>
        <v>تهرانپاكدشت</v>
      </c>
      <c r="B1829" s="12" t="s">
        <v>397</v>
      </c>
      <c r="C1829" s="12" t="s">
        <v>406</v>
      </c>
      <c r="D1829" s="12" t="s">
        <v>22</v>
      </c>
      <c r="E1829" s="12">
        <v>7.8176724531307473E-2</v>
      </c>
      <c r="F1829" s="12">
        <v>361591</v>
      </c>
      <c r="G1829">
        <f t="shared" si="57"/>
        <v>28268</v>
      </c>
      <c r="H1829" s="16" t="s">
        <v>642</v>
      </c>
    </row>
    <row r="1830" spans="1:8">
      <c r="A1830" t="str">
        <f t="shared" si="56"/>
        <v>تهرانپاكدشت</v>
      </c>
      <c r="B1830" s="12" t="s">
        <v>397</v>
      </c>
      <c r="C1830" s="12" t="s">
        <v>406</v>
      </c>
      <c r="D1830" s="12" t="s">
        <v>478</v>
      </c>
      <c r="E1830" s="12">
        <v>2.2030415580033796E-2</v>
      </c>
      <c r="F1830" s="12">
        <v>361591</v>
      </c>
      <c r="G1830">
        <f t="shared" si="57"/>
        <v>7966</v>
      </c>
      <c r="H1830" s="16" t="s">
        <v>642</v>
      </c>
    </row>
    <row r="1831" spans="1:8">
      <c r="A1831" t="str">
        <f t="shared" si="56"/>
        <v>تهرانپاكدشت</v>
      </c>
      <c r="B1831" s="12" t="s">
        <v>397</v>
      </c>
      <c r="C1831" s="12" t="s">
        <v>406</v>
      </c>
      <c r="D1831" s="12" t="s">
        <v>20</v>
      </c>
      <c r="E1831" s="12">
        <v>1.6084471128982744E-2</v>
      </c>
      <c r="F1831" s="12">
        <v>361591</v>
      </c>
      <c r="G1831">
        <f t="shared" si="57"/>
        <v>5816</v>
      </c>
      <c r="H1831" s="16" t="s">
        <v>642</v>
      </c>
    </row>
    <row r="1832" spans="1:8">
      <c r="A1832" t="str">
        <f t="shared" si="56"/>
        <v>تهرانفيروزكوه</v>
      </c>
      <c r="B1832" s="12" t="s">
        <v>397</v>
      </c>
      <c r="C1832" s="12" t="s">
        <v>407</v>
      </c>
      <c r="D1832" s="12" t="s">
        <v>480</v>
      </c>
      <c r="E1832" s="12">
        <v>0.36163145610150216</v>
      </c>
      <c r="F1832" s="12">
        <v>33418</v>
      </c>
      <c r="G1832">
        <f t="shared" si="57"/>
        <v>12085</v>
      </c>
      <c r="H1832" s="16" t="s">
        <v>638</v>
      </c>
    </row>
    <row r="1833" spans="1:8">
      <c r="A1833" t="str">
        <f t="shared" si="56"/>
        <v>تهرانفيروزكوه</v>
      </c>
      <c r="B1833" s="12" t="s">
        <v>397</v>
      </c>
      <c r="C1833" s="12" t="s">
        <v>407</v>
      </c>
      <c r="D1833" s="12" t="s">
        <v>479</v>
      </c>
      <c r="E1833" s="12">
        <v>0.40328565443772818</v>
      </c>
      <c r="F1833" s="12">
        <v>33418</v>
      </c>
      <c r="G1833">
        <f t="shared" si="57"/>
        <v>13477</v>
      </c>
      <c r="H1833" s="16" t="s">
        <v>638</v>
      </c>
    </row>
    <row r="1834" spans="1:8">
      <c r="A1834" t="str">
        <f t="shared" si="56"/>
        <v>تهرانفيروزكوه</v>
      </c>
      <c r="B1834" s="12" t="s">
        <v>397</v>
      </c>
      <c r="C1834" s="12" t="s">
        <v>407</v>
      </c>
      <c r="D1834" s="12" t="s">
        <v>22</v>
      </c>
      <c r="E1834" s="12">
        <v>0.12738643844634628</v>
      </c>
      <c r="F1834" s="12">
        <v>33418</v>
      </c>
      <c r="G1834">
        <f t="shared" si="57"/>
        <v>4257</v>
      </c>
      <c r="H1834" s="16" t="s">
        <v>638</v>
      </c>
    </row>
    <row r="1835" spans="1:8">
      <c r="A1835" t="str">
        <f t="shared" si="56"/>
        <v>تهرانفيروزكوه</v>
      </c>
      <c r="B1835" s="12" t="s">
        <v>397</v>
      </c>
      <c r="C1835" s="12" t="s">
        <v>407</v>
      </c>
      <c r="D1835" s="12" t="s">
        <v>478</v>
      </c>
      <c r="E1835" s="12">
        <v>5.2666227781435156E-2</v>
      </c>
      <c r="F1835" s="12">
        <v>33418</v>
      </c>
      <c r="G1835">
        <f t="shared" si="57"/>
        <v>1760</v>
      </c>
      <c r="H1835" s="16" t="s">
        <v>638</v>
      </c>
    </row>
    <row r="1836" spans="1:8">
      <c r="A1836" t="str">
        <f t="shared" si="56"/>
        <v>تهرانفيروزكوه</v>
      </c>
      <c r="B1836" s="12" t="s">
        <v>397</v>
      </c>
      <c r="C1836" s="12" t="s">
        <v>407</v>
      </c>
      <c r="D1836" s="12" t="s">
        <v>20</v>
      </c>
      <c r="E1836" s="12">
        <v>5.5119995212161113E-2</v>
      </c>
      <c r="F1836" s="12">
        <v>33418</v>
      </c>
      <c r="G1836">
        <f t="shared" si="57"/>
        <v>1842</v>
      </c>
      <c r="H1836" s="16" t="s">
        <v>638</v>
      </c>
    </row>
    <row r="1837" spans="1:8">
      <c r="A1837" t="str">
        <f t="shared" si="56"/>
        <v>تهرانقدس</v>
      </c>
      <c r="B1837" s="12" t="s">
        <v>397</v>
      </c>
      <c r="C1837" s="12" t="s">
        <v>408</v>
      </c>
      <c r="D1837" s="12" t="s">
        <v>480</v>
      </c>
      <c r="E1837" s="12">
        <v>0.44553293816722572</v>
      </c>
      <c r="F1837" s="12">
        <v>326445</v>
      </c>
      <c r="G1837">
        <f t="shared" si="57"/>
        <v>145442</v>
      </c>
      <c r="H1837" s="16" t="s">
        <v>637</v>
      </c>
    </row>
    <row r="1838" spans="1:8">
      <c r="A1838" t="str">
        <f t="shared" si="56"/>
        <v>تهرانقدس</v>
      </c>
      <c r="B1838" s="12" t="s">
        <v>397</v>
      </c>
      <c r="C1838" s="12" t="s">
        <v>408</v>
      </c>
      <c r="D1838" s="12" t="s">
        <v>479</v>
      </c>
      <c r="E1838" s="12">
        <v>0.43083520960651872</v>
      </c>
      <c r="F1838" s="12">
        <v>326445</v>
      </c>
      <c r="G1838">
        <f t="shared" si="57"/>
        <v>140644</v>
      </c>
      <c r="H1838" s="16" t="s">
        <v>637</v>
      </c>
    </row>
    <row r="1839" spans="1:8">
      <c r="A1839" t="str">
        <f t="shared" si="56"/>
        <v>تهرانقدس</v>
      </c>
      <c r="B1839" s="12" t="s">
        <v>397</v>
      </c>
      <c r="C1839" s="12" t="s">
        <v>408</v>
      </c>
      <c r="D1839" s="12" t="s">
        <v>22</v>
      </c>
      <c r="E1839" s="12">
        <v>8.2758198165081412E-2</v>
      </c>
      <c r="F1839" s="12">
        <v>326445</v>
      </c>
      <c r="G1839">
        <f t="shared" si="57"/>
        <v>27016</v>
      </c>
      <c r="H1839" s="16" t="s">
        <v>637</v>
      </c>
    </row>
    <row r="1840" spans="1:8">
      <c r="A1840" t="str">
        <f t="shared" si="56"/>
        <v>تهرانقدس</v>
      </c>
      <c r="B1840" s="12" t="s">
        <v>397</v>
      </c>
      <c r="C1840" s="12" t="s">
        <v>408</v>
      </c>
      <c r="D1840" s="12" t="s">
        <v>478</v>
      </c>
      <c r="E1840" s="12">
        <v>2.3762042610546954E-2</v>
      </c>
      <c r="F1840" s="12">
        <v>326445</v>
      </c>
      <c r="G1840">
        <f t="shared" si="57"/>
        <v>7757</v>
      </c>
      <c r="H1840" s="16" t="s">
        <v>637</v>
      </c>
    </row>
    <row r="1841" spans="1:8">
      <c r="A1841" t="str">
        <f t="shared" si="56"/>
        <v>تهرانقدس</v>
      </c>
      <c r="B1841" s="12" t="s">
        <v>397</v>
      </c>
      <c r="C1841" s="12" t="s">
        <v>408</v>
      </c>
      <c r="D1841" s="12" t="s">
        <v>20</v>
      </c>
      <c r="E1841" s="12">
        <v>1.7102421541147821E-2</v>
      </c>
      <c r="F1841" s="12">
        <v>326445</v>
      </c>
      <c r="G1841">
        <f t="shared" si="57"/>
        <v>5583</v>
      </c>
      <c r="H1841" s="16" t="s">
        <v>637</v>
      </c>
    </row>
    <row r="1842" spans="1:8">
      <c r="A1842" t="str">
        <f t="shared" si="56"/>
        <v>تهرانملارد</v>
      </c>
      <c r="B1842" s="12" t="s">
        <v>397</v>
      </c>
      <c r="C1842" s="12" t="s">
        <v>409</v>
      </c>
      <c r="D1842" s="12" t="s">
        <v>480</v>
      </c>
      <c r="E1842" s="12">
        <v>0.44350448368972917</v>
      </c>
      <c r="F1842" s="12">
        <v>389969</v>
      </c>
      <c r="G1842">
        <f t="shared" si="57"/>
        <v>172953</v>
      </c>
      <c r="H1842" s="16" t="s">
        <v>647</v>
      </c>
    </row>
    <row r="1843" spans="1:8">
      <c r="A1843" t="str">
        <f t="shared" si="56"/>
        <v>تهرانملارد</v>
      </c>
      <c r="B1843" s="12" t="s">
        <v>397</v>
      </c>
      <c r="C1843" s="12" t="s">
        <v>409</v>
      </c>
      <c r="D1843" s="12" t="s">
        <v>479</v>
      </c>
      <c r="E1843" s="12">
        <v>0.42433116478489313</v>
      </c>
      <c r="F1843" s="12">
        <v>389969</v>
      </c>
      <c r="G1843">
        <f t="shared" si="57"/>
        <v>165476</v>
      </c>
      <c r="H1843" s="16" t="s">
        <v>647</v>
      </c>
    </row>
    <row r="1844" spans="1:8">
      <c r="A1844" t="str">
        <f t="shared" si="56"/>
        <v>تهرانملارد</v>
      </c>
      <c r="B1844" s="12" t="s">
        <v>397</v>
      </c>
      <c r="C1844" s="12" t="s">
        <v>409</v>
      </c>
      <c r="D1844" s="12" t="s">
        <v>22</v>
      </c>
      <c r="E1844" s="12">
        <v>8.836343401655003E-2</v>
      </c>
      <c r="F1844" s="12">
        <v>389969</v>
      </c>
      <c r="G1844">
        <f t="shared" si="57"/>
        <v>34459</v>
      </c>
      <c r="H1844" s="16" t="s">
        <v>647</v>
      </c>
    </row>
    <row r="1845" spans="1:8">
      <c r="A1845" t="str">
        <f t="shared" si="56"/>
        <v>تهرانملارد</v>
      </c>
      <c r="B1845" s="12" t="s">
        <v>397</v>
      </c>
      <c r="C1845" s="12" t="s">
        <v>409</v>
      </c>
      <c r="D1845" s="12" t="s">
        <v>478</v>
      </c>
      <c r="E1845" s="12">
        <v>2.5278932427962222E-2</v>
      </c>
      <c r="F1845" s="12">
        <v>389969</v>
      </c>
      <c r="G1845">
        <f t="shared" si="57"/>
        <v>9858</v>
      </c>
      <c r="H1845" s="16" t="s">
        <v>647</v>
      </c>
    </row>
    <row r="1846" spans="1:8">
      <c r="A1846" t="str">
        <f t="shared" si="56"/>
        <v>تهرانملارد</v>
      </c>
      <c r="B1846" s="12" t="s">
        <v>397</v>
      </c>
      <c r="C1846" s="12" t="s">
        <v>409</v>
      </c>
      <c r="D1846" s="12" t="s">
        <v>20</v>
      </c>
      <c r="E1846" s="12">
        <v>1.8514292161684646E-2</v>
      </c>
      <c r="F1846" s="12">
        <v>389969</v>
      </c>
      <c r="G1846">
        <f t="shared" si="57"/>
        <v>7220</v>
      </c>
      <c r="H1846" s="16" t="s">
        <v>647</v>
      </c>
    </row>
    <row r="1847" spans="1:8">
      <c r="A1847" t="str">
        <f t="shared" si="56"/>
        <v>تهرانپيشوا</v>
      </c>
      <c r="B1847" s="12" t="s">
        <v>397</v>
      </c>
      <c r="C1847" s="12" t="s">
        <v>410</v>
      </c>
      <c r="D1847" s="12" t="s">
        <v>480</v>
      </c>
      <c r="E1847" s="12">
        <v>0.45138770451728805</v>
      </c>
      <c r="F1847" s="12">
        <v>87951</v>
      </c>
      <c r="G1847">
        <f t="shared" si="57"/>
        <v>39700</v>
      </c>
      <c r="H1847" s="16" t="s">
        <v>640</v>
      </c>
    </row>
    <row r="1848" spans="1:8">
      <c r="A1848" t="str">
        <f t="shared" si="56"/>
        <v>تهرانپيشوا</v>
      </c>
      <c r="B1848" s="12" t="s">
        <v>397</v>
      </c>
      <c r="C1848" s="12" t="s">
        <v>410</v>
      </c>
      <c r="D1848" s="12" t="s">
        <v>479</v>
      </c>
      <c r="E1848" s="12">
        <v>0.39336676103739582</v>
      </c>
      <c r="F1848" s="12">
        <v>87951</v>
      </c>
      <c r="G1848">
        <f t="shared" si="57"/>
        <v>34597</v>
      </c>
      <c r="H1848" s="16" t="s">
        <v>640</v>
      </c>
    </row>
    <row r="1849" spans="1:8">
      <c r="A1849" t="str">
        <f t="shared" si="56"/>
        <v>تهرانپيشوا</v>
      </c>
      <c r="B1849" s="12" t="s">
        <v>397</v>
      </c>
      <c r="C1849" s="12" t="s">
        <v>410</v>
      </c>
      <c r="D1849" s="12" t="s">
        <v>22</v>
      </c>
      <c r="E1849" s="12">
        <v>9.4825527850735072E-2</v>
      </c>
      <c r="F1849" s="12">
        <v>87951</v>
      </c>
      <c r="G1849">
        <f t="shared" si="57"/>
        <v>8340</v>
      </c>
      <c r="H1849" s="16" t="s">
        <v>640</v>
      </c>
    </row>
    <row r="1850" spans="1:8">
      <c r="A1850" t="str">
        <f t="shared" si="56"/>
        <v>تهرانپيشوا</v>
      </c>
      <c r="B1850" s="12" t="s">
        <v>397</v>
      </c>
      <c r="C1850" s="12" t="s">
        <v>410</v>
      </c>
      <c r="D1850" s="12" t="s">
        <v>478</v>
      </c>
      <c r="E1850" s="12">
        <v>3.2779615922502302E-2</v>
      </c>
      <c r="F1850" s="12">
        <v>87951</v>
      </c>
      <c r="G1850">
        <f t="shared" si="57"/>
        <v>2883</v>
      </c>
      <c r="H1850" s="16" t="s">
        <v>640</v>
      </c>
    </row>
    <row r="1851" spans="1:8">
      <c r="A1851" t="str">
        <f t="shared" si="56"/>
        <v>تهرانپيشوا</v>
      </c>
      <c r="B1851" s="12" t="s">
        <v>397</v>
      </c>
      <c r="C1851" s="12" t="s">
        <v>410</v>
      </c>
      <c r="D1851" s="12" t="s">
        <v>20</v>
      </c>
      <c r="E1851" s="12">
        <v>2.7674500574183351E-2</v>
      </c>
      <c r="F1851" s="12">
        <v>87951</v>
      </c>
      <c r="G1851">
        <f t="shared" si="57"/>
        <v>2434</v>
      </c>
      <c r="H1851" s="16" t="s">
        <v>640</v>
      </c>
    </row>
    <row r="1852" spans="1:8">
      <c r="A1852" t="str">
        <f t="shared" si="56"/>
        <v>تهرانبهارستان</v>
      </c>
      <c r="B1852" s="12" t="s">
        <v>397</v>
      </c>
      <c r="C1852" s="12" t="s">
        <v>411</v>
      </c>
      <c r="D1852" s="12" t="s">
        <v>480</v>
      </c>
      <c r="E1852" s="12">
        <v>0.46861509017728659</v>
      </c>
      <c r="F1852" s="12">
        <v>547588</v>
      </c>
      <c r="G1852">
        <f t="shared" si="57"/>
        <v>256608</v>
      </c>
      <c r="H1852" s="16" t="s">
        <v>644</v>
      </c>
    </row>
    <row r="1853" spans="1:8">
      <c r="A1853" t="str">
        <f t="shared" si="56"/>
        <v>تهرانبهارستان</v>
      </c>
      <c r="B1853" s="12" t="s">
        <v>397</v>
      </c>
      <c r="C1853" s="12" t="s">
        <v>411</v>
      </c>
      <c r="D1853" s="12" t="s">
        <v>479</v>
      </c>
      <c r="E1853" s="12">
        <v>0.41211823487731652</v>
      </c>
      <c r="F1853" s="12">
        <v>547588</v>
      </c>
      <c r="G1853">
        <f t="shared" si="57"/>
        <v>225671</v>
      </c>
      <c r="H1853" s="16" t="s">
        <v>644</v>
      </c>
    </row>
    <row r="1854" spans="1:8">
      <c r="A1854" t="str">
        <f t="shared" si="56"/>
        <v>تهرانبهارستان</v>
      </c>
      <c r="B1854" s="12" t="s">
        <v>397</v>
      </c>
      <c r="C1854" s="12" t="s">
        <v>411</v>
      </c>
      <c r="D1854" s="12" t="s">
        <v>22</v>
      </c>
      <c r="E1854" s="12">
        <v>7.9601817424779217E-2</v>
      </c>
      <c r="F1854" s="12">
        <v>547588</v>
      </c>
      <c r="G1854">
        <f t="shared" si="57"/>
        <v>43589</v>
      </c>
      <c r="H1854" s="16" t="s">
        <v>644</v>
      </c>
    </row>
    <row r="1855" spans="1:8">
      <c r="A1855" t="str">
        <f t="shared" si="56"/>
        <v>تهرانبهارستان</v>
      </c>
      <c r="B1855" s="12" t="s">
        <v>397</v>
      </c>
      <c r="C1855" s="12" t="s">
        <v>411</v>
      </c>
      <c r="D1855" s="12" t="s">
        <v>478</v>
      </c>
      <c r="E1855" s="12">
        <v>2.3176183554058892E-2</v>
      </c>
      <c r="F1855" s="12">
        <v>547588</v>
      </c>
      <c r="G1855">
        <f t="shared" si="57"/>
        <v>12691</v>
      </c>
      <c r="H1855" s="16" t="s">
        <v>644</v>
      </c>
    </row>
    <row r="1856" spans="1:8">
      <c r="A1856" t="str">
        <f t="shared" si="56"/>
        <v>تهرانبهارستان</v>
      </c>
      <c r="B1856" s="12" t="s">
        <v>397</v>
      </c>
      <c r="C1856" s="12" t="s">
        <v>411</v>
      </c>
      <c r="D1856" s="12" t="s">
        <v>20</v>
      </c>
      <c r="E1856" s="12">
        <v>1.6490500157052383E-2</v>
      </c>
      <c r="F1856" s="12">
        <v>547588</v>
      </c>
      <c r="G1856">
        <f t="shared" si="57"/>
        <v>9030</v>
      </c>
      <c r="H1856" s="16" t="s">
        <v>644</v>
      </c>
    </row>
    <row r="1857" spans="1:8">
      <c r="A1857" t="str">
        <f t="shared" si="56"/>
        <v>تهرانپرديس</v>
      </c>
      <c r="B1857" s="12" t="s">
        <v>397</v>
      </c>
      <c r="C1857" s="12" t="s">
        <v>412</v>
      </c>
      <c r="D1857" s="12" t="s">
        <v>480</v>
      </c>
      <c r="E1857" s="12">
        <v>0.42703340158764619</v>
      </c>
      <c r="F1857" s="12">
        <v>170441</v>
      </c>
      <c r="G1857">
        <f t="shared" si="57"/>
        <v>72784</v>
      </c>
      <c r="H1857" s="16" t="s">
        <v>636</v>
      </c>
    </row>
    <row r="1858" spans="1:8">
      <c r="A1858" t="str">
        <f t="shared" ref="A1858:A1921" si="58">B1858&amp;C1858</f>
        <v>تهرانپرديس</v>
      </c>
      <c r="B1858" s="12" t="s">
        <v>397</v>
      </c>
      <c r="C1858" s="12" t="s">
        <v>412</v>
      </c>
      <c r="D1858" s="12" t="s">
        <v>479</v>
      </c>
      <c r="E1858" s="12">
        <v>0.42926291209274764</v>
      </c>
      <c r="F1858" s="12">
        <v>170441</v>
      </c>
      <c r="G1858">
        <f t="shared" si="57"/>
        <v>73164</v>
      </c>
      <c r="H1858" s="16" t="s">
        <v>636</v>
      </c>
    </row>
    <row r="1859" spans="1:8">
      <c r="A1859" t="str">
        <f t="shared" si="58"/>
        <v>تهرانپرديس</v>
      </c>
      <c r="B1859" s="12" t="s">
        <v>397</v>
      </c>
      <c r="C1859" s="12" t="s">
        <v>412</v>
      </c>
      <c r="D1859" s="12" t="s">
        <v>22</v>
      </c>
      <c r="E1859" s="12">
        <v>9.4232021637986163E-2</v>
      </c>
      <c r="F1859" s="12">
        <v>170441</v>
      </c>
      <c r="G1859">
        <f t="shared" ref="G1859:G1922" si="59">IFERROR(ROUND(F1859*E1859,0),0)</f>
        <v>16061</v>
      </c>
      <c r="H1859" s="16" t="s">
        <v>636</v>
      </c>
    </row>
    <row r="1860" spans="1:8">
      <c r="A1860" t="str">
        <f t="shared" si="58"/>
        <v>تهرانپرديس</v>
      </c>
      <c r="B1860" s="12" t="s">
        <v>397</v>
      </c>
      <c r="C1860" s="12" t="s">
        <v>412</v>
      </c>
      <c r="D1860" s="12" t="s">
        <v>478</v>
      </c>
      <c r="E1860" s="12">
        <v>2.8625741458921269E-2</v>
      </c>
      <c r="F1860" s="12">
        <v>170441</v>
      </c>
      <c r="G1860">
        <f t="shared" si="59"/>
        <v>4879</v>
      </c>
      <c r="H1860" s="16" t="s">
        <v>636</v>
      </c>
    </row>
    <row r="1861" spans="1:8">
      <c r="A1861" t="str">
        <f t="shared" si="58"/>
        <v>تهرانپرديس</v>
      </c>
      <c r="B1861" s="12" t="s">
        <v>397</v>
      </c>
      <c r="C1861" s="12" t="s">
        <v>412</v>
      </c>
      <c r="D1861" s="12" t="s">
        <v>20</v>
      </c>
      <c r="E1861" s="12">
        <v>2.0834188956882441E-2</v>
      </c>
      <c r="F1861" s="12">
        <v>170441</v>
      </c>
      <c r="G1861">
        <f t="shared" si="59"/>
        <v>3551</v>
      </c>
      <c r="H1861" s="16" t="s">
        <v>636</v>
      </c>
    </row>
    <row r="1862" spans="1:8">
      <c r="A1862" t="str">
        <f t="shared" si="58"/>
        <v>تهرانقرچک</v>
      </c>
      <c r="B1862" s="12" t="s">
        <v>397</v>
      </c>
      <c r="C1862" s="12" t="s">
        <v>414</v>
      </c>
      <c r="D1862" s="12" t="s">
        <v>480</v>
      </c>
      <c r="E1862" s="12">
        <v>0.45069921869273954</v>
      </c>
      <c r="F1862" s="12">
        <v>272876</v>
      </c>
      <c r="G1862">
        <f t="shared" si="59"/>
        <v>122985</v>
      </c>
      <c r="H1862" s="16" t="s">
        <v>649</v>
      </c>
    </row>
    <row r="1863" spans="1:8">
      <c r="A1863" t="str">
        <f t="shared" si="58"/>
        <v>تهرانقرچک</v>
      </c>
      <c r="B1863" s="12" t="s">
        <v>397</v>
      </c>
      <c r="C1863" s="12" t="s">
        <v>414</v>
      </c>
      <c r="D1863" s="12" t="s">
        <v>479</v>
      </c>
      <c r="E1863" s="12">
        <v>0.41376302789545433</v>
      </c>
      <c r="F1863" s="12">
        <v>272876</v>
      </c>
      <c r="G1863">
        <f t="shared" si="59"/>
        <v>112906</v>
      </c>
      <c r="H1863" s="16" t="s">
        <v>649</v>
      </c>
    </row>
    <row r="1864" spans="1:8">
      <c r="A1864" t="str">
        <f t="shared" si="58"/>
        <v>تهرانقرچک</v>
      </c>
      <c r="B1864" s="12" t="s">
        <v>397</v>
      </c>
      <c r="C1864" s="12" t="s">
        <v>414</v>
      </c>
      <c r="D1864" s="12" t="s">
        <v>22</v>
      </c>
      <c r="E1864" s="12">
        <v>8.7241091191603518E-2</v>
      </c>
      <c r="F1864" s="12">
        <v>272876</v>
      </c>
      <c r="G1864">
        <f t="shared" si="59"/>
        <v>23806</v>
      </c>
      <c r="H1864" s="16" t="s">
        <v>649</v>
      </c>
    </row>
    <row r="1865" spans="1:8">
      <c r="A1865" t="str">
        <f t="shared" si="58"/>
        <v>تهرانقرچک</v>
      </c>
      <c r="B1865" s="12" t="s">
        <v>397</v>
      </c>
      <c r="C1865" s="12" t="s">
        <v>414</v>
      </c>
      <c r="D1865" s="12" t="s">
        <v>478</v>
      </c>
      <c r="E1865" s="12">
        <v>2.724680807399698E-2</v>
      </c>
      <c r="F1865" s="12">
        <v>272876</v>
      </c>
      <c r="G1865">
        <f t="shared" si="59"/>
        <v>7435</v>
      </c>
      <c r="H1865" s="16" t="s">
        <v>649</v>
      </c>
    </row>
    <row r="1866" spans="1:8">
      <c r="A1866" t="str">
        <f t="shared" si="58"/>
        <v>تهرانقرچک</v>
      </c>
      <c r="B1866" s="12" t="s">
        <v>397</v>
      </c>
      <c r="C1866" s="12" t="s">
        <v>414</v>
      </c>
      <c r="D1866" s="12" t="s">
        <v>20</v>
      </c>
      <c r="E1866" s="12">
        <v>2.1057183482607485E-2</v>
      </c>
      <c r="F1866" s="12">
        <v>272876</v>
      </c>
      <c r="G1866">
        <f t="shared" si="59"/>
        <v>5746</v>
      </c>
      <c r="H1866" s="16" t="s">
        <v>649</v>
      </c>
    </row>
    <row r="1867" spans="1:8">
      <c r="A1867" t="str">
        <f t="shared" si="58"/>
        <v>اردبيلاردبيل</v>
      </c>
      <c r="B1867" s="12" t="s">
        <v>413</v>
      </c>
      <c r="C1867" s="12" t="s">
        <v>413</v>
      </c>
      <c r="D1867" s="12" t="s">
        <v>480</v>
      </c>
      <c r="E1867" s="12">
        <v>0.42089715750141832</v>
      </c>
      <c r="F1867" s="12">
        <v>613404</v>
      </c>
      <c r="G1867">
        <f t="shared" si="59"/>
        <v>258180</v>
      </c>
      <c r="H1867" s="16" t="s">
        <v>563</v>
      </c>
    </row>
    <row r="1868" spans="1:8">
      <c r="A1868" t="str">
        <f t="shared" si="58"/>
        <v>اردبيلاردبيل</v>
      </c>
      <c r="B1868" s="12" t="s">
        <v>413</v>
      </c>
      <c r="C1868" s="12" t="s">
        <v>413</v>
      </c>
      <c r="D1868" s="12" t="s">
        <v>479</v>
      </c>
      <c r="E1868" s="12">
        <v>0.41168463198805355</v>
      </c>
      <c r="F1868" s="12">
        <v>613404</v>
      </c>
      <c r="G1868">
        <f t="shared" si="59"/>
        <v>252529</v>
      </c>
      <c r="H1868" s="16" t="s">
        <v>563</v>
      </c>
    </row>
    <row r="1869" spans="1:8">
      <c r="A1869" t="str">
        <f t="shared" si="58"/>
        <v>اردبيلاردبيل</v>
      </c>
      <c r="B1869" s="12" t="s">
        <v>413</v>
      </c>
      <c r="C1869" s="12" t="s">
        <v>413</v>
      </c>
      <c r="D1869" s="12" t="s">
        <v>22</v>
      </c>
      <c r="E1869" s="12">
        <v>0.10110139483929026</v>
      </c>
      <c r="F1869" s="12">
        <v>613404</v>
      </c>
      <c r="G1869">
        <f t="shared" si="59"/>
        <v>62016</v>
      </c>
      <c r="H1869" s="16" t="s">
        <v>563</v>
      </c>
    </row>
    <row r="1870" spans="1:8">
      <c r="A1870" t="str">
        <f t="shared" si="58"/>
        <v>اردبيلاردبيل</v>
      </c>
      <c r="B1870" s="12" t="s">
        <v>413</v>
      </c>
      <c r="C1870" s="12" t="s">
        <v>413</v>
      </c>
      <c r="D1870" s="12" t="s">
        <v>478</v>
      </c>
      <c r="E1870" s="12">
        <v>3.5263871771295918E-2</v>
      </c>
      <c r="F1870" s="12">
        <v>613404</v>
      </c>
      <c r="G1870">
        <f t="shared" si="59"/>
        <v>21631</v>
      </c>
      <c r="H1870" s="16" t="s">
        <v>563</v>
      </c>
    </row>
    <row r="1871" spans="1:8">
      <c r="A1871" t="str">
        <f t="shared" si="58"/>
        <v>اردبيلاردبيل</v>
      </c>
      <c r="B1871" s="12" t="s">
        <v>413</v>
      </c>
      <c r="C1871" s="12" t="s">
        <v>413</v>
      </c>
      <c r="D1871" s="12" t="s">
        <v>20</v>
      </c>
      <c r="E1871" s="12">
        <v>3.1054574146891771E-2</v>
      </c>
      <c r="F1871" s="12">
        <v>613404</v>
      </c>
      <c r="G1871">
        <f t="shared" si="59"/>
        <v>19049</v>
      </c>
      <c r="H1871" s="16" t="s">
        <v>563</v>
      </c>
    </row>
    <row r="1872" spans="1:8">
      <c r="A1872" t="str">
        <f t="shared" si="58"/>
        <v>اردبيلبيله سوار</v>
      </c>
      <c r="B1872" s="12" t="s">
        <v>413</v>
      </c>
      <c r="C1872" s="12" t="s">
        <v>415</v>
      </c>
      <c r="D1872" s="12" t="s">
        <v>480</v>
      </c>
      <c r="E1872" s="12">
        <v>0.40759439387146451</v>
      </c>
      <c r="F1872" s="12">
        <v>51301</v>
      </c>
      <c r="G1872">
        <f t="shared" si="59"/>
        <v>20910</v>
      </c>
      <c r="H1872" s="16" t="s">
        <v>560</v>
      </c>
    </row>
    <row r="1873" spans="1:8">
      <c r="A1873" t="str">
        <f t="shared" si="58"/>
        <v>اردبيلبيله سوار</v>
      </c>
      <c r="B1873" s="12" t="s">
        <v>413</v>
      </c>
      <c r="C1873" s="12" t="s">
        <v>415</v>
      </c>
      <c r="D1873" s="12" t="s">
        <v>479</v>
      </c>
      <c r="E1873" s="12">
        <v>0.41332527631040333</v>
      </c>
      <c r="F1873" s="12">
        <v>51301</v>
      </c>
      <c r="G1873">
        <f t="shared" si="59"/>
        <v>21204</v>
      </c>
      <c r="H1873" s="16" t="s">
        <v>560</v>
      </c>
    </row>
    <row r="1874" spans="1:8">
      <c r="A1874" t="str">
        <f t="shared" si="58"/>
        <v>اردبيلبيله سوار</v>
      </c>
      <c r="B1874" s="12" t="s">
        <v>413</v>
      </c>
      <c r="C1874" s="12" t="s">
        <v>415</v>
      </c>
      <c r="D1874" s="12" t="s">
        <v>22</v>
      </c>
      <c r="E1874" s="12">
        <v>0.10578741155143175</v>
      </c>
      <c r="F1874" s="12">
        <v>51301</v>
      </c>
      <c r="G1874">
        <f t="shared" si="59"/>
        <v>5427</v>
      </c>
      <c r="H1874" s="16" t="s">
        <v>560</v>
      </c>
    </row>
    <row r="1875" spans="1:8">
      <c r="A1875" t="str">
        <f t="shared" si="58"/>
        <v>اردبيلبيله سوار</v>
      </c>
      <c r="B1875" s="12" t="s">
        <v>413</v>
      </c>
      <c r="C1875" s="12" t="s">
        <v>415</v>
      </c>
      <c r="D1875" s="12" t="s">
        <v>478</v>
      </c>
      <c r="E1875" s="12">
        <v>3.7991462154733827E-2</v>
      </c>
      <c r="F1875" s="12">
        <v>51301</v>
      </c>
      <c r="G1875">
        <f t="shared" si="59"/>
        <v>1949</v>
      </c>
      <c r="H1875" s="16" t="s">
        <v>560</v>
      </c>
    </row>
    <row r="1876" spans="1:8">
      <c r="A1876" t="str">
        <f t="shared" si="58"/>
        <v>اردبيلبيله سوار</v>
      </c>
      <c r="B1876" s="12" t="s">
        <v>413</v>
      </c>
      <c r="C1876" s="12" t="s">
        <v>415</v>
      </c>
      <c r="D1876" s="12" t="s">
        <v>20</v>
      </c>
      <c r="E1876" s="12">
        <v>3.5165006530087133E-2</v>
      </c>
      <c r="F1876" s="12">
        <v>51301</v>
      </c>
      <c r="G1876">
        <f t="shared" si="59"/>
        <v>1804</v>
      </c>
      <c r="H1876" s="16" t="s">
        <v>560</v>
      </c>
    </row>
    <row r="1877" spans="1:8">
      <c r="A1877" t="str">
        <f t="shared" si="58"/>
        <v>اردبيلخلخال</v>
      </c>
      <c r="B1877" s="12" t="s">
        <v>413</v>
      </c>
      <c r="C1877" s="12" t="s">
        <v>416</v>
      </c>
      <c r="D1877" s="12" t="s">
        <v>480</v>
      </c>
      <c r="E1877" s="12">
        <v>0.39447224538967657</v>
      </c>
      <c r="F1877" s="12">
        <v>86328</v>
      </c>
      <c r="G1877">
        <f t="shared" si="59"/>
        <v>34054</v>
      </c>
      <c r="H1877" s="16" t="s">
        <v>564</v>
      </c>
    </row>
    <row r="1878" spans="1:8">
      <c r="A1878" t="str">
        <f t="shared" si="58"/>
        <v>اردبيلخلخال</v>
      </c>
      <c r="B1878" s="12" t="s">
        <v>413</v>
      </c>
      <c r="C1878" s="12" t="s">
        <v>416</v>
      </c>
      <c r="D1878" s="12" t="s">
        <v>479</v>
      </c>
      <c r="E1878" s="12">
        <v>0.38350245575016217</v>
      </c>
      <c r="F1878" s="12">
        <v>86328</v>
      </c>
      <c r="G1878">
        <f t="shared" si="59"/>
        <v>33107</v>
      </c>
      <c r="H1878" s="16" t="s">
        <v>564</v>
      </c>
    </row>
    <row r="1879" spans="1:8">
      <c r="A1879" t="str">
        <f t="shared" si="58"/>
        <v>اردبيلخلخال</v>
      </c>
      <c r="B1879" s="12" t="s">
        <v>413</v>
      </c>
      <c r="C1879" s="12" t="s">
        <v>416</v>
      </c>
      <c r="D1879" s="12" t="s">
        <v>22</v>
      </c>
      <c r="E1879" s="12">
        <v>0.11543184134927255</v>
      </c>
      <c r="F1879" s="12">
        <v>86328</v>
      </c>
      <c r="G1879">
        <f t="shared" si="59"/>
        <v>9965</v>
      </c>
      <c r="H1879" s="16" t="s">
        <v>564</v>
      </c>
    </row>
    <row r="1880" spans="1:8">
      <c r="A1880" t="str">
        <f t="shared" si="58"/>
        <v>اردبيلخلخال</v>
      </c>
      <c r="B1880" s="12" t="s">
        <v>413</v>
      </c>
      <c r="C1880" s="12" t="s">
        <v>416</v>
      </c>
      <c r="D1880" s="12" t="s">
        <v>478</v>
      </c>
      <c r="E1880" s="12">
        <v>5.0609304049671025E-2</v>
      </c>
      <c r="F1880" s="12">
        <v>86328</v>
      </c>
      <c r="G1880">
        <f t="shared" si="59"/>
        <v>4369</v>
      </c>
      <c r="H1880" s="16" t="s">
        <v>564</v>
      </c>
    </row>
    <row r="1881" spans="1:8">
      <c r="A1881" t="str">
        <f t="shared" si="58"/>
        <v>اردبيلخلخال</v>
      </c>
      <c r="B1881" s="12" t="s">
        <v>413</v>
      </c>
      <c r="C1881" s="12" t="s">
        <v>416</v>
      </c>
      <c r="D1881" s="12" t="s">
        <v>20</v>
      </c>
      <c r="E1881" s="12">
        <v>5.603048836993791E-2</v>
      </c>
      <c r="F1881" s="12">
        <v>86328</v>
      </c>
      <c r="G1881">
        <f t="shared" si="59"/>
        <v>4837</v>
      </c>
      <c r="H1881" s="16" t="s">
        <v>564</v>
      </c>
    </row>
    <row r="1882" spans="1:8">
      <c r="A1882" t="str">
        <f t="shared" si="58"/>
        <v>اردبيلمشگين شهر</v>
      </c>
      <c r="B1882" s="12" t="s">
        <v>413</v>
      </c>
      <c r="C1882" s="12" t="s">
        <v>417</v>
      </c>
      <c r="D1882" s="12" t="s">
        <v>480</v>
      </c>
      <c r="E1882" s="12">
        <v>0.40775540041177932</v>
      </c>
      <c r="F1882" s="12">
        <v>149109</v>
      </c>
      <c r="G1882">
        <f t="shared" si="59"/>
        <v>60800</v>
      </c>
      <c r="H1882" s="16" t="s">
        <v>565</v>
      </c>
    </row>
    <row r="1883" spans="1:8">
      <c r="A1883" t="str">
        <f t="shared" si="58"/>
        <v>اردبيلمشگين شهر</v>
      </c>
      <c r="B1883" s="12" t="s">
        <v>413</v>
      </c>
      <c r="C1883" s="12" t="s">
        <v>417</v>
      </c>
      <c r="D1883" s="12" t="s">
        <v>479</v>
      </c>
      <c r="E1883" s="12">
        <v>0.39950640135739629</v>
      </c>
      <c r="F1883" s="12">
        <v>149109</v>
      </c>
      <c r="G1883">
        <f t="shared" si="59"/>
        <v>59570</v>
      </c>
      <c r="H1883" s="16" t="s">
        <v>565</v>
      </c>
    </row>
    <row r="1884" spans="1:8">
      <c r="A1884" t="str">
        <f t="shared" si="58"/>
        <v>اردبيلمشگين شهر</v>
      </c>
      <c r="B1884" s="12" t="s">
        <v>413</v>
      </c>
      <c r="C1884" s="12" t="s">
        <v>417</v>
      </c>
      <c r="D1884" s="12" t="s">
        <v>22</v>
      </c>
      <c r="E1884" s="12">
        <v>0.11008725160788417</v>
      </c>
      <c r="F1884" s="12">
        <v>149109</v>
      </c>
      <c r="G1884">
        <f t="shared" si="59"/>
        <v>16415</v>
      </c>
      <c r="H1884" s="16" t="s">
        <v>565</v>
      </c>
    </row>
    <row r="1885" spans="1:8">
      <c r="A1885" t="str">
        <f t="shared" si="58"/>
        <v>اردبيلمشگين شهر</v>
      </c>
      <c r="B1885" s="12" t="s">
        <v>413</v>
      </c>
      <c r="C1885" s="12" t="s">
        <v>417</v>
      </c>
      <c r="D1885" s="12" t="s">
        <v>478</v>
      </c>
      <c r="E1885" s="12">
        <v>4.2136960210315946E-2</v>
      </c>
      <c r="F1885" s="12">
        <v>149109</v>
      </c>
      <c r="G1885">
        <f t="shared" si="59"/>
        <v>6283</v>
      </c>
      <c r="H1885" s="16" t="s">
        <v>565</v>
      </c>
    </row>
    <row r="1886" spans="1:8">
      <c r="A1886" t="str">
        <f t="shared" si="58"/>
        <v>اردبيلمشگين شهر</v>
      </c>
      <c r="B1886" s="12" t="s">
        <v>413</v>
      </c>
      <c r="C1886" s="12" t="s">
        <v>417</v>
      </c>
      <c r="D1886" s="12" t="s">
        <v>20</v>
      </c>
      <c r="E1886" s="12">
        <v>4.0507279909328078E-2</v>
      </c>
      <c r="F1886" s="12">
        <v>149109</v>
      </c>
      <c r="G1886">
        <f t="shared" si="59"/>
        <v>6040</v>
      </c>
      <c r="H1886" s="16" t="s">
        <v>565</v>
      </c>
    </row>
    <row r="1887" spans="1:8">
      <c r="A1887" t="str">
        <f t="shared" si="58"/>
        <v>اردبيلگرمي</v>
      </c>
      <c r="B1887" s="12" t="s">
        <v>413</v>
      </c>
      <c r="C1887" s="12" t="s">
        <v>418</v>
      </c>
      <c r="D1887" s="12" t="s">
        <v>480</v>
      </c>
      <c r="E1887" s="12">
        <v>0.41250544489763591</v>
      </c>
      <c r="F1887" s="12">
        <v>75759</v>
      </c>
      <c r="G1887">
        <f t="shared" si="59"/>
        <v>31251</v>
      </c>
      <c r="H1887" s="16" t="s">
        <v>567</v>
      </c>
    </row>
    <row r="1888" spans="1:8">
      <c r="A1888" t="str">
        <f t="shared" si="58"/>
        <v>اردبيلگرمي</v>
      </c>
      <c r="B1888" s="12" t="s">
        <v>413</v>
      </c>
      <c r="C1888" s="12" t="s">
        <v>418</v>
      </c>
      <c r="D1888" s="12" t="s">
        <v>479</v>
      </c>
      <c r="E1888" s="12">
        <v>0.39576815955860029</v>
      </c>
      <c r="F1888" s="12">
        <v>75759</v>
      </c>
      <c r="G1888">
        <f t="shared" si="59"/>
        <v>29983</v>
      </c>
      <c r="H1888" s="16" t="s">
        <v>567</v>
      </c>
    </row>
    <row r="1889" spans="1:8">
      <c r="A1889" t="str">
        <f t="shared" si="58"/>
        <v>اردبيلگرمي</v>
      </c>
      <c r="B1889" s="12" t="s">
        <v>413</v>
      </c>
      <c r="C1889" s="12" t="s">
        <v>418</v>
      </c>
      <c r="D1889" s="12" t="s">
        <v>22</v>
      </c>
      <c r="E1889" s="12">
        <v>0.10580921078683721</v>
      </c>
      <c r="F1889" s="12">
        <v>75759</v>
      </c>
      <c r="G1889">
        <f t="shared" si="59"/>
        <v>8016</v>
      </c>
      <c r="H1889" s="16" t="s">
        <v>567</v>
      </c>
    </row>
    <row r="1890" spans="1:8">
      <c r="A1890" t="str">
        <f t="shared" si="58"/>
        <v>اردبيلگرمي</v>
      </c>
      <c r="B1890" s="12" t="s">
        <v>413</v>
      </c>
      <c r="C1890" s="12" t="s">
        <v>418</v>
      </c>
      <c r="D1890" s="12" t="s">
        <v>478</v>
      </c>
      <c r="E1890" s="12">
        <v>4.2912393247006957E-2</v>
      </c>
      <c r="F1890" s="12">
        <v>75759</v>
      </c>
      <c r="G1890">
        <f t="shared" si="59"/>
        <v>3251</v>
      </c>
      <c r="H1890" s="16" t="s">
        <v>567</v>
      </c>
    </row>
    <row r="1891" spans="1:8">
      <c r="A1891" t="str">
        <f t="shared" si="58"/>
        <v>اردبيلگرمي</v>
      </c>
      <c r="B1891" s="12" t="s">
        <v>413</v>
      </c>
      <c r="C1891" s="12" t="s">
        <v>418</v>
      </c>
      <c r="D1891" s="12" t="s">
        <v>20</v>
      </c>
      <c r="E1891" s="12">
        <v>4.2925592998851625E-2</v>
      </c>
      <c r="F1891" s="12">
        <v>75759</v>
      </c>
      <c r="G1891">
        <f t="shared" si="59"/>
        <v>3252</v>
      </c>
      <c r="H1891" s="16" t="s">
        <v>567</v>
      </c>
    </row>
    <row r="1892" spans="1:8">
      <c r="A1892" t="str">
        <f t="shared" si="58"/>
        <v>اردبيلپارس آباد</v>
      </c>
      <c r="B1892" s="12" t="s">
        <v>413</v>
      </c>
      <c r="C1892" s="12" t="s">
        <v>419</v>
      </c>
      <c r="D1892" s="12" t="s">
        <v>480</v>
      </c>
      <c r="E1892" s="12">
        <v>0.44757574066841488</v>
      </c>
      <c r="F1892" s="12">
        <v>179230</v>
      </c>
      <c r="G1892">
        <f t="shared" si="59"/>
        <v>80219</v>
      </c>
      <c r="H1892" s="16" t="s">
        <v>568</v>
      </c>
    </row>
    <row r="1893" spans="1:8">
      <c r="A1893" t="str">
        <f t="shared" si="58"/>
        <v>اردبيلپارس آباد</v>
      </c>
      <c r="B1893" s="12" t="s">
        <v>413</v>
      </c>
      <c r="C1893" s="12" t="s">
        <v>419</v>
      </c>
      <c r="D1893" s="12" t="s">
        <v>479</v>
      </c>
      <c r="E1893" s="12">
        <v>0.40922278636388998</v>
      </c>
      <c r="F1893" s="12">
        <v>179230</v>
      </c>
      <c r="G1893">
        <f t="shared" si="59"/>
        <v>73345</v>
      </c>
      <c r="H1893" s="16" t="s">
        <v>568</v>
      </c>
    </row>
    <row r="1894" spans="1:8">
      <c r="A1894" t="str">
        <f t="shared" si="58"/>
        <v>اردبيلپارس آباد</v>
      </c>
      <c r="B1894" s="12" t="s">
        <v>413</v>
      </c>
      <c r="C1894" s="12" t="s">
        <v>419</v>
      </c>
      <c r="D1894" s="12" t="s">
        <v>22</v>
      </c>
      <c r="E1894" s="12">
        <v>8.7775484014952859E-2</v>
      </c>
      <c r="F1894" s="12">
        <v>179230</v>
      </c>
      <c r="G1894">
        <f t="shared" si="59"/>
        <v>15732</v>
      </c>
      <c r="H1894" s="16" t="s">
        <v>568</v>
      </c>
    </row>
    <row r="1895" spans="1:8">
      <c r="A1895" t="str">
        <f t="shared" si="58"/>
        <v>اردبيلپارس آباد</v>
      </c>
      <c r="B1895" s="12" t="s">
        <v>413</v>
      </c>
      <c r="C1895" s="12" t="s">
        <v>419</v>
      </c>
      <c r="D1895" s="12" t="s">
        <v>478</v>
      </c>
      <c r="E1895" s="12">
        <v>2.9219438710037383E-2</v>
      </c>
      <c r="F1895" s="12">
        <v>179230</v>
      </c>
      <c r="G1895">
        <f t="shared" si="59"/>
        <v>5237</v>
      </c>
      <c r="H1895" s="16" t="s">
        <v>568</v>
      </c>
    </row>
    <row r="1896" spans="1:8">
      <c r="A1896" t="str">
        <f t="shared" si="58"/>
        <v>اردبيلپارس آباد</v>
      </c>
      <c r="B1896" s="12" t="s">
        <v>413</v>
      </c>
      <c r="C1896" s="12" t="s">
        <v>419</v>
      </c>
      <c r="D1896" s="12" t="s">
        <v>20</v>
      </c>
      <c r="E1896" s="12">
        <v>2.6167494281091334E-2</v>
      </c>
      <c r="F1896" s="12">
        <v>179230</v>
      </c>
      <c r="G1896">
        <f t="shared" si="59"/>
        <v>4690</v>
      </c>
      <c r="H1896" s="16" t="s">
        <v>568</v>
      </c>
    </row>
    <row r="1897" spans="1:8">
      <c r="A1897" t="str">
        <f t="shared" si="58"/>
        <v>اردبيلكوثر</v>
      </c>
      <c r="B1897" s="12" t="s">
        <v>413</v>
      </c>
      <c r="C1897" s="12" t="s">
        <v>420</v>
      </c>
      <c r="D1897" s="12" t="s">
        <v>480</v>
      </c>
      <c r="E1897" s="12">
        <v>0.38626510469513881</v>
      </c>
      <c r="F1897" s="12">
        <v>21682</v>
      </c>
      <c r="G1897">
        <f t="shared" si="59"/>
        <v>8375</v>
      </c>
      <c r="H1897" s="16" t="s">
        <v>570</v>
      </c>
    </row>
    <row r="1898" spans="1:8">
      <c r="A1898" t="str">
        <f t="shared" si="58"/>
        <v>اردبيلكوثر</v>
      </c>
      <c r="B1898" s="12" t="s">
        <v>413</v>
      </c>
      <c r="C1898" s="12" t="s">
        <v>420</v>
      </c>
      <c r="D1898" s="12" t="s">
        <v>479</v>
      </c>
      <c r="E1898" s="12">
        <v>0.38077668111797802</v>
      </c>
      <c r="F1898" s="12">
        <v>21682</v>
      </c>
      <c r="G1898">
        <f t="shared" si="59"/>
        <v>8256</v>
      </c>
      <c r="H1898" s="16" t="s">
        <v>570</v>
      </c>
    </row>
    <row r="1899" spans="1:8">
      <c r="A1899" t="str">
        <f t="shared" si="58"/>
        <v>اردبيلكوثر</v>
      </c>
      <c r="B1899" s="12" t="s">
        <v>413</v>
      </c>
      <c r="C1899" s="12" t="s">
        <v>420</v>
      </c>
      <c r="D1899" s="12" t="s">
        <v>22</v>
      </c>
      <c r="E1899" s="12">
        <v>0.12203671248039849</v>
      </c>
      <c r="F1899" s="12">
        <v>21682</v>
      </c>
      <c r="G1899">
        <f t="shared" si="59"/>
        <v>2646</v>
      </c>
      <c r="H1899" s="16" t="s">
        <v>570</v>
      </c>
    </row>
    <row r="1900" spans="1:8">
      <c r="A1900" t="str">
        <f t="shared" si="58"/>
        <v>اردبيلكوثر</v>
      </c>
      <c r="B1900" s="12" t="s">
        <v>413</v>
      </c>
      <c r="C1900" s="12" t="s">
        <v>420</v>
      </c>
      <c r="D1900" s="12" t="s">
        <v>478</v>
      </c>
      <c r="E1900" s="12">
        <v>5.2439811825477356E-2</v>
      </c>
      <c r="F1900" s="12">
        <v>21682</v>
      </c>
      <c r="G1900">
        <f t="shared" si="59"/>
        <v>1137</v>
      </c>
      <c r="H1900" s="16" t="s">
        <v>570</v>
      </c>
    </row>
    <row r="1901" spans="1:8">
      <c r="A1901" t="str">
        <f t="shared" si="58"/>
        <v>اردبيلكوثر</v>
      </c>
      <c r="B1901" s="12" t="s">
        <v>413</v>
      </c>
      <c r="C1901" s="12" t="s">
        <v>420</v>
      </c>
      <c r="D1901" s="12" t="s">
        <v>20</v>
      </c>
      <c r="E1901" s="12">
        <v>5.8481689881007284E-2</v>
      </c>
      <c r="F1901" s="12">
        <v>21682</v>
      </c>
      <c r="G1901">
        <f t="shared" si="59"/>
        <v>1268</v>
      </c>
      <c r="H1901" s="16" t="s">
        <v>570</v>
      </c>
    </row>
    <row r="1902" spans="1:8">
      <c r="A1902" t="str">
        <f t="shared" si="58"/>
        <v>اردبيلنمين</v>
      </c>
      <c r="B1902" s="12" t="s">
        <v>413</v>
      </c>
      <c r="C1902" s="12" t="s">
        <v>421</v>
      </c>
      <c r="D1902" s="12" t="s">
        <v>480</v>
      </c>
      <c r="E1902" s="12">
        <v>0.42895556648630923</v>
      </c>
      <c r="F1902" s="12">
        <v>60990</v>
      </c>
      <c r="G1902">
        <f t="shared" si="59"/>
        <v>26162</v>
      </c>
      <c r="H1902" s="16" t="s">
        <v>562</v>
      </c>
    </row>
    <row r="1903" spans="1:8">
      <c r="A1903" t="str">
        <f t="shared" si="58"/>
        <v>اردبيلنمين</v>
      </c>
      <c r="B1903" s="12" t="s">
        <v>413</v>
      </c>
      <c r="C1903" s="12" t="s">
        <v>421</v>
      </c>
      <c r="D1903" s="12" t="s">
        <v>479</v>
      </c>
      <c r="E1903" s="12">
        <v>0.3856369896704378</v>
      </c>
      <c r="F1903" s="12">
        <v>60990</v>
      </c>
      <c r="G1903">
        <f t="shared" si="59"/>
        <v>23520</v>
      </c>
      <c r="H1903" s="16" t="s">
        <v>562</v>
      </c>
    </row>
    <row r="1904" spans="1:8">
      <c r="A1904" t="str">
        <f t="shared" si="58"/>
        <v>اردبيلنمين</v>
      </c>
      <c r="B1904" s="12" t="s">
        <v>413</v>
      </c>
      <c r="C1904" s="12" t="s">
        <v>421</v>
      </c>
      <c r="D1904" s="12" t="s">
        <v>22</v>
      </c>
      <c r="E1904" s="12">
        <v>0.10083620265617314</v>
      </c>
      <c r="F1904" s="12">
        <v>60990</v>
      </c>
      <c r="G1904">
        <f t="shared" si="59"/>
        <v>6150</v>
      </c>
      <c r="H1904" s="16" t="s">
        <v>562</v>
      </c>
    </row>
    <row r="1905" spans="1:8">
      <c r="A1905" t="str">
        <f t="shared" si="58"/>
        <v>اردبيلنمين</v>
      </c>
      <c r="B1905" s="12" t="s">
        <v>413</v>
      </c>
      <c r="C1905" s="12" t="s">
        <v>421</v>
      </c>
      <c r="D1905" s="12" t="s">
        <v>478</v>
      </c>
      <c r="E1905" s="12">
        <v>4.2728316117396296E-2</v>
      </c>
      <c r="F1905" s="12">
        <v>60990</v>
      </c>
      <c r="G1905">
        <f t="shared" si="59"/>
        <v>2606</v>
      </c>
      <c r="H1905" s="16" t="s">
        <v>562</v>
      </c>
    </row>
    <row r="1906" spans="1:8">
      <c r="A1906" t="str">
        <f t="shared" si="58"/>
        <v>اردبيلنمين</v>
      </c>
      <c r="B1906" s="12" t="s">
        <v>413</v>
      </c>
      <c r="C1906" s="12" t="s">
        <v>421</v>
      </c>
      <c r="D1906" s="12" t="s">
        <v>20</v>
      </c>
      <c r="E1906" s="12">
        <v>4.1695359895064767E-2</v>
      </c>
      <c r="F1906" s="12">
        <v>60990</v>
      </c>
      <c r="G1906">
        <f t="shared" si="59"/>
        <v>2543</v>
      </c>
      <c r="H1906" s="16" t="s">
        <v>562</v>
      </c>
    </row>
    <row r="1907" spans="1:8">
      <c r="A1907" t="str">
        <f t="shared" si="58"/>
        <v>اردبيلنير</v>
      </c>
      <c r="B1907" s="12" t="s">
        <v>413</v>
      </c>
      <c r="C1907" s="12" t="s">
        <v>422</v>
      </c>
      <c r="D1907" s="12" t="s">
        <v>480</v>
      </c>
      <c r="E1907" s="12">
        <v>0.38653474903474905</v>
      </c>
      <c r="F1907" s="12">
        <v>20720</v>
      </c>
      <c r="G1907">
        <f t="shared" si="59"/>
        <v>8009</v>
      </c>
      <c r="H1907" s="16" t="s">
        <v>569</v>
      </c>
    </row>
    <row r="1908" spans="1:8">
      <c r="A1908" t="str">
        <f t="shared" si="58"/>
        <v>اردبيلنير</v>
      </c>
      <c r="B1908" s="12" t="s">
        <v>413</v>
      </c>
      <c r="C1908" s="12" t="s">
        <v>422</v>
      </c>
      <c r="D1908" s="12" t="s">
        <v>479</v>
      </c>
      <c r="E1908" s="12">
        <v>0.38088803088803092</v>
      </c>
      <c r="F1908" s="12">
        <v>20720</v>
      </c>
      <c r="G1908">
        <f t="shared" si="59"/>
        <v>7892</v>
      </c>
      <c r="H1908" s="16" t="s">
        <v>569</v>
      </c>
    </row>
    <row r="1909" spans="1:8">
      <c r="A1909" t="str">
        <f t="shared" si="58"/>
        <v>اردبيلنير</v>
      </c>
      <c r="B1909" s="12" t="s">
        <v>413</v>
      </c>
      <c r="C1909" s="12" t="s">
        <v>422</v>
      </c>
      <c r="D1909" s="12" t="s">
        <v>22</v>
      </c>
      <c r="E1909" s="12">
        <v>0.12360038610038609</v>
      </c>
      <c r="F1909" s="12">
        <v>20720</v>
      </c>
      <c r="G1909">
        <f t="shared" si="59"/>
        <v>2561</v>
      </c>
      <c r="H1909" s="16" t="s">
        <v>569</v>
      </c>
    </row>
    <row r="1910" spans="1:8">
      <c r="A1910" t="str">
        <f t="shared" si="58"/>
        <v>اردبيلنير</v>
      </c>
      <c r="B1910" s="12" t="s">
        <v>413</v>
      </c>
      <c r="C1910" s="12" t="s">
        <v>422</v>
      </c>
      <c r="D1910" s="12" t="s">
        <v>478</v>
      </c>
      <c r="E1910" s="12">
        <v>5.2702702702702706E-2</v>
      </c>
      <c r="F1910" s="12">
        <v>20720</v>
      </c>
      <c r="G1910">
        <f t="shared" si="59"/>
        <v>1092</v>
      </c>
      <c r="H1910" s="16" t="s">
        <v>569</v>
      </c>
    </row>
    <row r="1911" spans="1:8">
      <c r="A1911" t="str">
        <f t="shared" si="58"/>
        <v>اردبيلنير</v>
      </c>
      <c r="B1911" s="12" t="s">
        <v>413</v>
      </c>
      <c r="C1911" s="12" t="s">
        <v>422</v>
      </c>
      <c r="D1911" s="12" t="s">
        <v>20</v>
      </c>
      <c r="E1911" s="12">
        <v>5.6418918918918919E-2</v>
      </c>
      <c r="F1911" s="12">
        <v>20720</v>
      </c>
      <c r="G1911">
        <f t="shared" si="59"/>
        <v>1169</v>
      </c>
      <c r="H1911" s="16" t="s">
        <v>569</v>
      </c>
    </row>
    <row r="1912" spans="1:8">
      <c r="A1912" t="str">
        <f t="shared" si="58"/>
        <v>اردبيلسرعين</v>
      </c>
      <c r="B1912" s="12" t="s">
        <v>413</v>
      </c>
      <c r="C1912" s="12" t="s">
        <v>424</v>
      </c>
      <c r="D1912" s="12" t="s">
        <v>480</v>
      </c>
      <c r="E1912" s="12">
        <v>0.44579688094332448</v>
      </c>
      <c r="F1912" s="12">
        <v>18403</v>
      </c>
      <c r="G1912">
        <f t="shared" si="59"/>
        <v>8204</v>
      </c>
      <c r="H1912" s="16" t="s">
        <v>566</v>
      </c>
    </row>
    <row r="1913" spans="1:8">
      <c r="A1913" t="str">
        <f t="shared" si="58"/>
        <v>اردبيلسرعين</v>
      </c>
      <c r="B1913" s="12" t="s">
        <v>413</v>
      </c>
      <c r="C1913" s="12" t="s">
        <v>424</v>
      </c>
      <c r="D1913" s="12" t="s">
        <v>479</v>
      </c>
      <c r="E1913" s="12">
        <v>0.37548225832744664</v>
      </c>
      <c r="F1913" s="12">
        <v>18403</v>
      </c>
      <c r="G1913">
        <f t="shared" si="59"/>
        <v>6910</v>
      </c>
      <c r="H1913" s="16" t="s">
        <v>566</v>
      </c>
    </row>
    <row r="1914" spans="1:8">
      <c r="A1914" t="str">
        <f t="shared" si="58"/>
        <v>اردبيلسرعين</v>
      </c>
      <c r="B1914" s="12" t="s">
        <v>413</v>
      </c>
      <c r="C1914" s="12" t="s">
        <v>424</v>
      </c>
      <c r="D1914" s="12" t="s">
        <v>22</v>
      </c>
      <c r="E1914" s="12">
        <v>9.949464761180242E-2</v>
      </c>
      <c r="F1914" s="12">
        <v>18403</v>
      </c>
      <c r="G1914">
        <f t="shared" si="59"/>
        <v>1831</v>
      </c>
      <c r="H1914" s="16" t="s">
        <v>566</v>
      </c>
    </row>
    <row r="1915" spans="1:8">
      <c r="A1915" t="str">
        <f t="shared" si="58"/>
        <v>اردبيلسرعين</v>
      </c>
      <c r="B1915" s="12" t="s">
        <v>413</v>
      </c>
      <c r="C1915" s="12" t="s">
        <v>424</v>
      </c>
      <c r="D1915" s="12" t="s">
        <v>478</v>
      </c>
      <c r="E1915" s="12">
        <v>4.1025919687007556E-2</v>
      </c>
      <c r="F1915" s="12">
        <v>18403</v>
      </c>
      <c r="G1915">
        <f t="shared" si="59"/>
        <v>755</v>
      </c>
      <c r="H1915" s="16" t="s">
        <v>566</v>
      </c>
    </row>
    <row r="1916" spans="1:8">
      <c r="A1916" t="str">
        <f t="shared" si="58"/>
        <v>اردبيلسرعين</v>
      </c>
      <c r="B1916" s="12" t="s">
        <v>413</v>
      </c>
      <c r="C1916" s="12" t="s">
        <v>424</v>
      </c>
      <c r="D1916" s="12" t="s">
        <v>20</v>
      </c>
      <c r="E1916" s="12">
        <v>3.8471988262783245E-2</v>
      </c>
      <c r="F1916" s="12">
        <v>18403</v>
      </c>
      <c r="G1916">
        <f t="shared" si="59"/>
        <v>708</v>
      </c>
      <c r="H1916" s="16" t="s">
        <v>566</v>
      </c>
    </row>
    <row r="1917" spans="1:8">
      <c r="A1917" t="str">
        <f t="shared" si="58"/>
        <v>قمقم</v>
      </c>
      <c r="B1917" s="12" t="s">
        <v>423</v>
      </c>
      <c r="C1917" s="12" t="s">
        <v>423</v>
      </c>
      <c r="D1917" s="12" t="s">
        <v>480</v>
      </c>
      <c r="E1917" s="12">
        <v>0.45138081052764434</v>
      </c>
      <c r="F1917" s="12">
        <v>1315242</v>
      </c>
      <c r="G1917">
        <f t="shared" si="59"/>
        <v>593675</v>
      </c>
      <c r="H1917" s="16" t="s">
        <v>813</v>
      </c>
    </row>
    <row r="1918" spans="1:8">
      <c r="A1918" t="str">
        <f t="shared" si="58"/>
        <v>قمقم</v>
      </c>
      <c r="B1918" s="12" t="s">
        <v>423</v>
      </c>
      <c r="C1918" s="12" t="s">
        <v>423</v>
      </c>
      <c r="D1918" s="12" t="s">
        <v>479</v>
      </c>
      <c r="E1918" s="12">
        <v>0.39583285813561309</v>
      </c>
      <c r="F1918" s="12">
        <v>1315242</v>
      </c>
      <c r="G1918">
        <f t="shared" si="59"/>
        <v>520616</v>
      </c>
      <c r="H1918" s="16" t="s">
        <v>813</v>
      </c>
    </row>
    <row r="1919" spans="1:8">
      <c r="A1919" t="str">
        <f t="shared" si="58"/>
        <v>قمقم</v>
      </c>
      <c r="B1919" s="12" t="s">
        <v>423</v>
      </c>
      <c r="C1919" s="12" t="s">
        <v>423</v>
      </c>
      <c r="D1919" s="12" t="s">
        <v>22</v>
      </c>
      <c r="E1919" s="12">
        <v>9.3071085017053898E-2</v>
      </c>
      <c r="F1919" s="12">
        <v>1315242</v>
      </c>
      <c r="G1919">
        <f t="shared" si="59"/>
        <v>122411</v>
      </c>
      <c r="H1919" s="16" t="s">
        <v>813</v>
      </c>
    </row>
    <row r="1920" spans="1:8">
      <c r="A1920" t="str">
        <f t="shared" si="58"/>
        <v>قمقم</v>
      </c>
      <c r="B1920" s="12" t="s">
        <v>423</v>
      </c>
      <c r="C1920" s="12" t="s">
        <v>423</v>
      </c>
      <c r="D1920" s="12" t="s">
        <v>478</v>
      </c>
      <c r="E1920" s="12">
        <v>3.1828363145337511E-2</v>
      </c>
      <c r="F1920" s="12">
        <v>1315242</v>
      </c>
      <c r="G1920">
        <f t="shared" si="59"/>
        <v>41862</v>
      </c>
      <c r="H1920" s="16" t="s">
        <v>813</v>
      </c>
    </row>
    <row r="1921" spans="1:8">
      <c r="A1921" t="str">
        <f t="shared" si="58"/>
        <v>قمقم</v>
      </c>
      <c r="B1921" s="12" t="s">
        <v>423</v>
      </c>
      <c r="C1921" s="12" t="s">
        <v>423</v>
      </c>
      <c r="D1921" s="12" t="s">
        <v>20</v>
      </c>
      <c r="E1921" s="12">
        <v>2.7887643490703613E-2</v>
      </c>
      <c r="F1921" s="12">
        <v>1315242</v>
      </c>
      <c r="G1921">
        <f t="shared" si="59"/>
        <v>36679</v>
      </c>
      <c r="H1921" s="16" t="s">
        <v>813</v>
      </c>
    </row>
    <row r="1922" spans="1:8">
      <c r="A1922" t="str">
        <f t="shared" ref="A1922:A1985" si="60">B1922&amp;C1922</f>
        <v>قزوينبوئين زهرا</v>
      </c>
      <c r="B1922" s="12" t="s">
        <v>425</v>
      </c>
      <c r="C1922" s="12" t="s">
        <v>426</v>
      </c>
      <c r="D1922" s="12" t="s">
        <v>480</v>
      </c>
      <c r="E1922" s="12">
        <v>0.44498181349985516</v>
      </c>
      <c r="F1922" s="12">
        <v>124268</v>
      </c>
      <c r="G1922">
        <f t="shared" si="59"/>
        <v>55297</v>
      </c>
      <c r="H1922" s="16" t="s">
        <v>806</v>
      </c>
    </row>
    <row r="1923" spans="1:8">
      <c r="A1923" t="str">
        <f t="shared" si="60"/>
        <v>قزوينبوئين زهرا</v>
      </c>
      <c r="B1923" s="12" t="s">
        <v>425</v>
      </c>
      <c r="C1923" s="12" t="s">
        <v>426</v>
      </c>
      <c r="D1923" s="12" t="s">
        <v>479</v>
      </c>
      <c r="E1923" s="12">
        <v>0.39409984871406961</v>
      </c>
      <c r="F1923" s="12">
        <v>124268</v>
      </c>
      <c r="G1923">
        <f t="shared" ref="G1923:G1986" si="61">IFERROR(ROUND(F1923*E1923,0),0)</f>
        <v>48974</v>
      </c>
      <c r="H1923" s="16" t="s">
        <v>806</v>
      </c>
    </row>
    <row r="1924" spans="1:8">
      <c r="A1924" t="str">
        <f t="shared" si="60"/>
        <v>قزوينبوئين زهرا</v>
      </c>
      <c r="B1924" s="12" t="s">
        <v>425</v>
      </c>
      <c r="C1924" s="12" t="s">
        <v>426</v>
      </c>
      <c r="D1924" s="12" t="s">
        <v>22</v>
      </c>
      <c r="E1924" s="12">
        <v>9.2743103614768077E-2</v>
      </c>
      <c r="F1924" s="12">
        <v>124268</v>
      </c>
      <c r="G1924">
        <f t="shared" si="61"/>
        <v>11525</v>
      </c>
      <c r="H1924" s="16" t="s">
        <v>806</v>
      </c>
    </row>
    <row r="1925" spans="1:8">
      <c r="A1925" t="str">
        <f t="shared" si="60"/>
        <v>قزوينبوئين زهرا</v>
      </c>
      <c r="B1925" s="12" t="s">
        <v>425</v>
      </c>
      <c r="C1925" s="12" t="s">
        <v>426</v>
      </c>
      <c r="D1925" s="12" t="s">
        <v>478</v>
      </c>
      <c r="E1925" s="12">
        <v>3.4280748060643129E-2</v>
      </c>
      <c r="F1925" s="12">
        <v>124268</v>
      </c>
      <c r="G1925">
        <f t="shared" si="61"/>
        <v>4260</v>
      </c>
      <c r="H1925" s="16" t="s">
        <v>806</v>
      </c>
    </row>
    <row r="1926" spans="1:8">
      <c r="A1926" t="str">
        <f t="shared" si="60"/>
        <v>قزوينبوئين زهرا</v>
      </c>
      <c r="B1926" s="12" t="s">
        <v>425</v>
      </c>
      <c r="C1926" s="12" t="s">
        <v>426</v>
      </c>
      <c r="D1926" s="12" t="s">
        <v>20</v>
      </c>
      <c r="E1926" s="12">
        <v>3.3854250490874559E-2</v>
      </c>
      <c r="F1926" s="12">
        <v>124268</v>
      </c>
      <c r="G1926">
        <f t="shared" si="61"/>
        <v>4207</v>
      </c>
      <c r="H1926" s="16" t="s">
        <v>806</v>
      </c>
    </row>
    <row r="1927" spans="1:8">
      <c r="A1927" t="str">
        <f t="shared" si="60"/>
        <v>قزوينتاكستان</v>
      </c>
      <c r="B1927" s="12" t="s">
        <v>425</v>
      </c>
      <c r="C1927" s="12" t="s">
        <v>427</v>
      </c>
      <c r="D1927" s="12" t="s">
        <v>480</v>
      </c>
      <c r="E1927" s="12">
        <v>0.43450185568440647</v>
      </c>
      <c r="F1927" s="12">
        <v>172982</v>
      </c>
      <c r="G1927">
        <f t="shared" si="61"/>
        <v>75161</v>
      </c>
      <c r="H1927" s="16" t="s">
        <v>810</v>
      </c>
    </row>
    <row r="1928" spans="1:8">
      <c r="A1928" t="str">
        <f t="shared" si="60"/>
        <v>قزوينتاكستان</v>
      </c>
      <c r="B1928" s="12" t="s">
        <v>425</v>
      </c>
      <c r="C1928" s="12" t="s">
        <v>427</v>
      </c>
      <c r="D1928" s="12" t="s">
        <v>479</v>
      </c>
      <c r="E1928" s="12">
        <v>0.39795470048906822</v>
      </c>
      <c r="F1928" s="12">
        <v>172982</v>
      </c>
      <c r="G1928">
        <f t="shared" si="61"/>
        <v>68839</v>
      </c>
      <c r="H1928" s="16" t="s">
        <v>810</v>
      </c>
    </row>
    <row r="1929" spans="1:8">
      <c r="A1929" t="str">
        <f t="shared" si="60"/>
        <v>قزوينتاكستان</v>
      </c>
      <c r="B1929" s="12" t="s">
        <v>425</v>
      </c>
      <c r="C1929" s="12" t="s">
        <v>427</v>
      </c>
      <c r="D1929" s="12" t="s">
        <v>22</v>
      </c>
      <c r="E1929" s="12">
        <v>9.6790417500086712E-2</v>
      </c>
      <c r="F1929" s="12">
        <v>172982</v>
      </c>
      <c r="G1929">
        <f t="shared" si="61"/>
        <v>16743</v>
      </c>
      <c r="H1929" s="16" t="s">
        <v>810</v>
      </c>
    </row>
    <row r="1930" spans="1:8">
      <c r="A1930" t="str">
        <f t="shared" si="60"/>
        <v>قزوينتاكستان</v>
      </c>
      <c r="B1930" s="12" t="s">
        <v>425</v>
      </c>
      <c r="C1930" s="12" t="s">
        <v>427</v>
      </c>
      <c r="D1930" s="12" t="s">
        <v>478</v>
      </c>
      <c r="E1930" s="12">
        <v>3.6691678903007251E-2</v>
      </c>
      <c r="F1930" s="12">
        <v>172982</v>
      </c>
      <c r="G1930">
        <f t="shared" si="61"/>
        <v>6347</v>
      </c>
      <c r="H1930" s="16" t="s">
        <v>810</v>
      </c>
    </row>
    <row r="1931" spans="1:8">
      <c r="A1931" t="str">
        <f t="shared" si="60"/>
        <v>قزوينتاكستان</v>
      </c>
      <c r="B1931" s="12" t="s">
        <v>425</v>
      </c>
      <c r="C1931" s="12" t="s">
        <v>427</v>
      </c>
      <c r="D1931" s="12" t="s">
        <v>20</v>
      </c>
      <c r="E1931" s="12">
        <v>3.4055566475124581E-2</v>
      </c>
      <c r="F1931" s="12">
        <v>172982</v>
      </c>
      <c r="G1931">
        <f t="shared" si="61"/>
        <v>5891</v>
      </c>
      <c r="H1931" s="16" t="s">
        <v>810</v>
      </c>
    </row>
    <row r="1932" spans="1:8">
      <c r="A1932" t="str">
        <f t="shared" si="60"/>
        <v>قزوينقزوين</v>
      </c>
      <c r="B1932" s="12" t="s">
        <v>425</v>
      </c>
      <c r="C1932" s="12" t="s">
        <v>425</v>
      </c>
      <c r="D1932" s="12" t="s">
        <v>480</v>
      </c>
      <c r="E1932" s="12">
        <v>0.39004570764008423</v>
      </c>
      <c r="F1932" s="12">
        <v>603619</v>
      </c>
      <c r="G1932">
        <f t="shared" si="61"/>
        <v>235439</v>
      </c>
      <c r="H1932" s="16" t="s">
        <v>812</v>
      </c>
    </row>
    <row r="1933" spans="1:8">
      <c r="A1933" t="str">
        <f t="shared" si="60"/>
        <v>قزوينقزوين</v>
      </c>
      <c r="B1933" s="12" t="s">
        <v>425</v>
      </c>
      <c r="C1933" s="12" t="s">
        <v>425</v>
      </c>
      <c r="D1933" s="12" t="s">
        <v>479</v>
      </c>
      <c r="E1933" s="12">
        <v>0.41994536288619144</v>
      </c>
      <c r="F1933" s="12">
        <v>603619</v>
      </c>
      <c r="G1933">
        <f t="shared" si="61"/>
        <v>253487</v>
      </c>
      <c r="H1933" s="16" t="s">
        <v>812</v>
      </c>
    </row>
    <row r="1934" spans="1:8">
      <c r="A1934" t="str">
        <f t="shared" si="60"/>
        <v>قزوينقزوين</v>
      </c>
      <c r="B1934" s="12" t="s">
        <v>425</v>
      </c>
      <c r="C1934" s="12" t="s">
        <v>425</v>
      </c>
      <c r="D1934" s="12" t="s">
        <v>22</v>
      </c>
      <c r="E1934" s="12">
        <v>0.11207897697057249</v>
      </c>
      <c r="F1934" s="12">
        <v>603619</v>
      </c>
      <c r="G1934">
        <f t="shared" si="61"/>
        <v>67653</v>
      </c>
      <c r="H1934" s="16" t="s">
        <v>812</v>
      </c>
    </row>
    <row r="1935" spans="1:8">
      <c r="A1935" t="str">
        <f t="shared" si="60"/>
        <v>قزوينقزوين</v>
      </c>
      <c r="B1935" s="12" t="s">
        <v>425</v>
      </c>
      <c r="C1935" s="12" t="s">
        <v>425</v>
      </c>
      <c r="D1935" s="12" t="s">
        <v>478</v>
      </c>
      <c r="E1935" s="12">
        <v>4.1083862502671389E-2</v>
      </c>
      <c r="F1935" s="12">
        <v>603619</v>
      </c>
      <c r="G1935">
        <f t="shared" si="61"/>
        <v>24799</v>
      </c>
      <c r="H1935" s="16" t="s">
        <v>812</v>
      </c>
    </row>
    <row r="1936" spans="1:8">
      <c r="A1936" t="str">
        <f t="shared" si="60"/>
        <v>قزوينقزوين</v>
      </c>
      <c r="B1936" s="12" t="s">
        <v>425</v>
      </c>
      <c r="C1936" s="12" t="s">
        <v>425</v>
      </c>
      <c r="D1936" s="12" t="s">
        <v>20</v>
      </c>
      <c r="E1936" s="12">
        <v>3.6842776652159723E-2</v>
      </c>
      <c r="F1936" s="12">
        <v>603619</v>
      </c>
      <c r="G1936">
        <f t="shared" si="61"/>
        <v>22239</v>
      </c>
      <c r="H1936" s="16" t="s">
        <v>812</v>
      </c>
    </row>
    <row r="1937" spans="1:8">
      <c r="A1937" t="str">
        <f t="shared" si="60"/>
        <v>قزوينآبيك</v>
      </c>
      <c r="B1937" s="12" t="s">
        <v>425</v>
      </c>
      <c r="C1937" s="12" t="s">
        <v>428</v>
      </c>
      <c r="D1937" s="12" t="s">
        <v>480</v>
      </c>
      <c r="E1937" s="12">
        <v>0.41870740108676308</v>
      </c>
      <c r="F1937" s="12">
        <v>95513</v>
      </c>
      <c r="G1937">
        <f t="shared" si="61"/>
        <v>39992</v>
      </c>
      <c r="H1937" s="16" t="s">
        <v>808</v>
      </c>
    </row>
    <row r="1938" spans="1:8">
      <c r="A1938" t="str">
        <f t="shared" si="60"/>
        <v>قزوينآبيك</v>
      </c>
      <c r="B1938" s="12" t="s">
        <v>425</v>
      </c>
      <c r="C1938" s="12" t="s">
        <v>428</v>
      </c>
      <c r="D1938" s="12" t="s">
        <v>479</v>
      </c>
      <c r="E1938" s="12">
        <v>0.42012082124946343</v>
      </c>
      <c r="F1938" s="12">
        <v>95513</v>
      </c>
      <c r="G1938">
        <f t="shared" si="61"/>
        <v>40127</v>
      </c>
      <c r="H1938" s="16" t="s">
        <v>808</v>
      </c>
    </row>
    <row r="1939" spans="1:8">
      <c r="A1939" t="str">
        <f t="shared" si="60"/>
        <v>قزوينآبيك</v>
      </c>
      <c r="B1939" s="12" t="s">
        <v>425</v>
      </c>
      <c r="C1939" s="12" t="s">
        <v>428</v>
      </c>
      <c r="D1939" s="12" t="s">
        <v>22</v>
      </c>
      <c r="E1939" s="12">
        <v>9.7170018740904376E-2</v>
      </c>
      <c r="F1939" s="12">
        <v>95513</v>
      </c>
      <c r="G1939">
        <f t="shared" si="61"/>
        <v>9281</v>
      </c>
      <c r="H1939" s="16" t="s">
        <v>808</v>
      </c>
    </row>
    <row r="1940" spans="1:8">
      <c r="A1940" t="str">
        <f t="shared" si="60"/>
        <v>قزوينآبيك</v>
      </c>
      <c r="B1940" s="12" t="s">
        <v>425</v>
      </c>
      <c r="C1940" s="12" t="s">
        <v>428</v>
      </c>
      <c r="D1940" s="12" t="s">
        <v>478</v>
      </c>
      <c r="E1940" s="12">
        <v>3.3838325672945042E-2</v>
      </c>
      <c r="F1940" s="12">
        <v>95513</v>
      </c>
      <c r="G1940">
        <f t="shared" si="61"/>
        <v>3232</v>
      </c>
      <c r="H1940" s="16" t="s">
        <v>808</v>
      </c>
    </row>
    <row r="1941" spans="1:8">
      <c r="A1941" t="str">
        <f t="shared" si="60"/>
        <v>قزوينآبيك</v>
      </c>
      <c r="B1941" s="12" t="s">
        <v>425</v>
      </c>
      <c r="C1941" s="12" t="s">
        <v>428</v>
      </c>
      <c r="D1941" s="12" t="s">
        <v>20</v>
      </c>
      <c r="E1941" s="12">
        <v>3.0173903028907059E-2</v>
      </c>
      <c r="F1941" s="12">
        <v>95513</v>
      </c>
      <c r="G1941">
        <f t="shared" si="61"/>
        <v>2882</v>
      </c>
      <c r="H1941" s="16" t="s">
        <v>808</v>
      </c>
    </row>
    <row r="1942" spans="1:8">
      <c r="A1942" t="str">
        <f t="shared" si="60"/>
        <v>قزوينالبرز</v>
      </c>
      <c r="B1942" s="12" t="s">
        <v>425</v>
      </c>
      <c r="C1942" s="12" t="s">
        <v>429</v>
      </c>
      <c r="D1942" s="12" t="s">
        <v>480</v>
      </c>
      <c r="E1942" s="12">
        <v>0.43610732885927733</v>
      </c>
      <c r="F1942" s="12">
        <v>247501</v>
      </c>
      <c r="G1942">
        <f t="shared" si="61"/>
        <v>107937</v>
      </c>
      <c r="H1942" s="16" t="s">
        <v>811</v>
      </c>
    </row>
    <row r="1943" spans="1:8">
      <c r="A1943" t="str">
        <f t="shared" si="60"/>
        <v>قزوينالبرز</v>
      </c>
      <c r="B1943" s="12" t="s">
        <v>425</v>
      </c>
      <c r="C1943" s="12" t="s">
        <v>429</v>
      </c>
      <c r="D1943" s="12" t="s">
        <v>479</v>
      </c>
      <c r="E1943" s="12">
        <v>0.43306895729714223</v>
      </c>
      <c r="F1943" s="12">
        <v>247501</v>
      </c>
      <c r="G1943">
        <f t="shared" si="61"/>
        <v>107185</v>
      </c>
      <c r="H1943" s="16" t="s">
        <v>811</v>
      </c>
    </row>
    <row r="1944" spans="1:8">
      <c r="A1944" t="str">
        <f t="shared" si="60"/>
        <v>قزوينالبرز</v>
      </c>
      <c r="B1944" s="12" t="s">
        <v>425</v>
      </c>
      <c r="C1944" s="12" t="s">
        <v>429</v>
      </c>
      <c r="D1944" s="12" t="s">
        <v>22</v>
      </c>
      <c r="E1944" s="12">
        <v>8.6431974012226215E-2</v>
      </c>
      <c r="F1944" s="12">
        <v>247501</v>
      </c>
      <c r="G1944">
        <f t="shared" si="61"/>
        <v>21392</v>
      </c>
      <c r="H1944" s="16" t="s">
        <v>811</v>
      </c>
    </row>
    <row r="1945" spans="1:8">
      <c r="A1945" t="str">
        <f t="shared" si="60"/>
        <v>قزوينالبرز</v>
      </c>
      <c r="B1945" s="12" t="s">
        <v>425</v>
      </c>
      <c r="C1945" s="12" t="s">
        <v>429</v>
      </c>
      <c r="D1945" s="12" t="s">
        <v>478</v>
      </c>
      <c r="E1945" s="12">
        <v>2.5563533076634035E-2</v>
      </c>
      <c r="F1945" s="12">
        <v>247501</v>
      </c>
      <c r="G1945">
        <f t="shared" si="61"/>
        <v>6327</v>
      </c>
      <c r="H1945" s="16" t="s">
        <v>811</v>
      </c>
    </row>
    <row r="1946" spans="1:8">
      <c r="A1946" t="str">
        <f t="shared" si="60"/>
        <v>قزوينالبرز</v>
      </c>
      <c r="B1946" s="12" t="s">
        <v>425</v>
      </c>
      <c r="C1946" s="12" t="s">
        <v>429</v>
      </c>
      <c r="D1946" s="12" t="s">
        <v>20</v>
      </c>
      <c r="E1946" s="12">
        <v>1.8828206754720182E-2</v>
      </c>
      <c r="F1946" s="12">
        <v>247501</v>
      </c>
      <c r="G1946">
        <f t="shared" si="61"/>
        <v>4660</v>
      </c>
      <c r="H1946" s="16" t="s">
        <v>811</v>
      </c>
    </row>
    <row r="1947" spans="1:8">
      <c r="A1947" t="str">
        <f t="shared" si="60"/>
        <v>قزوينآوج</v>
      </c>
      <c r="B1947" s="12" t="s">
        <v>425</v>
      </c>
      <c r="C1947" s="12" t="s">
        <v>431</v>
      </c>
      <c r="D1947" s="12" t="s">
        <v>480</v>
      </c>
      <c r="E1947" s="12">
        <v>0.40053775588594154</v>
      </c>
      <c r="F1947" s="12">
        <v>44258</v>
      </c>
      <c r="G1947">
        <f t="shared" si="61"/>
        <v>17727</v>
      </c>
      <c r="H1947" s="16" t="s">
        <v>809</v>
      </c>
    </row>
    <row r="1948" spans="1:8">
      <c r="A1948" t="str">
        <f t="shared" si="60"/>
        <v>قزوينآوج</v>
      </c>
      <c r="B1948" s="12" t="s">
        <v>425</v>
      </c>
      <c r="C1948" s="12" t="s">
        <v>431</v>
      </c>
      <c r="D1948" s="12" t="s">
        <v>479</v>
      </c>
      <c r="E1948" s="12">
        <v>0.38243933300194316</v>
      </c>
      <c r="F1948" s="12">
        <v>44258</v>
      </c>
      <c r="G1948">
        <f t="shared" si="61"/>
        <v>16926</v>
      </c>
      <c r="H1948" s="16" t="s">
        <v>809</v>
      </c>
    </row>
    <row r="1949" spans="1:8">
      <c r="A1949" t="str">
        <f t="shared" si="60"/>
        <v>قزوينآوج</v>
      </c>
      <c r="B1949" s="12" t="s">
        <v>425</v>
      </c>
      <c r="C1949" s="12" t="s">
        <v>431</v>
      </c>
      <c r="D1949" s="12" t="s">
        <v>22</v>
      </c>
      <c r="E1949" s="12">
        <v>0.11387771702291111</v>
      </c>
      <c r="F1949" s="12">
        <v>44258</v>
      </c>
      <c r="G1949">
        <f t="shared" si="61"/>
        <v>5040</v>
      </c>
      <c r="H1949" s="16" t="s">
        <v>809</v>
      </c>
    </row>
    <row r="1950" spans="1:8">
      <c r="A1950" t="str">
        <f t="shared" si="60"/>
        <v>قزوينآوج</v>
      </c>
      <c r="B1950" s="12" t="s">
        <v>425</v>
      </c>
      <c r="C1950" s="12" t="s">
        <v>431</v>
      </c>
      <c r="D1950" s="12" t="s">
        <v>478</v>
      </c>
      <c r="E1950" s="12">
        <v>4.9640742916534863E-2</v>
      </c>
      <c r="F1950" s="12">
        <v>44258</v>
      </c>
      <c r="G1950">
        <f t="shared" si="61"/>
        <v>2197</v>
      </c>
      <c r="H1950" s="16" t="s">
        <v>809</v>
      </c>
    </row>
    <row r="1951" spans="1:8">
      <c r="A1951" t="str">
        <f t="shared" si="60"/>
        <v>قزوينآوج</v>
      </c>
      <c r="B1951" s="12" t="s">
        <v>425</v>
      </c>
      <c r="C1951" s="12" t="s">
        <v>431</v>
      </c>
      <c r="D1951" s="12" t="s">
        <v>20</v>
      </c>
      <c r="E1951" s="12">
        <v>5.3391477247051379E-2</v>
      </c>
      <c r="F1951" s="12">
        <v>44258</v>
      </c>
      <c r="G1951">
        <f t="shared" si="61"/>
        <v>2363</v>
      </c>
      <c r="H1951" s="16" t="s">
        <v>809</v>
      </c>
    </row>
    <row r="1952" spans="1:8">
      <c r="A1952" t="str">
        <f t="shared" si="60"/>
        <v>گلستانبندرگز</v>
      </c>
      <c r="B1952" s="12" t="s">
        <v>430</v>
      </c>
      <c r="C1952" s="12" t="s">
        <v>432</v>
      </c>
      <c r="D1952" s="12" t="s">
        <v>480</v>
      </c>
      <c r="E1952" s="12">
        <v>0.36518918918918919</v>
      </c>
      <c r="F1952" s="12">
        <v>46250</v>
      </c>
      <c r="G1952">
        <f t="shared" si="61"/>
        <v>16890</v>
      </c>
      <c r="H1952" s="16" t="s">
        <v>965</v>
      </c>
    </row>
    <row r="1953" spans="1:8">
      <c r="A1953" t="str">
        <f t="shared" si="60"/>
        <v>گلستانبندرگز</v>
      </c>
      <c r="B1953" s="12" t="s">
        <v>430</v>
      </c>
      <c r="C1953" s="12" t="s">
        <v>432</v>
      </c>
      <c r="D1953" s="12" t="s">
        <v>479</v>
      </c>
      <c r="E1953" s="12">
        <v>0.40635675675675675</v>
      </c>
      <c r="F1953" s="12">
        <v>46250</v>
      </c>
      <c r="G1953">
        <f t="shared" si="61"/>
        <v>18794</v>
      </c>
      <c r="H1953" s="16" t="s">
        <v>965</v>
      </c>
    </row>
    <row r="1954" spans="1:8">
      <c r="A1954" t="str">
        <f t="shared" si="60"/>
        <v>گلستانبندرگز</v>
      </c>
      <c r="B1954" s="12" t="s">
        <v>430</v>
      </c>
      <c r="C1954" s="12" t="s">
        <v>432</v>
      </c>
      <c r="D1954" s="12" t="s">
        <v>22</v>
      </c>
      <c r="E1954" s="12">
        <v>0.12953513513513515</v>
      </c>
      <c r="F1954" s="12">
        <v>46250</v>
      </c>
      <c r="G1954">
        <f t="shared" si="61"/>
        <v>5991</v>
      </c>
      <c r="H1954" s="16" t="s">
        <v>965</v>
      </c>
    </row>
    <row r="1955" spans="1:8">
      <c r="A1955" t="str">
        <f t="shared" si="60"/>
        <v>گلستانبندرگز</v>
      </c>
      <c r="B1955" s="12" t="s">
        <v>430</v>
      </c>
      <c r="C1955" s="12" t="s">
        <v>432</v>
      </c>
      <c r="D1955" s="12" t="s">
        <v>478</v>
      </c>
      <c r="E1955" s="12">
        <v>5.04E-2</v>
      </c>
      <c r="F1955" s="12">
        <v>46250</v>
      </c>
      <c r="G1955">
        <f t="shared" si="61"/>
        <v>2331</v>
      </c>
      <c r="H1955" s="16" t="s">
        <v>965</v>
      </c>
    </row>
    <row r="1956" spans="1:8">
      <c r="A1956" t="str">
        <f t="shared" si="60"/>
        <v>گلستانبندرگز</v>
      </c>
      <c r="B1956" s="12" t="s">
        <v>430</v>
      </c>
      <c r="C1956" s="12" t="s">
        <v>432</v>
      </c>
      <c r="D1956" s="12" t="s">
        <v>20</v>
      </c>
      <c r="E1956" s="12">
        <v>4.8583783783783786E-2</v>
      </c>
      <c r="F1956" s="12">
        <v>46250</v>
      </c>
      <c r="G1956">
        <f t="shared" si="61"/>
        <v>2247</v>
      </c>
      <c r="H1956" s="16" t="s">
        <v>965</v>
      </c>
    </row>
    <row r="1957" spans="1:8">
      <c r="A1957" t="str">
        <f t="shared" si="60"/>
        <v>گلستانتركمن</v>
      </c>
      <c r="B1957" s="12" t="s">
        <v>430</v>
      </c>
      <c r="C1957" s="12" t="s">
        <v>433</v>
      </c>
      <c r="D1957" s="12" t="s">
        <v>480</v>
      </c>
      <c r="E1957" s="12">
        <v>0.46749344203746351</v>
      </c>
      <c r="F1957" s="12">
        <v>81199</v>
      </c>
      <c r="G1957">
        <f t="shared" si="61"/>
        <v>37960</v>
      </c>
      <c r="H1957" s="16" t="s">
        <v>960</v>
      </c>
    </row>
    <row r="1958" spans="1:8">
      <c r="A1958" t="str">
        <f t="shared" si="60"/>
        <v>گلستانتركمن</v>
      </c>
      <c r="B1958" s="12" t="s">
        <v>430</v>
      </c>
      <c r="C1958" s="12" t="s">
        <v>433</v>
      </c>
      <c r="D1958" s="12" t="s">
        <v>479</v>
      </c>
      <c r="E1958" s="12">
        <v>0.37110062931809507</v>
      </c>
      <c r="F1958" s="12">
        <v>81199</v>
      </c>
      <c r="G1958">
        <f t="shared" si="61"/>
        <v>30133</v>
      </c>
      <c r="H1958" s="16" t="s">
        <v>960</v>
      </c>
    </row>
    <row r="1959" spans="1:8">
      <c r="A1959" t="str">
        <f t="shared" si="60"/>
        <v>گلستانتركمن</v>
      </c>
      <c r="B1959" s="12" t="s">
        <v>430</v>
      </c>
      <c r="C1959" s="12" t="s">
        <v>433</v>
      </c>
      <c r="D1959" s="12" t="s">
        <v>22</v>
      </c>
      <c r="E1959" s="12">
        <v>9.9607138018941124E-2</v>
      </c>
      <c r="F1959" s="12">
        <v>81199</v>
      </c>
      <c r="G1959">
        <f t="shared" si="61"/>
        <v>8088</v>
      </c>
      <c r="H1959" s="16" t="s">
        <v>960</v>
      </c>
    </row>
    <row r="1960" spans="1:8">
      <c r="A1960" t="str">
        <f t="shared" si="60"/>
        <v>گلستانتركمن</v>
      </c>
      <c r="B1960" s="12" t="s">
        <v>430</v>
      </c>
      <c r="C1960" s="12" t="s">
        <v>433</v>
      </c>
      <c r="D1960" s="12" t="s">
        <v>478</v>
      </c>
      <c r="E1960" s="12">
        <v>3.3855096737644551E-2</v>
      </c>
      <c r="F1960" s="12">
        <v>81199</v>
      </c>
      <c r="G1960">
        <f t="shared" si="61"/>
        <v>2749</v>
      </c>
      <c r="H1960" s="16" t="s">
        <v>960</v>
      </c>
    </row>
    <row r="1961" spans="1:8">
      <c r="A1961" t="str">
        <f t="shared" si="60"/>
        <v>گلستانتركمن</v>
      </c>
      <c r="B1961" s="12" t="s">
        <v>430</v>
      </c>
      <c r="C1961" s="12" t="s">
        <v>433</v>
      </c>
      <c r="D1961" s="12" t="s">
        <v>20</v>
      </c>
      <c r="E1961" s="12">
        <v>2.7968324733063214E-2</v>
      </c>
      <c r="F1961" s="12">
        <v>81199</v>
      </c>
      <c r="G1961">
        <f t="shared" si="61"/>
        <v>2271</v>
      </c>
      <c r="H1961" s="16" t="s">
        <v>960</v>
      </c>
    </row>
    <row r="1962" spans="1:8">
      <c r="A1962" t="str">
        <f t="shared" si="60"/>
        <v>گلستانعلي آباد</v>
      </c>
      <c r="B1962" s="12" t="s">
        <v>430</v>
      </c>
      <c r="C1962" s="12" t="s">
        <v>434</v>
      </c>
      <c r="D1962" s="12" t="s">
        <v>480</v>
      </c>
      <c r="E1962" s="12">
        <v>0.44915498199026843</v>
      </c>
      <c r="F1962" s="12">
        <v>142423</v>
      </c>
      <c r="G1962">
        <f t="shared" si="61"/>
        <v>63970</v>
      </c>
      <c r="H1962" s="16" t="s">
        <v>969</v>
      </c>
    </row>
    <row r="1963" spans="1:8">
      <c r="A1963" t="str">
        <f t="shared" si="60"/>
        <v>گلستانعلي آباد</v>
      </c>
      <c r="B1963" s="12" t="s">
        <v>430</v>
      </c>
      <c r="C1963" s="12" t="s">
        <v>434</v>
      </c>
      <c r="D1963" s="12" t="s">
        <v>479</v>
      </c>
      <c r="E1963" s="12">
        <v>0.39315279133286057</v>
      </c>
      <c r="F1963" s="12">
        <v>142423</v>
      </c>
      <c r="G1963">
        <f t="shared" si="61"/>
        <v>55994</v>
      </c>
      <c r="H1963" s="16" t="s">
        <v>969</v>
      </c>
    </row>
    <row r="1964" spans="1:8">
      <c r="A1964" t="str">
        <f t="shared" si="60"/>
        <v>گلستانعلي آباد</v>
      </c>
      <c r="B1964" s="12" t="s">
        <v>430</v>
      </c>
      <c r="C1964" s="12" t="s">
        <v>434</v>
      </c>
      <c r="D1964" s="12" t="s">
        <v>22</v>
      </c>
      <c r="E1964" s="12">
        <v>9.7147230433286755E-2</v>
      </c>
      <c r="F1964" s="12">
        <v>142423</v>
      </c>
      <c r="G1964">
        <f t="shared" si="61"/>
        <v>13836</v>
      </c>
      <c r="H1964" s="16" t="s">
        <v>969</v>
      </c>
    </row>
    <row r="1965" spans="1:8">
      <c r="A1965" t="str">
        <f t="shared" si="60"/>
        <v>گلستانعلي آباد</v>
      </c>
      <c r="B1965" s="12" t="s">
        <v>430</v>
      </c>
      <c r="C1965" s="12" t="s">
        <v>434</v>
      </c>
      <c r="D1965" s="12" t="s">
        <v>478</v>
      </c>
      <c r="E1965" s="12">
        <v>3.3442632159131604E-2</v>
      </c>
      <c r="F1965" s="12">
        <v>142423</v>
      </c>
      <c r="G1965">
        <f t="shared" si="61"/>
        <v>4763</v>
      </c>
      <c r="H1965" s="16" t="s">
        <v>969</v>
      </c>
    </row>
    <row r="1966" spans="1:8">
      <c r="A1966" t="str">
        <f t="shared" si="60"/>
        <v>گلستانعلي آباد</v>
      </c>
      <c r="B1966" s="12" t="s">
        <v>430</v>
      </c>
      <c r="C1966" s="12" t="s">
        <v>434</v>
      </c>
      <c r="D1966" s="12" t="s">
        <v>20</v>
      </c>
      <c r="E1966" s="12">
        <v>2.7067257395224087E-2</v>
      </c>
      <c r="F1966" s="12">
        <v>142423</v>
      </c>
      <c r="G1966">
        <f t="shared" si="61"/>
        <v>3855</v>
      </c>
      <c r="H1966" s="16" t="s">
        <v>969</v>
      </c>
    </row>
    <row r="1967" spans="1:8">
      <c r="A1967" t="str">
        <f t="shared" si="60"/>
        <v>گلستانكردكوئ</v>
      </c>
      <c r="B1967" s="12" t="s">
        <v>430</v>
      </c>
      <c r="C1967" s="12" t="s">
        <v>435</v>
      </c>
      <c r="D1967" s="12" t="s">
        <v>480</v>
      </c>
      <c r="E1967" s="12">
        <v>0.37673330734532495</v>
      </c>
      <c r="F1967" s="12">
        <v>71828</v>
      </c>
      <c r="G1967">
        <f t="shared" si="61"/>
        <v>27060</v>
      </c>
      <c r="H1967" s="16" t="s">
        <v>961</v>
      </c>
    </row>
    <row r="1968" spans="1:8">
      <c r="A1968" t="str">
        <f t="shared" si="60"/>
        <v>گلستانكردكوئ</v>
      </c>
      <c r="B1968" s="12" t="s">
        <v>430</v>
      </c>
      <c r="C1968" s="12" t="s">
        <v>435</v>
      </c>
      <c r="D1968" s="12" t="s">
        <v>479</v>
      </c>
      <c r="E1968" s="12">
        <v>0.41334855488110483</v>
      </c>
      <c r="F1968" s="12">
        <v>71828</v>
      </c>
      <c r="G1968">
        <f t="shared" si="61"/>
        <v>29690</v>
      </c>
      <c r="H1968" s="16" t="s">
        <v>961</v>
      </c>
    </row>
    <row r="1969" spans="1:8">
      <c r="A1969" t="str">
        <f t="shared" si="60"/>
        <v>گلستانكردكوئ</v>
      </c>
      <c r="B1969" s="12" t="s">
        <v>430</v>
      </c>
      <c r="C1969" s="12" t="s">
        <v>435</v>
      </c>
      <c r="D1969" s="12" t="s">
        <v>22</v>
      </c>
      <c r="E1969" s="12">
        <v>0.12262627387648271</v>
      </c>
      <c r="F1969" s="12">
        <v>71828</v>
      </c>
      <c r="G1969">
        <f t="shared" si="61"/>
        <v>8808</v>
      </c>
      <c r="H1969" s="16" t="s">
        <v>961</v>
      </c>
    </row>
    <row r="1970" spans="1:8">
      <c r="A1970" t="str">
        <f t="shared" si="60"/>
        <v>گلستانكردكوئ</v>
      </c>
      <c r="B1970" s="12" t="s">
        <v>430</v>
      </c>
      <c r="C1970" s="12" t="s">
        <v>435</v>
      </c>
      <c r="D1970" s="12" t="s">
        <v>478</v>
      </c>
      <c r="E1970" s="12">
        <v>4.6360750682185217E-2</v>
      </c>
      <c r="F1970" s="12">
        <v>71828</v>
      </c>
      <c r="G1970">
        <f t="shared" si="61"/>
        <v>3330</v>
      </c>
      <c r="H1970" s="16" t="s">
        <v>961</v>
      </c>
    </row>
    <row r="1971" spans="1:8">
      <c r="A1971" t="str">
        <f t="shared" si="60"/>
        <v>گلستانكردكوئ</v>
      </c>
      <c r="B1971" s="12" t="s">
        <v>430</v>
      </c>
      <c r="C1971" s="12" t="s">
        <v>435</v>
      </c>
      <c r="D1971" s="12" t="s">
        <v>20</v>
      </c>
      <c r="E1971" s="12">
        <v>4.0931113214902268E-2</v>
      </c>
      <c r="F1971" s="12">
        <v>71828</v>
      </c>
      <c r="G1971">
        <f t="shared" si="61"/>
        <v>2940</v>
      </c>
      <c r="H1971" s="16" t="s">
        <v>961</v>
      </c>
    </row>
    <row r="1972" spans="1:8">
      <c r="A1972" t="str">
        <f t="shared" si="60"/>
        <v>گلستانگرگان</v>
      </c>
      <c r="B1972" s="12" t="s">
        <v>430</v>
      </c>
      <c r="C1972" s="12" t="s">
        <v>436</v>
      </c>
      <c r="D1972" s="12" t="s">
        <v>480</v>
      </c>
      <c r="E1972" s="12">
        <v>0.40486172388693931</v>
      </c>
      <c r="F1972" s="12">
        <v>491842</v>
      </c>
      <c r="G1972">
        <f t="shared" si="61"/>
        <v>199128</v>
      </c>
      <c r="H1972" s="16" t="s">
        <v>964</v>
      </c>
    </row>
    <row r="1973" spans="1:8">
      <c r="A1973" t="str">
        <f t="shared" si="60"/>
        <v>گلستانگرگان</v>
      </c>
      <c r="B1973" s="12" t="s">
        <v>430</v>
      </c>
      <c r="C1973" s="12" t="s">
        <v>436</v>
      </c>
      <c r="D1973" s="12" t="s">
        <v>479</v>
      </c>
      <c r="E1973" s="12">
        <v>0.41805091879099388</v>
      </c>
      <c r="F1973" s="12">
        <v>491842</v>
      </c>
      <c r="G1973">
        <f t="shared" si="61"/>
        <v>205615</v>
      </c>
      <c r="H1973" s="16" t="s">
        <v>964</v>
      </c>
    </row>
    <row r="1974" spans="1:8">
      <c r="A1974" t="str">
        <f t="shared" si="60"/>
        <v>گلستانگرگان</v>
      </c>
      <c r="B1974" s="12" t="s">
        <v>430</v>
      </c>
      <c r="C1974" s="12" t="s">
        <v>436</v>
      </c>
      <c r="D1974" s="12" t="s">
        <v>22</v>
      </c>
      <c r="E1974" s="12">
        <v>0.10909397733418455</v>
      </c>
      <c r="F1974" s="12">
        <v>491842</v>
      </c>
      <c r="G1974">
        <f t="shared" si="61"/>
        <v>53657</v>
      </c>
      <c r="H1974" s="16" t="s">
        <v>964</v>
      </c>
    </row>
    <row r="1975" spans="1:8">
      <c r="A1975" t="str">
        <f t="shared" si="60"/>
        <v>گلستانگرگان</v>
      </c>
      <c r="B1975" s="12" t="s">
        <v>430</v>
      </c>
      <c r="C1975" s="12" t="s">
        <v>436</v>
      </c>
      <c r="D1975" s="12" t="s">
        <v>478</v>
      </c>
      <c r="E1975" s="12">
        <v>3.7609638867766478E-2</v>
      </c>
      <c r="F1975" s="12">
        <v>491842</v>
      </c>
      <c r="G1975">
        <f t="shared" si="61"/>
        <v>18498</v>
      </c>
      <c r="H1975" s="16" t="s">
        <v>964</v>
      </c>
    </row>
    <row r="1976" spans="1:8">
      <c r="A1976" t="str">
        <f t="shared" si="60"/>
        <v>گلستانگرگان</v>
      </c>
      <c r="B1976" s="12" t="s">
        <v>430</v>
      </c>
      <c r="C1976" s="12" t="s">
        <v>436</v>
      </c>
      <c r="D1976" s="12" t="s">
        <v>20</v>
      </c>
      <c r="E1976" s="12">
        <v>3.0371542080586855E-2</v>
      </c>
      <c r="F1976" s="12">
        <v>491842</v>
      </c>
      <c r="G1976">
        <f t="shared" si="61"/>
        <v>14938</v>
      </c>
      <c r="H1976" s="16" t="s">
        <v>964</v>
      </c>
    </row>
    <row r="1977" spans="1:8">
      <c r="A1977" t="str">
        <f t="shared" si="60"/>
        <v>گلستانگنبدكاووس</v>
      </c>
      <c r="B1977" s="12" t="s">
        <v>430</v>
      </c>
      <c r="C1977" s="12" t="s">
        <v>437</v>
      </c>
      <c r="D1977" s="12" t="s">
        <v>480</v>
      </c>
      <c r="E1977" s="12">
        <v>0.47302034402399568</v>
      </c>
      <c r="F1977" s="12">
        <v>355731</v>
      </c>
      <c r="G1977">
        <f t="shared" si="61"/>
        <v>168268</v>
      </c>
      <c r="H1977" s="16" t="s">
        <v>966</v>
      </c>
    </row>
    <row r="1978" spans="1:8">
      <c r="A1978" t="str">
        <f t="shared" si="60"/>
        <v>گلستانگنبدكاووس</v>
      </c>
      <c r="B1978" s="12" t="s">
        <v>430</v>
      </c>
      <c r="C1978" s="12" t="s">
        <v>437</v>
      </c>
      <c r="D1978" s="12" t="s">
        <v>479</v>
      </c>
      <c r="E1978" s="12">
        <v>0.3828791980457143</v>
      </c>
      <c r="F1978" s="12">
        <v>355731</v>
      </c>
      <c r="G1978">
        <f t="shared" si="61"/>
        <v>136202</v>
      </c>
      <c r="H1978" s="16" t="s">
        <v>966</v>
      </c>
    </row>
    <row r="1979" spans="1:8">
      <c r="A1979" t="str">
        <f t="shared" si="60"/>
        <v>گلستانگنبدكاووس</v>
      </c>
      <c r="B1979" s="12" t="s">
        <v>430</v>
      </c>
      <c r="C1979" s="12" t="s">
        <v>437</v>
      </c>
      <c r="D1979" s="12" t="s">
        <v>22</v>
      </c>
      <c r="E1979" s="12">
        <v>9.0905768684764618E-2</v>
      </c>
      <c r="F1979" s="12">
        <v>355731</v>
      </c>
      <c r="G1979">
        <f t="shared" si="61"/>
        <v>32338</v>
      </c>
      <c r="H1979" s="16" t="s">
        <v>966</v>
      </c>
    </row>
    <row r="1980" spans="1:8">
      <c r="A1980" t="str">
        <f t="shared" si="60"/>
        <v>گلستانگنبدكاووس</v>
      </c>
      <c r="B1980" s="12" t="s">
        <v>430</v>
      </c>
      <c r="C1980" s="12" t="s">
        <v>437</v>
      </c>
      <c r="D1980" s="12" t="s">
        <v>478</v>
      </c>
      <c r="E1980" s="12">
        <v>2.9960841197421647E-2</v>
      </c>
      <c r="F1980" s="12">
        <v>355731</v>
      </c>
      <c r="G1980">
        <f t="shared" si="61"/>
        <v>10658</v>
      </c>
      <c r="H1980" s="16" t="s">
        <v>966</v>
      </c>
    </row>
    <row r="1981" spans="1:8">
      <c r="A1981" t="str">
        <f t="shared" si="60"/>
        <v>گلستانگنبدكاووس</v>
      </c>
      <c r="B1981" s="12" t="s">
        <v>430</v>
      </c>
      <c r="C1981" s="12" t="s">
        <v>437</v>
      </c>
      <c r="D1981" s="12" t="s">
        <v>20</v>
      </c>
      <c r="E1981" s="12">
        <v>2.3216981370754869E-2</v>
      </c>
      <c r="F1981" s="12">
        <v>355731</v>
      </c>
      <c r="G1981">
        <f t="shared" si="61"/>
        <v>8259</v>
      </c>
      <c r="H1981" s="16" t="s">
        <v>966</v>
      </c>
    </row>
    <row r="1982" spans="1:8">
      <c r="A1982" t="str">
        <f t="shared" si="60"/>
        <v>گلستانمينودشت</v>
      </c>
      <c r="B1982" s="12" t="s">
        <v>430</v>
      </c>
      <c r="C1982" s="12" t="s">
        <v>438</v>
      </c>
      <c r="D1982" s="12" t="s">
        <v>480</v>
      </c>
      <c r="E1982" s="12">
        <v>0.45269942749341685</v>
      </c>
      <c r="F1982" s="12">
        <v>76331</v>
      </c>
      <c r="G1982">
        <f t="shared" si="61"/>
        <v>34555</v>
      </c>
      <c r="H1982" s="16" t="s">
        <v>971</v>
      </c>
    </row>
    <row r="1983" spans="1:8">
      <c r="A1983" t="str">
        <f t="shared" si="60"/>
        <v>گلستانمينودشت</v>
      </c>
      <c r="B1983" s="12" t="s">
        <v>430</v>
      </c>
      <c r="C1983" s="12" t="s">
        <v>438</v>
      </c>
      <c r="D1983" s="12" t="s">
        <v>479</v>
      </c>
      <c r="E1983" s="12">
        <v>0.38448336848724635</v>
      </c>
      <c r="F1983" s="12">
        <v>76331</v>
      </c>
      <c r="G1983">
        <f t="shared" si="61"/>
        <v>29348</v>
      </c>
      <c r="H1983" s="16" t="s">
        <v>971</v>
      </c>
    </row>
    <row r="1984" spans="1:8">
      <c r="A1984" t="str">
        <f t="shared" si="60"/>
        <v>گلستانمينودشت</v>
      </c>
      <c r="B1984" s="12" t="s">
        <v>430</v>
      </c>
      <c r="C1984" s="12" t="s">
        <v>438</v>
      </c>
      <c r="D1984" s="12" t="s">
        <v>22</v>
      </c>
      <c r="E1984" s="12">
        <v>9.654006891040337E-2</v>
      </c>
      <c r="F1984" s="12">
        <v>76331</v>
      </c>
      <c r="G1984">
        <f t="shared" si="61"/>
        <v>7369</v>
      </c>
      <c r="H1984" s="16" t="s">
        <v>971</v>
      </c>
    </row>
    <row r="1985" spans="1:8">
      <c r="A1985" t="str">
        <f t="shared" si="60"/>
        <v>گلستانمينودشت</v>
      </c>
      <c r="B1985" s="12" t="s">
        <v>430</v>
      </c>
      <c r="C1985" s="12" t="s">
        <v>438</v>
      </c>
      <c r="D1985" s="12" t="s">
        <v>478</v>
      </c>
      <c r="E1985" s="12">
        <v>3.5162646893136473E-2</v>
      </c>
      <c r="F1985" s="12">
        <v>76331</v>
      </c>
      <c r="G1985">
        <f t="shared" si="61"/>
        <v>2684</v>
      </c>
      <c r="H1985" s="16" t="s">
        <v>971</v>
      </c>
    </row>
    <row r="1986" spans="1:8">
      <c r="A1986" t="str">
        <f t="shared" ref="A1986:A2049" si="62">B1986&amp;C1986</f>
        <v>گلستانمينودشت</v>
      </c>
      <c r="B1986" s="12" t="s">
        <v>430</v>
      </c>
      <c r="C1986" s="12" t="s">
        <v>438</v>
      </c>
      <c r="D1986" s="12" t="s">
        <v>20</v>
      </c>
      <c r="E1986" s="12">
        <v>3.1101387378653495E-2</v>
      </c>
      <c r="F1986" s="12">
        <v>76331</v>
      </c>
      <c r="G1986">
        <f t="shared" si="61"/>
        <v>2374</v>
      </c>
      <c r="H1986" s="16" t="s">
        <v>971</v>
      </c>
    </row>
    <row r="1987" spans="1:8">
      <c r="A1987" t="str">
        <f t="shared" si="62"/>
        <v>گلستانآق قلا</v>
      </c>
      <c r="B1987" s="12" t="s">
        <v>430</v>
      </c>
      <c r="C1987" s="12" t="s">
        <v>439</v>
      </c>
      <c r="D1987" s="12" t="s">
        <v>480</v>
      </c>
      <c r="E1987" s="12">
        <v>0.50429157579566042</v>
      </c>
      <c r="F1987" s="12">
        <v>135265</v>
      </c>
      <c r="G1987">
        <f t="shared" ref="G1987:G2050" si="63">IFERROR(ROUND(F1987*E1987,0),0)</f>
        <v>68213</v>
      </c>
      <c r="H1987" s="16" t="s">
        <v>962</v>
      </c>
    </row>
    <row r="1988" spans="1:8">
      <c r="A1988" t="str">
        <f t="shared" si="62"/>
        <v>گلستانآق قلا</v>
      </c>
      <c r="B1988" s="12" t="s">
        <v>430</v>
      </c>
      <c r="C1988" s="12" t="s">
        <v>439</v>
      </c>
      <c r="D1988" s="12" t="s">
        <v>479</v>
      </c>
      <c r="E1988" s="12">
        <v>0.36217055409751231</v>
      </c>
      <c r="F1988" s="12">
        <v>135265</v>
      </c>
      <c r="G1988">
        <f t="shared" si="63"/>
        <v>48989</v>
      </c>
      <c r="H1988" s="16" t="s">
        <v>962</v>
      </c>
    </row>
    <row r="1989" spans="1:8">
      <c r="A1989" t="str">
        <f t="shared" si="62"/>
        <v>گلستانآق قلا</v>
      </c>
      <c r="B1989" s="12" t="s">
        <v>430</v>
      </c>
      <c r="C1989" s="12" t="s">
        <v>439</v>
      </c>
      <c r="D1989" s="12" t="s">
        <v>22</v>
      </c>
      <c r="E1989" s="12">
        <v>8.3221823827301963E-2</v>
      </c>
      <c r="F1989" s="12">
        <v>135265</v>
      </c>
      <c r="G1989">
        <f t="shared" si="63"/>
        <v>11257</v>
      </c>
      <c r="H1989" s="16" t="s">
        <v>962</v>
      </c>
    </row>
    <row r="1990" spans="1:8">
      <c r="A1990" t="str">
        <f t="shared" si="62"/>
        <v>گلستانآق قلا</v>
      </c>
      <c r="B1990" s="12" t="s">
        <v>430</v>
      </c>
      <c r="C1990" s="12" t="s">
        <v>439</v>
      </c>
      <c r="D1990" s="12" t="s">
        <v>478</v>
      </c>
      <c r="E1990" s="12">
        <v>2.733892729087347E-2</v>
      </c>
      <c r="F1990" s="12">
        <v>135265</v>
      </c>
      <c r="G1990">
        <f t="shared" si="63"/>
        <v>3698</v>
      </c>
      <c r="H1990" s="16" t="s">
        <v>962</v>
      </c>
    </row>
    <row r="1991" spans="1:8">
      <c r="A1991" t="str">
        <f t="shared" si="62"/>
        <v>گلستانآق قلا</v>
      </c>
      <c r="B1991" s="12" t="s">
        <v>430</v>
      </c>
      <c r="C1991" s="12" t="s">
        <v>439</v>
      </c>
      <c r="D1991" s="12" t="s">
        <v>20</v>
      </c>
      <c r="E1991" s="12">
        <v>2.2977118988651905E-2</v>
      </c>
      <c r="F1991" s="12">
        <v>135265</v>
      </c>
      <c r="G1991">
        <f t="shared" si="63"/>
        <v>3108</v>
      </c>
      <c r="H1991" s="16" t="s">
        <v>962</v>
      </c>
    </row>
    <row r="1992" spans="1:8">
      <c r="A1992" t="str">
        <f t="shared" si="62"/>
        <v>گلستانكلاله</v>
      </c>
      <c r="B1992" s="12" t="s">
        <v>430</v>
      </c>
      <c r="C1992" s="12" t="s">
        <v>440</v>
      </c>
      <c r="D1992" s="12" t="s">
        <v>480</v>
      </c>
      <c r="E1992" s="12">
        <v>0.49852210130323793</v>
      </c>
      <c r="F1992" s="12">
        <v>119088</v>
      </c>
      <c r="G1992">
        <f t="shared" si="63"/>
        <v>59368</v>
      </c>
      <c r="H1992" s="16" t="s">
        <v>967</v>
      </c>
    </row>
    <row r="1993" spans="1:8">
      <c r="A1993" t="str">
        <f t="shared" si="62"/>
        <v>گلستانكلاله</v>
      </c>
      <c r="B1993" s="12" t="s">
        <v>430</v>
      </c>
      <c r="C1993" s="12" t="s">
        <v>440</v>
      </c>
      <c r="D1993" s="12" t="s">
        <v>479</v>
      </c>
      <c r="E1993" s="12">
        <v>0.36815632137578935</v>
      </c>
      <c r="F1993" s="12">
        <v>119088</v>
      </c>
      <c r="G1993">
        <f t="shared" si="63"/>
        <v>43843</v>
      </c>
      <c r="H1993" s="16" t="s">
        <v>967</v>
      </c>
    </row>
    <row r="1994" spans="1:8">
      <c r="A1994" t="str">
        <f t="shared" si="62"/>
        <v>گلستانكلاله</v>
      </c>
      <c r="B1994" s="12" t="s">
        <v>430</v>
      </c>
      <c r="C1994" s="12" t="s">
        <v>440</v>
      </c>
      <c r="D1994" s="12" t="s">
        <v>22</v>
      </c>
      <c r="E1994" s="12">
        <v>8.4408168749160281E-2</v>
      </c>
      <c r="F1994" s="12">
        <v>119088</v>
      </c>
      <c r="G1994">
        <f t="shared" si="63"/>
        <v>10052</v>
      </c>
      <c r="H1994" s="16" t="s">
        <v>967</v>
      </c>
    </row>
    <row r="1995" spans="1:8">
      <c r="A1995" t="str">
        <f t="shared" si="62"/>
        <v>گلستانكلاله</v>
      </c>
      <c r="B1995" s="12" t="s">
        <v>430</v>
      </c>
      <c r="C1995" s="12" t="s">
        <v>440</v>
      </c>
      <c r="D1995" s="12" t="s">
        <v>478</v>
      </c>
      <c r="E1995" s="12">
        <v>2.7341125890098079E-2</v>
      </c>
      <c r="F1995" s="12">
        <v>119088</v>
      </c>
      <c r="G1995">
        <f t="shared" si="63"/>
        <v>3256</v>
      </c>
      <c r="H1995" s="16" t="s">
        <v>967</v>
      </c>
    </row>
    <row r="1996" spans="1:8">
      <c r="A1996" t="str">
        <f t="shared" si="62"/>
        <v>گلستانكلاله</v>
      </c>
      <c r="B1996" s="12" t="s">
        <v>430</v>
      </c>
      <c r="C1996" s="12" t="s">
        <v>440</v>
      </c>
      <c r="D1996" s="12" t="s">
        <v>20</v>
      </c>
      <c r="E1996" s="12">
        <v>2.158907698508666E-2</v>
      </c>
      <c r="F1996" s="12">
        <v>119088</v>
      </c>
      <c r="G1996">
        <f t="shared" si="63"/>
        <v>2571</v>
      </c>
      <c r="H1996" s="16" t="s">
        <v>967</v>
      </c>
    </row>
    <row r="1997" spans="1:8">
      <c r="A1997" t="str">
        <f t="shared" si="62"/>
        <v>گلستانآزادشهر</v>
      </c>
      <c r="B1997" s="12" t="s">
        <v>430</v>
      </c>
      <c r="C1997" s="12" t="s">
        <v>441</v>
      </c>
      <c r="D1997" s="12" t="s">
        <v>480</v>
      </c>
      <c r="E1997" s="12">
        <v>0.45546645885031067</v>
      </c>
      <c r="F1997" s="12">
        <v>97522</v>
      </c>
      <c r="G1997">
        <f t="shared" si="63"/>
        <v>44418</v>
      </c>
      <c r="H1997" s="16" t="s">
        <v>970</v>
      </c>
    </row>
    <row r="1998" spans="1:8">
      <c r="A1998" t="str">
        <f t="shared" si="62"/>
        <v>گلستانآزادشهر</v>
      </c>
      <c r="B1998" s="12" t="s">
        <v>430</v>
      </c>
      <c r="C1998" s="12" t="s">
        <v>441</v>
      </c>
      <c r="D1998" s="12" t="s">
        <v>479</v>
      </c>
      <c r="E1998" s="12">
        <v>0.38713315969729906</v>
      </c>
      <c r="F1998" s="12">
        <v>97522</v>
      </c>
      <c r="G1998">
        <f t="shared" si="63"/>
        <v>37754</v>
      </c>
      <c r="H1998" s="16" t="s">
        <v>970</v>
      </c>
    </row>
    <row r="1999" spans="1:8">
      <c r="A1999" t="str">
        <f t="shared" si="62"/>
        <v>گلستانآزادشهر</v>
      </c>
      <c r="B1999" s="12" t="s">
        <v>430</v>
      </c>
      <c r="C1999" s="12" t="s">
        <v>441</v>
      </c>
      <c r="D1999" s="12" t="s">
        <v>22</v>
      </c>
      <c r="E1999" s="12">
        <v>9.6901212034207665E-2</v>
      </c>
      <c r="F1999" s="12">
        <v>97522</v>
      </c>
      <c r="G1999">
        <f t="shared" si="63"/>
        <v>9450</v>
      </c>
      <c r="H1999" s="16" t="s">
        <v>970</v>
      </c>
    </row>
    <row r="2000" spans="1:8">
      <c r="A2000" t="str">
        <f t="shared" si="62"/>
        <v>گلستانآزادشهر</v>
      </c>
      <c r="B2000" s="12" t="s">
        <v>430</v>
      </c>
      <c r="C2000" s="12" t="s">
        <v>441</v>
      </c>
      <c r="D2000" s="12" t="s">
        <v>478</v>
      </c>
      <c r="E2000" s="12">
        <v>3.3623182461393328E-2</v>
      </c>
      <c r="F2000" s="12">
        <v>97522</v>
      </c>
      <c r="G2000">
        <f t="shared" si="63"/>
        <v>3279</v>
      </c>
      <c r="H2000" s="16" t="s">
        <v>970</v>
      </c>
    </row>
    <row r="2001" spans="1:8">
      <c r="A2001" t="str">
        <f t="shared" si="62"/>
        <v>گلستانآزادشهر</v>
      </c>
      <c r="B2001" s="12" t="s">
        <v>430</v>
      </c>
      <c r="C2001" s="12" t="s">
        <v>441</v>
      </c>
      <c r="D2001" s="12" t="s">
        <v>20</v>
      </c>
      <c r="E2001" s="12">
        <v>2.6906749246323906E-2</v>
      </c>
      <c r="F2001" s="12">
        <v>97522</v>
      </c>
      <c r="G2001">
        <f t="shared" si="63"/>
        <v>2624</v>
      </c>
      <c r="H2001" s="16" t="s">
        <v>970</v>
      </c>
    </row>
    <row r="2002" spans="1:8">
      <c r="A2002" t="str">
        <f t="shared" si="62"/>
        <v>گلستانراميان</v>
      </c>
      <c r="B2002" s="12" t="s">
        <v>430</v>
      </c>
      <c r="C2002" s="12" t="s">
        <v>442</v>
      </c>
      <c r="D2002" s="12" t="s">
        <v>480</v>
      </c>
      <c r="E2002" s="12">
        <v>0.47426978715562518</v>
      </c>
      <c r="F2002" s="12">
        <v>86824</v>
      </c>
      <c r="G2002">
        <f t="shared" si="63"/>
        <v>41178</v>
      </c>
      <c r="H2002" s="16" t="s">
        <v>963</v>
      </c>
    </row>
    <row r="2003" spans="1:8">
      <c r="A2003" t="str">
        <f t="shared" si="62"/>
        <v>گلستانراميان</v>
      </c>
      <c r="B2003" s="12" t="s">
        <v>430</v>
      </c>
      <c r="C2003" s="12" t="s">
        <v>442</v>
      </c>
      <c r="D2003" s="12" t="s">
        <v>479</v>
      </c>
      <c r="E2003" s="12">
        <v>0.37336450750944439</v>
      </c>
      <c r="F2003" s="12">
        <v>86824</v>
      </c>
      <c r="G2003">
        <f t="shared" si="63"/>
        <v>32417</v>
      </c>
      <c r="H2003" s="16" t="s">
        <v>963</v>
      </c>
    </row>
    <row r="2004" spans="1:8">
      <c r="A2004" t="str">
        <f t="shared" si="62"/>
        <v>گلستانراميان</v>
      </c>
      <c r="B2004" s="12" t="s">
        <v>430</v>
      </c>
      <c r="C2004" s="12" t="s">
        <v>442</v>
      </c>
      <c r="D2004" s="12" t="s">
        <v>22</v>
      </c>
      <c r="E2004" s="12">
        <v>9.3303694830922324E-2</v>
      </c>
      <c r="F2004" s="12">
        <v>86824</v>
      </c>
      <c r="G2004">
        <f t="shared" si="63"/>
        <v>8101</v>
      </c>
      <c r="H2004" s="16" t="s">
        <v>963</v>
      </c>
    </row>
    <row r="2005" spans="1:8">
      <c r="A2005" t="str">
        <f t="shared" si="62"/>
        <v>گلستانراميان</v>
      </c>
      <c r="B2005" s="12" t="s">
        <v>430</v>
      </c>
      <c r="C2005" s="12" t="s">
        <v>442</v>
      </c>
      <c r="D2005" s="12" t="s">
        <v>478</v>
      </c>
      <c r="E2005" s="12">
        <v>3.1097392426057312E-2</v>
      </c>
      <c r="F2005" s="12">
        <v>86824</v>
      </c>
      <c r="G2005">
        <f t="shared" si="63"/>
        <v>2700</v>
      </c>
      <c r="H2005" s="16" t="s">
        <v>963</v>
      </c>
    </row>
    <row r="2006" spans="1:8">
      <c r="A2006" t="str">
        <f t="shared" si="62"/>
        <v>گلستانراميان</v>
      </c>
      <c r="B2006" s="12" t="s">
        <v>430</v>
      </c>
      <c r="C2006" s="12" t="s">
        <v>442</v>
      </c>
      <c r="D2006" s="12" t="s">
        <v>20</v>
      </c>
      <c r="E2006" s="12">
        <v>2.7872477655947664E-2</v>
      </c>
      <c r="F2006" s="12">
        <v>86824</v>
      </c>
      <c r="G2006">
        <f t="shared" si="63"/>
        <v>2420</v>
      </c>
      <c r="H2006" s="16" t="s">
        <v>963</v>
      </c>
    </row>
    <row r="2007" spans="1:8">
      <c r="A2007" t="str">
        <f t="shared" si="62"/>
        <v>گلستانمراوه تپه</v>
      </c>
      <c r="B2007" s="12" t="s">
        <v>430</v>
      </c>
      <c r="C2007" s="12" t="s">
        <v>443</v>
      </c>
      <c r="D2007" s="12" t="s">
        <v>480</v>
      </c>
      <c r="E2007" s="12">
        <v>0.54433315082611355</v>
      </c>
      <c r="F2007" s="12">
        <v>62098</v>
      </c>
      <c r="G2007">
        <f t="shared" si="63"/>
        <v>33802</v>
      </c>
      <c r="H2007" s="16" t="s">
        <v>959</v>
      </c>
    </row>
    <row r="2008" spans="1:8">
      <c r="A2008" t="str">
        <f t="shared" si="62"/>
        <v>گلستانمراوه تپه</v>
      </c>
      <c r="B2008" s="12" t="s">
        <v>430</v>
      </c>
      <c r="C2008" s="12" t="s">
        <v>443</v>
      </c>
      <c r="D2008" s="12" t="s">
        <v>479</v>
      </c>
      <c r="E2008" s="12">
        <v>0.34373087700086957</v>
      </c>
      <c r="F2008" s="12">
        <v>62098</v>
      </c>
      <c r="G2008">
        <f t="shared" si="63"/>
        <v>21345</v>
      </c>
      <c r="H2008" s="16" t="s">
        <v>959</v>
      </c>
    </row>
    <row r="2009" spans="1:8">
      <c r="A2009" t="str">
        <f t="shared" si="62"/>
        <v>گلستانمراوه تپه</v>
      </c>
      <c r="B2009" s="12" t="s">
        <v>430</v>
      </c>
      <c r="C2009" s="12" t="s">
        <v>443</v>
      </c>
      <c r="D2009" s="12" t="s">
        <v>22</v>
      </c>
      <c r="E2009" s="12">
        <v>7.3271280878611234E-2</v>
      </c>
      <c r="F2009" s="12">
        <v>62098</v>
      </c>
      <c r="G2009">
        <f t="shared" si="63"/>
        <v>4550</v>
      </c>
      <c r="H2009" s="16" t="s">
        <v>959</v>
      </c>
    </row>
    <row r="2010" spans="1:8">
      <c r="A2010" t="str">
        <f t="shared" si="62"/>
        <v>گلستانمراوه تپه</v>
      </c>
      <c r="B2010" s="12" t="s">
        <v>430</v>
      </c>
      <c r="C2010" s="12" t="s">
        <v>443</v>
      </c>
      <c r="D2010" s="12" t="s">
        <v>478</v>
      </c>
      <c r="E2010" s="12">
        <v>2.2625527392186543E-2</v>
      </c>
      <c r="F2010" s="12">
        <v>62098</v>
      </c>
      <c r="G2010">
        <f t="shared" si="63"/>
        <v>1405</v>
      </c>
      <c r="H2010" s="16" t="s">
        <v>959</v>
      </c>
    </row>
    <row r="2011" spans="1:8">
      <c r="A2011" t="str">
        <f t="shared" si="62"/>
        <v>گلستانمراوه تپه</v>
      </c>
      <c r="B2011" s="12" t="s">
        <v>430</v>
      </c>
      <c r="C2011" s="12" t="s">
        <v>443</v>
      </c>
      <c r="D2011" s="12" t="s">
        <v>20</v>
      </c>
      <c r="E2011" s="12">
        <v>1.6071371058649232E-2</v>
      </c>
      <c r="F2011" s="12">
        <v>62098</v>
      </c>
      <c r="G2011">
        <f t="shared" si="63"/>
        <v>998</v>
      </c>
      <c r="H2011" s="16" t="s">
        <v>959</v>
      </c>
    </row>
    <row r="2012" spans="1:8">
      <c r="A2012" t="str">
        <f t="shared" si="62"/>
        <v>گلستانگميشان</v>
      </c>
      <c r="B2012" s="12" t="s">
        <v>430</v>
      </c>
      <c r="C2012" s="12" t="s">
        <v>444</v>
      </c>
      <c r="D2012" s="12" t="s">
        <v>480</v>
      </c>
      <c r="E2012" s="12">
        <v>0.48667416082075216</v>
      </c>
      <c r="F2012" s="12">
        <v>70277</v>
      </c>
      <c r="G2012">
        <f t="shared" si="63"/>
        <v>34202</v>
      </c>
      <c r="H2012" s="16" t="s">
        <v>968</v>
      </c>
    </row>
    <row r="2013" spans="1:8">
      <c r="A2013" t="str">
        <f t="shared" si="62"/>
        <v>گلستانگميشان</v>
      </c>
      <c r="B2013" s="12" t="s">
        <v>430</v>
      </c>
      <c r="C2013" s="12" t="s">
        <v>444</v>
      </c>
      <c r="D2013" s="12" t="s">
        <v>479</v>
      </c>
      <c r="E2013" s="12">
        <v>0.36173997182577516</v>
      </c>
      <c r="F2013" s="12">
        <v>70277</v>
      </c>
      <c r="G2013">
        <f t="shared" si="63"/>
        <v>25422</v>
      </c>
      <c r="H2013" s="16" t="s">
        <v>968</v>
      </c>
    </row>
    <row r="2014" spans="1:8">
      <c r="A2014" t="str">
        <f t="shared" si="62"/>
        <v>گلستانگميشان</v>
      </c>
      <c r="B2014" s="12" t="s">
        <v>430</v>
      </c>
      <c r="C2014" s="12" t="s">
        <v>444</v>
      </c>
      <c r="D2014" s="12" t="s">
        <v>22</v>
      </c>
      <c r="E2014" s="12">
        <v>9.0385190033723695E-2</v>
      </c>
      <c r="F2014" s="12">
        <v>70277</v>
      </c>
      <c r="G2014">
        <f t="shared" si="63"/>
        <v>6352</v>
      </c>
      <c r="H2014" s="16" t="s">
        <v>968</v>
      </c>
    </row>
    <row r="2015" spans="1:8">
      <c r="A2015" t="str">
        <f t="shared" si="62"/>
        <v>گلستانگميشان</v>
      </c>
      <c r="B2015" s="12" t="s">
        <v>430</v>
      </c>
      <c r="C2015" s="12" t="s">
        <v>444</v>
      </c>
      <c r="D2015" s="12" t="s">
        <v>478</v>
      </c>
      <c r="E2015" s="12">
        <v>3.2400358581043585E-2</v>
      </c>
      <c r="F2015" s="12">
        <v>70277</v>
      </c>
      <c r="G2015">
        <f t="shared" si="63"/>
        <v>2277</v>
      </c>
      <c r="H2015" s="16" t="s">
        <v>968</v>
      </c>
    </row>
    <row r="2016" spans="1:8">
      <c r="A2016" t="str">
        <f t="shared" si="62"/>
        <v>گلستانگميشان</v>
      </c>
      <c r="B2016" s="12" t="s">
        <v>430</v>
      </c>
      <c r="C2016" s="12" t="s">
        <v>444</v>
      </c>
      <c r="D2016" s="12" t="s">
        <v>20</v>
      </c>
      <c r="E2016" s="12">
        <v>2.8771859925722499E-2</v>
      </c>
      <c r="F2016" s="12">
        <v>70277</v>
      </c>
      <c r="G2016">
        <f t="shared" si="63"/>
        <v>2022</v>
      </c>
      <c r="H2016" s="16" t="s">
        <v>968</v>
      </c>
    </row>
    <row r="2017" spans="1:8">
      <c r="A2017" t="str">
        <f t="shared" si="62"/>
        <v>گلستانگاليكش</v>
      </c>
      <c r="B2017" s="12" t="s">
        <v>430</v>
      </c>
      <c r="C2017" s="12" t="s">
        <v>446</v>
      </c>
      <c r="D2017" s="12" t="s">
        <v>480</v>
      </c>
      <c r="E2017" s="12">
        <v>0.46844641147574428</v>
      </c>
      <c r="F2017" s="12">
        <v>63717</v>
      </c>
      <c r="G2017">
        <f t="shared" si="63"/>
        <v>29848</v>
      </c>
      <c r="H2017" s="16" t="s">
        <v>972</v>
      </c>
    </row>
    <row r="2018" spans="1:8">
      <c r="A2018" t="str">
        <f t="shared" si="62"/>
        <v>گلستانگاليكش</v>
      </c>
      <c r="B2018" s="12" t="s">
        <v>430</v>
      </c>
      <c r="C2018" s="12" t="s">
        <v>446</v>
      </c>
      <c r="D2018" s="12" t="s">
        <v>479</v>
      </c>
      <c r="E2018" s="12">
        <v>0.38124833247014139</v>
      </c>
      <c r="F2018" s="12">
        <v>63717</v>
      </c>
      <c r="G2018">
        <f t="shared" si="63"/>
        <v>24292</v>
      </c>
      <c r="H2018" s="16" t="s">
        <v>972</v>
      </c>
    </row>
    <row r="2019" spans="1:8">
      <c r="A2019" t="str">
        <f t="shared" si="62"/>
        <v>گلستانگاليكش</v>
      </c>
      <c r="B2019" s="12" t="s">
        <v>430</v>
      </c>
      <c r="C2019" s="12" t="s">
        <v>446</v>
      </c>
      <c r="D2019" s="12" t="s">
        <v>22</v>
      </c>
      <c r="E2019" s="12">
        <v>9.3365977682565091E-2</v>
      </c>
      <c r="F2019" s="12">
        <v>63717</v>
      </c>
      <c r="G2019">
        <f t="shared" si="63"/>
        <v>5949</v>
      </c>
      <c r="H2019" s="16" t="s">
        <v>972</v>
      </c>
    </row>
    <row r="2020" spans="1:8">
      <c r="A2020" t="str">
        <f t="shared" si="62"/>
        <v>گلستانگاليكش</v>
      </c>
      <c r="B2020" s="12" t="s">
        <v>430</v>
      </c>
      <c r="C2020" s="12" t="s">
        <v>446</v>
      </c>
      <c r="D2020" s="12" t="s">
        <v>478</v>
      </c>
      <c r="E2020" s="12">
        <v>3.0902270979487421E-2</v>
      </c>
      <c r="F2020" s="12">
        <v>63717</v>
      </c>
      <c r="G2020">
        <f t="shared" si="63"/>
        <v>1969</v>
      </c>
      <c r="H2020" s="16" t="s">
        <v>972</v>
      </c>
    </row>
    <row r="2021" spans="1:8">
      <c r="A2021" t="str">
        <f t="shared" si="62"/>
        <v>گلستانگاليكش</v>
      </c>
      <c r="B2021" s="12" t="s">
        <v>430</v>
      </c>
      <c r="C2021" s="12" t="s">
        <v>446</v>
      </c>
      <c r="D2021" s="12" t="s">
        <v>20</v>
      </c>
      <c r="E2021" s="12">
        <v>2.5958535398716197E-2</v>
      </c>
      <c r="F2021" s="12">
        <v>63717</v>
      </c>
      <c r="G2021">
        <f t="shared" si="63"/>
        <v>1654</v>
      </c>
      <c r="H2021" s="16" t="s">
        <v>972</v>
      </c>
    </row>
    <row r="2022" spans="1:8">
      <c r="A2022" t="str">
        <f t="shared" si="62"/>
        <v>خراسان شمالياسفراين</v>
      </c>
      <c r="B2022" s="12" t="s">
        <v>445</v>
      </c>
      <c r="C2022" s="12" t="s">
        <v>447</v>
      </c>
      <c r="D2022" s="12" t="s">
        <v>480</v>
      </c>
      <c r="E2022" s="12">
        <v>0.43493696386258368</v>
      </c>
      <c r="F2022" s="12">
        <v>121121</v>
      </c>
      <c r="G2022">
        <f t="shared" si="63"/>
        <v>52680</v>
      </c>
      <c r="H2022" s="16" t="s">
        <v>701</v>
      </c>
    </row>
    <row r="2023" spans="1:8">
      <c r="A2023" t="str">
        <f t="shared" si="62"/>
        <v>خراسان شمالياسفراين</v>
      </c>
      <c r="B2023" s="12" t="s">
        <v>445</v>
      </c>
      <c r="C2023" s="12" t="s">
        <v>447</v>
      </c>
      <c r="D2023" s="12" t="s">
        <v>479</v>
      </c>
      <c r="E2023" s="12">
        <v>0.38203119194854734</v>
      </c>
      <c r="F2023" s="12">
        <v>121121</v>
      </c>
      <c r="G2023">
        <f t="shared" si="63"/>
        <v>46272</v>
      </c>
      <c r="H2023" s="16" t="s">
        <v>701</v>
      </c>
    </row>
    <row r="2024" spans="1:8">
      <c r="A2024" t="str">
        <f t="shared" si="62"/>
        <v>خراسان شمالياسفراين</v>
      </c>
      <c r="B2024" s="12" t="s">
        <v>445</v>
      </c>
      <c r="C2024" s="12" t="s">
        <v>447</v>
      </c>
      <c r="D2024" s="12" t="s">
        <v>22</v>
      </c>
      <c r="E2024" s="12">
        <v>0.1074875537685455</v>
      </c>
      <c r="F2024" s="12">
        <v>121121</v>
      </c>
      <c r="G2024">
        <f t="shared" si="63"/>
        <v>13019</v>
      </c>
      <c r="H2024" s="16" t="s">
        <v>701</v>
      </c>
    </row>
    <row r="2025" spans="1:8">
      <c r="A2025" t="str">
        <f t="shared" si="62"/>
        <v>خراسان شمالياسفراين</v>
      </c>
      <c r="B2025" s="12" t="s">
        <v>445</v>
      </c>
      <c r="C2025" s="12" t="s">
        <v>447</v>
      </c>
      <c r="D2025" s="12" t="s">
        <v>478</v>
      </c>
      <c r="E2025" s="12">
        <v>3.8944526547832335E-2</v>
      </c>
      <c r="F2025" s="12">
        <v>121121</v>
      </c>
      <c r="G2025">
        <f t="shared" si="63"/>
        <v>4717</v>
      </c>
      <c r="H2025" s="16" t="s">
        <v>701</v>
      </c>
    </row>
    <row r="2026" spans="1:8">
      <c r="A2026" t="str">
        <f t="shared" si="62"/>
        <v>خراسان شمالياسفراين</v>
      </c>
      <c r="B2026" s="12" t="s">
        <v>445</v>
      </c>
      <c r="C2026" s="12" t="s">
        <v>447</v>
      </c>
      <c r="D2026" s="12" t="s">
        <v>20</v>
      </c>
      <c r="E2026" s="12">
        <v>3.6632788698904399E-2</v>
      </c>
      <c r="F2026" s="12">
        <v>121121</v>
      </c>
      <c r="G2026">
        <f t="shared" si="63"/>
        <v>4437</v>
      </c>
      <c r="H2026" s="16" t="s">
        <v>701</v>
      </c>
    </row>
    <row r="2027" spans="1:8">
      <c r="A2027" t="str">
        <f t="shared" si="62"/>
        <v>خراسان شماليبجنورد</v>
      </c>
      <c r="B2027" s="12" t="s">
        <v>445</v>
      </c>
      <c r="C2027" s="12" t="s">
        <v>448</v>
      </c>
      <c r="D2027" s="12" t="s">
        <v>480</v>
      </c>
      <c r="E2027" s="12">
        <v>0.46908476134597121</v>
      </c>
      <c r="F2027" s="12">
        <v>330646</v>
      </c>
      <c r="G2027">
        <f t="shared" si="63"/>
        <v>155101</v>
      </c>
      <c r="H2027" s="16" t="s">
        <v>703</v>
      </c>
    </row>
    <row r="2028" spans="1:8">
      <c r="A2028" t="str">
        <f t="shared" si="62"/>
        <v>خراسان شماليبجنورد</v>
      </c>
      <c r="B2028" s="12" t="s">
        <v>445</v>
      </c>
      <c r="C2028" s="12" t="s">
        <v>448</v>
      </c>
      <c r="D2028" s="12" t="s">
        <v>479</v>
      </c>
      <c r="E2028" s="12">
        <v>0.38225171331272723</v>
      </c>
      <c r="F2028" s="12">
        <v>330646</v>
      </c>
      <c r="G2028">
        <f t="shared" si="63"/>
        <v>126390</v>
      </c>
      <c r="H2028" s="16" t="s">
        <v>703</v>
      </c>
    </row>
    <row r="2029" spans="1:8">
      <c r="A2029" t="str">
        <f t="shared" si="62"/>
        <v>خراسان شماليبجنورد</v>
      </c>
      <c r="B2029" s="12" t="s">
        <v>445</v>
      </c>
      <c r="C2029" s="12" t="s">
        <v>448</v>
      </c>
      <c r="D2029" s="12" t="s">
        <v>22</v>
      </c>
      <c r="E2029" s="12">
        <v>9.1959376493288891E-2</v>
      </c>
      <c r="F2029" s="12">
        <v>330646</v>
      </c>
      <c r="G2029">
        <f t="shared" si="63"/>
        <v>30406</v>
      </c>
      <c r="H2029" s="16" t="s">
        <v>703</v>
      </c>
    </row>
    <row r="2030" spans="1:8">
      <c r="A2030" t="str">
        <f t="shared" si="62"/>
        <v>خراسان شماليبجنورد</v>
      </c>
      <c r="B2030" s="12" t="s">
        <v>445</v>
      </c>
      <c r="C2030" s="12" t="s">
        <v>448</v>
      </c>
      <c r="D2030" s="12" t="s">
        <v>478</v>
      </c>
      <c r="E2030" s="12">
        <v>3.0939433714607164E-2</v>
      </c>
      <c r="F2030" s="12">
        <v>330646</v>
      </c>
      <c r="G2030">
        <f t="shared" si="63"/>
        <v>10230</v>
      </c>
      <c r="H2030" s="16" t="s">
        <v>703</v>
      </c>
    </row>
    <row r="2031" spans="1:8">
      <c r="A2031" t="str">
        <f t="shared" si="62"/>
        <v>خراسان شماليبجنورد</v>
      </c>
      <c r="B2031" s="12" t="s">
        <v>445</v>
      </c>
      <c r="C2031" s="12" t="s">
        <v>448</v>
      </c>
      <c r="D2031" s="12" t="s">
        <v>20</v>
      </c>
      <c r="E2031" s="12">
        <v>2.5758666368260921E-2</v>
      </c>
      <c r="F2031" s="12">
        <v>330646</v>
      </c>
      <c r="G2031">
        <f t="shared" si="63"/>
        <v>8517</v>
      </c>
      <c r="H2031" s="16" t="s">
        <v>703</v>
      </c>
    </row>
    <row r="2032" spans="1:8">
      <c r="A2032" t="str">
        <f t="shared" si="62"/>
        <v>خراسان شماليجاجرم</v>
      </c>
      <c r="B2032" s="12" t="s">
        <v>445</v>
      </c>
      <c r="C2032" s="12" t="s">
        <v>449</v>
      </c>
      <c r="D2032" s="12" t="s">
        <v>480</v>
      </c>
      <c r="E2032" s="12">
        <v>0.44445999272340547</v>
      </c>
      <c r="F2032" s="12">
        <v>35731</v>
      </c>
      <c r="G2032">
        <f t="shared" si="63"/>
        <v>15881</v>
      </c>
      <c r="H2032" s="16" t="s">
        <v>702</v>
      </c>
    </row>
    <row r="2033" spans="1:8">
      <c r="A2033" t="str">
        <f t="shared" si="62"/>
        <v>خراسان شماليجاجرم</v>
      </c>
      <c r="B2033" s="12" t="s">
        <v>445</v>
      </c>
      <c r="C2033" s="12" t="s">
        <v>449</v>
      </c>
      <c r="D2033" s="12" t="s">
        <v>479</v>
      </c>
      <c r="E2033" s="12">
        <v>0.37731941451400747</v>
      </c>
      <c r="F2033" s="12">
        <v>35731</v>
      </c>
      <c r="G2033">
        <f t="shared" si="63"/>
        <v>13482</v>
      </c>
      <c r="H2033" s="16" t="s">
        <v>702</v>
      </c>
    </row>
    <row r="2034" spans="1:8">
      <c r="A2034" t="str">
        <f t="shared" si="62"/>
        <v>خراسان شماليجاجرم</v>
      </c>
      <c r="B2034" s="12" t="s">
        <v>445</v>
      </c>
      <c r="C2034" s="12" t="s">
        <v>449</v>
      </c>
      <c r="D2034" s="12" t="s">
        <v>22</v>
      </c>
      <c r="E2034" s="12">
        <v>0.10178836304609443</v>
      </c>
      <c r="F2034" s="12">
        <v>35731</v>
      </c>
      <c r="G2034">
        <f t="shared" si="63"/>
        <v>3637</v>
      </c>
      <c r="H2034" s="16" t="s">
        <v>702</v>
      </c>
    </row>
    <row r="2035" spans="1:8">
      <c r="A2035" t="str">
        <f t="shared" si="62"/>
        <v>خراسان شماليجاجرم</v>
      </c>
      <c r="B2035" s="12" t="s">
        <v>445</v>
      </c>
      <c r="C2035" s="12" t="s">
        <v>449</v>
      </c>
      <c r="D2035" s="12" t="s">
        <v>478</v>
      </c>
      <c r="E2035" s="12">
        <v>3.8565951134868881E-2</v>
      </c>
      <c r="F2035" s="12">
        <v>35731</v>
      </c>
      <c r="G2035">
        <f t="shared" si="63"/>
        <v>1378</v>
      </c>
      <c r="H2035" s="16" t="s">
        <v>702</v>
      </c>
    </row>
    <row r="2036" spans="1:8">
      <c r="A2036" t="str">
        <f t="shared" si="62"/>
        <v>خراسان شماليجاجرم</v>
      </c>
      <c r="B2036" s="12" t="s">
        <v>445</v>
      </c>
      <c r="C2036" s="12" t="s">
        <v>449</v>
      </c>
      <c r="D2036" s="12" t="s">
        <v>20</v>
      </c>
      <c r="E2036" s="12">
        <v>3.7838291679493999E-2</v>
      </c>
      <c r="F2036" s="12">
        <v>35731</v>
      </c>
      <c r="G2036">
        <f t="shared" si="63"/>
        <v>1352</v>
      </c>
      <c r="H2036" s="16" t="s">
        <v>702</v>
      </c>
    </row>
    <row r="2037" spans="1:8">
      <c r="A2037" t="str">
        <f t="shared" si="62"/>
        <v>خراسان شماليشيروان</v>
      </c>
      <c r="B2037" s="12" t="s">
        <v>445</v>
      </c>
      <c r="C2037" s="12" t="s">
        <v>450</v>
      </c>
      <c r="D2037" s="12" t="s">
        <v>480</v>
      </c>
      <c r="E2037" s="12">
        <v>0.43242781012060721</v>
      </c>
      <c r="F2037" s="12">
        <v>146177</v>
      </c>
      <c r="G2037">
        <f t="shared" si="63"/>
        <v>63211</v>
      </c>
      <c r="H2037" s="16" t="s">
        <v>697</v>
      </c>
    </row>
    <row r="2038" spans="1:8">
      <c r="A2038" t="str">
        <f t="shared" si="62"/>
        <v>خراسان شماليشيروان</v>
      </c>
      <c r="B2038" s="12" t="s">
        <v>445</v>
      </c>
      <c r="C2038" s="12" t="s">
        <v>450</v>
      </c>
      <c r="D2038" s="12" t="s">
        <v>479</v>
      </c>
      <c r="E2038" s="12">
        <v>0.38241994294588066</v>
      </c>
      <c r="F2038" s="12">
        <v>146177</v>
      </c>
      <c r="G2038">
        <f t="shared" si="63"/>
        <v>55901</v>
      </c>
      <c r="H2038" s="16" t="s">
        <v>697</v>
      </c>
    </row>
    <row r="2039" spans="1:8">
      <c r="A2039" t="str">
        <f t="shared" si="62"/>
        <v>خراسان شماليشيروان</v>
      </c>
      <c r="B2039" s="12" t="s">
        <v>445</v>
      </c>
      <c r="C2039" s="12" t="s">
        <v>450</v>
      </c>
      <c r="D2039" s="12" t="s">
        <v>22</v>
      </c>
      <c r="E2039" s="12">
        <v>0.1096000054728172</v>
      </c>
      <c r="F2039" s="12">
        <v>146177</v>
      </c>
      <c r="G2039">
        <f t="shared" si="63"/>
        <v>16021</v>
      </c>
      <c r="H2039" s="16" t="s">
        <v>697</v>
      </c>
    </row>
    <row r="2040" spans="1:8">
      <c r="A2040" t="str">
        <f t="shared" si="62"/>
        <v>خراسان شماليشيروان</v>
      </c>
      <c r="B2040" s="12" t="s">
        <v>445</v>
      </c>
      <c r="C2040" s="12" t="s">
        <v>450</v>
      </c>
      <c r="D2040" s="12" t="s">
        <v>478</v>
      </c>
      <c r="E2040" s="12">
        <v>4.0054180890290537E-2</v>
      </c>
      <c r="F2040" s="12">
        <v>146177</v>
      </c>
      <c r="G2040">
        <f t="shared" si="63"/>
        <v>5855</v>
      </c>
      <c r="H2040" s="16" t="s">
        <v>697</v>
      </c>
    </row>
    <row r="2041" spans="1:8">
      <c r="A2041" t="str">
        <f t="shared" si="62"/>
        <v>خراسان شماليشيروان</v>
      </c>
      <c r="B2041" s="12" t="s">
        <v>445</v>
      </c>
      <c r="C2041" s="12" t="s">
        <v>450</v>
      </c>
      <c r="D2041" s="12" t="s">
        <v>20</v>
      </c>
      <c r="E2041" s="12">
        <v>3.5491219548903045E-2</v>
      </c>
      <c r="F2041" s="12">
        <v>146177</v>
      </c>
      <c r="G2041">
        <f t="shared" si="63"/>
        <v>5188</v>
      </c>
      <c r="H2041" s="16" t="s">
        <v>697</v>
      </c>
    </row>
    <row r="2042" spans="1:8">
      <c r="A2042" t="str">
        <f t="shared" si="62"/>
        <v>خراسان شماليفاروج</v>
      </c>
      <c r="B2042" s="12" t="s">
        <v>445</v>
      </c>
      <c r="C2042" s="12" t="s">
        <v>451</v>
      </c>
      <c r="D2042" s="12" t="s">
        <v>480</v>
      </c>
      <c r="E2042" s="12">
        <v>0.43018018018018017</v>
      </c>
      <c r="F2042" s="12">
        <v>49728</v>
      </c>
      <c r="G2042">
        <f t="shared" si="63"/>
        <v>21392</v>
      </c>
      <c r="H2042" s="16" t="s">
        <v>704</v>
      </c>
    </row>
    <row r="2043" spans="1:8">
      <c r="A2043" t="str">
        <f t="shared" si="62"/>
        <v>خراسان شماليفاروج</v>
      </c>
      <c r="B2043" s="12" t="s">
        <v>445</v>
      </c>
      <c r="C2043" s="12" t="s">
        <v>451</v>
      </c>
      <c r="D2043" s="12" t="s">
        <v>479</v>
      </c>
      <c r="E2043" s="12">
        <v>0.35770592020592018</v>
      </c>
      <c r="F2043" s="12">
        <v>49728</v>
      </c>
      <c r="G2043">
        <f t="shared" si="63"/>
        <v>17788</v>
      </c>
      <c r="H2043" s="16" t="s">
        <v>704</v>
      </c>
    </row>
    <row r="2044" spans="1:8">
      <c r="A2044" t="str">
        <f t="shared" si="62"/>
        <v>خراسان شماليفاروج</v>
      </c>
      <c r="B2044" s="12" t="s">
        <v>445</v>
      </c>
      <c r="C2044" s="12" t="s">
        <v>451</v>
      </c>
      <c r="D2044" s="12" t="s">
        <v>22</v>
      </c>
      <c r="E2044" s="12">
        <v>0.11385939510939511</v>
      </c>
      <c r="F2044" s="12">
        <v>49728</v>
      </c>
      <c r="G2044">
        <f t="shared" si="63"/>
        <v>5662</v>
      </c>
      <c r="H2044" s="16" t="s">
        <v>704</v>
      </c>
    </row>
    <row r="2045" spans="1:8">
      <c r="A2045" t="str">
        <f t="shared" si="62"/>
        <v>خراسان شماليفاروج</v>
      </c>
      <c r="B2045" s="12" t="s">
        <v>445</v>
      </c>
      <c r="C2045" s="12" t="s">
        <v>451</v>
      </c>
      <c r="D2045" s="12" t="s">
        <v>478</v>
      </c>
      <c r="E2045" s="12">
        <v>4.9107142857142856E-2</v>
      </c>
      <c r="F2045" s="12">
        <v>49728</v>
      </c>
      <c r="G2045">
        <f t="shared" si="63"/>
        <v>2442</v>
      </c>
      <c r="H2045" s="16" t="s">
        <v>704</v>
      </c>
    </row>
    <row r="2046" spans="1:8">
      <c r="A2046" t="str">
        <f t="shared" si="62"/>
        <v>خراسان شماليفاروج</v>
      </c>
      <c r="B2046" s="12" t="s">
        <v>445</v>
      </c>
      <c r="C2046" s="12" t="s">
        <v>451</v>
      </c>
      <c r="D2046" s="12" t="s">
        <v>20</v>
      </c>
      <c r="E2046" s="12">
        <v>4.9227799227799227E-2</v>
      </c>
      <c r="F2046" s="12">
        <v>49728</v>
      </c>
      <c r="G2046">
        <f t="shared" si="63"/>
        <v>2448</v>
      </c>
      <c r="H2046" s="16" t="s">
        <v>704</v>
      </c>
    </row>
    <row r="2047" spans="1:8">
      <c r="A2047" t="str">
        <f t="shared" si="62"/>
        <v>خراسان شماليمانه و سملقان</v>
      </c>
      <c r="B2047" s="12" t="s">
        <v>445</v>
      </c>
      <c r="C2047" s="12" t="s">
        <v>452</v>
      </c>
      <c r="D2047" s="12" t="s">
        <v>480</v>
      </c>
      <c r="E2047" s="12">
        <v>0.49827331988204254</v>
      </c>
      <c r="F2047" s="12">
        <v>103088</v>
      </c>
      <c r="G2047">
        <f t="shared" si="63"/>
        <v>51366</v>
      </c>
      <c r="H2047" s="16" t="s">
        <v>705</v>
      </c>
    </row>
    <row r="2048" spans="1:8">
      <c r="A2048" t="str">
        <f t="shared" si="62"/>
        <v>خراسان شماليمانه و سملقان</v>
      </c>
      <c r="B2048" s="12" t="s">
        <v>445</v>
      </c>
      <c r="C2048" s="12" t="s">
        <v>452</v>
      </c>
      <c r="D2048" s="12" t="s">
        <v>479</v>
      </c>
      <c r="E2048" s="12">
        <v>0.35855773707900046</v>
      </c>
      <c r="F2048" s="12">
        <v>103088</v>
      </c>
      <c r="G2048">
        <f t="shared" si="63"/>
        <v>36963</v>
      </c>
      <c r="H2048" s="16" t="s">
        <v>705</v>
      </c>
    </row>
    <row r="2049" spans="1:8">
      <c r="A2049" t="str">
        <f t="shared" si="62"/>
        <v>خراسان شماليمانه و سملقان</v>
      </c>
      <c r="B2049" s="12" t="s">
        <v>445</v>
      </c>
      <c r="C2049" s="12" t="s">
        <v>452</v>
      </c>
      <c r="D2049" s="12" t="s">
        <v>22</v>
      </c>
      <c r="E2049" s="12">
        <v>8.7953981064721409E-2</v>
      </c>
      <c r="F2049" s="12">
        <v>103088</v>
      </c>
      <c r="G2049">
        <f t="shared" si="63"/>
        <v>9067</v>
      </c>
      <c r="H2049" s="16" t="s">
        <v>705</v>
      </c>
    </row>
    <row r="2050" spans="1:8">
      <c r="A2050" t="str">
        <f t="shared" ref="A2050:A2113" si="64">B2050&amp;C2050</f>
        <v>خراسان شماليمانه و سملقان</v>
      </c>
      <c r="B2050" s="12" t="s">
        <v>445</v>
      </c>
      <c r="C2050" s="12" t="s">
        <v>452</v>
      </c>
      <c r="D2050" s="12" t="s">
        <v>478</v>
      </c>
      <c r="E2050" s="12">
        <v>2.9673676858606238E-2</v>
      </c>
      <c r="F2050" s="12">
        <v>103088</v>
      </c>
      <c r="G2050">
        <f t="shared" si="63"/>
        <v>3059</v>
      </c>
      <c r="H2050" s="16" t="s">
        <v>705</v>
      </c>
    </row>
    <row r="2051" spans="1:8">
      <c r="A2051" t="str">
        <f t="shared" si="64"/>
        <v>خراسان شماليمانه و سملقان</v>
      </c>
      <c r="B2051" s="12" t="s">
        <v>445</v>
      </c>
      <c r="C2051" s="12" t="s">
        <v>452</v>
      </c>
      <c r="D2051" s="12" t="s">
        <v>20</v>
      </c>
      <c r="E2051" s="12">
        <v>2.5541285115629364E-2</v>
      </c>
      <c r="F2051" s="12">
        <v>103088</v>
      </c>
      <c r="G2051">
        <f t="shared" ref="G2051:G2114" si="65">IFERROR(ROUND(F2051*E2051,0),0)</f>
        <v>2633</v>
      </c>
      <c r="H2051" s="16" t="s">
        <v>705</v>
      </c>
    </row>
    <row r="2052" spans="1:8">
      <c r="A2052" t="str">
        <f t="shared" si="64"/>
        <v>خراسان شماليگرمه</v>
      </c>
      <c r="B2052" s="12" t="s">
        <v>445</v>
      </c>
      <c r="C2052" s="12" t="s">
        <v>453</v>
      </c>
      <c r="D2052" s="12" t="s">
        <v>480</v>
      </c>
      <c r="E2052" s="12">
        <v>0.46453047535724701</v>
      </c>
      <c r="F2052" s="12">
        <v>27432</v>
      </c>
      <c r="G2052">
        <f t="shared" si="65"/>
        <v>12743</v>
      </c>
      <c r="H2052" s="16" t="s">
        <v>700</v>
      </c>
    </row>
    <row r="2053" spans="1:8">
      <c r="A2053" t="str">
        <f t="shared" si="64"/>
        <v>خراسان شماليگرمه</v>
      </c>
      <c r="B2053" s="12" t="s">
        <v>445</v>
      </c>
      <c r="C2053" s="12" t="s">
        <v>453</v>
      </c>
      <c r="D2053" s="12" t="s">
        <v>479</v>
      </c>
      <c r="E2053" s="12">
        <v>0.37270341207349084</v>
      </c>
      <c r="F2053" s="12">
        <v>27432</v>
      </c>
      <c r="G2053">
        <f t="shared" si="65"/>
        <v>10224</v>
      </c>
      <c r="H2053" s="16" t="s">
        <v>700</v>
      </c>
    </row>
    <row r="2054" spans="1:8">
      <c r="A2054" t="str">
        <f t="shared" si="64"/>
        <v>خراسان شماليگرمه</v>
      </c>
      <c r="B2054" s="12" t="s">
        <v>445</v>
      </c>
      <c r="C2054" s="12" t="s">
        <v>453</v>
      </c>
      <c r="D2054" s="12" t="s">
        <v>22</v>
      </c>
      <c r="E2054" s="12">
        <v>9.3431029454651496E-2</v>
      </c>
      <c r="F2054" s="12">
        <v>27432</v>
      </c>
      <c r="G2054">
        <f t="shared" si="65"/>
        <v>2563</v>
      </c>
      <c r="H2054" s="16" t="s">
        <v>700</v>
      </c>
    </row>
    <row r="2055" spans="1:8">
      <c r="A2055" t="str">
        <f t="shared" si="64"/>
        <v>خراسان شماليگرمه</v>
      </c>
      <c r="B2055" s="12" t="s">
        <v>445</v>
      </c>
      <c r="C2055" s="12" t="s">
        <v>453</v>
      </c>
      <c r="D2055" s="12" t="s">
        <v>478</v>
      </c>
      <c r="E2055" s="12">
        <v>3.5651793525809272E-2</v>
      </c>
      <c r="F2055" s="12">
        <v>27432</v>
      </c>
      <c r="G2055">
        <f t="shared" si="65"/>
        <v>978</v>
      </c>
      <c r="H2055" s="16" t="s">
        <v>700</v>
      </c>
    </row>
    <row r="2056" spans="1:8">
      <c r="A2056" t="str">
        <f t="shared" si="64"/>
        <v>خراسان شماليگرمه</v>
      </c>
      <c r="B2056" s="12" t="s">
        <v>445</v>
      </c>
      <c r="C2056" s="12" t="s">
        <v>453</v>
      </c>
      <c r="D2056" s="12" t="s">
        <v>20</v>
      </c>
      <c r="E2056" s="12">
        <v>3.3537474482356375E-2</v>
      </c>
      <c r="F2056" s="12">
        <v>27432</v>
      </c>
      <c r="G2056">
        <f t="shared" si="65"/>
        <v>920</v>
      </c>
      <c r="H2056" s="16" t="s">
        <v>700</v>
      </c>
    </row>
    <row r="2057" spans="1:8">
      <c r="A2057" t="str">
        <f t="shared" si="64"/>
        <v>خراسان شماليراز و جرگلان</v>
      </c>
      <c r="B2057" s="12" t="s">
        <v>445</v>
      </c>
      <c r="C2057" s="12" t="s">
        <v>455</v>
      </c>
      <c r="D2057" s="12" t="s">
        <v>480</v>
      </c>
      <c r="E2057" s="12">
        <v>0.54462081128747797</v>
      </c>
      <c r="F2057" s="12">
        <v>59535</v>
      </c>
      <c r="G2057">
        <f t="shared" si="65"/>
        <v>32424</v>
      </c>
      <c r="H2057" s="16" t="s">
        <v>699</v>
      </c>
    </row>
    <row r="2058" spans="1:8">
      <c r="A2058" t="str">
        <f t="shared" si="64"/>
        <v>خراسان شماليراز و جرگلان</v>
      </c>
      <c r="B2058" s="12" t="s">
        <v>445</v>
      </c>
      <c r="C2058" s="12" t="s">
        <v>455</v>
      </c>
      <c r="D2058" s="12" t="s">
        <v>479</v>
      </c>
      <c r="E2058" s="12">
        <v>0.33148568069202988</v>
      </c>
      <c r="F2058" s="12">
        <v>59535</v>
      </c>
      <c r="G2058">
        <f t="shared" si="65"/>
        <v>19735</v>
      </c>
      <c r="H2058" s="16" t="s">
        <v>699</v>
      </c>
    </row>
    <row r="2059" spans="1:8">
      <c r="A2059" t="str">
        <f t="shared" si="64"/>
        <v>خراسان شماليراز و جرگلان</v>
      </c>
      <c r="B2059" s="12" t="s">
        <v>445</v>
      </c>
      <c r="C2059" s="12" t="s">
        <v>455</v>
      </c>
      <c r="D2059" s="12" t="s">
        <v>22</v>
      </c>
      <c r="E2059" s="12">
        <v>7.8474846728814981E-2</v>
      </c>
      <c r="F2059" s="12">
        <v>59535</v>
      </c>
      <c r="G2059">
        <f t="shared" si="65"/>
        <v>4672</v>
      </c>
      <c r="H2059" s="16" t="s">
        <v>699</v>
      </c>
    </row>
    <row r="2060" spans="1:8">
      <c r="A2060" t="str">
        <f t="shared" si="64"/>
        <v>خراسان شماليراز و جرگلان</v>
      </c>
      <c r="B2060" s="12" t="s">
        <v>445</v>
      </c>
      <c r="C2060" s="12" t="s">
        <v>455</v>
      </c>
      <c r="D2060" s="12" t="s">
        <v>478</v>
      </c>
      <c r="E2060" s="12">
        <v>2.5396825396825397E-2</v>
      </c>
      <c r="F2060" s="12">
        <v>59535</v>
      </c>
      <c r="G2060">
        <f t="shared" si="65"/>
        <v>1512</v>
      </c>
      <c r="H2060" s="16" t="s">
        <v>699</v>
      </c>
    </row>
    <row r="2061" spans="1:8">
      <c r="A2061" t="str">
        <f t="shared" si="64"/>
        <v>خراسان شماليراز و جرگلان</v>
      </c>
      <c r="B2061" s="12" t="s">
        <v>445</v>
      </c>
      <c r="C2061" s="12" t="s">
        <v>455</v>
      </c>
      <c r="D2061" s="12" t="s">
        <v>20</v>
      </c>
      <c r="E2061" s="12">
        <v>1.9904257999496095E-2</v>
      </c>
      <c r="F2061" s="12">
        <v>59535</v>
      </c>
      <c r="G2061">
        <f t="shared" si="65"/>
        <v>1185</v>
      </c>
      <c r="H2061" s="16" t="s">
        <v>699</v>
      </c>
    </row>
    <row r="2062" spans="1:8">
      <c r="A2062" t="str">
        <f t="shared" si="64"/>
        <v>خراسان جنوبيبيرجند</v>
      </c>
      <c r="B2062" s="12" t="s">
        <v>454</v>
      </c>
      <c r="C2062" s="12" t="s">
        <v>456</v>
      </c>
      <c r="D2062" s="12" t="s">
        <v>480</v>
      </c>
      <c r="E2062" s="12">
        <v>0.47784579288147572</v>
      </c>
      <c r="F2062" s="12">
        <v>265954</v>
      </c>
      <c r="G2062">
        <f t="shared" si="65"/>
        <v>127085</v>
      </c>
      <c r="H2062" s="16" t="s">
        <v>656</v>
      </c>
    </row>
    <row r="2063" spans="1:8">
      <c r="A2063" t="str">
        <f t="shared" si="64"/>
        <v>خراسان جنوبيبيرجند</v>
      </c>
      <c r="B2063" s="12" t="s">
        <v>454</v>
      </c>
      <c r="C2063" s="12" t="s">
        <v>456</v>
      </c>
      <c r="D2063" s="12" t="s">
        <v>479</v>
      </c>
      <c r="E2063" s="12">
        <v>0.36925558555238874</v>
      </c>
      <c r="F2063" s="12">
        <v>265954</v>
      </c>
      <c r="G2063">
        <f t="shared" si="65"/>
        <v>98205</v>
      </c>
      <c r="H2063" s="16" t="s">
        <v>656</v>
      </c>
    </row>
    <row r="2064" spans="1:8">
      <c r="A2064" t="str">
        <f t="shared" si="64"/>
        <v>خراسان جنوبيبيرجند</v>
      </c>
      <c r="B2064" s="12" t="s">
        <v>454</v>
      </c>
      <c r="C2064" s="12" t="s">
        <v>456</v>
      </c>
      <c r="D2064" s="12" t="s">
        <v>22</v>
      </c>
      <c r="E2064" s="12">
        <v>8.8639388766478408E-2</v>
      </c>
      <c r="F2064" s="12">
        <v>265954</v>
      </c>
      <c r="G2064">
        <f t="shared" si="65"/>
        <v>23574</v>
      </c>
      <c r="H2064" s="16" t="s">
        <v>656</v>
      </c>
    </row>
    <row r="2065" spans="1:8">
      <c r="A2065" t="str">
        <f t="shared" si="64"/>
        <v>خراسان جنوبيبيرجند</v>
      </c>
      <c r="B2065" s="12" t="s">
        <v>454</v>
      </c>
      <c r="C2065" s="12" t="s">
        <v>456</v>
      </c>
      <c r="D2065" s="12" t="s">
        <v>478</v>
      </c>
      <c r="E2065" s="12">
        <v>3.2719944050474896E-2</v>
      </c>
      <c r="F2065" s="12">
        <v>265954</v>
      </c>
      <c r="G2065">
        <f t="shared" si="65"/>
        <v>8702</v>
      </c>
      <c r="H2065" s="16" t="s">
        <v>656</v>
      </c>
    </row>
    <row r="2066" spans="1:8">
      <c r="A2066" t="str">
        <f t="shared" si="64"/>
        <v>خراسان جنوبيبيرجند</v>
      </c>
      <c r="B2066" s="12" t="s">
        <v>454</v>
      </c>
      <c r="C2066" s="12" t="s">
        <v>456</v>
      </c>
      <c r="D2066" s="12" t="s">
        <v>20</v>
      </c>
      <c r="E2066" s="12">
        <v>3.1524248554261267E-2</v>
      </c>
      <c r="F2066" s="12">
        <v>265954</v>
      </c>
      <c r="G2066">
        <f t="shared" si="65"/>
        <v>8384</v>
      </c>
      <c r="H2066" s="16" t="s">
        <v>656</v>
      </c>
    </row>
    <row r="2067" spans="1:8">
      <c r="A2067" t="str">
        <f t="shared" si="64"/>
        <v>خراسان جنوبيدرميان</v>
      </c>
      <c r="B2067" s="12" t="s">
        <v>454</v>
      </c>
      <c r="C2067" s="12" t="s">
        <v>457</v>
      </c>
      <c r="D2067" s="12" t="s">
        <v>480</v>
      </c>
      <c r="E2067" s="12">
        <v>0.51182767769346371</v>
      </c>
      <c r="F2067" s="12">
        <v>53899</v>
      </c>
      <c r="G2067">
        <f t="shared" si="65"/>
        <v>27587</v>
      </c>
      <c r="H2067" s="16" t="s">
        <v>664</v>
      </c>
    </row>
    <row r="2068" spans="1:8">
      <c r="A2068" t="str">
        <f t="shared" si="64"/>
        <v>خراسان جنوبيدرميان</v>
      </c>
      <c r="B2068" s="12" t="s">
        <v>454</v>
      </c>
      <c r="C2068" s="12" t="s">
        <v>457</v>
      </c>
      <c r="D2068" s="12" t="s">
        <v>479</v>
      </c>
      <c r="E2068" s="12">
        <v>0.32288168611662554</v>
      </c>
      <c r="F2068" s="12">
        <v>53899</v>
      </c>
      <c r="G2068">
        <f t="shared" si="65"/>
        <v>17403</v>
      </c>
      <c r="H2068" s="16" t="s">
        <v>664</v>
      </c>
    </row>
    <row r="2069" spans="1:8">
      <c r="A2069" t="str">
        <f t="shared" si="64"/>
        <v>خراسان جنوبيدرميان</v>
      </c>
      <c r="B2069" s="12" t="s">
        <v>454</v>
      </c>
      <c r="C2069" s="12" t="s">
        <v>457</v>
      </c>
      <c r="D2069" s="12" t="s">
        <v>22</v>
      </c>
      <c r="E2069" s="12">
        <v>8.8814263715467814E-2</v>
      </c>
      <c r="F2069" s="12">
        <v>53899</v>
      </c>
      <c r="G2069">
        <f t="shared" si="65"/>
        <v>4787</v>
      </c>
      <c r="H2069" s="16" t="s">
        <v>664</v>
      </c>
    </row>
    <row r="2070" spans="1:8">
      <c r="A2070" t="str">
        <f t="shared" si="64"/>
        <v>خراسان جنوبيدرميان</v>
      </c>
      <c r="B2070" s="12" t="s">
        <v>454</v>
      </c>
      <c r="C2070" s="12" t="s">
        <v>457</v>
      </c>
      <c r="D2070" s="12" t="s">
        <v>478</v>
      </c>
      <c r="E2070" s="12">
        <v>3.6791035084138855E-2</v>
      </c>
      <c r="F2070" s="12">
        <v>53899</v>
      </c>
      <c r="G2070">
        <f t="shared" si="65"/>
        <v>1983</v>
      </c>
      <c r="H2070" s="16" t="s">
        <v>664</v>
      </c>
    </row>
    <row r="2071" spans="1:8">
      <c r="A2071" t="str">
        <f t="shared" si="64"/>
        <v>خراسان جنوبيدرميان</v>
      </c>
      <c r="B2071" s="12" t="s">
        <v>454</v>
      </c>
      <c r="C2071" s="12" t="s">
        <v>457</v>
      </c>
      <c r="D2071" s="12" t="s">
        <v>20</v>
      </c>
      <c r="E2071" s="12">
        <v>3.9592571290747509E-2</v>
      </c>
      <c r="F2071" s="12">
        <v>53899</v>
      </c>
      <c r="G2071">
        <f t="shared" si="65"/>
        <v>2134</v>
      </c>
      <c r="H2071" s="16" t="s">
        <v>664</v>
      </c>
    </row>
    <row r="2072" spans="1:8">
      <c r="A2072" t="str">
        <f t="shared" si="64"/>
        <v>خراسان جنوبيسربيشه</v>
      </c>
      <c r="B2072" s="12" t="s">
        <v>454</v>
      </c>
      <c r="C2072" s="12" t="s">
        <v>458</v>
      </c>
      <c r="D2072" s="12" t="s">
        <v>480</v>
      </c>
      <c r="E2072" s="12">
        <v>0.49278390592351429</v>
      </c>
      <c r="F2072" s="12">
        <v>41158</v>
      </c>
      <c r="G2072">
        <f t="shared" si="65"/>
        <v>20282</v>
      </c>
      <c r="H2072" s="16" t="s">
        <v>659</v>
      </c>
    </row>
    <row r="2073" spans="1:8">
      <c r="A2073" t="str">
        <f t="shared" si="64"/>
        <v>خراسان جنوبيسربيشه</v>
      </c>
      <c r="B2073" s="12" t="s">
        <v>454</v>
      </c>
      <c r="C2073" s="12" t="s">
        <v>458</v>
      </c>
      <c r="D2073" s="12" t="s">
        <v>479</v>
      </c>
      <c r="E2073" s="12">
        <v>0.32797997959084502</v>
      </c>
      <c r="F2073" s="12">
        <v>41158</v>
      </c>
      <c r="G2073">
        <f t="shared" si="65"/>
        <v>13499</v>
      </c>
      <c r="H2073" s="16" t="s">
        <v>659</v>
      </c>
    </row>
    <row r="2074" spans="1:8">
      <c r="A2074" t="str">
        <f t="shared" si="64"/>
        <v>خراسان جنوبيسربيشه</v>
      </c>
      <c r="B2074" s="12" t="s">
        <v>454</v>
      </c>
      <c r="C2074" s="12" t="s">
        <v>458</v>
      </c>
      <c r="D2074" s="12" t="s">
        <v>22</v>
      </c>
      <c r="E2074" s="12">
        <v>9.4003595898731723E-2</v>
      </c>
      <c r="F2074" s="12">
        <v>41158</v>
      </c>
      <c r="G2074">
        <f t="shared" si="65"/>
        <v>3869</v>
      </c>
      <c r="H2074" s="16" t="s">
        <v>659</v>
      </c>
    </row>
    <row r="2075" spans="1:8">
      <c r="A2075" t="str">
        <f t="shared" si="64"/>
        <v>خراسان جنوبيسربيشه</v>
      </c>
      <c r="B2075" s="12" t="s">
        <v>454</v>
      </c>
      <c r="C2075" s="12" t="s">
        <v>458</v>
      </c>
      <c r="D2075" s="12" t="s">
        <v>478</v>
      </c>
      <c r="E2075" s="12">
        <v>3.9627775888041207E-2</v>
      </c>
      <c r="F2075" s="12">
        <v>41158</v>
      </c>
      <c r="G2075">
        <f t="shared" si="65"/>
        <v>1631</v>
      </c>
      <c r="H2075" s="16" t="s">
        <v>659</v>
      </c>
    </row>
    <row r="2076" spans="1:8">
      <c r="A2076" t="str">
        <f t="shared" si="64"/>
        <v>خراسان جنوبيسربيشه</v>
      </c>
      <c r="B2076" s="12" t="s">
        <v>454</v>
      </c>
      <c r="C2076" s="12" t="s">
        <v>458</v>
      </c>
      <c r="D2076" s="12" t="s">
        <v>20</v>
      </c>
      <c r="E2076" s="12">
        <v>4.5750522377180622E-2</v>
      </c>
      <c r="F2076" s="12">
        <v>41158</v>
      </c>
      <c r="G2076">
        <f t="shared" si="65"/>
        <v>1883</v>
      </c>
      <c r="H2076" s="16" t="s">
        <v>659</v>
      </c>
    </row>
    <row r="2077" spans="1:8">
      <c r="A2077" t="str">
        <f t="shared" si="64"/>
        <v>خراسان جنوبيقائنات</v>
      </c>
      <c r="B2077" s="12" t="s">
        <v>454</v>
      </c>
      <c r="C2077" s="12" t="s">
        <v>459</v>
      </c>
      <c r="D2077" s="12" t="s">
        <v>480</v>
      </c>
      <c r="E2077" s="12">
        <v>0.47296700309239814</v>
      </c>
      <c r="F2077" s="12">
        <v>117708</v>
      </c>
      <c r="G2077">
        <f t="shared" si="65"/>
        <v>55672</v>
      </c>
      <c r="H2077" s="16" t="s">
        <v>658</v>
      </c>
    </row>
    <row r="2078" spans="1:8">
      <c r="A2078" t="str">
        <f t="shared" si="64"/>
        <v>خراسان جنوبيقائنات</v>
      </c>
      <c r="B2078" s="12" t="s">
        <v>454</v>
      </c>
      <c r="C2078" s="12" t="s">
        <v>459</v>
      </c>
      <c r="D2078" s="12" t="s">
        <v>479</v>
      </c>
      <c r="E2078" s="12">
        <v>0.35161586298297481</v>
      </c>
      <c r="F2078" s="12">
        <v>117708</v>
      </c>
      <c r="G2078">
        <f t="shared" si="65"/>
        <v>41388</v>
      </c>
      <c r="H2078" s="16" t="s">
        <v>658</v>
      </c>
    </row>
    <row r="2079" spans="1:8">
      <c r="A2079" t="str">
        <f t="shared" si="64"/>
        <v>خراسان جنوبيقائنات</v>
      </c>
      <c r="B2079" s="12" t="s">
        <v>454</v>
      </c>
      <c r="C2079" s="12" t="s">
        <v>459</v>
      </c>
      <c r="D2079" s="12" t="s">
        <v>22</v>
      </c>
      <c r="E2079" s="12">
        <v>9.1888401807863521E-2</v>
      </c>
      <c r="F2079" s="12">
        <v>117708</v>
      </c>
      <c r="G2079">
        <f t="shared" si="65"/>
        <v>10816</v>
      </c>
      <c r="H2079" s="16" t="s">
        <v>658</v>
      </c>
    </row>
    <row r="2080" spans="1:8">
      <c r="A2080" t="str">
        <f t="shared" si="64"/>
        <v>خراسان جنوبيقائنات</v>
      </c>
      <c r="B2080" s="12" t="s">
        <v>454</v>
      </c>
      <c r="C2080" s="12" t="s">
        <v>459</v>
      </c>
      <c r="D2080" s="12" t="s">
        <v>478</v>
      </c>
      <c r="E2080" s="12">
        <v>3.9436571855778708E-2</v>
      </c>
      <c r="F2080" s="12">
        <v>117708</v>
      </c>
      <c r="G2080">
        <f t="shared" si="65"/>
        <v>4642</v>
      </c>
      <c r="H2080" s="16" t="s">
        <v>658</v>
      </c>
    </row>
    <row r="2081" spans="1:8">
      <c r="A2081" t="str">
        <f t="shared" si="64"/>
        <v>خراسان جنوبيقائنات</v>
      </c>
      <c r="B2081" s="12" t="s">
        <v>454</v>
      </c>
      <c r="C2081" s="12" t="s">
        <v>459</v>
      </c>
      <c r="D2081" s="12" t="s">
        <v>20</v>
      </c>
      <c r="E2081" s="12">
        <v>4.4066673463146092E-2</v>
      </c>
      <c r="F2081" s="12">
        <v>117708</v>
      </c>
      <c r="G2081">
        <f t="shared" si="65"/>
        <v>5187</v>
      </c>
      <c r="H2081" s="16" t="s">
        <v>658</v>
      </c>
    </row>
    <row r="2082" spans="1:8">
      <c r="A2082" t="str">
        <f t="shared" si="64"/>
        <v>خراسان جنوبينهبندان</v>
      </c>
      <c r="B2082" s="12" t="s">
        <v>454</v>
      </c>
      <c r="C2082" s="12" t="s">
        <v>460</v>
      </c>
      <c r="D2082" s="12" t="s">
        <v>480</v>
      </c>
      <c r="E2082" s="12">
        <v>0.51112198942627762</v>
      </c>
      <c r="F2082" s="12">
        <v>51070</v>
      </c>
      <c r="G2082">
        <f t="shared" si="65"/>
        <v>26103</v>
      </c>
      <c r="H2082" s="16" t="s">
        <v>654</v>
      </c>
    </row>
    <row r="2083" spans="1:8">
      <c r="A2083" t="str">
        <f t="shared" si="64"/>
        <v>خراسان جنوبينهبندان</v>
      </c>
      <c r="B2083" s="12" t="s">
        <v>454</v>
      </c>
      <c r="C2083" s="12" t="s">
        <v>460</v>
      </c>
      <c r="D2083" s="12" t="s">
        <v>479</v>
      </c>
      <c r="E2083" s="12">
        <v>0.33931858233796752</v>
      </c>
      <c r="F2083" s="12">
        <v>51070</v>
      </c>
      <c r="G2083">
        <f t="shared" si="65"/>
        <v>17329</v>
      </c>
      <c r="H2083" s="16" t="s">
        <v>654</v>
      </c>
    </row>
    <row r="2084" spans="1:8">
      <c r="A2084" t="str">
        <f t="shared" si="64"/>
        <v>خراسان جنوبينهبندان</v>
      </c>
      <c r="B2084" s="12" t="s">
        <v>454</v>
      </c>
      <c r="C2084" s="12" t="s">
        <v>460</v>
      </c>
      <c r="D2084" s="12" t="s">
        <v>22</v>
      </c>
      <c r="E2084" s="12">
        <v>8.2122576855296656E-2</v>
      </c>
      <c r="F2084" s="12">
        <v>51070</v>
      </c>
      <c r="G2084">
        <f t="shared" si="65"/>
        <v>4194</v>
      </c>
      <c r="H2084" s="16" t="s">
        <v>654</v>
      </c>
    </row>
    <row r="2085" spans="1:8">
      <c r="A2085" t="str">
        <f t="shared" si="64"/>
        <v>خراسان جنوبينهبندان</v>
      </c>
      <c r="B2085" s="12" t="s">
        <v>454</v>
      </c>
      <c r="C2085" s="12" t="s">
        <v>460</v>
      </c>
      <c r="D2085" s="12" t="s">
        <v>478</v>
      </c>
      <c r="E2085" s="12">
        <v>3.2484824750342665E-2</v>
      </c>
      <c r="F2085" s="12">
        <v>51070</v>
      </c>
      <c r="G2085">
        <f t="shared" si="65"/>
        <v>1659</v>
      </c>
      <c r="H2085" s="16" t="s">
        <v>654</v>
      </c>
    </row>
    <row r="2086" spans="1:8">
      <c r="A2086" t="str">
        <f t="shared" si="64"/>
        <v>خراسان جنوبينهبندان</v>
      </c>
      <c r="B2086" s="12" t="s">
        <v>454</v>
      </c>
      <c r="C2086" s="12" t="s">
        <v>460</v>
      </c>
      <c r="D2086" s="12" t="s">
        <v>20</v>
      </c>
      <c r="E2086" s="12">
        <v>3.4834540826316818E-2</v>
      </c>
      <c r="F2086" s="12">
        <v>51070</v>
      </c>
      <c r="G2086">
        <f t="shared" si="65"/>
        <v>1779</v>
      </c>
      <c r="H2086" s="16" t="s">
        <v>654</v>
      </c>
    </row>
    <row r="2087" spans="1:8">
      <c r="A2087" t="str">
        <f t="shared" si="64"/>
        <v>خراسان جنوبيسرايان</v>
      </c>
      <c r="B2087" s="12" t="s">
        <v>454</v>
      </c>
      <c r="C2087" s="12" t="s">
        <v>461</v>
      </c>
      <c r="D2087" s="12" t="s">
        <v>480</v>
      </c>
      <c r="E2087" s="12">
        <v>0.44284246161286422</v>
      </c>
      <c r="F2087" s="12">
        <v>33084</v>
      </c>
      <c r="G2087">
        <f t="shared" si="65"/>
        <v>14651</v>
      </c>
      <c r="H2087" s="16" t="s">
        <v>661</v>
      </c>
    </row>
    <row r="2088" spans="1:8">
      <c r="A2088" t="str">
        <f t="shared" si="64"/>
        <v>خراسان جنوبيسرايان</v>
      </c>
      <c r="B2088" s="12" t="s">
        <v>454</v>
      </c>
      <c r="C2088" s="12" t="s">
        <v>461</v>
      </c>
      <c r="D2088" s="12" t="s">
        <v>479</v>
      </c>
      <c r="E2088" s="12">
        <v>0.35842098899770281</v>
      </c>
      <c r="F2088" s="12">
        <v>33084</v>
      </c>
      <c r="G2088">
        <f t="shared" si="65"/>
        <v>11858</v>
      </c>
      <c r="H2088" s="16" t="s">
        <v>661</v>
      </c>
    </row>
    <row r="2089" spans="1:8">
      <c r="A2089" t="str">
        <f t="shared" si="64"/>
        <v>خراسان جنوبيسرايان</v>
      </c>
      <c r="B2089" s="12" t="s">
        <v>454</v>
      </c>
      <c r="C2089" s="12" t="s">
        <v>461</v>
      </c>
      <c r="D2089" s="12" t="s">
        <v>22</v>
      </c>
      <c r="E2089" s="12">
        <v>0.1034941361383146</v>
      </c>
      <c r="F2089" s="12">
        <v>33084</v>
      </c>
      <c r="G2089">
        <f t="shared" si="65"/>
        <v>3424</v>
      </c>
      <c r="H2089" s="16" t="s">
        <v>661</v>
      </c>
    </row>
    <row r="2090" spans="1:8">
      <c r="A2090" t="str">
        <f t="shared" si="64"/>
        <v>خراسان جنوبيسرايان</v>
      </c>
      <c r="B2090" s="12" t="s">
        <v>454</v>
      </c>
      <c r="C2090" s="12" t="s">
        <v>461</v>
      </c>
      <c r="D2090" s="12" t="s">
        <v>478</v>
      </c>
      <c r="E2090" s="12">
        <v>4.3586023455446744E-2</v>
      </c>
      <c r="F2090" s="12">
        <v>33084</v>
      </c>
      <c r="G2090">
        <f t="shared" si="65"/>
        <v>1442</v>
      </c>
      <c r="H2090" s="16" t="s">
        <v>661</v>
      </c>
    </row>
    <row r="2091" spans="1:8">
      <c r="A2091" t="str">
        <f t="shared" si="64"/>
        <v>خراسان جنوبيسرايان</v>
      </c>
      <c r="B2091" s="12" t="s">
        <v>454</v>
      </c>
      <c r="C2091" s="12" t="s">
        <v>461</v>
      </c>
      <c r="D2091" s="12" t="s">
        <v>20</v>
      </c>
      <c r="E2091" s="12">
        <v>5.1716841977995406E-2</v>
      </c>
      <c r="F2091" s="12">
        <v>33084</v>
      </c>
      <c r="G2091">
        <f t="shared" si="65"/>
        <v>1711</v>
      </c>
      <c r="H2091" s="16" t="s">
        <v>661</v>
      </c>
    </row>
    <row r="2092" spans="1:8">
      <c r="A2092" t="str">
        <f t="shared" si="64"/>
        <v>خراسان جنوبيفردوس</v>
      </c>
      <c r="B2092" s="12" t="s">
        <v>454</v>
      </c>
      <c r="C2092" s="12" t="s">
        <v>462</v>
      </c>
      <c r="D2092" s="12" t="s">
        <v>480</v>
      </c>
      <c r="E2092" s="12">
        <v>0.43150164048410578</v>
      </c>
      <c r="F2092" s="12">
        <v>46023</v>
      </c>
      <c r="G2092">
        <f t="shared" si="65"/>
        <v>19859</v>
      </c>
      <c r="H2092" s="16" t="s">
        <v>657</v>
      </c>
    </row>
    <row r="2093" spans="1:8">
      <c r="A2093" t="str">
        <f t="shared" si="64"/>
        <v>خراسان جنوبيفردوس</v>
      </c>
      <c r="B2093" s="12" t="s">
        <v>454</v>
      </c>
      <c r="C2093" s="12" t="s">
        <v>462</v>
      </c>
      <c r="D2093" s="12" t="s">
        <v>479</v>
      </c>
      <c r="E2093" s="12">
        <v>0.36662103730743323</v>
      </c>
      <c r="F2093" s="12">
        <v>46023</v>
      </c>
      <c r="G2093">
        <f t="shared" si="65"/>
        <v>16873</v>
      </c>
      <c r="H2093" s="16" t="s">
        <v>657</v>
      </c>
    </row>
    <row r="2094" spans="1:8">
      <c r="A2094" t="str">
        <f t="shared" si="64"/>
        <v>خراسان جنوبيفردوس</v>
      </c>
      <c r="B2094" s="12" t="s">
        <v>454</v>
      </c>
      <c r="C2094" s="12" t="s">
        <v>462</v>
      </c>
      <c r="D2094" s="12" t="s">
        <v>22</v>
      </c>
      <c r="E2094" s="12">
        <v>0.10831540751363448</v>
      </c>
      <c r="F2094" s="12">
        <v>46023</v>
      </c>
      <c r="G2094">
        <f t="shared" si="65"/>
        <v>4985</v>
      </c>
      <c r="H2094" s="16" t="s">
        <v>657</v>
      </c>
    </row>
    <row r="2095" spans="1:8">
      <c r="A2095" t="str">
        <f t="shared" si="64"/>
        <v>خراسان جنوبيفردوس</v>
      </c>
      <c r="B2095" s="12" t="s">
        <v>454</v>
      </c>
      <c r="C2095" s="12" t="s">
        <v>462</v>
      </c>
      <c r="D2095" s="12" t="s">
        <v>478</v>
      </c>
      <c r="E2095" s="12">
        <v>4.3782456597788059E-2</v>
      </c>
      <c r="F2095" s="12">
        <v>46023</v>
      </c>
      <c r="G2095">
        <f t="shared" si="65"/>
        <v>2015</v>
      </c>
      <c r="H2095" s="16" t="s">
        <v>657</v>
      </c>
    </row>
    <row r="2096" spans="1:8">
      <c r="A2096" t="str">
        <f t="shared" si="64"/>
        <v>خراسان جنوبيفردوس</v>
      </c>
      <c r="B2096" s="12" t="s">
        <v>454</v>
      </c>
      <c r="C2096" s="12" t="s">
        <v>462</v>
      </c>
      <c r="D2096" s="12" t="s">
        <v>20</v>
      </c>
      <c r="E2096" s="12">
        <v>4.9714273298133542E-2</v>
      </c>
      <c r="F2096" s="12">
        <v>46023</v>
      </c>
      <c r="G2096">
        <f t="shared" si="65"/>
        <v>2288</v>
      </c>
      <c r="H2096" s="16" t="s">
        <v>657</v>
      </c>
    </row>
    <row r="2097" spans="1:8">
      <c r="A2097" t="str">
        <f t="shared" si="64"/>
        <v>خراسان جنوبيبشرويه</v>
      </c>
      <c r="B2097" s="12" t="s">
        <v>454</v>
      </c>
      <c r="C2097" s="12" t="s">
        <v>463</v>
      </c>
      <c r="D2097" s="12" t="s">
        <v>480</v>
      </c>
      <c r="E2097" s="12">
        <v>0.43780076541245122</v>
      </c>
      <c r="F2097" s="12">
        <v>26391</v>
      </c>
      <c r="G2097">
        <f t="shared" si="65"/>
        <v>11554</v>
      </c>
      <c r="H2097" s="16" t="s">
        <v>660</v>
      </c>
    </row>
    <row r="2098" spans="1:8">
      <c r="A2098" t="str">
        <f t="shared" si="64"/>
        <v>خراسان جنوبيبشرويه</v>
      </c>
      <c r="B2098" s="12" t="s">
        <v>454</v>
      </c>
      <c r="C2098" s="12" t="s">
        <v>463</v>
      </c>
      <c r="D2098" s="12" t="s">
        <v>479</v>
      </c>
      <c r="E2098" s="12">
        <v>0.37001250426281684</v>
      </c>
      <c r="F2098" s="12">
        <v>26391</v>
      </c>
      <c r="G2098">
        <f t="shared" si="65"/>
        <v>9765</v>
      </c>
      <c r="H2098" s="16" t="s">
        <v>660</v>
      </c>
    </row>
    <row r="2099" spans="1:8">
      <c r="A2099" t="str">
        <f t="shared" si="64"/>
        <v>خراسان جنوبيبشرويه</v>
      </c>
      <c r="B2099" s="12" t="s">
        <v>454</v>
      </c>
      <c r="C2099" s="12" t="s">
        <v>463</v>
      </c>
      <c r="D2099" s="12" t="s">
        <v>22</v>
      </c>
      <c r="E2099" s="12">
        <v>0.10158766246068736</v>
      </c>
      <c r="F2099" s="12">
        <v>26391</v>
      </c>
      <c r="G2099">
        <f t="shared" si="65"/>
        <v>2681</v>
      </c>
      <c r="H2099" s="16" t="s">
        <v>660</v>
      </c>
    </row>
    <row r="2100" spans="1:8">
      <c r="A2100" t="str">
        <f t="shared" si="64"/>
        <v>خراسان جنوبيبشرويه</v>
      </c>
      <c r="B2100" s="12" t="s">
        <v>454</v>
      </c>
      <c r="C2100" s="12" t="s">
        <v>463</v>
      </c>
      <c r="D2100" s="12" t="s">
        <v>478</v>
      </c>
      <c r="E2100" s="12">
        <v>4.2893410632412567E-2</v>
      </c>
      <c r="F2100" s="12">
        <v>26391</v>
      </c>
      <c r="G2100">
        <f t="shared" si="65"/>
        <v>1132</v>
      </c>
      <c r="H2100" s="16" t="s">
        <v>660</v>
      </c>
    </row>
    <row r="2101" spans="1:8">
      <c r="A2101" t="str">
        <f t="shared" si="64"/>
        <v>خراسان جنوبيبشرويه</v>
      </c>
      <c r="B2101" s="12" t="s">
        <v>454</v>
      </c>
      <c r="C2101" s="12" t="s">
        <v>463</v>
      </c>
      <c r="D2101" s="12" t="s">
        <v>20</v>
      </c>
      <c r="E2101" s="12">
        <v>4.755409040960934E-2</v>
      </c>
      <c r="F2101" s="12">
        <v>26391</v>
      </c>
      <c r="G2101">
        <f t="shared" si="65"/>
        <v>1255</v>
      </c>
      <c r="H2101" s="16" t="s">
        <v>660</v>
      </c>
    </row>
    <row r="2102" spans="1:8">
      <c r="A2102" t="str">
        <f t="shared" si="64"/>
        <v>خراسان جنوبيزيرکوه</v>
      </c>
      <c r="B2102" s="12" t="s">
        <v>454</v>
      </c>
      <c r="C2102" s="12" t="s">
        <v>464</v>
      </c>
      <c r="D2102" s="12" t="s">
        <v>480</v>
      </c>
      <c r="E2102" s="12">
        <v>0.50632660641327221</v>
      </c>
      <c r="F2102" s="12">
        <v>40385</v>
      </c>
      <c r="G2102">
        <f t="shared" si="65"/>
        <v>20448</v>
      </c>
      <c r="H2102" s="16" t="s">
        <v>651</v>
      </c>
    </row>
    <row r="2103" spans="1:8">
      <c r="A2103" t="str">
        <f t="shared" si="64"/>
        <v>خراسان جنوبيزيرکوه</v>
      </c>
      <c r="B2103" s="12" t="s">
        <v>454</v>
      </c>
      <c r="C2103" s="12" t="s">
        <v>464</v>
      </c>
      <c r="D2103" s="12" t="s">
        <v>479</v>
      </c>
      <c r="E2103" s="12">
        <v>0.32950352853782344</v>
      </c>
      <c r="F2103" s="12">
        <v>40385</v>
      </c>
      <c r="G2103">
        <f t="shared" si="65"/>
        <v>13307</v>
      </c>
      <c r="H2103" s="16" t="s">
        <v>651</v>
      </c>
    </row>
    <row r="2104" spans="1:8">
      <c r="A2104" t="str">
        <f t="shared" si="64"/>
        <v>خراسان جنوبيزيرکوه</v>
      </c>
      <c r="B2104" s="12" t="s">
        <v>454</v>
      </c>
      <c r="C2104" s="12" t="s">
        <v>464</v>
      </c>
      <c r="D2104" s="12" t="s">
        <v>22</v>
      </c>
      <c r="E2104" s="12">
        <v>8.849820477900211E-2</v>
      </c>
      <c r="F2104" s="12">
        <v>40385</v>
      </c>
      <c r="G2104">
        <f t="shared" si="65"/>
        <v>3574</v>
      </c>
      <c r="H2104" s="16" t="s">
        <v>651</v>
      </c>
    </row>
    <row r="2105" spans="1:8">
      <c r="A2105" t="str">
        <f t="shared" si="64"/>
        <v>خراسان جنوبيزيرکوه</v>
      </c>
      <c r="B2105" s="12" t="s">
        <v>454</v>
      </c>
      <c r="C2105" s="12" t="s">
        <v>464</v>
      </c>
      <c r="D2105" s="12" t="s">
        <v>478</v>
      </c>
      <c r="E2105" s="12">
        <v>3.6746316701745697E-2</v>
      </c>
      <c r="F2105" s="12">
        <v>40385</v>
      </c>
      <c r="G2105">
        <f t="shared" si="65"/>
        <v>1484</v>
      </c>
      <c r="H2105" s="16" t="s">
        <v>651</v>
      </c>
    </row>
    <row r="2106" spans="1:8">
      <c r="A2106" t="str">
        <f t="shared" si="64"/>
        <v>خراسان جنوبيزيرکوه</v>
      </c>
      <c r="B2106" s="12" t="s">
        <v>454</v>
      </c>
      <c r="C2106" s="12" t="s">
        <v>464</v>
      </c>
      <c r="D2106" s="12" t="s">
        <v>20</v>
      </c>
      <c r="E2106" s="12">
        <v>3.8950105237092983E-2</v>
      </c>
      <c r="F2106" s="12">
        <v>40385</v>
      </c>
      <c r="G2106">
        <f t="shared" si="65"/>
        <v>1573</v>
      </c>
      <c r="H2106" s="16" t="s">
        <v>651</v>
      </c>
    </row>
    <row r="2107" spans="1:8">
      <c r="A2107" t="str">
        <f t="shared" si="64"/>
        <v>خراسان جنوبيخوسف</v>
      </c>
      <c r="B2107" s="12" t="s">
        <v>454</v>
      </c>
      <c r="C2107" s="12" t="s">
        <v>465</v>
      </c>
      <c r="D2107" s="12" t="s">
        <v>480</v>
      </c>
      <c r="E2107" s="12">
        <v>0.47257706192724241</v>
      </c>
      <c r="F2107" s="12">
        <v>28808</v>
      </c>
      <c r="G2107">
        <f t="shared" si="65"/>
        <v>13614</v>
      </c>
      <c r="H2107" s="16" t="s">
        <v>655</v>
      </c>
    </row>
    <row r="2108" spans="1:8">
      <c r="A2108" t="str">
        <f t="shared" si="64"/>
        <v>خراسان جنوبيخوسف</v>
      </c>
      <c r="B2108" s="12" t="s">
        <v>454</v>
      </c>
      <c r="C2108" s="12" t="s">
        <v>465</v>
      </c>
      <c r="D2108" s="12" t="s">
        <v>479</v>
      </c>
      <c r="E2108" s="12">
        <v>0.32466675923354626</v>
      </c>
      <c r="F2108" s="12">
        <v>28808</v>
      </c>
      <c r="G2108">
        <f t="shared" si="65"/>
        <v>9353</v>
      </c>
      <c r="H2108" s="16" t="s">
        <v>655</v>
      </c>
    </row>
    <row r="2109" spans="1:8">
      <c r="A2109" t="str">
        <f t="shared" si="64"/>
        <v>خراسان جنوبيخوسف</v>
      </c>
      <c r="B2109" s="12" t="s">
        <v>454</v>
      </c>
      <c r="C2109" s="12" t="s">
        <v>465</v>
      </c>
      <c r="D2109" s="12" t="s">
        <v>22</v>
      </c>
      <c r="E2109" s="12">
        <v>9.5563732296584283E-2</v>
      </c>
      <c r="F2109" s="12">
        <v>28808</v>
      </c>
      <c r="G2109">
        <f t="shared" si="65"/>
        <v>2753</v>
      </c>
      <c r="H2109" s="16" t="s">
        <v>655</v>
      </c>
    </row>
    <row r="2110" spans="1:8">
      <c r="A2110" t="str">
        <f t="shared" si="64"/>
        <v>خراسان جنوبيخوسف</v>
      </c>
      <c r="B2110" s="12" t="s">
        <v>454</v>
      </c>
      <c r="C2110" s="12" t="s">
        <v>465</v>
      </c>
      <c r="D2110" s="12" t="s">
        <v>478</v>
      </c>
      <c r="E2110" s="12">
        <v>4.807692307692308E-2</v>
      </c>
      <c r="F2110" s="12">
        <v>28808</v>
      </c>
      <c r="G2110">
        <f t="shared" si="65"/>
        <v>1385</v>
      </c>
      <c r="H2110" s="16" t="s">
        <v>655</v>
      </c>
    </row>
    <row r="2111" spans="1:8">
      <c r="A2111" t="str">
        <f t="shared" si="64"/>
        <v>خراسان جنوبيخوسف</v>
      </c>
      <c r="B2111" s="12" t="s">
        <v>454</v>
      </c>
      <c r="C2111" s="12" t="s">
        <v>465</v>
      </c>
      <c r="D2111" s="12" t="s">
        <v>20</v>
      </c>
      <c r="E2111" s="12">
        <v>5.8907247986670366E-2</v>
      </c>
      <c r="F2111" s="12">
        <v>28808</v>
      </c>
      <c r="G2111">
        <f t="shared" si="65"/>
        <v>1697</v>
      </c>
      <c r="H2111" s="16" t="s">
        <v>655</v>
      </c>
    </row>
    <row r="2112" spans="1:8">
      <c r="A2112" t="str">
        <f t="shared" si="64"/>
        <v xml:space="preserve">خراسان جنوبيطبس </v>
      </c>
      <c r="B2112" s="12" t="s">
        <v>454</v>
      </c>
      <c r="C2112" s="12" t="s">
        <v>466</v>
      </c>
      <c r="D2112" s="12" t="s">
        <v>480</v>
      </c>
      <c r="E2112" s="12">
        <v>0.45228854298593235</v>
      </c>
      <c r="F2112" s="12">
        <v>73431</v>
      </c>
      <c r="G2112">
        <f t="shared" si="65"/>
        <v>33212</v>
      </c>
      <c r="H2112" s="16" t="s">
        <v>662</v>
      </c>
    </row>
    <row r="2113" spans="1:8">
      <c r="A2113" t="str">
        <f t="shared" si="64"/>
        <v xml:space="preserve">خراسان جنوبيطبس </v>
      </c>
      <c r="B2113" s="12" t="s">
        <v>454</v>
      </c>
      <c r="C2113" s="12" t="s">
        <v>466</v>
      </c>
      <c r="D2113" s="12" t="s">
        <v>479</v>
      </c>
      <c r="E2113" s="12">
        <v>0.37937655758467131</v>
      </c>
      <c r="F2113" s="12">
        <v>73431</v>
      </c>
      <c r="G2113">
        <f t="shared" si="65"/>
        <v>27858</v>
      </c>
      <c r="H2113" s="16" t="s">
        <v>662</v>
      </c>
    </row>
    <row r="2114" spans="1:8">
      <c r="A2114" t="str">
        <f t="shared" ref="A2114:A2177" si="66">B2114&amp;C2114</f>
        <v xml:space="preserve">خراسان جنوبيطبس </v>
      </c>
      <c r="B2114" s="12" t="s">
        <v>454</v>
      </c>
      <c r="C2114" s="12" t="s">
        <v>466</v>
      </c>
      <c r="D2114" s="12" t="s">
        <v>22</v>
      </c>
      <c r="E2114" s="12">
        <v>9.6525990385532001E-2</v>
      </c>
      <c r="F2114" s="12">
        <v>73431</v>
      </c>
      <c r="G2114">
        <f t="shared" si="65"/>
        <v>7088</v>
      </c>
      <c r="H2114" s="16" t="s">
        <v>662</v>
      </c>
    </row>
    <row r="2115" spans="1:8">
      <c r="A2115" t="str">
        <f t="shared" si="66"/>
        <v xml:space="preserve">خراسان جنوبيطبس </v>
      </c>
      <c r="B2115" s="12" t="s">
        <v>454</v>
      </c>
      <c r="C2115" s="12" t="s">
        <v>466</v>
      </c>
      <c r="D2115" s="12" t="s">
        <v>478</v>
      </c>
      <c r="E2115" s="12">
        <v>3.4985224224101538E-2</v>
      </c>
      <c r="F2115" s="12">
        <v>73431</v>
      </c>
      <c r="G2115">
        <f t="shared" ref="G2115:G2178" si="67">IFERROR(ROUND(F2115*E2115,0),0)</f>
        <v>2569</v>
      </c>
      <c r="H2115" s="16" t="s">
        <v>662</v>
      </c>
    </row>
    <row r="2116" spans="1:8">
      <c r="A2116" t="str">
        <f t="shared" si="66"/>
        <v xml:space="preserve">خراسان جنوبيطبس </v>
      </c>
      <c r="B2116" s="12" t="s">
        <v>454</v>
      </c>
      <c r="C2116" s="12" t="s">
        <v>466</v>
      </c>
      <c r="D2116" s="12" t="s">
        <v>20</v>
      </c>
      <c r="E2116" s="12">
        <v>3.6891775952935406E-2</v>
      </c>
      <c r="F2116" s="12">
        <v>73431</v>
      </c>
      <c r="G2116">
        <f t="shared" si="67"/>
        <v>2709</v>
      </c>
      <c r="H2116" s="16" t="s">
        <v>662</v>
      </c>
    </row>
    <row r="2117" spans="1:8">
      <c r="A2117" t="str">
        <f t="shared" si="66"/>
        <v>البرزکرج</v>
      </c>
      <c r="B2117" s="12" t="s">
        <v>429</v>
      </c>
      <c r="C2117" s="12" t="s">
        <v>467</v>
      </c>
      <c r="D2117" s="12" t="s">
        <v>480</v>
      </c>
      <c r="E2117" s="12">
        <v>0.38047238464675831</v>
      </c>
      <c r="F2117" s="12">
        <v>2025214</v>
      </c>
      <c r="G2117">
        <f t="shared" si="67"/>
        <v>770538</v>
      </c>
      <c r="H2117" s="16" t="s">
        <v>605</v>
      </c>
    </row>
    <row r="2118" spans="1:8">
      <c r="A2118" t="str">
        <f t="shared" si="66"/>
        <v>البرزکرج</v>
      </c>
      <c r="B2118" s="12" t="s">
        <v>429</v>
      </c>
      <c r="C2118" s="12" t="s">
        <v>467</v>
      </c>
      <c r="D2118" s="12" t="s">
        <v>479</v>
      </c>
      <c r="E2118" s="12">
        <v>0.43589813224676505</v>
      </c>
      <c r="F2118" s="12">
        <v>2025214</v>
      </c>
      <c r="G2118">
        <f t="shared" si="67"/>
        <v>882787</v>
      </c>
      <c r="H2118" s="16" t="s">
        <v>605</v>
      </c>
    </row>
    <row r="2119" spans="1:8">
      <c r="A2119" t="str">
        <f t="shared" si="66"/>
        <v>البرزکرج</v>
      </c>
      <c r="B2119" s="12" t="s">
        <v>429</v>
      </c>
      <c r="C2119" s="12" t="s">
        <v>467</v>
      </c>
      <c r="D2119" s="12" t="s">
        <v>22</v>
      </c>
      <c r="E2119" s="12">
        <v>0.11264192327329359</v>
      </c>
      <c r="F2119" s="12">
        <v>2025214</v>
      </c>
      <c r="G2119">
        <f t="shared" si="67"/>
        <v>228124</v>
      </c>
      <c r="H2119" s="16" t="s">
        <v>605</v>
      </c>
    </row>
    <row r="2120" spans="1:8">
      <c r="A2120" t="str">
        <f t="shared" si="66"/>
        <v>البرزکرج</v>
      </c>
      <c r="B2120" s="12" t="s">
        <v>429</v>
      </c>
      <c r="C2120" s="12" t="s">
        <v>467</v>
      </c>
      <c r="D2120" s="12" t="s">
        <v>478</v>
      </c>
      <c r="E2120" s="12">
        <v>3.8724302715663628E-2</v>
      </c>
      <c r="F2120" s="12">
        <v>2025214</v>
      </c>
      <c r="G2120">
        <f t="shared" si="67"/>
        <v>78425</v>
      </c>
      <c r="H2120" s="16" t="s">
        <v>605</v>
      </c>
    </row>
    <row r="2121" spans="1:8">
      <c r="A2121" t="str">
        <f t="shared" si="66"/>
        <v>البرزکرج</v>
      </c>
      <c r="B2121" s="12" t="s">
        <v>429</v>
      </c>
      <c r="C2121" s="12" t="s">
        <v>467</v>
      </c>
      <c r="D2121" s="12" t="s">
        <v>20</v>
      </c>
      <c r="E2121" s="12">
        <v>3.2258813142709855E-2</v>
      </c>
      <c r="F2121" s="12">
        <v>2025214</v>
      </c>
      <c r="G2121">
        <f t="shared" si="67"/>
        <v>65331</v>
      </c>
      <c r="H2121" s="16" t="s">
        <v>605</v>
      </c>
    </row>
    <row r="2122" spans="1:8">
      <c r="A2122" t="str">
        <f t="shared" si="66"/>
        <v>البرزساوجبلاغ</v>
      </c>
      <c r="B2122" s="12" t="s">
        <v>429</v>
      </c>
      <c r="C2122" s="12" t="s">
        <v>468</v>
      </c>
      <c r="D2122" s="12" t="s">
        <v>480</v>
      </c>
      <c r="E2122" s="12">
        <v>0.42693833812305398</v>
      </c>
      <c r="F2122" s="12">
        <v>266891</v>
      </c>
      <c r="G2122">
        <f t="shared" si="67"/>
        <v>113946</v>
      </c>
      <c r="H2122" s="16" t="s">
        <v>602</v>
      </c>
    </row>
    <row r="2123" spans="1:8">
      <c r="A2123" t="str">
        <f t="shared" si="66"/>
        <v>البرزساوجبلاغ</v>
      </c>
      <c r="B2123" s="12" t="s">
        <v>429</v>
      </c>
      <c r="C2123" s="12" t="s">
        <v>468</v>
      </c>
      <c r="D2123" s="12" t="s">
        <v>479</v>
      </c>
      <c r="E2123" s="12">
        <v>0.4138505981842775</v>
      </c>
      <c r="F2123" s="12">
        <v>266891</v>
      </c>
      <c r="G2123">
        <f t="shared" si="67"/>
        <v>110453</v>
      </c>
      <c r="H2123" s="16" t="s">
        <v>602</v>
      </c>
    </row>
    <row r="2124" spans="1:8">
      <c r="A2124" t="str">
        <f t="shared" si="66"/>
        <v>البرزساوجبلاغ</v>
      </c>
      <c r="B2124" s="12" t="s">
        <v>429</v>
      </c>
      <c r="C2124" s="12" t="s">
        <v>468</v>
      </c>
      <c r="D2124" s="12" t="s">
        <v>22</v>
      </c>
      <c r="E2124" s="12">
        <v>9.8980482668954747E-2</v>
      </c>
      <c r="F2124" s="12">
        <v>266891</v>
      </c>
      <c r="G2124">
        <f t="shared" si="67"/>
        <v>26417</v>
      </c>
      <c r="H2124" s="16" t="s">
        <v>602</v>
      </c>
    </row>
    <row r="2125" spans="1:8">
      <c r="A2125" t="str">
        <f t="shared" si="66"/>
        <v>البرزساوجبلاغ</v>
      </c>
      <c r="B2125" s="12" t="s">
        <v>429</v>
      </c>
      <c r="C2125" s="12" t="s">
        <v>468</v>
      </c>
      <c r="D2125" s="12" t="s">
        <v>478</v>
      </c>
      <c r="E2125" s="12">
        <v>3.2968515236557243E-2</v>
      </c>
      <c r="F2125" s="12">
        <v>266891</v>
      </c>
      <c r="G2125">
        <f t="shared" si="67"/>
        <v>8799</v>
      </c>
      <c r="H2125" s="16" t="s">
        <v>602</v>
      </c>
    </row>
    <row r="2126" spans="1:8">
      <c r="A2126" t="str">
        <f t="shared" si="66"/>
        <v>البرزساوجبلاغ</v>
      </c>
      <c r="B2126" s="12" t="s">
        <v>429</v>
      </c>
      <c r="C2126" s="12" t="s">
        <v>468</v>
      </c>
      <c r="D2126" s="12" t="s">
        <v>20</v>
      </c>
      <c r="E2126" s="12">
        <v>2.7273306331049005E-2</v>
      </c>
      <c r="F2126" s="12">
        <v>266891</v>
      </c>
      <c r="G2126">
        <f t="shared" si="67"/>
        <v>7279</v>
      </c>
      <c r="H2126" s="16" t="s">
        <v>602</v>
      </c>
    </row>
    <row r="2127" spans="1:8">
      <c r="A2127" t="str">
        <f t="shared" si="66"/>
        <v>البرزنظرآباد</v>
      </c>
      <c r="B2127" s="12" t="s">
        <v>429</v>
      </c>
      <c r="C2127" s="12" t="s">
        <v>469</v>
      </c>
      <c r="D2127" s="12" t="s">
        <v>480</v>
      </c>
      <c r="E2127" s="12">
        <v>0.42544978863800392</v>
      </c>
      <c r="F2127" s="12">
        <v>155184</v>
      </c>
      <c r="G2127">
        <f t="shared" si="67"/>
        <v>66023</v>
      </c>
      <c r="H2127" s="16" t="s">
        <v>609</v>
      </c>
    </row>
    <row r="2128" spans="1:8">
      <c r="A2128" t="str">
        <f t="shared" si="66"/>
        <v>البرزنظرآباد</v>
      </c>
      <c r="B2128" s="12" t="s">
        <v>429</v>
      </c>
      <c r="C2128" s="12" t="s">
        <v>469</v>
      </c>
      <c r="D2128" s="12" t="s">
        <v>479</v>
      </c>
      <c r="E2128" s="12">
        <v>0.41898649345293332</v>
      </c>
      <c r="F2128" s="12">
        <v>155184</v>
      </c>
      <c r="G2128">
        <f t="shared" si="67"/>
        <v>65020</v>
      </c>
      <c r="H2128" s="16" t="s">
        <v>609</v>
      </c>
    </row>
    <row r="2129" spans="1:8">
      <c r="A2129" t="str">
        <f t="shared" si="66"/>
        <v>البرزنظرآباد</v>
      </c>
      <c r="B2129" s="12" t="s">
        <v>429</v>
      </c>
      <c r="C2129" s="12" t="s">
        <v>469</v>
      </c>
      <c r="D2129" s="12" t="s">
        <v>22</v>
      </c>
      <c r="E2129" s="12">
        <v>9.4880915558304982E-2</v>
      </c>
      <c r="F2129" s="12">
        <v>155184</v>
      </c>
      <c r="G2129">
        <f t="shared" si="67"/>
        <v>14724</v>
      </c>
      <c r="H2129" s="16" t="s">
        <v>609</v>
      </c>
    </row>
    <row r="2130" spans="1:8">
      <c r="A2130" t="str">
        <f t="shared" si="66"/>
        <v>البرزنظرآباد</v>
      </c>
      <c r="B2130" s="12" t="s">
        <v>429</v>
      </c>
      <c r="C2130" s="12" t="s">
        <v>469</v>
      </c>
      <c r="D2130" s="12" t="s">
        <v>478</v>
      </c>
      <c r="E2130" s="12">
        <v>3.2902876585214971E-2</v>
      </c>
      <c r="F2130" s="12">
        <v>155184</v>
      </c>
      <c r="G2130">
        <f t="shared" si="67"/>
        <v>5106</v>
      </c>
      <c r="H2130" s="16" t="s">
        <v>609</v>
      </c>
    </row>
    <row r="2131" spans="1:8">
      <c r="A2131" t="str">
        <f t="shared" si="66"/>
        <v>البرزنظرآباد</v>
      </c>
      <c r="B2131" s="12" t="s">
        <v>429</v>
      </c>
      <c r="C2131" s="12" t="s">
        <v>469</v>
      </c>
      <c r="D2131" s="12" t="s">
        <v>20</v>
      </c>
      <c r="E2131" s="12">
        <v>2.7779925765542838E-2</v>
      </c>
      <c r="F2131" s="12">
        <v>155184</v>
      </c>
      <c r="G2131">
        <f t="shared" si="67"/>
        <v>4311</v>
      </c>
      <c r="H2131" s="16" t="s">
        <v>609</v>
      </c>
    </row>
    <row r="2132" spans="1:8">
      <c r="A2132" t="str">
        <f t="shared" si="66"/>
        <v>البرزطالقان</v>
      </c>
      <c r="B2132" s="12" t="s">
        <v>429</v>
      </c>
      <c r="C2132" s="12" t="s">
        <v>470</v>
      </c>
      <c r="D2132" s="12" t="s">
        <v>480</v>
      </c>
      <c r="E2132" s="12">
        <v>0.26629979662639069</v>
      </c>
      <c r="F2132" s="12">
        <v>16718</v>
      </c>
      <c r="G2132">
        <f t="shared" si="67"/>
        <v>4452</v>
      </c>
      <c r="H2132" s="16" t="s">
        <v>607</v>
      </c>
    </row>
    <row r="2133" spans="1:8">
      <c r="A2133" t="str">
        <f t="shared" si="66"/>
        <v>البرزطالقان</v>
      </c>
      <c r="B2133" s="12" t="s">
        <v>429</v>
      </c>
      <c r="C2133" s="12" t="s">
        <v>470</v>
      </c>
      <c r="D2133" s="12" t="s">
        <v>479</v>
      </c>
      <c r="E2133" s="12">
        <v>0.37857399210431869</v>
      </c>
      <c r="F2133" s="12">
        <v>16718</v>
      </c>
      <c r="G2133">
        <f t="shared" si="67"/>
        <v>6329</v>
      </c>
      <c r="H2133" s="16" t="s">
        <v>607</v>
      </c>
    </row>
    <row r="2134" spans="1:8">
      <c r="A2134" t="str">
        <f t="shared" si="66"/>
        <v>البرزطالقان</v>
      </c>
      <c r="B2134" s="12" t="s">
        <v>429</v>
      </c>
      <c r="C2134" s="12" t="s">
        <v>470</v>
      </c>
      <c r="D2134" s="12" t="s">
        <v>22</v>
      </c>
      <c r="E2134" s="12">
        <v>0.16927862184471826</v>
      </c>
      <c r="F2134" s="12">
        <v>16718</v>
      </c>
      <c r="G2134">
        <f t="shared" si="67"/>
        <v>2830</v>
      </c>
      <c r="H2134" s="16" t="s">
        <v>607</v>
      </c>
    </row>
    <row r="2135" spans="1:8">
      <c r="A2135" t="str">
        <f t="shared" si="66"/>
        <v>البرزطالقان</v>
      </c>
      <c r="B2135" s="12" t="s">
        <v>429</v>
      </c>
      <c r="C2135" s="12" t="s">
        <v>470</v>
      </c>
      <c r="D2135" s="12" t="s">
        <v>478</v>
      </c>
      <c r="E2135" s="12">
        <v>8.6673047015193211E-2</v>
      </c>
      <c r="F2135" s="12">
        <v>16718</v>
      </c>
      <c r="G2135">
        <f t="shared" si="67"/>
        <v>1449</v>
      </c>
      <c r="H2135" s="16" t="s">
        <v>607</v>
      </c>
    </row>
    <row r="2136" spans="1:8">
      <c r="A2136" t="str">
        <f t="shared" si="66"/>
        <v>البرزطالقان</v>
      </c>
      <c r="B2136" s="12" t="s">
        <v>429</v>
      </c>
      <c r="C2136" s="12" t="s">
        <v>470</v>
      </c>
      <c r="D2136" s="12" t="s">
        <v>20</v>
      </c>
      <c r="E2136" s="12">
        <v>9.8875463572197633E-2</v>
      </c>
      <c r="F2136" s="12">
        <v>16718</v>
      </c>
      <c r="G2136">
        <f t="shared" si="67"/>
        <v>1653</v>
      </c>
      <c r="H2136" s="16" t="s">
        <v>607</v>
      </c>
    </row>
    <row r="2137" spans="1:8">
      <c r="A2137" t="str">
        <f t="shared" si="66"/>
        <v>البرزاشتهارد</v>
      </c>
      <c r="B2137" s="12" t="s">
        <v>429</v>
      </c>
      <c r="C2137" s="12" t="s">
        <v>471</v>
      </c>
      <c r="D2137" s="12" t="s">
        <v>480</v>
      </c>
      <c r="E2137" s="12">
        <v>0.47068450448110144</v>
      </c>
      <c r="F2137" s="12">
        <v>38495</v>
      </c>
      <c r="G2137">
        <f t="shared" si="67"/>
        <v>18119</v>
      </c>
      <c r="H2137" s="16" t="s">
        <v>608</v>
      </c>
    </row>
    <row r="2138" spans="1:8">
      <c r="A2138" t="str">
        <f t="shared" si="66"/>
        <v>البرزاشتهارد</v>
      </c>
      <c r="B2138" s="12" t="s">
        <v>429</v>
      </c>
      <c r="C2138" s="12" t="s">
        <v>471</v>
      </c>
      <c r="D2138" s="12" t="s">
        <v>479</v>
      </c>
      <c r="E2138" s="12">
        <v>0.41007923106896998</v>
      </c>
      <c r="F2138" s="12">
        <v>38495</v>
      </c>
      <c r="G2138">
        <f t="shared" si="67"/>
        <v>15786</v>
      </c>
      <c r="H2138" s="16" t="s">
        <v>608</v>
      </c>
    </row>
    <row r="2139" spans="1:8">
      <c r="A2139" t="str">
        <f t="shared" si="66"/>
        <v>البرزاشتهارد</v>
      </c>
      <c r="B2139" s="12" t="s">
        <v>429</v>
      </c>
      <c r="C2139" s="12" t="s">
        <v>471</v>
      </c>
      <c r="D2139" s="12" t="s">
        <v>22</v>
      </c>
      <c r="E2139" s="12">
        <v>7.5334459020652028E-2</v>
      </c>
      <c r="F2139" s="12">
        <v>38495</v>
      </c>
      <c r="G2139">
        <f t="shared" si="67"/>
        <v>2900</v>
      </c>
      <c r="H2139" s="16" t="s">
        <v>608</v>
      </c>
    </row>
    <row r="2140" spans="1:8">
      <c r="A2140" t="str">
        <f t="shared" si="66"/>
        <v>البرزاشتهارد</v>
      </c>
      <c r="B2140" s="12" t="s">
        <v>429</v>
      </c>
      <c r="C2140" s="12" t="s">
        <v>471</v>
      </c>
      <c r="D2140" s="12" t="s">
        <v>478</v>
      </c>
      <c r="E2140" s="12">
        <v>2.3639433692687364E-2</v>
      </c>
      <c r="F2140" s="12">
        <v>38495</v>
      </c>
      <c r="G2140">
        <f t="shared" si="67"/>
        <v>910</v>
      </c>
      <c r="H2140" s="16" t="s">
        <v>608</v>
      </c>
    </row>
    <row r="2141" spans="1:8">
      <c r="A2141" t="str">
        <f t="shared" si="66"/>
        <v>البرزاشتهارد</v>
      </c>
      <c r="B2141" s="12" t="s">
        <v>429</v>
      </c>
      <c r="C2141" s="12" t="s">
        <v>471</v>
      </c>
      <c r="D2141" s="12" t="s">
        <v>20</v>
      </c>
      <c r="E2141" s="12">
        <v>2.021041693726458E-2</v>
      </c>
      <c r="F2141" s="12">
        <v>38495</v>
      </c>
      <c r="G2141">
        <f t="shared" si="67"/>
        <v>778</v>
      </c>
      <c r="H2141" s="16" t="s">
        <v>608</v>
      </c>
    </row>
    <row r="2142" spans="1:8">
      <c r="A2142" t="str">
        <f t="shared" si="66"/>
        <v>البرزفردیس</v>
      </c>
      <c r="B2142" s="12" t="s">
        <v>429</v>
      </c>
      <c r="C2142" s="12" t="s">
        <v>472</v>
      </c>
      <c r="D2142" s="12" t="s">
        <v>480</v>
      </c>
      <c r="E2142" s="12">
        <v>0.39122895822339016</v>
      </c>
      <c r="F2142" s="12">
        <v>278553</v>
      </c>
      <c r="G2142">
        <f t="shared" si="67"/>
        <v>108978</v>
      </c>
      <c r="H2142" s="16" t="s">
        <v>603</v>
      </c>
    </row>
    <row r="2143" spans="1:8">
      <c r="A2143" t="str">
        <f t="shared" si="66"/>
        <v>البرزفردیس</v>
      </c>
      <c r="B2143" s="12" t="s">
        <v>429</v>
      </c>
      <c r="C2143" s="12" t="s">
        <v>472</v>
      </c>
      <c r="D2143" s="12" t="s">
        <v>479</v>
      </c>
      <c r="E2143" s="12">
        <v>0.43529597599020653</v>
      </c>
      <c r="F2143" s="12">
        <v>278553</v>
      </c>
      <c r="G2143">
        <f t="shared" si="67"/>
        <v>121253</v>
      </c>
      <c r="H2143" s="16" t="s">
        <v>603</v>
      </c>
    </row>
    <row r="2144" spans="1:8">
      <c r="A2144" t="str">
        <f t="shared" si="66"/>
        <v>البرزفردیس</v>
      </c>
      <c r="B2144" s="12" t="s">
        <v>429</v>
      </c>
      <c r="C2144" s="12" t="s">
        <v>472</v>
      </c>
      <c r="D2144" s="12" t="s">
        <v>22</v>
      </c>
      <c r="E2144" s="12">
        <v>0.10914978478063421</v>
      </c>
      <c r="F2144" s="12">
        <v>278553</v>
      </c>
      <c r="G2144">
        <f t="shared" si="67"/>
        <v>30404</v>
      </c>
      <c r="H2144" s="16" t="s">
        <v>603</v>
      </c>
    </row>
    <row r="2145" spans="1:8">
      <c r="A2145" t="str">
        <f t="shared" si="66"/>
        <v>البرزفردیس</v>
      </c>
      <c r="B2145" s="12" t="s">
        <v>429</v>
      </c>
      <c r="C2145" s="12" t="s">
        <v>472</v>
      </c>
      <c r="D2145" s="12" t="s">
        <v>478</v>
      </c>
      <c r="E2145" s="12">
        <v>3.6240859010673011E-2</v>
      </c>
      <c r="F2145" s="12">
        <v>278553</v>
      </c>
      <c r="G2145">
        <f t="shared" si="67"/>
        <v>10095</v>
      </c>
      <c r="H2145" s="16" t="s">
        <v>603</v>
      </c>
    </row>
    <row r="2146" spans="1:8">
      <c r="A2146" t="str">
        <f t="shared" si="66"/>
        <v>البرزفردیس</v>
      </c>
      <c r="B2146" s="12" t="s">
        <v>429</v>
      </c>
      <c r="C2146" s="12" t="s">
        <v>472</v>
      </c>
      <c r="D2146" s="12" t="s">
        <v>20</v>
      </c>
      <c r="E2146" s="12">
        <v>2.8062882108611287E-2</v>
      </c>
      <c r="F2146" s="12">
        <v>278553</v>
      </c>
      <c r="G2146">
        <f t="shared" si="67"/>
        <v>7817</v>
      </c>
      <c r="H2146" s="16" t="s">
        <v>603</v>
      </c>
    </row>
    <row r="2147" spans="1:8">
      <c r="A2147" t="str">
        <f t="shared" si="66"/>
        <v>مركزئاراك</v>
      </c>
      <c r="B2147" t="s">
        <v>27</v>
      </c>
      <c r="C2147" t="s">
        <v>28</v>
      </c>
      <c r="D2147" t="s">
        <v>19</v>
      </c>
      <c r="E2147">
        <f t="shared" ref="E2147:E2210" ca="1" si="68">IF(D2147="AP",0.6,IF(D2147="BP",0.4,RAND()*0.02))</f>
        <v>0.6</v>
      </c>
      <c r="F2147">
        <f>IFERROR(VLOOKUP(H2147,ProfessionalRisk!A:I,9,0),0)</f>
        <v>11701</v>
      </c>
      <c r="G2147">
        <f t="shared" ca="1" si="67"/>
        <v>7021</v>
      </c>
      <c r="H2147" t="s">
        <v>855</v>
      </c>
    </row>
    <row r="2148" spans="1:8">
      <c r="A2148" t="str">
        <f t="shared" si="66"/>
        <v>مركزئاراك</v>
      </c>
      <c r="B2148" t="s">
        <v>27</v>
      </c>
      <c r="C2148" t="s">
        <v>28</v>
      </c>
      <c r="D2148" t="s">
        <v>477</v>
      </c>
      <c r="E2148">
        <f t="shared" ca="1" si="68"/>
        <v>0.4</v>
      </c>
      <c r="F2148">
        <f>IFERROR(VLOOKUP(H2148,ProfessionalRisk!A:I,9,0),0)</f>
        <v>11701</v>
      </c>
      <c r="G2148">
        <f t="shared" ca="1" si="67"/>
        <v>4680</v>
      </c>
      <c r="H2148" t="s">
        <v>855</v>
      </c>
    </row>
    <row r="2149" spans="1:8">
      <c r="A2149" t="str">
        <f t="shared" si="66"/>
        <v>مركزئاراك</v>
      </c>
      <c r="B2149" t="s">
        <v>27</v>
      </c>
      <c r="C2149" t="s">
        <v>28</v>
      </c>
      <c r="D2149" t="s">
        <v>23</v>
      </c>
      <c r="E2149">
        <f t="shared" ca="1" si="68"/>
        <v>9.5686132498551974E-3</v>
      </c>
      <c r="F2149">
        <f>IFERROR(VLOOKUP(H2149,ProfessionalRisk!A:I,9,0),0)</f>
        <v>11701</v>
      </c>
      <c r="G2149">
        <f t="shared" ca="1" si="67"/>
        <v>112</v>
      </c>
      <c r="H2149" t="s">
        <v>855</v>
      </c>
    </row>
    <row r="2150" spans="1:8">
      <c r="A2150" t="str">
        <f t="shared" si="66"/>
        <v>مركزئآشتيان</v>
      </c>
      <c r="B2150" t="s">
        <v>27</v>
      </c>
      <c r="C2150" t="s">
        <v>29</v>
      </c>
      <c r="D2150" t="s">
        <v>19</v>
      </c>
      <c r="E2150">
        <f t="shared" ca="1" si="68"/>
        <v>0.6</v>
      </c>
      <c r="F2150">
        <f>IFERROR(VLOOKUP(H2150,ProfessionalRisk!A:I,9,0),0)</f>
        <v>402</v>
      </c>
      <c r="G2150">
        <f t="shared" ca="1" si="67"/>
        <v>241</v>
      </c>
      <c r="H2150" t="s">
        <v>852</v>
      </c>
    </row>
    <row r="2151" spans="1:8">
      <c r="A2151" t="str">
        <f t="shared" si="66"/>
        <v>مركزئآشتيان</v>
      </c>
      <c r="B2151" t="s">
        <v>27</v>
      </c>
      <c r="C2151" t="s">
        <v>29</v>
      </c>
      <c r="D2151" t="s">
        <v>477</v>
      </c>
      <c r="E2151">
        <f t="shared" ca="1" si="68"/>
        <v>0.4</v>
      </c>
      <c r="F2151">
        <f>IFERROR(VLOOKUP(H2151,ProfessionalRisk!A:I,9,0),0)</f>
        <v>402</v>
      </c>
      <c r="G2151">
        <f t="shared" ca="1" si="67"/>
        <v>161</v>
      </c>
      <c r="H2151" t="s">
        <v>852</v>
      </c>
    </row>
    <row r="2152" spans="1:8">
      <c r="A2152" t="str">
        <f t="shared" si="66"/>
        <v>مركزئآشتيان</v>
      </c>
      <c r="B2152" t="s">
        <v>27</v>
      </c>
      <c r="C2152" t="s">
        <v>29</v>
      </c>
      <c r="D2152" t="s">
        <v>23</v>
      </c>
      <c r="E2152">
        <f t="shared" ca="1" si="68"/>
        <v>8.5528053054782487E-3</v>
      </c>
      <c r="F2152">
        <f>IFERROR(VLOOKUP(H2152,ProfessionalRisk!A:I,9,0),0)</f>
        <v>402</v>
      </c>
      <c r="G2152">
        <f t="shared" ca="1" si="67"/>
        <v>3</v>
      </c>
      <c r="H2152" t="s">
        <v>852</v>
      </c>
    </row>
    <row r="2153" spans="1:8">
      <c r="A2153" t="str">
        <f t="shared" si="66"/>
        <v>مركزئتفرش</v>
      </c>
      <c r="B2153" t="s">
        <v>27</v>
      </c>
      <c r="C2153" t="s">
        <v>30</v>
      </c>
      <c r="D2153" t="s">
        <v>19</v>
      </c>
      <c r="E2153">
        <f t="shared" ca="1" si="68"/>
        <v>0.6</v>
      </c>
      <c r="F2153">
        <f>IFERROR(VLOOKUP(H2153,ProfessionalRisk!A:I,9,0),0)</f>
        <v>559</v>
      </c>
      <c r="G2153">
        <f t="shared" ca="1" si="67"/>
        <v>335</v>
      </c>
      <c r="H2153" t="s">
        <v>863</v>
      </c>
    </row>
    <row r="2154" spans="1:8">
      <c r="A2154" t="str">
        <f t="shared" si="66"/>
        <v>مركزئتفرش</v>
      </c>
      <c r="B2154" t="s">
        <v>27</v>
      </c>
      <c r="C2154" t="s">
        <v>30</v>
      </c>
      <c r="D2154" t="s">
        <v>477</v>
      </c>
      <c r="E2154">
        <f t="shared" ca="1" si="68"/>
        <v>0.4</v>
      </c>
      <c r="F2154">
        <f>IFERROR(VLOOKUP(H2154,ProfessionalRisk!A:I,9,0),0)</f>
        <v>559</v>
      </c>
      <c r="G2154">
        <f t="shared" ca="1" si="67"/>
        <v>224</v>
      </c>
      <c r="H2154" t="s">
        <v>863</v>
      </c>
    </row>
    <row r="2155" spans="1:8">
      <c r="A2155" t="str">
        <f t="shared" si="66"/>
        <v>مركزئتفرش</v>
      </c>
      <c r="B2155" t="s">
        <v>27</v>
      </c>
      <c r="C2155" t="s">
        <v>30</v>
      </c>
      <c r="D2155" t="s">
        <v>23</v>
      </c>
      <c r="E2155">
        <f t="shared" ca="1" si="68"/>
        <v>1.1806596406172326E-2</v>
      </c>
      <c r="F2155">
        <f>IFERROR(VLOOKUP(H2155,ProfessionalRisk!A:I,9,0),0)</f>
        <v>559</v>
      </c>
      <c r="G2155">
        <f t="shared" ca="1" si="67"/>
        <v>7</v>
      </c>
      <c r="H2155" t="s">
        <v>863</v>
      </c>
    </row>
    <row r="2156" spans="1:8">
      <c r="A2156" t="str">
        <f t="shared" si="66"/>
        <v>مركزئخمين</v>
      </c>
      <c r="B2156" t="s">
        <v>27</v>
      </c>
      <c r="C2156" t="s">
        <v>31</v>
      </c>
      <c r="D2156" t="s">
        <v>19</v>
      </c>
      <c r="E2156">
        <f t="shared" ca="1" si="68"/>
        <v>0.6</v>
      </c>
      <c r="F2156">
        <f>IFERROR(VLOOKUP(H2156,ProfessionalRisk!A:I,9,0),0)</f>
        <v>1536</v>
      </c>
      <c r="G2156">
        <f t="shared" ca="1" si="67"/>
        <v>922</v>
      </c>
      <c r="H2156" t="s">
        <v>861</v>
      </c>
    </row>
    <row r="2157" spans="1:8">
      <c r="A2157" t="str">
        <f t="shared" si="66"/>
        <v>مركزئخمين</v>
      </c>
      <c r="B2157" t="s">
        <v>27</v>
      </c>
      <c r="C2157" t="s">
        <v>31</v>
      </c>
      <c r="D2157" t="s">
        <v>477</v>
      </c>
      <c r="E2157">
        <f t="shared" ca="1" si="68"/>
        <v>0.4</v>
      </c>
      <c r="F2157">
        <f>IFERROR(VLOOKUP(H2157,ProfessionalRisk!A:I,9,0),0)</f>
        <v>1536</v>
      </c>
      <c r="G2157">
        <f t="shared" ca="1" si="67"/>
        <v>614</v>
      </c>
      <c r="H2157" t="s">
        <v>861</v>
      </c>
    </row>
    <row r="2158" spans="1:8">
      <c r="A2158" t="str">
        <f t="shared" si="66"/>
        <v>مركزئخمين</v>
      </c>
      <c r="B2158" t="s">
        <v>27</v>
      </c>
      <c r="C2158" t="s">
        <v>31</v>
      </c>
      <c r="D2158" t="s">
        <v>23</v>
      </c>
      <c r="E2158">
        <f t="shared" ca="1" si="68"/>
        <v>2.4156852860650882E-3</v>
      </c>
      <c r="F2158">
        <f>IFERROR(VLOOKUP(H2158,ProfessionalRisk!A:I,9,0),0)</f>
        <v>1536</v>
      </c>
      <c r="G2158">
        <f t="shared" ca="1" si="67"/>
        <v>4</v>
      </c>
      <c r="H2158" t="s">
        <v>861</v>
      </c>
    </row>
    <row r="2159" spans="1:8">
      <c r="A2159" t="str">
        <f t="shared" si="66"/>
        <v>مركزئدليجان</v>
      </c>
      <c r="B2159" t="s">
        <v>27</v>
      </c>
      <c r="C2159" t="s">
        <v>32</v>
      </c>
      <c r="D2159" t="s">
        <v>19</v>
      </c>
      <c r="E2159">
        <f t="shared" ca="1" si="68"/>
        <v>0.6</v>
      </c>
      <c r="F2159">
        <f>IFERROR(VLOOKUP(H2159,ProfessionalRisk!A:I,9,0),0)</f>
        <v>674</v>
      </c>
      <c r="G2159">
        <f t="shared" ca="1" si="67"/>
        <v>404</v>
      </c>
      <c r="H2159" t="s">
        <v>859</v>
      </c>
    </row>
    <row r="2160" spans="1:8">
      <c r="A2160" t="str">
        <f t="shared" si="66"/>
        <v>مركزئدليجان</v>
      </c>
      <c r="B2160" t="s">
        <v>27</v>
      </c>
      <c r="C2160" t="s">
        <v>32</v>
      </c>
      <c r="D2160" t="s">
        <v>477</v>
      </c>
      <c r="E2160">
        <f t="shared" ca="1" si="68"/>
        <v>0.4</v>
      </c>
      <c r="F2160">
        <f>IFERROR(VLOOKUP(H2160,ProfessionalRisk!A:I,9,0),0)</f>
        <v>674</v>
      </c>
      <c r="G2160">
        <f t="shared" ca="1" si="67"/>
        <v>270</v>
      </c>
      <c r="H2160" t="s">
        <v>859</v>
      </c>
    </row>
    <row r="2161" spans="1:8">
      <c r="A2161" t="str">
        <f t="shared" si="66"/>
        <v>مركزئدليجان</v>
      </c>
      <c r="B2161" t="s">
        <v>27</v>
      </c>
      <c r="C2161" t="s">
        <v>32</v>
      </c>
      <c r="D2161" t="s">
        <v>23</v>
      </c>
      <c r="E2161">
        <f t="shared" ca="1" si="68"/>
        <v>7.3389177292148625E-3</v>
      </c>
      <c r="F2161">
        <f>IFERROR(VLOOKUP(H2161,ProfessionalRisk!A:I,9,0),0)</f>
        <v>674</v>
      </c>
      <c r="G2161">
        <f t="shared" ca="1" si="67"/>
        <v>5</v>
      </c>
      <c r="H2161" t="s">
        <v>859</v>
      </c>
    </row>
    <row r="2162" spans="1:8">
      <c r="A2162" t="str">
        <f t="shared" si="66"/>
        <v>مركزئساوه</v>
      </c>
      <c r="B2162" t="s">
        <v>27</v>
      </c>
      <c r="C2162" t="s">
        <v>33</v>
      </c>
      <c r="D2162" t="s">
        <v>19</v>
      </c>
      <c r="E2162">
        <f t="shared" ca="1" si="68"/>
        <v>0.6</v>
      </c>
      <c r="F2162">
        <f>IFERROR(VLOOKUP(H2162,ProfessionalRisk!A:I,9,0),0)</f>
        <v>3746</v>
      </c>
      <c r="G2162">
        <f t="shared" ca="1" si="67"/>
        <v>2248</v>
      </c>
      <c r="H2162" t="s">
        <v>862</v>
      </c>
    </row>
    <row r="2163" spans="1:8">
      <c r="A2163" t="str">
        <f t="shared" si="66"/>
        <v>مركزئساوه</v>
      </c>
      <c r="B2163" t="s">
        <v>27</v>
      </c>
      <c r="C2163" t="s">
        <v>33</v>
      </c>
      <c r="D2163" t="s">
        <v>477</v>
      </c>
      <c r="E2163">
        <f t="shared" ca="1" si="68"/>
        <v>0.4</v>
      </c>
      <c r="F2163">
        <f>IFERROR(VLOOKUP(H2163,ProfessionalRisk!A:I,9,0),0)</f>
        <v>3746</v>
      </c>
      <c r="G2163">
        <f t="shared" ca="1" si="67"/>
        <v>1498</v>
      </c>
      <c r="H2163" t="s">
        <v>862</v>
      </c>
    </row>
    <row r="2164" spans="1:8">
      <c r="A2164" t="str">
        <f t="shared" si="66"/>
        <v>مركزئساوه</v>
      </c>
      <c r="B2164" t="s">
        <v>27</v>
      </c>
      <c r="C2164" t="s">
        <v>33</v>
      </c>
      <c r="D2164" t="s">
        <v>23</v>
      </c>
      <c r="E2164">
        <f t="shared" ca="1" si="68"/>
        <v>1.0244982594902849E-2</v>
      </c>
      <c r="F2164">
        <f>IFERROR(VLOOKUP(H2164,ProfessionalRisk!A:I,9,0),0)</f>
        <v>3746</v>
      </c>
      <c r="G2164">
        <f t="shared" ca="1" si="67"/>
        <v>38</v>
      </c>
      <c r="H2164" t="s">
        <v>862</v>
      </c>
    </row>
    <row r="2165" spans="1:8">
      <c r="A2165" t="str">
        <f t="shared" si="66"/>
        <v>مركزئشازند</v>
      </c>
      <c r="B2165" t="s">
        <v>27</v>
      </c>
      <c r="C2165" t="s">
        <v>34</v>
      </c>
      <c r="D2165" t="s">
        <v>19</v>
      </c>
      <c r="E2165">
        <f t="shared" ca="1" si="68"/>
        <v>0.6</v>
      </c>
      <c r="F2165">
        <f>IFERROR(VLOOKUP(H2165,ProfessionalRisk!A:I,9,0),0)</f>
        <v>1294</v>
      </c>
      <c r="G2165">
        <f t="shared" ca="1" si="67"/>
        <v>776</v>
      </c>
      <c r="H2165" t="s">
        <v>860</v>
      </c>
    </row>
    <row r="2166" spans="1:8">
      <c r="A2166" t="str">
        <f t="shared" si="66"/>
        <v>مركزئشازند</v>
      </c>
      <c r="B2166" t="s">
        <v>27</v>
      </c>
      <c r="C2166" t="s">
        <v>34</v>
      </c>
      <c r="D2166" t="s">
        <v>477</v>
      </c>
      <c r="E2166">
        <f t="shared" ca="1" si="68"/>
        <v>0.4</v>
      </c>
      <c r="F2166">
        <f>IFERROR(VLOOKUP(H2166,ProfessionalRisk!A:I,9,0),0)</f>
        <v>1294</v>
      </c>
      <c r="G2166">
        <f t="shared" ca="1" si="67"/>
        <v>518</v>
      </c>
      <c r="H2166" t="s">
        <v>860</v>
      </c>
    </row>
    <row r="2167" spans="1:8">
      <c r="A2167" t="str">
        <f t="shared" si="66"/>
        <v>مركزئشازند</v>
      </c>
      <c r="B2167" t="s">
        <v>27</v>
      </c>
      <c r="C2167" t="s">
        <v>34</v>
      </c>
      <c r="D2167" t="s">
        <v>23</v>
      </c>
      <c r="E2167">
        <f t="shared" ca="1" si="68"/>
        <v>1.2794859344714705E-2</v>
      </c>
      <c r="F2167">
        <f>IFERROR(VLOOKUP(H2167,ProfessionalRisk!A:I,9,0),0)</f>
        <v>1294</v>
      </c>
      <c r="G2167">
        <f t="shared" ca="1" si="67"/>
        <v>17</v>
      </c>
      <c r="H2167" t="s">
        <v>860</v>
      </c>
    </row>
    <row r="2168" spans="1:8">
      <c r="A2168" t="str">
        <f t="shared" si="66"/>
        <v>مركزئمحلات</v>
      </c>
      <c r="B2168" t="s">
        <v>27</v>
      </c>
      <c r="C2168" t="s">
        <v>35</v>
      </c>
      <c r="D2168" t="s">
        <v>19</v>
      </c>
      <c r="E2168">
        <f t="shared" ca="1" si="68"/>
        <v>0.6</v>
      </c>
      <c r="F2168">
        <f>IFERROR(VLOOKUP(H2168,ProfessionalRisk!A:I,9,0),0)</f>
        <v>640</v>
      </c>
      <c r="G2168">
        <f t="shared" ca="1" si="67"/>
        <v>384</v>
      </c>
      <c r="H2168" t="s">
        <v>856</v>
      </c>
    </row>
    <row r="2169" spans="1:8">
      <c r="A2169" t="str">
        <f t="shared" si="66"/>
        <v>مركزئمحلات</v>
      </c>
      <c r="B2169" t="s">
        <v>27</v>
      </c>
      <c r="C2169" t="s">
        <v>35</v>
      </c>
      <c r="D2169" t="s">
        <v>477</v>
      </c>
      <c r="E2169">
        <f t="shared" ca="1" si="68"/>
        <v>0.4</v>
      </c>
      <c r="F2169">
        <f>IFERROR(VLOOKUP(H2169,ProfessionalRisk!A:I,9,0),0)</f>
        <v>640</v>
      </c>
      <c r="G2169">
        <f t="shared" ca="1" si="67"/>
        <v>256</v>
      </c>
      <c r="H2169" t="s">
        <v>856</v>
      </c>
    </row>
    <row r="2170" spans="1:8">
      <c r="A2170" t="str">
        <f t="shared" si="66"/>
        <v>مركزئمحلات</v>
      </c>
      <c r="B2170" t="s">
        <v>27</v>
      </c>
      <c r="C2170" t="s">
        <v>35</v>
      </c>
      <c r="D2170" t="s">
        <v>23</v>
      </c>
      <c r="E2170">
        <f t="shared" ca="1" si="68"/>
        <v>7.1447221733152034E-3</v>
      </c>
      <c r="F2170">
        <f>IFERROR(VLOOKUP(H2170,ProfessionalRisk!A:I,9,0),0)</f>
        <v>640</v>
      </c>
      <c r="G2170">
        <f t="shared" ca="1" si="67"/>
        <v>5</v>
      </c>
      <c r="H2170" t="s">
        <v>856</v>
      </c>
    </row>
    <row r="2171" spans="1:8">
      <c r="A2171" t="str">
        <f t="shared" si="66"/>
        <v>مركزئزرنديه</v>
      </c>
      <c r="B2171" t="s">
        <v>27</v>
      </c>
      <c r="C2171" t="s">
        <v>36</v>
      </c>
      <c r="D2171" t="s">
        <v>19</v>
      </c>
      <c r="E2171">
        <f t="shared" ca="1" si="68"/>
        <v>0.6</v>
      </c>
      <c r="F2171">
        <f>IFERROR(VLOOKUP(H2171,ProfessionalRisk!A:I,9,0),0)</f>
        <v>686</v>
      </c>
      <c r="G2171">
        <f t="shared" ca="1" si="67"/>
        <v>412</v>
      </c>
      <c r="H2171" t="s">
        <v>857</v>
      </c>
    </row>
    <row r="2172" spans="1:8">
      <c r="A2172" t="str">
        <f t="shared" si="66"/>
        <v>مركزئزرنديه</v>
      </c>
      <c r="B2172" t="s">
        <v>27</v>
      </c>
      <c r="C2172" t="s">
        <v>36</v>
      </c>
      <c r="D2172" t="s">
        <v>477</v>
      </c>
      <c r="E2172">
        <f t="shared" ca="1" si="68"/>
        <v>0.4</v>
      </c>
      <c r="F2172">
        <f>IFERROR(VLOOKUP(H2172,ProfessionalRisk!A:I,9,0),0)</f>
        <v>686</v>
      </c>
      <c r="G2172">
        <f t="shared" ca="1" si="67"/>
        <v>274</v>
      </c>
      <c r="H2172" t="s">
        <v>857</v>
      </c>
    </row>
    <row r="2173" spans="1:8">
      <c r="A2173" t="str">
        <f t="shared" si="66"/>
        <v>مركزئزرنديه</v>
      </c>
      <c r="B2173" t="s">
        <v>27</v>
      </c>
      <c r="C2173" t="s">
        <v>36</v>
      </c>
      <c r="D2173" t="s">
        <v>23</v>
      </c>
      <c r="E2173">
        <f t="shared" ca="1" si="68"/>
        <v>2.9377164473454198E-3</v>
      </c>
      <c r="F2173">
        <f>IFERROR(VLOOKUP(H2173,ProfessionalRisk!A:I,9,0),0)</f>
        <v>686</v>
      </c>
      <c r="G2173">
        <f t="shared" ca="1" si="67"/>
        <v>2</v>
      </c>
      <c r="H2173" t="s">
        <v>857</v>
      </c>
    </row>
    <row r="2174" spans="1:8">
      <c r="A2174" t="str">
        <f t="shared" si="66"/>
        <v>مركزئكميجان</v>
      </c>
      <c r="B2174" t="s">
        <v>27</v>
      </c>
      <c r="C2174" t="s">
        <v>37</v>
      </c>
      <c r="D2174" t="s">
        <v>19</v>
      </c>
      <c r="E2174">
        <f t="shared" ca="1" si="68"/>
        <v>0.6</v>
      </c>
      <c r="F2174">
        <f>IFERROR(VLOOKUP(H2174,ProfessionalRisk!A:I,9,0),0)</f>
        <v>481</v>
      </c>
      <c r="G2174">
        <f t="shared" ca="1" si="67"/>
        <v>289</v>
      </c>
      <c r="H2174" t="s">
        <v>854</v>
      </c>
    </row>
    <row r="2175" spans="1:8">
      <c r="A2175" t="str">
        <f t="shared" si="66"/>
        <v>مركزئكميجان</v>
      </c>
      <c r="B2175" t="s">
        <v>27</v>
      </c>
      <c r="C2175" t="s">
        <v>37</v>
      </c>
      <c r="D2175" t="s">
        <v>477</v>
      </c>
      <c r="E2175">
        <f t="shared" ca="1" si="68"/>
        <v>0.4</v>
      </c>
      <c r="F2175">
        <f>IFERROR(VLOOKUP(H2175,ProfessionalRisk!A:I,9,0),0)</f>
        <v>481</v>
      </c>
      <c r="G2175">
        <f t="shared" ca="1" si="67"/>
        <v>192</v>
      </c>
      <c r="H2175" t="s">
        <v>854</v>
      </c>
    </row>
    <row r="2176" spans="1:8">
      <c r="A2176" t="str">
        <f t="shared" si="66"/>
        <v>مركزئكميجان</v>
      </c>
      <c r="B2176" t="s">
        <v>27</v>
      </c>
      <c r="C2176" t="s">
        <v>37</v>
      </c>
      <c r="D2176" t="s">
        <v>23</v>
      </c>
      <c r="E2176">
        <f t="shared" ca="1" si="68"/>
        <v>7.7648458511476812E-3</v>
      </c>
      <c r="F2176">
        <f>IFERROR(VLOOKUP(H2176,ProfessionalRisk!A:I,9,0),0)</f>
        <v>481</v>
      </c>
      <c r="G2176">
        <f t="shared" ca="1" si="67"/>
        <v>4</v>
      </c>
      <c r="H2176" t="s">
        <v>854</v>
      </c>
    </row>
    <row r="2177" spans="1:8">
      <c r="A2177" t="str">
        <f t="shared" si="66"/>
        <v>مركزئخنداب</v>
      </c>
      <c r="B2177" t="s">
        <v>27</v>
      </c>
      <c r="C2177" t="s">
        <v>38</v>
      </c>
      <c r="D2177" t="s">
        <v>19</v>
      </c>
      <c r="E2177">
        <f t="shared" ca="1" si="68"/>
        <v>0.6</v>
      </c>
      <c r="F2177">
        <f>IFERROR(VLOOKUP(H2177,ProfessionalRisk!A:I,9,0),0)</f>
        <v>713</v>
      </c>
      <c r="G2177">
        <f t="shared" ca="1" si="67"/>
        <v>428</v>
      </c>
      <c r="H2177" t="s">
        <v>858</v>
      </c>
    </row>
    <row r="2178" spans="1:8">
      <c r="A2178" t="str">
        <f t="shared" ref="A2178:A2241" si="69">B2178&amp;C2178</f>
        <v>مركزئخنداب</v>
      </c>
      <c r="B2178" t="s">
        <v>27</v>
      </c>
      <c r="C2178" t="s">
        <v>38</v>
      </c>
      <c r="D2178" t="s">
        <v>477</v>
      </c>
      <c r="E2178">
        <f t="shared" ca="1" si="68"/>
        <v>0.4</v>
      </c>
      <c r="F2178">
        <f>IFERROR(VLOOKUP(H2178,ProfessionalRisk!A:I,9,0),0)</f>
        <v>713</v>
      </c>
      <c r="G2178">
        <f t="shared" ca="1" si="67"/>
        <v>285</v>
      </c>
      <c r="H2178" t="s">
        <v>858</v>
      </c>
    </row>
    <row r="2179" spans="1:8">
      <c r="A2179" t="str">
        <f t="shared" si="69"/>
        <v>مركزئخنداب</v>
      </c>
      <c r="B2179" t="s">
        <v>27</v>
      </c>
      <c r="C2179" t="s">
        <v>38</v>
      </c>
      <c r="D2179" t="s">
        <v>23</v>
      </c>
      <c r="E2179">
        <f t="shared" ca="1" si="68"/>
        <v>3.045126154231863E-3</v>
      </c>
      <c r="F2179">
        <f>IFERROR(VLOOKUP(H2179,ProfessionalRisk!A:I,9,0),0)</f>
        <v>713</v>
      </c>
      <c r="G2179">
        <f t="shared" ref="G2179:G2242" ca="1" si="70">IFERROR(ROUND(F2179*E2179,0),0)</f>
        <v>2</v>
      </c>
      <c r="H2179" t="s">
        <v>858</v>
      </c>
    </row>
    <row r="2180" spans="1:8">
      <c r="A2180" t="str">
        <f t="shared" si="69"/>
        <v>مركزئفراهان</v>
      </c>
      <c r="B2180" t="s">
        <v>27</v>
      </c>
      <c r="C2180" t="s">
        <v>40</v>
      </c>
      <c r="D2180" t="s">
        <v>19</v>
      </c>
      <c r="E2180">
        <f t="shared" ca="1" si="68"/>
        <v>0.6</v>
      </c>
      <c r="F2180">
        <f>IFERROR(VLOOKUP(H2180,ProfessionalRisk!A:I,9,0),0)</f>
        <v>498</v>
      </c>
      <c r="G2180">
        <f t="shared" ca="1" si="70"/>
        <v>299</v>
      </c>
      <c r="H2180" t="s">
        <v>864</v>
      </c>
    </row>
    <row r="2181" spans="1:8">
      <c r="A2181" t="str">
        <f t="shared" si="69"/>
        <v>مركزئفراهان</v>
      </c>
      <c r="B2181" t="s">
        <v>27</v>
      </c>
      <c r="C2181" t="s">
        <v>40</v>
      </c>
      <c r="D2181" t="s">
        <v>477</v>
      </c>
      <c r="E2181">
        <f t="shared" ca="1" si="68"/>
        <v>0.4</v>
      </c>
      <c r="F2181">
        <f>IFERROR(VLOOKUP(H2181,ProfessionalRisk!A:I,9,0),0)</f>
        <v>498</v>
      </c>
      <c r="G2181">
        <f t="shared" ca="1" si="70"/>
        <v>199</v>
      </c>
      <c r="H2181" t="s">
        <v>864</v>
      </c>
    </row>
    <row r="2182" spans="1:8">
      <c r="A2182" t="str">
        <f t="shared" si="69"/>
        <v>مركزئفراهان</v>
      </c>
      <c r="B2182" t="s">
        <v>27</v>
      </c>
      <c r="C2182" t="s">
        <v>40</v>
      </c>
      <c r="D2182" t="s">
        <v>23</v>
      </c>
      <c r="E2182">
        <f t="shared" ca="1" si="68"/>
        <v>6.9825505755434665E-4</v>
      </c>
      <c r="F2182">
        <f>IFERROR(VLOOKUP(H2182,ProfessionalRisk!A:I,9,0),0)</f>
        <v>498</v>
      </c>
      <c r="G2182">
        <f t="shared" ca="1" si="70"/>
        <v>0</v>
      </c>
      <c r="H2182" t="s">
        <v>864</v>
      </c>
    </row>
    <row r="2183" spans="1:8">
      <c r="A2183" t="str">
        <f t="shared" si="69"/>
        <v>گيلانآستارا</v>
      </c>
      <c r="B2183" t="s">
        <v>39</v>
      </c>
      <c r="C2183" t="s">
        <v>41</v>
      </c>
      <c r="D2183" t="s">
        <v>19</v>
      </c>
      <c r="E2183">
        <f t="shared" ca="1" si="68"/>
        <v>0.6</v>
      </c>
      <c r="F2183">
        <f>IFERROR(VLOOKUP(H2183,ProfessionalRisk!A:I,9,0),0)</f>
        <v>1184</v>
      </c>
      <c r="G2183">
        <f t="shared" ca="1" si="70"/>
        <v>710</v>
      </c>
      <c r="H2183" t="s">
        <v>987</v>
      </c>
    </row>
    <row r="2184" spans="1:8">
      <c r="A2184" t="str">
        <f t="shared" si="69"/>
        <v>گيلانآستارا</v>
      </c>
      <c r="B2184" t="s">
        <v>39</v>
      </c>
      <c r="C2184" t="s">
        <v>41</v>
      </c>
      <c r="D2184" t="s">
        <v>477</v>
      </c>
      <c r="E2184">
        <f t="shared" ca="1" si="68"/>
        <v>0.4</v>
      </c>
      <c r="F2184">
        <f>IFERROR(VLOOKUP(H2184,ProfessionalRisk!A:I,9,0),0)</f>
        <v>1184</v>
      </c>
      <c r="G2184">
        <f t="shared" ca="1" si="70"/>
        <v>474</v>
      </c>
      <c r="H2184" t="s">
        <v>987</v>
      </c>
    </row>
    <row r="2185" spans="1:8">
      <c r="A2185" t="str">
        <f t="shared" si="69"/>
        <v>گيلانآستارا</v>
      </c>
      <c r="B2185" t="s">
        <v>39</v>
      </c>
      <c r="C2185" t="s">
        <v>41</v>
      </c>
      <c r="D2185" t="s">
        <v>23</v>
      </c>
      <c r="E2185">
        <f t="shared" ca="1" si="68"/>
        <v>1.8328047447697497E-2</v>
      </c>
      <c r="F2185">
        <f>IFERROR(VLOOKUP(H2185,ProfessionalRisk!A:I,9,0),0)</f>
        <v>1184</v>
      </c>
      <c r="G2185">
        <f t="shared" ca="1" si="70"/>
        <v>22</v>
      </c>
      <c r="H2185" t="s">
        <v>987</v>
      </c>
    </row>
    <row r="2186" spans="1:8">
      <c r="A2186" t="str">
        <f t="shared" si="69"/>
        <v>گيلانآستانه اشرفيه</v>
      </c>
      <c r="B2186" t="s">
        <v>39</v>
      </c>
      <c r="C2186" t="s">
        <v>42</v>
      </c>
      <c r="D2186" t="s">
        <v>19</v>
      </c>
      <c r="E2186">
        <f t="shared" ca="1" si="68"/>
        <v>0.6</v>
      </c>
      <c r="F2186">
        <f>IFERROR(VLOOKUP(H2186,ProfessionalRisk!A:I,9,0),0)</f>
        <v>708</v>
      </c>
      <c r="G2186">
        <f t="shared" ca="1" si="70"/>
        <v>425</v>
      </c>
      <c r="H2186" t="s">
        <v>978</v>
      </c>
    </row>
    <row r="2187" spans="1:8">
      <c r="A2187" t="str">
        <f t="shared" si="69"/>
        <v>گيلانآستانه اشرفيه</v>
      </c>
      <c r="B2187" t="s">
        <v>39</v>
      </c>
      <c r="C2187" t="s">
        <v>42</v>
      </c>
      <c r="D2187" t="s">
        <v>477</v>
      </c>
      <c r="E2187">
        <f t="shared" ca="1" si="68"/>
        <v>0.4</v>
      </c>
      <c r="F2187">
        <f>IFERROR(VLOOKUP(H2187,ProfessionalRisk!A:I,9,0),0)</f>
        <v>708</v>
      </c>
      <c r="G2187">
        <f t="shared" ca="1" si="70"/>
        <v>283</v>
      </c>
      <c r="H2187" t="s">
        <v>978</v>
      </c>
    </row>
    <row r="2188" spans="1:8">
      <c r="A2188" t="str">
        <f t="shared" si="69"/>
        <v>گيلانآستانه اشرفيه</v>
      </c>
      <c r="B2188" t="s">
        <v>39</v>
      </c>
      <c r="C2188" t="s">
        <v>42</v>
      </c>
      <c r="D2188" t="s">
        <v>23</v>
      </c>
      <c r="E2188">
        <f t="shared" ca="1" si="68"/>
        <v>1.0772509156019084E-2</v>
      </c>
      <c r="F2188">
        <f>IFERROR(VLOOKUP(H2188,ProfessionalRisk!A:I,9,0),0)</f>
        <v>708</v>
      </c>
      <c r="G2188">
        <f t="shared" ca="1" si="70"/>
        <v>8</v>
      </c>
      <c r="H2188" t="s">
        <v>978</v>
      </c>
    </row>
    <row r="2189" spans="1:8">
      <c r="A2189" t="str">
        <f t="shared" si="69"/>
        <v>گيلانبندرانزلي</v>
      </c>
      <c r="B2189" t="s">
        <v>39</v>
      </c>
      <c r="C2189" t="s">
        <v>43</v>
      </c>
      <c r="D2189" t="s">
        <v>19</v>
      </c>
      <c r="E2189">
        <f t="shared" ca="1" si="68"/>
        <v>0.6</v>
      </c>
      <c r="F2189">
        <f>IFERROR(VLOOKUP(H2189,ProfessionalRisk!A:I,9,0),0)</f>
        <v>1802</v>
      </c>
      <c r="G2189">
        <f t="shared" ca="1" si="70"/>
        <v>1081</v>
      </c>
      <c r="H2189" t="s">
        <v>984</v>
      </c>
    </row>
    <row r="2190" spans="1:8">
      <c r="A2190" t="str">
        <f t="shared" si="69"/>
        <v>گيلانبندرانزلي</v>
      </c>
      <c r="B2190" t="s">
        <v>39</v>
      </c>
      <c r="C2190" t="s">
        <v>43</v>
      </c>
      <c r="D2190" t="s">
        <v>477</v>
      </c>
      <c r="E2190">
        <f t="shared" ca="1" si="68"/>
        <v>0.4</v>
      </c>
      <c r="F2190">
        <f>IFERROR(VLOOKUP(H2190,ProfessionalRisk!A:I,9,0),0)</f>
        <v>1802</v>
      </c>
      <c r="G2190">
        <f t="shared" ca="1" si="70"/>
        <v>721</v>
      </c>
      <c r="H2190" t="s">
        <v>984</v>
      </c>
    </row>
    <row r="2191" spans="1:8">
      <c r="A2191" t="str">
        <f t="shared" si="69"/>
        <v>گيلانبندرانزلي</v>
      </c>
      <c r="B2191" t="s">
        <v>39</v>
      </c>
      <c r="C2191" t="s">
        <v>43</v>
      </c>
      <c r="D2191" t="s">
        <v>23</v>
      </c>
      <c r="E2191">
        <f t="shared" ca="1" si="68"/>
        <v>1.2177183446670955E-2</v>
      </c>
      <c r="F2191">
        <f>IFERROR(VLOOKUP(H2191,ProfessionalRisk!A:I,9,0),0)</f>
        <v>1802</v>
      </c>
      <c r="G2191">
        <f t="shared" ca="1" si="70"/>
        <v>22</v>
      </c>
      <c r="H2191" t="s">
        <v>984</v>
      </c>
    </row>
    <row r="2192" spans="1:8">
      <c r="A2192" t="str">
        <f t="shared" si="69"/>
        <v>گيلانتالش</v>
      </c>
      <c r="B2192" t="s">
        <v>39</v>
      </c>
      <c r="C2192" t="s">
        <v>44</v>
      </c>
      <c r="D2192" t="s">
        <v>19</v>
      </c>
      <c r="E2192">
        <f t="shared" ca="1" si="68"/>
        <v>0.6</v>
      </c>
      <c r="F2192">
        <f>IFERROR(VLOOKUP(H2192,ProfessionalRisk!A:I,9,0),0)</f>
        <v>2317</v>
      </c>
      <c r="G2192">
        <f t="shared" ca="1" si="70"/>
        <v>1390</v>
      </c>
      <c r="H2192" t="s">
        <v>980</v>
      </c>
    </row>
    <row r="2193" spans="1:8">
      <c r="A2193" t="str">
        <f t="shared" si="69"/>
        <v>گيلانتالش</v>
      </c>
      <c r="B2193" t="s">
        <v>39</v>
      </c>
      <c r="C2193" t="s">
        <v>44</v>
      </c>
      <c r="D2193" t="s">
        <v>477</v>
      </c>
      <c r="E2193">
        <f t="shared" ca="1" si="68"/>
        <v>0.4</v>
      </c>
      <c r="F2193">
        <f>IFERROR(VLOOKUP(H2193,ProfessionalRisk!A:I,9,0),0)</f>
        <v>2317</v>
      </c>
      <c r="G2193">
        <f t="shared" ca="1" si="70"/>
        <v>927</v>
      </c>
      <c r="H2193" t="s">
        <v>980</v>
      </c>
    </row>
    <row r="2194" spans="1:8">
      <c r="A2194" t="str">
        <f t="shared" si="69"/>
        <v>گيلانتالش</v>
      </c>
      <c r="B2194" t="s">
        <v>39</v>
      </c>
      <c r="C2194" t="s">
        <v>44</v>
      </c>
      <c r="D2194" t="s">
        <v>23</v>
      </c>
      <c r="E2194">
        <f t="shared" ca="1" si="68"/>
        <v>1.1962153417336783E-2</v>
      </c>
      <c r="F2194">
        <f>IFERROR(VLOOKUP(H2194,ProfessionalRisk!A:I,9,0),0)</f>
        <v>2317</v>
      </c>
      <c r="G2194">
        <f t="shared" ca="1" si="70"/>
        <v>28</v>
      </c>
      <c r="H2194" t="s">
        <v>980</v>
      </c>
    </row>
    <row r="2195" spans="1:8">
      <c r="A2195" t="str">
        <f t="shared" si="69"/>
        <v>گيلانرشت</v>
      </c>
      <c r="B2195" t="s">
        <v>39</v>
      </c>
      <c r="C2195" t="s">
        <v>45</v>
      </c>
      <c r="D2195" t="s">
        <v>19</v>
      </c>
      <c r="E2195">
        <f t="shared" ca="1" si="68"/>
        <v>0.6</v>
      </c>
      <c r="F2195">
        <f>IFERROR(VLOOKUP(H2195,ProfessionalRisk!A:I,9,0),0)</f>
        <v>24908</v>
      </c>
      <c r="G2195">
        <f t="shared" ca="1" si="70"/>
        <v>14945</v>
      </c>
      <c r="H2195" t="s">
        <v>985</v>
      </c>
    </row>
    <row r="2196" spans="1:8">
      <c r="A2196" t="str">
        <f t="shared" si="69"/>
        <v>گيلانرشت</v>
      </c>
      <c r="B2196" t="s">
        <v>39</v>
      </c>
      <c r="C2196" t="s">
        <v>45</v>
      </c>
      <c r="D2196" t="s">
        <v>477</v>
      </c>
      <c r="E2196">
        <f t="shared" ca="1" si="68"/>
        <v>0.4</v>
      </c>
      <c r="F2196">
        <f>IFERROR(VLOOKUP(H2196,ProfessionalRisk!A:I,9,0),0)</f>
        <v>24908</v>
      </c>
      <c r="G2196">
        <f t="shared" ca="1" si="70"/>
        <v>9963</v>
      </c>
      <c r="H2196" t="s">
        <v>985</v>
      </c>
    </row>
    <row r="2197" spans="1:8">
      <c r="A2197" t="str">
        <f t="shared" si="69"/>
        <v>گيلانرشت</v>
      </c>
      <c r="B2197" t="s">
        <v>39</v>
      </c>
      <c r="C2197" t="s">
        <v>45</v>
      </c>
      <c r="D2197" t="s">
        <v>23</v>
      </c>
      <c r="E2197">
        <f t="shared" ca="1" si="68"/>
        <v>1.9135472692140169E-2</v>
      </c>
      <c r="F2197">
        <f>IFERROR(VLOOKUP(H2197,ProfessionalRisk!A:I,9,0),0)</f>
        <v>24908</v>
      </c>
      <c r="G2197">
        <f t="shared" ca="1" si="70"/>
        <v>477</v>
      </c>
      <c r="H2197" t="s">
        <v>985</v>
      </c>
    </row>
    <row r="2198" spans="1:8">
      <c r="A2198" t="str">
        <f t="shared" si="69"/>
        <v>گيلانرودبار</v>
      </c>
      <c r="B2198" t="s">
        <v>39</v>
      </c>
      <c r="C2198" t="s">
        <v>46</v>
      </c>
      <c r="D2198" t="s">
        <v>19</v>
      </c>
      <c r="E2198">
        <f t="shared" ca="1" si="68"/>
        <v>0.6</v>
      </c>
      <c r="F2198">
        <f>IFERROR(VLOOKUP(H2198,ProfessionalRisk!A:I,9,0),0)</f>
        <v>1482</v>
      </c>
      <c r="G2198">
        <f t="shared" ca="1" si="70"/>
        <v>889</v>
      </c>
      <c r="H2198" t="s">
        <v>986</v>
      </c>
    </row>
    <row r="2199" spans="1:8">
      <c r="A2199" t="str">
        <f t="shared" si="69"/>
        <v>گيلانرودبار</v>
      </c>
      <c r="B2199" t="s">
        <v>39</v>
      </c>
      <c r="C2199" t="s">
        <v>46</v>
      </c>
      <c r="D2199" t="s">
        <v>477</v>
      </c>
      <c r="E2199">
        <f t="shared" ca="1" si="68"/>
        <v>0.4</v>
      </c>
      <c r="F2199">
        <f>IFERROR(VLOOKUP(H2199,ProfessionalRisk!A:I,9,0),0)</f>
        <v>1482</v>
      </c>
      <c r="G2199">
        <f t="shared" ca="1" si="70"/>
        <v>593</v>
      </c>
      <c r="H2199" t="s">
        <v>986</v>
      </c>
    </row>
    <row r="2200" spans="1:8">
      <c r="A2200" t="str">
        <f t="shared" si="69"/>
        <v>گيلانرودبار</v>
      </c>
      <c r="B2200" t="s">
        <v>39</v>
      </c>
      <c r="C2200" t="s">
        <v>46</v>
      </c>
      <c r="D2200" t="s">
        <v>23</v>
      </c>
      <c r="E2200">
        <f t="shared" ca="1" si="68"/>
        <v>1.0523763089313541E-2</v>
      </c>
      <c r="F2200">
        <f>IFERROR(VLOOKUP(H2200,ProfessionalRisk!A:I,9,0),0)</f>
        <v>1482</v>
      </c>
      <c r="G2200">
        <f t="shared" ca="1" si="70"/>
        <v>16</v>
      </c>
      <c r="H2200" t="s">
        <v>986</v>
      </c>
    </row>
    <row r="2201" spans="1:8">
      <c r="A2201" t="str">
        <f t="shared" si="69"/>
        <v>گيلانرودسر</v>
      </c>
      <c r="B2201" t="s">
        <v>39</v>
      </c>
      <c r="C2201" t="s">
        <v>47</v>
      </c>
      <c r="D2201" t="s">
        <v>19</v>
      </c>
      <c r="E2201">
        <f t="shared" ca="1" si="68"/>
        <v>0.6</v>
      </c>
      <c r="F2201">
        <f>IFERROR(VLOOKUP(H2201,ProfessionalRisk!A:I,9,0),0)</f>
        <v>1931</v>
      </c>
      <c r="G2201">
        <f t="shared" ca="1" si="70"/>
        <v>1159</v>
      </c>
      <c r="H2201" t="s">
        <v>983</v>
      </c>
    </row>
    <row r="2202" spans="1:8">
      <c r="A2202" t="str">
        <f t="shared" si="69"/>
        <v>گيلانرودسر</v>
      </c>
      <c r="B2202" t="s">
        <v>39</v>
      </c>
      <c r="C2202" t="s">
        <v>47</v>
      </c>
      <c r="D2202" t="s">
        <v>477</v>
      </c>
      <c r="E2202">
        <f t="shared" ca="1" si="68"/>
        <v>0.4</v>
      </c>
      <c r="F2202">
        <f>IFERROR(VLOOKUP(H2202,ProfessionalRisk!A:I,9,0),0)</f>
        <v>1931</v>
      </c>
      <c r="G2202">
        <f t="shared" ca="1" si="70"/>
        <v>772</v>
      </c>
      <c r="H2202" t="s">
        <v>983</v>
      </c>
    </row>
    <row r="2203" spans="1:8">
      <c r="A2203" t="str">
        <f t="shared" si="69"/>
        <v>گيلانرودسر</v>
      </c>
      <c r="B2203" t="s">
        <v>39</v>
      </c>
      <c r="C2203" t="s">
        <v>47</v>
      </c>
      <c r="D2203" t="s">
        <v>23</v>
      </c>
      <c r="E2203">
        <f t="shared" ca="1" si="68"/>
        <v>3.3291726821573775E-3</v>
      </c>
      <c r="F2203">
        <f>IFERROR(VLOOKUP(H2203,ProfessionalRisk!A:I,9,0),0)</f>
        <v>1931</v>
      </c>
      <c r="G2203">
        <f t="shared" ca="1" si="70"/>
        <v>6</v>
      </c>
      <c r="H2203" t="s">
        <v>983</v>
      </c>
    </row>
    <row r="2204" spans="1:8">
      <c r="A2204" t="str">
        <f t="shared" si="69"/>
        <v>گيلانصومعه سرا</v>
      </c>
      <c r="B2204" t="s">
        <v>39</v>
      </c>
      <c r="C2204" t="s">
        <v>48</v>
      </c>
      <c r="D2204" t="s">
        <v>19</v>
      </c>
      <c r="E2204">
        <f t="shared" ca="1" si="68"/>
        <v>0.6</v>
      </c>
      <c r="F2204">
        <f>IFERROR(VLOOKUP(H2204,ProfessionalRisk!A:I,9,0),0)</f>
        <v>916</v>
      </c>
      <c r="G2204">
        <f t="shared" ca="1" si="70"/>
        <v>550</v>
      </c>
      <c r="H2204" t="s">
        <v>973</v>
      </c>
    </row>
    <row r="2205" spans="1:8">
      <c r="A2205" t="str">
        <f t="shared" si="69"/>
        <v>گيلانصومعه سرا</v>
      </c>
      <c r="B2205" t="s">
        <v>39</v>
      </c>
      <c r="C2205" t="s">
        <v>48</v>
      </c>
      <c r="D2205" t="s">
        <v>477</v>
      </c>
      <c r="E2205">
        <f t="shared" ca="1" si="68"/>
        <v>0.4</v>
      </c>
      <c r="F2205">
        <f>IFERROR(VLOOKUP(H2205,ProfessionalRisk!A:I,9,0),0)</f>
        <v>916</v>
      </c>
      <c r="G2205">
        <f t="shared" ca="1" si="70"/>
        <v>366</v>
      </c>
      <c r="H2205" t="s">
        <v>973</v>
      </c>
    </row>
    <row r="2206" spans="1:8">
      <c r="A2206" t="str">
        <f t="shared" si="69"/>
        <v>گيلانصومعه سرا</v>
      </c>
      <c r="B2206" t="s">
        <v>39</v>
      </c>
      <c r="C2206" t="s">
        <v>48</v>
      </c>
      <c r="D2206" t="s">
        <v>23</v>
      </c>
      <c r="E2206">
        <f t="shared" ca="1" si="68"/>
        <v>7.9037939823074551E-3</v>
      </c>
      <c r="F2206">
        <f>IFERROR(VLOOKUP(H2206,ProfessionalRisk!A:I,9,0),0)</f>
        <v>916</v>
      </c>
      <c r="G2206">
        <f t="shared" ca="1" si="70"/>
        <v>7</v>
      </c>
      <c r="H2206" t="s">
        <v>973</v>
      </c>
    </row>
    <row r="2207" spans="1:8">
      <c r="A2207" t="str">
        <f t="shared" si="69"/>
        <v>گيلانفومن</v>
      </c>
      <c r="B2207" t="s">
        <v>39</v>
      </c>
      <c r="C2207" t="s">
        <v>49</v>
      </c>
      <c r="D2207" t="s">
        <v>19</v>
      </c>
      <c r="E2207">
        <f t="shared" ca="1" si="68"/>
        <v>0.6</v>
      </c>
      <c r="F2207">
        <f>IFERROR(VLOOKUP(H2207,ProfessionalRisk!A:I,9,0),0)</f>
        <v>1097</v>
      </c>
      <c r="G2207">
        <f t="shared" ca="1" si="70"/>
        <v>658</v>
      </c>
      <c r="H2207" t="s">
        <v>976</v>
      </c>
    </row>
    <row r="2208" spans="1:8">
      <c r="A2208" t="str">
        <f t="shared" si="69"/>
        <v>گيلانفومن</v>
      </c>
      <c r="B2208" t="s">
        <v>39</v>
      </c>
      <c r="C2208" t="s">
        <v>49</v>
      </c>
      <c r="D2208" t="s">
        <v>477</v>
      </c>
      <c r="E2208">
        <f t="shared" ca="1" si="68"/>
        <v>0.4</v>
      </c>
      <c r="F2208">
        <f>IFERROR(VLOOKUP(H2208,ProfessionalRisk!A:I,9,0),0)</f>
        <v>1097</v>
      </c>
      <c r="G2208">
        <f t="shared" ca="1" si="70"/>
        <v>439</v>
      </c>
      <c r="H2208" t="s">
        <v>976</v>
      </c>
    </row>
    <row r="2209" spans="1:8">
      <c r="A2209" t="str">
        <f t="shared" si="69"/>
        <v>گيلانفومن</v>
      </c>
      <c r="B2209" t="s">
        <v>39</v>
      </c>
      <c r="C2209" t="s">
        <v>49</v>
      </c>
      <c r="D2209" t="s">
        <v>23</v>
      </c>
      <c r="E2209">
        <f t="shared" ca="1" si="68"/>
        <v>4.2845462217451003E-4</v>
      </c>
      <c r="F2209">
        <f>IFERROR(VLOOKUP(H2209,ProfessionalRisk!A:I,9,0),0)</f>
        <v>1097</v>
      </c>
      <c r="G2209">
        <f t="shared" ca="1" si="70"/>
        <v>0</v>
      </c>
      <c r="H2209" t="s">
        <v>976</v>
      </c>
    </row>
    <row r="2210" spans="1:8">
      <c r="A2210" t="str">
        <f t="shared" si="69"/>
        <v>گيلانلنگرود</v>
      </c>
      <c r="B2210" t="s">
        <v>39</v>
      </c>
      <c r="C2210" t="s">
        <v>50</v>
      </c>
      <c r="D2210" t="s">
        <v>19</v>
      </c>
      <c r="E2210">
        <f t="shared" ca="1" si="68"/>
        <v>0.6</v>
      </c>
      <c r="F2210">
        <f>IFERROR(VLOOKUP(H2210,ProfessionalRisk!A:I,9,0),0)</f>
        <v>1742</v>
      </c>
      <c r="G2210">
        <f t="shared" ca="1" si="70"/>
        <v>1045</v>
      </c>
      <c r="H2210" t="s">
        <v>975</v>
      </c>
    </row>
    <row r="2211" spans="1:8">
      <c r="A2211" t="str">
        <f t="shared" si="69"/>
        <v>گيلانلنگرود</v>
      </c>
      <c r="B2211" t="s">
        <v>39</v>
      </c>
      <c r="C2211" t="s">
        <v>50</v>
      </c>
      <c r="D2211" t="s">
        <v>477</v>
      </c>
      <c r="E2211">
        <f t="shared" ref="E2211:E2274" ca="1" si="71">IF(D2211="AP",0.6,IF(D2211="BP",0.4,RAND()*0.02))</f>
        <v>0.4</v>
      </c>
      <c r="F2211">
        <f>IFERROR(VLOOKUP(H2211,ProfessionalRisk!A:I,9,0),0)</f>
        <v>1742</v>
      </c>
      <c r="G2211">
        <f t="shared" ca="1" si="70"/>
        <v>697</v>
      </c>
      <c r="H2211" t="s">
        <v>975</v>
      </c>
    </row>
    <row r="2212" spans="1:8">
      <c r="A2212" t="str">
        <f t="shared" si="69"/>
        <v>گيلانلنگرود</v>
      </c>
      <c r="B2212" t="s">
        <v>39</v>
      </c>
      <c r="C2212" t="s">
        <v>50</v>
      </c>
      <c r="D2212" t="s">
        <v>23</v>
      </c>
      <c r="E2212">
        <f t="shared" ca="1" si="71"/>
        <v>8.6385255914152338E-3</v>
      </c>
      <c r="F2212">
        <f>IFERROR(VLOOKUP(H2212,ProfessionalRisk!A:I,9,0),0)</f>
        <v>1742</v>
      </c>
      <c r="G2212">
        <f t="shared" ca="1" si="70"/>
        <v>15</v>
      </c>
      <c r="H2212" t="s">
        <v>975</v>
      </c>
    </row>
    <row r="2213" spans="1:8">
      <c r="A2213" t="str">
        <f t="shared" si="69"/>
        <v>گيلانلاهيجان</v>
      </c>
      <c r="B2213" t="s">
        <v>39</v>
      </c>
      <c r="C2213" t="s">
        <v>51</v>
      </c>
      <c r="D2213" t="s">
        <v>19</v>
      </c>
      <c r="E2213">
        <f t="shared" ca="1" si="71"/>
        <v>0.6</v>
      </c>
      <c r="F2213">
        <f>IFERROR(VLOOKUP(H2213,ProfessionalRisk!A:I,9,0),0)</f>
        <v>4040</v>
      </c>
      <c r="G2213">
        <f t="shared" ca="1" si="70"/>
        <v>2424</v>
      </c>
      <c r="H2213" t="s">
        <v>979</v>
      </c>
    </row>
    <row r="2214" spans="1:8">
      <c r="A2214" t="str">
        <f t="shared" si="69"/>
        <v>گيلانلاهيجان</v>
      </c>
      <c r="B2214" t="s">
        <v>39</v>
      </c>
      <c r="C2214" t="s">
        <v>51</v>
      </c>
      <c r="D2214" t="s">
        <v>477</v>
      </c>
      <c r="E2214">
        <f t="shared" ca="1" si="71"/>
        <v>0.4</v>
      </c>
      <c r="F2214">
        <f>IFERROR(VLOOKUP(H2214,ProfessionalRisk!A:I,9,0),0)</f>
        <v>4040</v>
      </c>
      <c r="G2214">
        <f t="shared" ca="1" si="70"/>
        <v>1616</v>
      </c>
      <c r="H2214" t="s">
        <v>979</v>
      </c>
    </row>
    <row r="2215" spans="1:8">
      <c r="A2215" t="str">
        <f t="shared" si="69"/>
        <v>گيلانلاهيجان</v>
      </c>
      <c r="B2215" t="s">
        <v>39</v>
      </c>
      <c r="C2215" t="s">
        <v>51</v>
      </c>
      <c r="D2215" t="s">
        <v>23</v>
      </c>
      <c r="E2215">
        <f t="shared" ca="1" si="71"/>
        <v>1.6218581569501272E-2</v>
      </c>
      <c r="F2215">
        <f>IFERROR(VLOOKUP(H2215,ProfessionalRisk!A:I,9,0),0)</f>
        <v>4040</v>
      </c>
      <c r="G2215">
        <f t="shared" ca="1" si="70"/>
        <v>66</v>
      </c>
      <c r="H2215" t="s">
        <v>979</v>
      </c>
    </row>
    <row r="2216" spans="1:8">
      <c r="A2216" t="str">
        <f t="shared" si="69"/>
        <v>گيلانشفت</v>
      </c>
      <c r="B2216" t="s">
        <v>39</v>
      </c>
      <c r="C2216" t="s">
        <v>52</v>
      </c>
      <c r="D2216" t="s">
        <v>19</v>
      </c>
      <c r="E2216">
        <f t="shared" ca="1" si="71"/>
        <v>0.6</v>
      </c>
      <c r="F2216">
        <f>IFERROR(VLOOKUP(H2216,ProfessionalRisk!A:I,9,0),0)</f>
        <v>665</v>
      </c>
      <c r="G2216">
        <f t="shared" ca="1" si="70"/>
        <v>399</v>
      </c>
      <c r="H2216" t="s">
        <v>989</v>
      </c>
    </row>
    <row r="2217" spans="1:8">
      <c r="A2217" t="str">
        <f t="shared" si="69"/>
        <v>گيلانشفت</v>
      </c>
      <c r="B2217" t="s">
        <v>39</v>
      </c>
      <c r="C2217" t="s">
        <v>52</v>
      </c>
      <c r="D2217" t="s">
        <v>477</v>
      </c>
      <c r="E2217">
        <f t="shared" ca="1" si="71"/>
        <v>0.4</v>
      </c>
      <c r="F2217">
        <f>IFERROR(VLOOKUP(H2217,ProfessionalRisk!A:I,9,0),0)</f>
        <v>665</v>
      </c>
      <c r="G2217">
        <f t="shared" ca="1" si="70"/>
        <v>266</v>
      </c>
      <c r="H2217" t="s">
        <v>989</v>
      </c>
    </row>
    <row r="2218" spans="1:8">
      <c r="A2218" t="str">
        <f t="shared" si="69"/>
        <v>گيلانشفت</v>
      </c>
      <c r="B2218" t="s">
        <v>39</v>
      </c>
      <c r="C2218" t="s">
        <v>52</v>
      </c>
      <c r="D2218" t="s">
        <v>23</v>
      </c>
      <c r="E2218">
        <f t="shared" ca="1" si="71"/>
        <v>1.4084742778109414E-2</v>
      </c>
      <c r="F2218">
        <f>IFERROR(VLOOKUP(H2218,ProfessionalRisk!A:I,9,0),0)</f>
        <v>665</v>
      </c>
      <c r="G2218">
        <f t="shared" ca="1" si="70"/>
        <v>9</v>
      </c>
      <c r="H2218" t="s">
        <v>989</v>
      </c>
    </row>
    <row r="2219" spans="1:8">
      <c r="A2219" t="str">
        <f t="shared" si="69"/>
        <v>گيلاناملش</v>
      </c>
      <c r="B2219" t="s">
        <v>39</v>
      </c>
      <c r="C2219" t="s">
        <v>53</v>
      </c>
      <c r="D2219" t="s">
        <v>19</v>
      </c>
      <c r="E2219">
        <f t="shared" ca="1" si="71"/>
        <v>0.6</v>
      </c>
      <c r="F2219">
        <f>IFERROR(VLOOKUP(H2219,ProfessionalRisk!A:I,9,0),0)</f>
        <v>503</v>
      </c>
      <c r="G2219">
        <f t="shared" ca="1" si="70"/>
        <v>302</v>
      </c>
      <c r="H2219" t="s">
        <v>982</v>
      </c>
    </row>
    <row r="2220" spans="1:8">
      <c r="A2220" t="str">
        <f t="shared" si="69"/>
        <v>گيلاناملش</v>
      </c>
      <c r="B2220" t="s">
        <v>39</v>
      </c>
      <c r="C2220" t="s">
        <v>53</v>
      </c>
      <c r="D2220" t="s">
        <v>477</v>
      </c>
      <c r="E2220">
        <f t="shared" ca="1" si="71"/>
        <v>0.4</v>
      </c>
      <c r="F2220">
        <f>IFERROR(VLOOKUP(H2220,ProfessionalRisk!A:I,9,0),0)</f>
        <v>503</v>
      </c>
      <c r="G2220">
        <f t="shared" ca="1" si="70"/>
        <v>201</v>
      </c>
      <c r="H2220" t="s">
        <v>982</v>
      </c>
    </row>
    <row r="2221" spans="1:8">
      <c r="A2221" t="str">
        <f t="shared" si="69"/>
        <v>گيلاناملش</v>
      </c>
      <c r="B2221" t="s">
        <v>39</v>
      </c>
      <c r="C2221" t="s">
        <v>53</v>
      </c>
      <c r="D2221" t="s">
        <v>23</v>
      </c>
      <c r="E2221">
        <f t="shared" ca="1" si="71"/>
        <v>1.407351360812086E-2</v>
      </c>
      <c r="F2221">
        <f>IFERROR(VLOOKUP(H2221,ProfessionalRisk!A:I,9,0),0)</f>
        <v>503</v>
      </c>
      <c r="G2221">
        <f t="shared" ca="1" si="70"/>
        <v>7</v>
      </c>
      <c r="H2221" t="s">
        <v>982</v>
      </c>
    </row>
    <row r="2222" spans="1:8">
      <c r="A2222" t="str">
        <f t="shared" si="69"/>
        <v>گيلانرضوانشهر</v>
      </c>
      <c r="B2222" t="s">
        <v>39</v>
      </c>
      <c r="C2222" t="s">
        <v>54</v>
      </c>
      <c r="D2222" t="s">
        <v>19</v>
      </c>
      <c r="E2222">
        <f t="shared" ca="1" si="71"/>
        <v>0.6</v>
      </c>
      <c r="F2222">
        <f>IFERROR(VLOOKUP(H2222,ProfessionalRisk!A:I,9,0),0)</f>
        <v>543</v>
      </c>
      <c r="G2222">
        <f t="shared" ca="1" si="70"/>
        <v>326</v>
      </c>
      <c r="H2222" t="s">
        <v>988</v>
      </c>
    </row>
    <row r="2223" spans="1:8">
      <c r="A2223" t="str">
        <f t="shared" si="69"/>
        <v>گيلانرضوانشهر</v>
      </c>
      <c r="B2223" t="s">
        <v>39</v>
      </c>
      <c r="C2223" t="s">
        <v>54</v>
      </c>
      <c r="D2223" t="s">
        <v>477</v>
      </c>
      <c r="E2223">
        <f t="shared" ca="1" si="71"/>
        <v>0.4</v>
      </c>
      <c r="F2223">
        <f>IFERROR(VLOOKUP(H2223,ProfessionalRisk!A:I,9,0),0)</f>
        <v>543</v>
      </c>
      <c r="G2223">
        <f t="shared" ca="1" si="70"/>
        <v>217</v>
      </c>
      <c r="H2223" t="s">
        <v>988</v>
      </c>
    </row>
    <row r="2224" spans="1:8">
      <c r="A2224" t="str">
        <f t="shared" si="69"/>
        <v>گيلانرضوانشهر</v>
      </c>
      <c r="B2224" t="s">
        <v>39</v>
      </c>
      <c r="C2224" t="s">
        <v>54</v>
      </c>
      <c r="D2224" t="s">
        <v>23</v>
      </c>
      <c r="E2224">
        <f t="shared" ca="1" si="71"/>
        <v>9.1533062804836241E-3</v>
      </c>
      <c r="F2224">
        <f>IFERROR(VLOOKUP(H2224,ProfessionalRisk!A:I,9,0),0)</f>
        <v>543</v>
      </c>
      <c r="G2224">
        <f t="shared" ca="1" si="70"/>
        <v>5</v>
      </c>
      <c r="H2224" t="s">
        <v>988</v>
      </c>
    </row>
    <row r="2225" spans="1:8">
      <c r="A2225" t="str">
        <f t="shared" si="69"/>
        <v>گيلانسياهكل</v>
      </c>
      <c r="B2225" t="s">
        <v>39</v>
      </c>
      <c r="C2225" t="s">
        <v>55</v>
      </c>
      <c r="D2225" t="s">
        <v>19</v>
      </c>
      <c r="E2225">
        <f t="shared" ca="1" si="71"/>
        <v>0.6</v>
      </c>
      <c r="F2225">
        <f>IFERROR(VLOOKUP(H2225,ProfessionalRisk!A:I,9,0),0)</f>
        <v>794</v>
      </c>
      <c r="G2225">
        <f t="shared" ca="1" si="70"/>
        <v>476</v>
      </c>
      <c r="H2225" t="s">
        <v>977</v>
      </c>
    </row>
    <row r="2226" spans="1:8">
      <c r="A2226" t="str">
        <f t="shared" si="69"/>
        <v>گيلانسياهكل</v>
      </c>
      <c r="B2226" t="s">
        <v>39</v>
      </c>
      <c r="C2226" t="s">
        <v>55</v>
      </c>
      <c r="D2226" t="s">
        <v>477</v>
      </c>
      <c r="E2226">
        <f t="shared" ca="1" si="71"/>
        <v>0.4</v>
      </c>
      <c r="F2226">
        <f>IFERROR(VLOOKUP(H2226,ProfessionalRisk!A:I,9,0),0)</f>
        <v>794</v>
      </c>
      <c r="G2226">
        <f t="shared" ca="1" si="70"/>
        <v>318</v>
      </c>
      <c r="H2226" t="s">
        <v>977</v>
      </c>
    </row>
    <row r="2227" spans="1:8">
      <c r="A2227" t="str">
        <f t="shared" si="69"/>
        <v>گيلانسياهكل</v>
      </c>
      <c r="B2227" t="s">
        <v>39</v>
      </c>
      <c r="C2227" t="s">
        <v>55</v>
      </c>
      <c r="D2227" t="s">
        <v>23</v>
      </c>
      <c r="E2227">
        <f t="shared" ca="1" si="71"/>
        <v>1.6832562258675666E-3</v>
      </c>
      <c r="F2227">
        <f>IFERROR(VLOOKUP(H2227,ProfessionalRisk!A:I,9,0),0)</f>
        <v>794</v>
      </c>
      <c r="G2227">
        <f t="shared" ca="1" si="70"/>
        <v>1</v>
      </c>
      <c r="H2227" t="s">
        <v>977</v>
      </c>
    </row>
    <row r="2228" spans="1:8">
      <c r="A2228" t="str">
        <f t="shared" si="69"/>
        <v>گيلانماسال</v>
      </c>
      <c r="B2228" t="s">
        <v>39</v>
      </c>
      <c r="C2228" t="s">
        <v>57</v>
      </c>
      <c r="D2228" t="s">
        <v>19</v>
      </c>
      <c r="E2228">
        <f t="shared" ca="1" si="71"/>
        <v>0.6</v>
      </c>
      <c r="F2228">
        <f>IFERROR(VLOOKUP(H2228,ProfessionalRisk!A:I,9,0),0)</f>
        <v>500</v>
      </c>
      <c r="G2228">
        <f t="shared" ca="1" si="70"/>
        <v>300</v>
      </c>
      <c r="H2228" t="s">
        <v>990</v>
      </c>
    </row>
    <row r="2229" spans="1:8">
      <c r="A2229" t="str">
        <f t="shared" si="69"/>
        <v>گيلانماسال</v>
      </c>
      <c r="B2229" t="s">
        <v>39</v>
      </c>
      <c r="C2229" t="s">
        <v>57</v>
      </c>
      <c r="D2229" t="s">
        <v>477</v>
      </c>
      <c r="E2229">
        <f t="shared" ca="1" si="71"/>
        <v>0.4</v>
      </c>
      <c r="F2229">
        <f>IFERROR(VLOOKUP(H2229,ProfessionalRisk!A:I,9,0),0)</f>
        <v>500</v>
      </c>
      <c r="G2229">
        <f t="shared" ca="1" si="70"/>
        <v>200</v>
      </c>
      <c r="H2229" t="s">
        <v>990</v>
      </c>
    </row>
    <row r="2230" spans="1:8">
      <c r="A2230" t="str">
        <f t="shared" si="69"/>
        <v>گيلانماسال</v>
      </c>
      <c r="B2230" t="s">
        <v>39</v>
      </c>
      <c r="C2230" t="s">
        <v>57</v>
      </c>
      <c r="D2230" t="s">
        <v>23</v>
      </c>
      <c r="E2230">
        <f t="shared" ca="1" si="71"/>
        <v>2.0938824327649641E-3</v>
      </c>
      <c r="F2230">
        <f>IFERROR(VLOOKUP(H2230,ProfessionalRisk!A:I,9,0),0)</f>
        <v>500</v>
      </c>
      <c r="G2230">
        <f t="shared" ca="1" si="70"/>
        <v>1</v>
      </c>
      <c r="H2230" t="s">
        <v>990</v>
      </c>
    </row>
    <row r="2231" spans="1:8">
      <c r="A2231" t="str">
        <f t="shared" si="69"/>
        <v>مازندرانآمل</v>
      </c>
      <c r="B2231" t="s">
        <v>56</v>
      </c>
      <c r="C2231" t="s">
        <v>58</v>
      </c>
      <c r="D2231" t="s">
        <v>19</v>
      </c>
      <c r="E2231">
        <f t="shared" ca="1" si="71"/>
        <v>0.6</v>
      </c>
      <c r="F2231">
        <f>IFERROR(VLOOKUP(H2231,ProfessionalRisk!A:I,9,0),0)</f>
        <v>7212</v>
      </c>
      <c r="G2231">
        <f t="shared" ca="1" si="70"/>
        <v>4327</v>
      </c>
      <c r="H2231" t="s">
        <v>844</v>
      </c>
    </row>
    <row r="2232" spans="1:8">
      <c r="A2232" t="str">
        <f t="shared" si="69"/>
        <v>مازندرانآمل</v>
      </c>
      <c r="B2232" t="s">
        <v>56</v>
      </c>
      <c r="C2232" t="s">
        <v>58</v>
      </c>
      <c r="D2232" t="s">
        <v>477</v>
      </c>
      <c r="E2232">
        <f t="shared" ca="1" si="71"/>
        <v>0.4</v>
      </c>
      <c r="F2232">
        <f>IFERROR(VLOOKUP(H2232,ProfessionalRisk!A:I,9,0),0)</f>
        <v>7212</v>
      </c>
      <c r="G2232">
        <f t="shared" ca="1" si="70"/>
        <v>2885</v>
      </c>
      <c r="H2232" t="s">
        <v>844</v>
      </c>
    </row>
    <row r="2233" spans="1:8">
      <c r="A2233" t="str">
        <f t="shared" si="69"/>
        <v>مازندرانآمل</v>
      </c>
      <c r="B2233" t="s">
        <v>56</v>
      </c>
      <c r="C2233" t="s">
        <v>58</v>
      </c>
      <c r="D2233" t="s">
        <v>23</v>
      </c>
      <c r="E2233">
        <f t="shared" ca="1" si="71"/>
        <v>4.4425335536795799E-3</v>
      </c>
      <c r="F2233">
        <f>IFERROR(VLOOKUP(H2233,ProfessionalRisk!A:I,9,0),0)</f>
        <v>7212</v>
      </c>
      <c r="G2233">
        <f t="shared" ca="1" si="70"/>
        <v>32</v>
      </c>
      <c r="H2233" t="s">
        <v>844</v>
      </c>
    </row>
    <row r="2234" spans="1:8">
      <c r="A2234" t="str">
        <f t="shared" si="69"/>
        <v>مازندرانبابل</v>
      </c>
      <c r="B2234" t="s">
        <v>56</v>
      </c>
      <c r="C2234" t="s">
        <v>59</v>
      </c>
      <c r="D2234" t="s">
        <v>19</v>
      </c>
      <c r="E2234">
        <f t="shared" ca="1" si="71"/>
        <v>0.6</v>
      </c>
      <c r="F2234">
        <f>IFERROR(VLOOKUP(H2234,ProfessionalRisk!A:I,9,0),0)</f>
        <v>12504</v>
      </c>
      <c r="G2234">
        <f t="shared" ca="1" si="70"/>
        <v>7502</v>
      </c>
      <c r="H2234" t="s">
        <v>851</v>
      </c>
    </row>
    <row r="2235" spans="1:8">
      <c r="A2235" t="str">
        <f t="shared" si="69"/>
        <v>مازندرانبابل</v>
      </c>
      <c r="B2235" t="s">
        <v>56</v>
      </c>
      <c r="C2235" t="s">
        <v>59</v>
      </c>
      <c r="D2235" t="s">
        <v>477</v>
      </c>
      <c r="E2235">
        <f t="shared" ca="1" si="71"/>
        <v>0.4</v>
      </c>
      <c r="F2235">
        <f>IFERROR(VLOOKUP(H2235,ProfessionalRisk!A:I,9,0),0)</f>
        <v>12504</v>
      </c>
      <c r="G2235">
        <f t="shared" ca="1" si="70"/>
        <v>5002</v>
      </c>
      <c r="H2235" t="s">
        <v>851</v>
      </c>
    </row>
    <row r="2236" spans="1:8">
      <c r="A2236" t="str">
        <f t="shared" si="69"/>
        <v>مازندرانبابل</v>
      </c>
      <c r="B2236" t="s">
        <v>56</v>
      </c>
      <c r="C2236" t="s">
        <v>59</v>
      </c>
      <c r="D2236" t="s">
        <v>23</v>
      </c>
      <c r="E2236">
        <f t="shared" ca="1" si="71"/>
        <v>3.682248838226463E-3</v>
      </c>
      <c r="F2236">
        <f>IFERROR(VLOOKUP(H2236,ProfessionalRisk!A:I,9,0),0)</f>
        <v>12504</v>
      </c>
      <c r="G2236">
        <f t="shared" ca="1" si="70"/>
        <v>46</v>
      </c>
      <c r="H2236" t="s">
        <v>851</v>
      </c>
    </row>
    <row r="2237" spans="1:8">
      <c r="A2237" t="str">
        <f t="shared" si="69"/>
        <v>مازندرانبهشهر</v>
      </c>
      <c r="B2237" t="s">
        <v>56</v>
      </c>
      <c r="C2237" t="s">
        <v>60</v>
      </c>
      <c r="D2237" t="s">
        <v>19</v>
      </c>
      <c r="E2237">
        <f t="shared" ca="1" si="71"/>
        <v>0.6</v>
      </c>
      <c r="F2237">
        <f>IFERROR(VLOOKUP(H2237,ProfessionalRisk!A:I,9,0),0)</f>
        <v>3050</v>
      </c>
      <c r="G2237">
        <f t="shared" ca="1" si="70"/>
        <v>1830</v>
      </c>
      <c r="H2237" t="s">
        <v>839</v>
      </c>
    </row>
    <row r="2238" spans="1:8">
      <c r="A2238" t="str">
        <f t="shared" si="69"/>
        <v>مازندرانبهشهر</v>
      </c>
      <c r="B2238" t="s">
        <v>56</v>
      </c>
      <c r="C2238" t="s">
        <v>60</v>
      </c>
      <c r="D2238" t="s">
        <v>477</v>
      </c>
      <c r="E2238">
        <f t="shared" ca="1" si="71"/>
        <v>0.4</v>
      </c>
      <c r="F2238">
        <f>IFERROR(VLOOKUP(H2238,ProfessionalRisk!A:I,9,0),0)</f>
        <v>3050</v>
      </c>
      <c r="G2238">
        <f t="shared" ca="1" si="70"/>
        <v>1220</v>
      </c>
      <c r="H2238" t="s">
        <v>839</v>
      </c>
    </row>
    <row r="2239" spans="1:8">
      <c r="A2239" t="str">
        <f t="shared" si="69"/>
        <v>مازندرانبهشهر</v>
      </c>
      <c r="B2239" t="s">
        <v>56</v>
      </c>
      <c r="C2239" t="s">
        <v>60</v>
      </c>
      <c r="D2239" t="s">
        <v>23</v>
      </c>
      <c r="E2239">
        <f t="shared" ca="1" si="71"/>
        <v>8.9061265738911086E-3</v>
      </c>
      <c r="F2239">
        <f>IFERROR(VLOOKUP(H2239,ProfessionalRisk!A:I,9,0),0)</f>
        <v>3050</v>
      </c>
      <c r="G2239">
        <f t="shared" ca="1" si="70"/>
        <v>27</v>
      </c>
      <c r="H2239" t="s">
        <v>839</v>
      </c>
    </row>
    <row r="2240" spans="1:8">
      <c r="A2240" t="str">
        <f t="shared" si="69"/>
        <v>مازندرانتنكابن</v>
      </c>
      <c r="B2240" t="s">
        <v>56</v>
      </c>
      <c r="C2240" t="s">
        <v>61</v>
      </c>
      <c r="D2240" t="s">
        <v>19</v>
      </c>
      <c r="E2240">
        <f t="shared" ca="1" si="71"/>
        <v>0.6</v>
      </c>
      <c r="F2240">
        <f>IFERROR(VLOOKUP(H2240,ProfessionalRisk!A:I,9,0),0)</f>
        <v>2893</v>
      </c>
      <c r="G2240">
        <f t="shared" ca="1" si="70"/>
        <v>1736</v>
      </c>
      <c r="H2240" t="s">
        <v>837</v>
      </c>
    </row>
    <row r="2241" spans="1:8">
      <c r="A2241" t="str">
        <f t="shared" si="69"/>
        <v>مازندرانتنكابن</v>
      </c>
      <c r="B2241" t="s">
        <v>56</v>
      </c>
      <c r="C2241" t="s">
        <v>61</v>
      </c>
      <c r="D2241" t="s">
        <v>477</v>
      </c>
      <c r="E2241">
        <f t="shared" ca="1" si="71"/>
        <v>0.4</v>
      </c>
      <c r="F2241">
        <f>IFERROR(VLOOKUP(H2241,ProfessionalRisk!A:I,9,0),0)</f>
        <v>2893</v>
      </c>
      <c r="G2241">
        <f t="shared" ca="1" si="70"/>
        <v>1157</v>
      </c>
      <c r="H2241" t="s">
        <v>837</v>
      </c>
    </row>
    <row r="2242" spans="1:8">
      <c r="A2242" t="str">
        <f t="shared" ref="A2242:A2305" si="72">B2242&amp;C2242</f>
        <v>مازندرانتنكابن</v>
      </c>
      <c r="B2242" t="s">
        <v>56</v>
      </c>
      <c r="C2242" t="s">
        <v>61</v>
      </c>
      <c r="D2242" t="s">
        <v>23</v>
      </c>
      <c r="E2242">
        <f t="shared" ca="1" si="71"/>
        <v>9.9106369572177361E-3</v>
      </c>
      <c r="F2242">
        <f>IFERROR(VLOOKUP(H2242,ProfessionalRisk!A:I,9,0),0)</f>
        <v>2893</v>
      </c>
      <c r="G2242">
        <f t="shared" ca="1" si="70"/>
        <v>29</v>
      </c>
      <c r="H2242" t="s">
        <v>837</v>
      </c>
    </row>
    <row r="2243" spans="1:8">
      <c r="A2243" t="str">
        <f t="shared" si="72"/>
        <v>مازندرانرامسر</v>
      </c>
      <c r="B2243" t="s">
        <v>56</v>
      </c>
      <c r="C2243" t="s">
        <v>62</v>
      </c>
      <c r="D2243" t="s">
        <v>19</v>
      </c>
      <c r="E2243">
        <f t="shared" ca="1" si="71"/>
        <v>0.6</v>
      </c>
      <c r="F2243">
        <f>IFERROR(VLOOKUP(H2243,ProfessionalRisk!A:I,9,0),0)</f>
        <v>1778</v>
      </c>
      <c r="G2243">
        <f t="shared" ref="G2243:G2306" ca="1" si="73">IFERROR(ROUND(F2243*E2243,0),0)</f>
        <v>1067</v>
      </c>
      <c r="H2243" t="s">
        <v>829</v>
      </c>
    </row>
    <row r="2244" spans="1:8">
      <c r="A2244" t="str">
        <f t="shared" si="72"/>
        <v>مازندرانرامسر</v>
      </c>
      <c r="B2244" t="s">
        <v>56</v>
      </c>
      <c r="C2244" t="s">
        <v>62</v>
      </c>
      <c r="D2244" t="s">
        <v>477</v>
      </c>
      <c r="E2244">
        <f t="shared" ca="1" si="71"/>
        <v>0.4</v>
      </c>
      <c r="F2244">
        <f>IFERROR(VLOOKUP(H2244,ProfessionalRisk!A:I,9,0),0)</f>
        <v>1778</v>
      </c>
      <c r="G2244">
        <f t="shared" ca="1" si="73"/>
        <v>711</v>
      </c>
      <c r="H2244" t="s">
        <v>829</v>
      </c>
    </row>
    <row r="2245" spans="1:8">
      <c r="A2245" t="str">
        <f t="shared" si="72"/>
        <v>مازندرانرامسر</v>
      </c>
      <c r="B2245" t="s">
        <v>56</v>
      </c>
      <c r="C2245" t="s">
        <v>62</v>
      </c>
      <c r="D2245" t="s">
        <v>23</v>
      </c>
      <c r="E2245">
        <f t="shared" ca="1" si="71"/>
        <v>2.0363804595161608E-3</v>
      </c>
      <c r="F2245">
        <f>IFERROR(VLOOKUP(H2245,ProfessionalRisk!A:I,9,0),0)</f>
        <v>1778</v>
      </c>
      <c r="G2245">
        <f t="shared" ca="1" si="73"/>
        <v>4</v>
      </c>
      <c r="H2245" t="s">
        <v>829</v>
      </c>
    </row>
    <row r="2246" spans="1:8">
      <c r="A2246" t="str">
        <f t="shared" si="72"/>
        <v>مازندرانسارئ</v>
      </c>
      <c r="B2246" t="s">
        <v>56</v>
      </c>
      <c r="C2246" t="s">
        <v>63</v>
      </c>
      <c r="D2246" t="s">
        <v>19</v>
      </c>
      <c r="E2246">
        <f t="shared" ca="1" si="71"/>
        <v>0.6</v>
      </c>
      <c r="F2246">
        <f>IFERROR(VLOOKUP(H2246,ProfessionalRisk!A:I,9,0),0)</f>
        <v>6330</v>
      </c>
      <c r="G2246">
        <f t="shared" ca="1" si="73"/>
        <v>3798</v>
      </c>
      <c r="H2246" t="s">
        <v>836</v>
      </c>
    </row>
    <row r="2247" spans="1:8">
      <c r="A2247" t="str">
        <f t="shared" si="72"/>
        <v>مازندرانسارئ</v>
      </c>
      <c r="B2247" t="s">
        <v>56</v>
      </c>
      <c r="C2247" t="s">
        <v>63</v>
      </c>
      <c r="D2247" t="s">
        <v>477</v>
      </c>
      <c r="E2247">
        <f t="shared" ca="1" si="71"/>
        <v>0.4</v>
      </c>
      <c r="F2247">
        <f>IFERROR(VLOOKUP(H2247,ProfessionalRisk!A:I,9,0),0)</f>
        <v>6330</v>
      </c>
      <c r="G2247">
        <f t="shared" ca="1" si="73"/>
        <v>2532</v>
      </c>
      <c r="H2247" t="s">
        <v>836</v>
      </c>
    </row>
    <row r="2248" spans="1:8">
      <c r="A2248" t="str">
        <f t="shared" si="72"/>
        <v>مازندرانسارئ</v>
      </c>
      <c r="B2248" t="s">
        <v>56</v>
      </c>
      <c r="C2248" t="s">
        <v>63</v>
      </c>
      <c r="D2248" t="s">
        <v>23</v>
      </c>
      <c r="E2248">
        <f t="shared" ca="1" si="71"/>
        <v>1.695263111887373E-2</v>
      </c>
      <c r="F2248">
        <f>IFERROR(VLOOKUP(H2248,ProfessionalRisk!A:I,9,0),0)</f>
        <v>6330</v>
      </c>
      <c r="G2248">
        <f t="shared" ca="1" si="73"/>
        <v>107</v>
      </c>
      <c r="H2248" t="s">
        <v>836</v>
      </c>
    </row>
    <row r="2249" spans="1:8">
      <c r="A2249" t="str">
        <f t="shared" si="72"/>
        <v>مازندرانسوادكوه</v>
      </c>
      <c r="B2249" t="s">
        <v>56</v>
      </c>
      <c r="C2249" t="s">
        <v>64</v>
      </c>
      <c r="D2249" t="s">
        <v>19</v>
      </c>
      <c r="E2249">
        <f t="shared" ca="1" si="71"/>
        <v>0.6</v>
      </c>
      <c r="F2249">
        <f>IFERROR(VLOOKUP(H2249,ProfessionalRisk!A:I,9,0),0)</f>
        <v>859</v>
      </c>
      <c r="G2249">
        <f t="shared" ca="1" si="73"/>
        <v>515</v>
      </c>
      <c r="H2249" t="s">
        <v>846</v>
      </c>
    </row>
    <row r="2250" spans="1:8">
      <c r="A2250" t="str">
        <f t="shared" si="72"/>
        <v>مازندرانسوادكوه</v>
      </c>
      <c r="B2250" t="s">
        <v>56</v>
      </c>
      <c r="C2250" t="s">
        <v>64</v>
      </c>
      <c r="D2250" t="s">
        <v>477</v>
      </c>
      <c r="E2250">
        <f t="shared" ca="1" si="71"/>
        <v>0.4</v>
      </c>
      <c r="F2250">
        <f>IFERROR(VLOOKUP(H2250,ProfessionalRisk!A:I,9,0),0)</f>
        <v>859</v>
      </c>
      <c r="G2250">
        <f t="shared" ca="1" si="73"/>
        <v>344</v>
      </c>
      <c r="H2250" t="s">
        <v>846</v>
      </c>
    </row>
    <row r="2251" spans="1:8">
      <c r="A2251" t="str">
        <f t="shared" si="72"/>
        <v>مازندرانسوادكوه</v>
      </c>
      <c r="B2251" t="s">
        <v>56</v>
      </c>
      <c r="C2251" t="s">
        <v>64</v>
      </c>
      <c r="D2251" t="s">
        <v>23</v>
      </c>
      <c r="E2251">
        <f t="shared" ca="1" si="71"/>
        <v>1.5076564822597085E-2</v>
      </c>
      <c r="F2251">
        <f>IFERROR(VLOOKUP(H2251,ProfessionalRisk!A:I,9,0),0)</f>
        <v>859</v>
      </c>
      <c r="G2251">
        <f t="shared" ca="1" si="73"/>
        <v>13</v>
      </c>
      <c r="H2251" t="s">
        <v>846</v>
      </c>
    </row>
    <row r="2252" spans="1:8">
      <c r="A2252" t="str">
        <f t="shared" si="72"/>
        <v>مازندرانقائم شهر</v>
      </c>
      <c r="B2252" t="s">
        <v>56</v>
      </c>
      <c r="C2252" t="s">
        <v>65</v>
      </c>
      <c r="D2252" t="s">
        <v>19</v>
      </c>
      <c r="E2252">
        <f t="shared" ca="1" si="71"/>
        <v>0.6</v>
      </c>
      <c r="F2252">
        <f>IFERROR(VLOOKUP(H2252,ProfessionalRisk!A:I,9,0),0)</f>
        <v>2914</v>
      </c>
      <c r="G2252">
        <f t="shared" ca="1" si="73"/>
        <v>1748</v>
      </c>
      <c r="H2252" t="s">
        <v>841</v>
      </c>
    </row>
    <row r="2253" spans="1:8">
      <c r="A2253" t="str">
        <f t="shared" si="72"/>
        <v>مازندرانقائم شهر</v>
      </c>
      <c r="B2253" t="s">
        <v>56</v>
      </c>
      <c r="C2253" t="s">
        <v>65</v>
      </c>
      <c r="D2253" t="s">
        <v>477</v>
      </c>
      <c r="E2253">
        <f t="shared" ca="1" si="71"/>
        <v>0.4</v>
      </c>
      <c r="F2253">
        <f>IFERROR(VLOOKUP(H2253,ProfessionalRisk!A:I,9,0),0)</f>
        <v>2914</v>
      </c>
      <c r="G2253">
        <f t="shared" ca="1" si="73"/>
        <v>1166</v>
      </c>
      <c r="H2253" t="s">
        <v>841</v>
      </c>
    </row>
    <row r="2254" spans="1:8">
      <c r="A2254" t="str">
        <f t="shared" si="72"/>
        <v>مازندرانقائم شهر</v>
      </c>
      <c r="B2254" t="s">
        <v>56</v>
      </c>
      <c r="C2254" t="s">
        <v>65</v>
      </c>
      <c r="D2254" t="s">
        <v>23</v>
      </c>
      <c r="E2254">
        <f t="shared" ca="1" si="71"/>
        <v>2.939689452846117E-3</v>
      </c>
      <c r="F2254">
        <f>IFERROR(VLOOKUP(H2254,ProfessionalRisk!A:I,9,0),0)</f>
        <v>2914</v>
      </c>
      <c r="G2254">
        <f t="shared" ca="1" si="73"/>
        <v>9</v>
      </c>
      <c r="H2254" t="s">
        <v>841</v>
      </c>
    </row>
    <row r="2255" spans="1:8">
      <c r="A2255" t="str">
        <f t="shared" si="72"/>
        <v>مازندراننور</v>
      </c>
      <c r="B2255" t="s">
        <v>56</v>
      </c>
      <c r="C2255" t="s">
        <v>66</v>
      </c>
      <c r="D2255" t="s">
        <v>19</v>
      </c>
      <c r="E2255">
        <f t="shared" ca="1" si="71"/>
        <v>0.6</v>
      </c>
      <c r="F2255">
        <f>IFERROR(VLOOKUP(H2255,ProfessionalRisk!A:I,9,0),0)</f>
        <v>1670</v>
      </c>
      <c r="G2255">
        <f t="shared" ca="1" si="73"/>
        <v>1002</v>
      </c>
      <c r="H2255" t="s">
        <v>843</v>
      </c>
    </row>
    <row r="2256" spans="1:8">
      <c r="A2256" t="str">
        <f t="shared" si="72"/>
        <v>مازندراننور</v>
      </c>
      <c r="B2256" t="s">
        <v>56</v>
      </c>
      <c r="C2256" t="s">
        <v>66</v>
      </c>
      <c r="D2256" t="s">
        <v>477</v>
      </c>
      <c r="E2256">
        <f t="shared" ca="1" si="71"/>
        <v>0.4</v>
      </c>
      <c r="F2256">
        <f>IFERROR(VLOOKUP(H2256,ProfessionalRisk!A:I,9,0),0)</f>
        <v>1670</v>
      </c>
      <c r="G2256">
        <f t="shared" ca="1" si="73"/>
        <v>668</v>
      </c>
      <c r="H2256" t="s">
        <v>843</v>
      </c>
    </row>
    <row r="2257" spans="1:8">
      <c r="A2257" t="str">
        <f t="shared" si="72"/>
        <v>مازندراننور</v>
      </c>
      <c r="B2257" t="s">
        <v>56</v>
      </c>
      <c r="C2257" t="s">
        <v>66</v>
      </c>
      <c r="D2257" t="s">
        <v>23</v>
      </c>
      <c r="E2257">
        <f t="shared" ca="1" si="71"/>
        <v>1.9173824106439901E-2</v>
      </c>
      <c r="F2257">
        <f>IFERROR(VLOOKUP(H2257,ProfessionalRisk!A:I,9,0),0)</f>
        <v>1670</v>
      </c>
      <c r="G2257">
        <f t="shared" ca="1" si="73"/>
        <v>32</v>
      </c>
      <c r="H2257" t="s">
        <v>843</v>
      </c>
    </row>
    <row r="2258" spans="1:8">
      <c r="A2258" t="str">
        <f t="shared" si="72"/>
        <v>مازندراننوشهر</v>
      </c>
      <c r="B2258" t="s">
        <v>56</v>
      </c>
      <c r="C2258" t="s">
        <v>67</v>
      </c>
      <c r="D2258" t="s">
        <v>19</v>
      </c>
      <c r="E2258">
        <f t="shared" ca="1" si="71"/>
        <v>0.6</v>
      </c>
      <c r="F2258">
        <f>IFERROR(VLOOKUP(H2258,ProfessionalRisk!A:I,9,0),0)</f>
        <v>1860</v>
      </c>
      <c r="G2258">
        <f t="shared" ca="1" si="73"/>
        <v>1116</v>
      </c>
      <c r="H2258" t="s">
        <v>842</v>
      </c>
    </row>
    <row r="2259" spans="1:8">
      <c r="A2259" t="str">
        <f t="shared" si="72"/>
        <v>مازندراننوشهر</v>
      </c>
      <c r="B2259" t="s">
        <v>56</v>
      </c>
      <c r="C2259" t="s">
        <v>67</v>
      </c>
      <c r="D2259" t="s">
        <v>477</v>
      </c>
      <c r="E2259">
        <f t="shared" ca="1" si="71"/>
        <v>0.4</v>
      </c>
      <c r="F2259">
        <f>IFERROR(VLOOKUP(H2259,ProfessionalRisk!A:I,9,0),0)</f>
        <v>1860</v>
      </c>
      <c r="G2259">
        <f t="shared" ca="1" si="73"/>
        <v>744</v>
      </c>
      <c r="H2259" t="s">
        <v>842</v>
      </c>
    </row>
    <row r="2260" spans="1:8">
      <c r="A2260" t="str">
        <f t="shared" si="72"/>
        <v>مازندراننوشهر</v>
      </c>
      <c r="B2260" t="s">
        <v>56</v>
      </c>
      <c r="C2260" t="s">
        <v>67</v>
      </c>
      <c r="D2260" t="s">
        <v>23</v>
      </c>
      <c r="E2260">
        <f t="shared" ca="1" si="71"/>
        <v>1.3291161639789583E-2</v>
      </c>
      <c r="F2260">
        <f>IFERROR(VLOOKUP(H2260,ProfessionalRisk!A:I,9,0),0)</f>
        <v>1860</v>
      </c>
      <c r="G2260">
        <f t="shared" ca="1" si="73"/>
        <v>25</v>
      </c>
      <c r="H2260" t="s">
        <v>842</v>
      </c>
    </row>
    <row r="2261" spans="1:8">
      <c r="A2261" t="str">
        <f t="shared" si="72"/>
        <v>مازندرانبابلسر</v>
      </c>
      <c r="B2261" t="s">
        <v>56</v>
      </c>
      <c r="C2261" t="s">
        <v>68</v>
      </c>
      <c r="D2261" t="s">
        <v>19</v>
      </c>
      <c r="E2261">
        <f t="shared" ca="1" si="71"/>
        <v>0.6</v>
      </c>
      <c r="F2261">
        <f>IFERROR(VLOOKUP(H2261,ProfessionalRisk!A:I,9,0),0)</f>
        <v>1578</v>
      </c>
      <c r="G2261">
        <f t="shared" ca="1" si="73"/>
        <v>947</v>
      </c>
      <c r="H2261" t="s">
        <v>835</v>
      </c>
    </row>
    <row r="2262" spans="1:8">
      <c r="A2262" t="str">
        <f t="shared" si="72"/>
        <v>مازندرانبابلسر</v>
      </c>
      <c r="B2262" t="s">
        <v>56</v>
      </c>
      <c r="C2262" t="s">
        <v>68</v>
      </c>
      <c r="D2262" t="s">
        <v>477</v>
      </c>
      <c r="E2262">
        <f t="shared" ca="1" si="71"/>
        <v>0.4</v>
      </c>
      <c r="F2262">
        <f>IFERROR(VLOOKUP(H2262,ProfessionalRisk!A:I,9,0),0)</f>
        <v>1578</v>
      </c>
      <c r="G2262">
        <f t="shared" ca="1" si="73"/>
        <v>631</v>
      </c>
      <c r="H2262" t="s">
        <v>835</v>
      </c>
    </row>
    <row r="2263" spans="1:8">
      <c r="A2263" t="str">
        <f t="shared" si="72"/>
        <v>مازندرانبابلسر</v>
      </c>
      <c r="B2263" t="s">
        <v>56</v>
      </c>
      <c r="C2263" t="s">
        <v>68</v>
      </c>
      <c r="D2263" t="s">
        <v>23</v>
      </c>
      <c r="E2263">
        <f t="shared" ca="1" si="71"/>
        <v>8.0389359913866087E-3</v>
      </c>
      <c r="F2263">
        <f>IFERROR(VLOOKUP(H2263,ProfessionalRisk!A:I,9,0),0)</f>
        <v>1578</v>
      </c>
      <c r="G2263">
        <f t="shared" ca="1" si="73"/>
        <v>13</v>
      </c>
      <c r="H2263" t="s">
        <v>835</v>
      </c>
    </row>
    <row r="2264" spans="1:8">
      <c r="A2264" t="str">
        <f t="shared" si="72"/>
        <v>مازندرانمحمودآباد</v>
      </c>
      <c r="B2264" t="s">
        <v>56</v>
      </c>
      <c r="C2264" t="s">
        <v>69</v>
      </c>
      <c r="D2264" t="s">
        <v>19</v>
      </c>
      <c r="E2264">
        <f t="shared" ca="1" si="71"/>
        <v>0.6</v>
      </c>
      <c r="F2264">
        <f>IFERROR(VLOOKUP(H2264,ProfessionalRisk!A:I,9,0),0)</f>
        <v>934</v>
      </c>
      <c r="G2264">
        <f t="shared" ca="1" si="73"/>
        <v>560</v>
      </c>
      <c r="H2264" t="s">
        <v>847</v>
      </c>
    </row>
    <row r="2265" spans="1:8">
      <c r="A2265" t="str">
        <f t="shared" si="72"/>
        <v>مازندرانمحمودآباد</v>
      </c>
      <c r="B2265" t="s">
        <v>56</v>
      </c>
      <c r="C2265" t="s">
        <v>69</v>
      </c>
      <c r="D2265" t="s">
        <v>477</v>
      </c>
      <c r="E2265">
        <f t="shared" ca="1" si="71"/>
        <v>0.4</v>
      </c>
      <c r="F2265">
        <f>IFERROR(VLOOKUP(H2265,ProfessionalRisk!A:I,9,0),0)</f>
        <v>934</v>
      </c>
      <c r="G2265">
        <f t="shared" ca="1" si="73"/>
        <v>374</v>
      </c>
      <c r="H2265" t="s">
        <v>847</v>
      </c>
    </row>
    <row r="2266" spans="1:8">
      <c r="A2266" t="str">
        <f t="shared" si="72"/>
        <v>مازندرانمحمودآباد</v>
      </c>
      <c r="B2266" t="s">
        <v>56</v>
      </c>
      <c r="C2266" t="s">
        <v>69</v>
      </c>
      <c r="D2266" t="s">
        <v>23</v>
      </c>
      <c r="E2266">
        <f t="shared" ca="1" si="71"/>
        <v>3.6637094383937586E-3</v>
      </c>
      <c r="F2266">
        <f>IFERROR(VLOOKUP(H2266,ProfessionalRisk!A:I,9,0),0)</f>
        <v>934</v>
      </c>
      <c r="G2266">
        <f t="shared" ca="1" si="73"/>
        <v>3</v>
      </c>
      <c r="H2266" t="s">
        <v>847</v>
      </c>
    </row>
    <row r="2267" spans="1:8">
      <c r="A2267" t="str">
        <f t="shared" si="72"/>
        <v>مازندراننكا</v>
      </c>
      <c r="B2267" t="s">
        <v>56</v>
      </c>
      <c r="C2267" t="s">
        <v>70</v>
      </c>
      <c r="D2267" t="s">
        <v>19</v>
      </c>
      <c r="E2267">
        <f t="shared" ca="1" si="71"/>
        <v>0.6</v>
      </c>
      <c r="F2267">
        <f>IFERROR(VLOOKUP(H2267,ProfessionalRisk!A:I,9,0),0)</f>
        <v>1500</v>
      </c>
      <c r="G2267">
        <f t="shared" ca="1" si="73"/>
        <v>900</v>
      </c>
      <c r="H2267" t="s">
        <v>840</v>
      </c>
    </row>
    <row r="2268" spans="1:8">
      <c r="A2268" t="str">
        <f t="shared" si="72"/>
        <v>مازندراننكا</v>
      </c>
      <c r="B2268" t="s">
        <v>56</v>
      </c>
      <c r="C2268" t="s">
        <v>70</v>
      </c>
      <c r="D2268" t="s">
        <v>477</v>
      </c>
      <c r="E2268">
        <f t="shared" ca="1" si="71"/>
        <v>0.4</v>
      </c>
      <c r="F2268">
        <f>IFERROR(VLOOKUP(H2268,ProfessionalRisk!A:I,9,0),0)</f>
        <v>1500</v>
      </c>
      <c r="G2268">
        <f t="shared" ca="1" si="73"/>
        <v>600</v>
      </c>
      <c r="H2268" t="s">
        <v>840</v>
      </c>
    </row>
    <row r="2269" spans="1:8">
      <c r="A2269" t="str">
        <f t="shared" si="72"/>
        <v>مازندراننكا</v>
      </c>
      <c r="B2269" t="s">
        <v>56</v>
      </c>
      <c r="C2269" t="s">
        <v>70</v>
      </c>
      <c r="D2269" t="s">
        <v>23</v>
      </c>
      <c r="E2269">
        <f t="shared" ca="1" si="71"/>
        <v>9.9460560449358467E-3</v>
      </c>
      <c r="F2269">
        <f>IFERROR(VLOOKUP(H2269,ProfessionalRisk!A:I,9,0),0)</f>
        <v>1500</v>
      </c>
      <c r="G2269">
        <f t="shared" ca="1" si="73"/>
        <v>15</v>
      </c>
      <c r="H2269" t="s">
        <v>840</v>
      </c>
    </row>
    <row r="2270" spans="1:8">
      <c r="A2270" t="str">
        <f t="shared" si="72"/>
        <v>مازندرانچالوس</v>
      </c>
      <c r="B2270" t="s">
        <v>56</v>
      </c>
      <c r="C2270" t="s">
        <v>71</v>
      </c>
      <c r="D2270" t="s">
        <v>19</v>
      </c>
      <c r="E2270">
        <f t="shared" ca="1" si="71"/>
        <v>0.6</v>
      </c>
      <c r="F2270">
        <f>IFERROR(VLOOKUP(H2270,ProfessionalRisk!A:I,9,0),0)</f>
        <v>2606</v>
      </c>
      <c r="G2270">
        <f t="shared" ca="1" si="73"/>
        <v>1564</v>
      </c>
      <c r="H2270" t="s">
        <v>848</v>
      </c>
    </row>
    <row r="2271" spans="1:8">
      <c r="A2271" t="str">
        <f t="shared" si="72"/>
        <v>مازندرانچالوس</v>
      </c>
      <c r="B2271" t="s">
        <v>56</v>
      </c>
      <c r="C2271" t="s">
        <v>71</v>
      </c>
      <c r="D2271" t="s">
        <v>477</v>
      </c>
      <c r="E2271">
        <f t="shared" ca="1" si="71"/>
        <v>0.4</v>
      </c>
      <c r="F2271">
        <f>IFERROR(VLOOKUP(H2271,ProfessionalRisk!A:I,9,0),0)</f>
        <v>2606</v>
      </c>
      <c r="G2271">
        <f t="shared" ca="1" si="73"/>
        <v>1042</v>
      </c>
      <c r="H2271" t="s">
        <v>848</v>
      </c>
    </row>
    <row r="2272" spans="1:8">
      <c r="A2272" t="str">
        <f t="shared" si="72"/>
        <v>مازندرانچالوس</v>
      </c>
      <c r="B2272" t="s">
        <v>56</v>
      </c>
      <c r="C2272" t="s">
        <v>71</v>
      </c>
      <c r="D2272" t="s">
        <v>23</v>
      </c>
      <c r="E2272">
        <f t="shared" ca="1" si="71"/>
        <v>1.183972743504927E-2</v>
      </c>
      <c r="F2272">
        <f>IFERROR(VLOOKUP(H2272,ProfessionalRisk!A:I,9,0),0)</f>
        <v>2606</v>
      </c>
      <c r="G2272">
        <f t="shared" ca="1" si="73"/>
        <v>31</v>
      </c>
      <c r="H2272" t="s">
        <v>848</v>
      </c>
    </row>
    <row r="2273" spans="1:8">
      <c r="A2273" t="str">
        <f t="shared" si="72"/>
        <v>مازندرانجويبار</v>
      </c>
      <c r="B2273" t="s">
        <v>56</v>
      </c>
      <c r="C2273" t="s">
        <v>72</v>
      </c>
      <c r="D2273" t="s">
        <v>19</v>
      </c>
      <c r="E2273">
        <f t="shared" ca="1" si="71"/>
        <v>0.6</v>
      </c>
      <c r="F2273">
        <f>IFERROR(VLOOKUP(H2273,ProfessionalRisk!A:I,9,0),0)</f>
        <v>924</v>
      </c>
      <c r="G2273">
        <f t="shared" ca="1" si="73"/>
        <v>554</v>
      </c>
      <c r="H2273" t="s">
        <v>827</v>
      </c>
    </row>
    <row r="2274" spans="1:8">
      <c r="A2274" t="str">
        <f t="shared" si="72"/>
        <v>مازندرانجويبار</v>
      </c>
      <c r="B2274" t="s">
        <v>56</v>
      </c>
      <c r="C2274" t="s">
        <v>72</v>
      </c>
      <c r="D2274" t="s">
        <v>477</v>
      </c>
      <c r="E2274">
        <f t="shared" ca="1" si="71"/>
        <v>0.4</v>
      </c>
      <c r="F2274">
        <f>IFERROR(VLOOKUP(H2274,ProfessionalRisk!A:I,9,0),0)</f>
        <v>924</v>
      </c>
      <c r="G2274">
        <f t="shared" ca="1" si="73"/>
        <v>370</v>
      </c>
      <c r="H2274" t="s">
        <v>827</v>
      </c>
    </row>
    <row r="2275" spans="1:8">
      <c r="A2275" t="str">
        <f t="shared" si="72"/>
        <v>مازندرانجويبار</v>
      </c>
      <c r="B2275" t="s">
        <v>56</v>
      </c>
      <c r="C2275" t="s">
        <v>72</v>
      </c>
      <c r="D2275" t="s">
        <v>23</v>
      </c>
      <c r="E2275">
        <f t="shared" ref="E2275:E2338" ca="1" si="74">IF(D2275="AP",0.6,IF(D2275="BP",0.4,RAND()*0.02))</f>
        <v>1.6817854053699614E-2</v>
      </c>
      <c r="F2275">
        <f>IFERROR(VLOOKUP(H2275,ProfessionalRisk!A:I,9,0),0)</f>
        <v>924</v>
      </c>
      <c r="G2275">
        <f t="shared" ca="1" si="73"/>
        <v>16</v>
      </c>
      <c r="H2275" t="s">
        <v>827</v>
      </c>
    </row>
    <row r="2276" spans="1:8">
      <c r="A2276" t="str">
        <f t="shared" si="72"/>
        <v>مازندرانگلوگاه</v>
      </c>
      <c r="B2276" t="s">
        <v>56</v>
      </c>
      <c r="C2276" t="s">
        <v>73</v>
      </c>
      <c r="D2276" t="s">
        <v>19</v>
      </c>
      <c r="E2276">
        <f t="shared" ca="1" si="74"/>
        <v>0.6</v>
      </c>
      <c r="F2276">
        <f>IFERROR(VLOOKUP(H2276,ProfessionalRisk!A:I,9,0),0)</f>
        <v>530</v>
      </c>
      <c r="G2276">
        <f t="shared" ca="1" si="73"/>
        <v>318</v>
      </c>
      <c r="H2276" t="s">
        <v>838</v>
      </c>
    </row>
    <row r="2277" spans="1:8">
      <c r="A2277" t="str">
        <f t="shared" si="72"/>
        <v>مازندرانگلوگاه</v>
      </c>
      <c r="B2277" t="s">
        <v>56</v>
      </c>
      <c r="C2277" t="s">
        <v>73</v>
      </c>
      <c r="D2277" t="s">
        <v>477</v>
      </c>
      <c r="E2277">
        <f t="shared" ca="1" si="74"/>
        <v>0.4</v>
      </c>
      <c r="F2277">
        <f>IFERROR(VLOOKUP(H2277,ProfessionalRisk!A:I,9,0),0)</f>
        <v>530</v>
      </c>
      <c r="G2277">
        <f t="shared" ca="1" si="73"/>
        <v>212</v>
      </c>
      <c r="H2277" t="s">
        <v>838</v>
      </c>
    </row>
    <row r="2278" spans="1:8">
      <c r="A2278" t="str">
        <f t="shared" si="72"/>
        <v>مازندرانگلوگاه</v>
      </c>
      <c r="B2278" t="s">
        <v>56</v>
      </c>
      <c r="C2278" t="s">
        <v>73</v>
      </c>
      <c r="D2278" t="s">
        <v>23</v>
      </c>
      <c r="E2278">
        <f t="shared" ca="1" si="74"/>
        <v>6.8466212355055654E-3</v>
      </c>
      <c r="F2278">
        <f>IFERROR(VLOOKUP(H2278,ProfessionalRisk!A:I,9,0),0)</f>
        <v>530</v>
      </c>
      <c r="G2278">
        <f t="shared" ca="1" si="73"/>
        <v>4</v>
      </c>
      <c r="H2278" t="s">
        <v>838</v>
      </c>
    </row>
    <row r="2279" spans="1:8">
      <c r="A2279" t="str">
        <f t="shared" si="72"/>
        <v>مازندرانفريدونكنار</v>
      </c>
      <c r="B2279" t="s">
        <v>56</v>
      </c>
      <c r="C2279" t="s">
        <v>74</v>
      </c>
      <c r="D2279" t="s">
        <v>19</v>
      </c>
      <c r="E2279">
        <f t="shared" ca="1" si="74"/>
        <v>0.6</v>
      </c>
      <c r="F2279">
        <f>IFERROR(VLOOKUP(H2279,ProfessionalRisk!A:I,9,0),0)</f>
        <v>2410</v>
      </c>
      <c r="G2279">
        <f t="shared" ca="1" si="73"/>
        <v>1446</v>
      </c>
      <c r="H2279" t="s">
        <v>845</v>
      </c>
    </row>
    <row r="2280" spans="1:8">
      <c r="A2280" t="str">
        <f t="shared" si="72"/>
        <v>مازندرانفريدونكنار</v>
      </c>
      <c r="B2280" t="s">
        <v>56</v>
      </c>
      <c r="C2280" t="s">
        <v>74</v>
      </c>
      <c r="D2280" t="s">
        <v>477</v>
      </c>
      <c r="E2280">
        <f t="shared" ca="1" si="74"/>
        <v>0.4</v>
      </c>
      <c r="F2280">
        <f>IFERROR(VLOOKUP(H2280,ProfessionalRisk!A:I,9,0),0)</f>
        <v>2410</v>
      </c>
      <c r="G2280">
        <f t="shared" ca="1" si="73"/>
        <v>964</v>
      </c>
      <c r="H2280" t="s">
        <v>845</v>
      </c>
    </row>
    <row r="2281" spans="1:8">
      <c r="A2281" t="str">
        <f t="shared" si="72"/>
        <v>مازندرانفريدونكنار</v>
      </c>
      <c r="B2281" t="s">
        <v>56</v>
      </c>
      <c r="C2281" t="s">
        <v>74</v>
      </c>
      <c r="D2281" t="s">
        <v>23</v>
      </c>
      <c r="E2281">
        <f t="shared" ca="1" si="74"/>
        <v>1.4305202847429269E-2</v>
      </c>
      <c r="F2281">
        <f>IFERROR(VLOOKUP(H2281,ProfessionalRisk!A:I,9,0),0)</f>
        <v>2410</v>
      </c>
      <c r="G2281">
        <f t="shared" ca="1" si="73"/>
        <v>34</v>
      </c>
      <c r="H2281" t="s">
        <v>845</v>
      </c>
    </row>
    <row r="2282" spans="1:8">
      <c r="A2282" t="str">
        <f t="shared" si="72"/>
        <v>مازندرانعباس آباد</v>
      </c>
      <c r="B2282" t="s">
        <v>56</v>
      </c>
      <c r="C2282" t="s">
        <v>75</v>
      </c>
      <c r="D2282" t="s">
        <v>19</v>
      </c>
      <c r="E2282">
        <f t="shared" ca="1" si="74"/>
        <v>0.6</v>
      </c>
      <c r="F2282">
        <f>IFERROR(VLOOKUP(H2282,ProfessionalRisk!A:I,9,0),0)</f>
        <v>403</v>
      </c>
      <c r="G2282">
        <f t="shared" ca="1" si="73"/>
        <v>242</v>
      </c>
      <c r="H2282" t="s">
        <v>832</v>
      </c>
    </row>
    <row r="2283" spans="1:8">
      <c r="A2283" t="str">
        <f t="shared" si="72"/>
        <v>مازندرانعباس آباد</v>
      </c>
      <c r="B2283" t="s">
        <v>56</v>
      </c>
      <c r="C2283" t="s">
        <v>75</v>
      </c>
      <c r="D2283" t="s">
        <v>477</v>
      </c>
      <c r="E2283">
        <f t="shared" ca="1" si="74"/>
        <v>0.4</v>
      </c>
      <c r="F2283">
        <f>IFERROR(VLOOKUP(H2283,ProfessionalRisk!A:I,9,0),0)</f>
        <v>403</v>
      </c>
      <c r="G2283">
        <f t="shared" ca="1" si="73"/>
        <v>161</v>
      </c>
      <c r="H2283" t="s">
        <v>832</v>
      </c>
    </row>
    <row r="2284" spans="1:8">
      <c r="A2284" t="str">
        <f t="shared" si="72"/>
        <v>مازندرانعباس آباد</v>
      </c>
      <c r="B2284" t="s">
        <v>56</v>
      </c>
      <c r="C2284" t="s">
        <v>75</v>
      </c>
      <c r="D2284" t="s">
        <v>23</v>
      </c>
      <c r="E2284">
        <f t="shared" ca="1" si="74"/>
        <v>1.8277447186668308E-2</v>
      </c>
      <c r="F2284">
        <f>IFERROR(VLOOKUP(H2284,ProfessionalRisk!A:I,9,0),0)</f>
        <v>403</v>
      </c>
      <c r="G2284">
        <f t="shared" ca="1" si="73"/>
        <v>7</v>
      </c>
      <c r="H2284" t="s">
        <v>832</v>
      </c>
    </row>
    <row r="2285" spans="1:8">
      <c r="A2285" t="str">
        <f t="shared" si="72"/>
        <v>مازندرانمياندورد</v>
      </c>
      <c r="B2285" t="s">
        <v>56</v>
      </c>
      <c r="C2285" t="s">
        <v>76</v>
      </c>
      <c r="D2285" t="s">
        <v>19</v>
      </c>
      <c r="E2285">
        <f t="shared" ca="1" si="74"/>
        <v>0.6</v>
      </c>
      <c r="F2285">
        <f>IFERROR(VLOOKUP(H2285,ProfessionalRisk!A:I,9,0),0)</f>
        <v>850</v>
      </c>
      <c r="G2285">
        <f t="shared" ca="1" si="73"/>
        <v>510</v>
      </c>
      <c r="H2285" t="s">
        <v>833</v>
      </c>
    </row>
    <row r="2286" spans="1:8">
      <c r="A2286" t="str">
        <f t="shared" si="72"/>
        <v>مازندرانمياندورد</v>
      </c>
      <c r="B2286" t="s">
        <v>56</v>
      </c>
      <c r="C2286" t="s">
        <v>76</v>
      </c>
      <c r="D2286" t="s">
        <v>477</v>
      </c>
      <c r="E2286">
        <f t="shared" ca="1" si="74"/>
        <v>0.4</v>
      </c>
      <c r="F2286">
        <f>IFERROR(VLOOKUP(H2286,ProfessionalRisk!A:I,9,0),0)</f>
        <v>850</v>
      </c>
      <c r="G2286">
        <f t="shared" ca="1" si="73"/>
        <v>340</v>
      </c>
      <c r="H2286" t="s">
        <v>833</v>
      </c>
    </row>
    <row r="2287" spans="1:8">
      <c r="A2287" t="str">
        <f t="shared" si="72"/>
        <v>مازندرانمياندورد</v>
      </c>
      <c r="B2287" t="s">
        <v>56</v>
      </c>
      <c r="C2287" t="s">
        <v>76</v>
      </c>
      <c r="D2287" t="s">
        <v>23</v>
      </c>
      <c r="E2287">
        <f t="shared" ca="1" si="74"/>
        <v>1.6411834902392026E-2</v>
      </c>
      <c r="F2287">
        <f>IFERROR(VLOOKUP(H2287,ProfessionalRisk!A:I,9,0),0)</f>
        <v>850</v>
      </c>
      <c r="G2287">
        <f t="shared" ca="1" si="73"/>
        <v>14</v>
      </c>
      <c r="H2287" t="s">
        <v>833</v>
      </c>
    </row>
    <row r="2288" spans="1:8">
      <c r="A2288" t="str">
        <f t="shared" si="72"/>
        <v>مازندرانسيمرغ</v>
      </c>
      <c r="B2288" t="s">
        <v>56</v>
      </c>
      <c r="C2288" t="s">
        <v>77</v>
      </c>
      <c r="D2288" t="s">
        <v>19</v>
      </c>
      <c r="E2288">
        <f t="shared" ca="1" si="74"/>
        <v>0.6</v>
      </c>
      <c r="F2288">
        <f>IFERROR(VLOOKUP(H2288,ProfessionalRisk!A:I,9,0),0)</f>
        <v>428</v>
      </c>
      <c r="G2288">
        <f t="shared" ca="1" si="73"/>
        <v>257</v>
      </c>
      <c r="H2288" t="s">
        <v>828</v>
      </c>
    </row>
    <row r="2289" spans="1:8">
      <c r="A2289" t="str">
        <f t="shared" si="72"/>
        <v>مازندرانسيمرغ</v>
      </c>
      <c r="B2289" t="s">
        <v>56</v>
      </c>
      <c r="C2289" t="s">
        <v>77</v>
      </c>
      <c r="D2289" t="s">
        <v>477</v>
      </c>
      <c r="E2289">
        <f t="shared" ca="1" si="74"/>
        <v>0.4</v>
      </c>
      <c r="F2289">
        <f>IFERROR(VLOOKUP(H2289,ProfessionalRisk!A:I,9,0),0)</f>
        <v>428</v>
      </c>
      <c r="G2289">
        <f t="shared" ca="1" si="73"/>
        <v>171</v>
      </c>
      <c r="H2289" t="s">
        <v>828</v>
      </c>
    </row>
    <row r="2290" spans="1:8">
      <c r="A2290" t="str">
        <f t="shared" si="72"/>
        <v>مازندرانسيمرغ</v>
      </c>
      <c r="B2290" t="s">
        <v>56</v>
      </c>
      <c r="C2290" t="s">
        <v>77</v>
      </c>
      <c r="D2290" t="s">
        <v>23</v>
      </c>
      <c r="E2290">
        <f t="shared" ca="1" si="74"/>
        <v>5.6217634372559774E-4</v>
      </c>
      <c r="F2290">
        <f>IFERROR(VLOOKUP(H2290,ProfessionalRisk!A:I,9,0),0)</f>
        <v>428</v>
      </c>
      <c r="G2290">
        <f t="shared" ca="1" si="73"/>
        <v>0</v>
      </c>
      <c r="H2290" t="s">
        <v>828</v>
      </c>
    </row>
    <row r="2291" spans="1:8">
      <c r="A2291" t="str">
        <f t="shared" si="72"/>
        <v>مازندرانسوادکوه شمالی</v>
      </c>
      <c r="B2291" t="s">
        <v>56</v>
      </c>
      <c r="C2291" t="s">
        <v>78</v>
      </c>
      <c r="D2291" t="s">
        <v>19</v>
      </c>
      <c r="E2291">
        <f t="shared" ca="1" si="74"/>
        <v>0.6</v>
      </c>
      <c r="F2291">
        <f>IFERROR(VLOOKUP(H2291,ProfessionalRisk!A:I,9,0),0)</f>
        <v>454</v>
      </c>
      <c r="G2291">
        <f t="shared" ca="1" si="73"/>
        <v>272</v>
      </c>
      <c r="H2291" t="s">
        <v>830</v>
      </c>
    </row>
    <row r="2292" spans="1:8">
      <c r="A2292" t="str">
        <f t="shared" si="72"/>
        <v>مازندرانسوادکوه شمالی</v>
      </c>
      <c r="B2292" t="s">
        <v>56</v>
      </c>
      <c r="C2292" t="s">
        <v>78</v>
      </c>
      <c r="D2292" t="s">
        <v>477</v>
      </c>
      <c r="E2292">
        <f t="shared" ca="1" si="74"/>
        <v>0.4</v>
      </c>
      <c r="F2292">
        <f>IFERROR(VLOOKUP(H2292,ProfessionalRisk!A:I,9,0),0)</f>
        <v>454</v>
      </c>
      <c r="G2292">
        <f t="shared" ca="1" si="73"/>
        <v>182</v>
      </c>
      <c r="H2292" t="s">
        <v>830</v>
      </c>
    </row>
    <row r="2293" spans="1:8">
      <c r="A2293" t="str">
        <f t="shared" si="72"/>
        <v>مازندرانسوادکوه شمالی</v>
      </c>
      <c r="B2293" t="s">
        <v>56</v>
      </c>
      <c r="C2293" t="s">
        <v>78</v>
      </c>
      <c r="D2293" t="s">
        <v>23</v>
      </c>
      <c r="E2293">
        <f t="shared" ca="1" si="74"/>
        <v>1.6399417999397783E-2</v>
      </c>
      <c r="F2293">
        <f>IFERROR(VLOOKUP(H2293,ProfessionalRisk!A:I,9,0),0)</f>
        <v>454</v>
      </c>
      <c r="G2293">
        <f t="shared" ca="1" si="73"/>
        <v>7</v>
      </c>
      <c r="H2293" t="s">
        <v>830</v>
      </c>
    </row>
    <row r="2294" spans="1:8">
      <c r="A2294" t="str">
        <f t="shared" si="72"/>
        <v>مازندرانكلاردشت</v>
      </c>
      <c r="B2294" t="s">
        <v>56</v>
      </c>
      <c r="C2294" t="s">
        <v>850</v>
      </c>
      <c r="D2294" t="s">
        <v>19</v>
      </c>
      <c r="E2294">
        <f t="shared" ca="1" si="74"/>
        <v>0.6</v>
      </c>
      <c r="F2294">
        <f>IFERROR(VLOOKUP(H2294,ProfessionalRisk!A:I,9,0),0)</f>
        <v>11701</v>
      </c>
      <c r="G2294">
        <f t="shared" ca="1" si="73"/>
        <v>7021</v>
      </c>
      <c r="H2294" t="s">
        <v>855</v>
      </c>
    </row>
    <row r="2295" spans="1:8">
      <c r="A2295" t="str">
        <f t="shared" si="72"/>
        <v>مازندرانكلاردشت</v>
      </c>
      <c r="B2295" t="s">
        <v>56</v>
      </c>
      <c r="C2295" t="s">
        <v>850</v>
      </c>
      <c r="D2295" t="s">
        <v>477</v>
      </c>
      <c r="E2295">
        <f t="shared" ca="1" si="74"/>
        <v>0.4</v>
      </c>
      <c r="F2295">
        <f>IFERROR(VLOOKUP(H2295,ProfessionalRisk!A:I,9,0),0)</f>
        <v>11701</v>
      </c>
      <c r="G2295">
        <f t="shared" ca="1" si="73"/>
        <v>4680</v>
      </c>
      <c r="H2295" t="s">
        <v>855</v>
      </c>
    </row>
    <row r="2296" spans="1:8">
      <c r="A2296" t="str">
        <f t="shared" si="72"/>
        <v>مازندرانكلاردشت</v>
      </c>
      <c r="B2296" t="s">
        <v>56</v>
      </c>
      <c r="C2296" t="s">
        <v>850</v>
      </c>
      <c r="D2296" t="s">
        <v>23</v>
      </c>
      <c r="E2296">
        <f t="shared" ca="1" si="74"/>
        <v>3.2730678247143998E-3</v>
      </c>
      <c r="F2296">
        <f>IFERROR(VLOOKUP(H2296,ProfessionalRisk!A:I,9,0),0)</f>
        <v>11701</v>
      </c>
      <c r="G2296">
        <f t="shared" ca="1" si="73"/>
        <v>38</v>
      </c>
      <c r="H2296" t="s">
        <v>855</v>
      </c>
    </row>
    <row r="2297" spans="1:8">
      <c r="A2297" t="str">
        <f t="shared" si="72"/>
        <v>آذربايجان شرقياهر</v>
      </c>
      <c r="B2297" t="s">
        <v>79</v>
      </c>
      <c r="C2297" t="s">
        <v>81</v>
      </c>
      <c r="D2297" t="s">
        <v>19</v>
      </c>
      <c r="E2297">
        <f t="shared" ca="1" si="74"/>
        <v>0.6</v>
      </c>
      <c r="F2297">
        <f>IFERROR(VLOOKUP(H2297,ProfessionalRisk!A:I,9,0),0)</f>
        <v>2012</v>
      </c>
      <c r="G2297">
        <f t="shared" ca="1" si="73"/>
        <v>1207</v>
      </c>
      <c r="H2297" t="s">
        <v>531</v>
      </c>
    </row>
    <row r="2298" spans="1:8">
      <c r="A2298" t="str">
        <f t="shared" si="72"/>
        <v>آذربايجان شرقياهر</v>
      </c>
      <c r="B2298" t="s">
        <v>79</v>
      </c>
      <c r="C2298" t="s">
        <v>81</v>
      </c>
      <c r="D2298" t="s">
        <v>477</v>
      </c>
      <c r="E2298">
        <f t="shared" ca="1" si="74"/>
        <v>0.4</v>
      </c>
      <c r="F2298">
        <f>IFERROR(VLOOKUP(H2298,ProfessionalRisk!A:I,9,0),0)</f>
        <v>2012</v>
      </c>
      <c r="G2298">
        <f t="shared" ca="1" si="73"/>
        <v>805</v>
      </c>
      <c r="H2298" t="s">
        <v>531</v>
      </c>
    </row>
    <row r="2299" spans="1:8">
      <c r="A2299" t="str">
        <f t="shared" si="72"/>
        <v>آذربايجان شرقياهر</v>
      </c>
      <c r="B2299" t="s">
        <v>79</v>
      </c>
      <c r="C2299" t="s">
        <v>81</v>
      </c>
      <c r="D2299" t="s">
        <v>23</v>
      </c>
      <c r="E2299">
        <f t="shared" ca="1" si="74"/>
        <v>1.1621770212793465E-2</v>
      </c>
      <c r="F2299">
        <f>IFERROR(VLOOKUP(H2299,ProfessionalRisk!A:I,9,0),0)</f>
        <v>2012</v>
      </c>
      <c r="G2299">
        <f t="shared" ca="1" si="73"/>
        <v>23</v>
      </c>
      <c r="H2299" t="s">
        <v>531</v>
      </c>
    </row>
    <row r="2300" spans="1:8">
      <c r="A2300" t="str">
        <f t="shared" si="72"/>
        <v>آذربايجان شرقيتبريز</v>
      </c>
      <c r="B2300" t="s">
        <v>79</v>
      </c>
      <c r="C2300" t="s">
        <v>82</v>
      </c>
      <c r="D2300" t="s">
        <v>19</v>
      </c>
      <c r="E2300">
        <f t="shared" ca="1" si="74"/>
        <v>0.6</v>
      </c>
      <c r="F2300">
        <f>IFERROR(VLOOKUP(H2300,ProfessionalRisk!A:I,9,0),0)</f>
        <v>43164</v>
      </c>
      <c r="G2300">
        <f t="shared" ca="1" si="73"/>
        <v>25898</v>
      </c>
      <c r="H2300" t="s">
        <v>524</v>
      </c>
    </row>
    <row r="2301" spans="1:8">
      <c r="A2301" t="str">
        <f t="shared" si="72"/>
        <v>آذربايجان شرقيتبريز</v>
      </c>
      <c r="B2301" t="s">
        <v>79</v>
      </c>
      <c r="C2301" t="s">
        <v>82</v>
      </c>
      <c r="D2301" t="s">
        <v>477</v>
      </c>
      <c r="E2301">
        <f t="shared" ca="1" si="74"/>
        <v>0.4</v>
      </c>
      <c r="F2301">
        <f>IFERROR(VLOOKUP(H2301,ProfessionalRisk!A:I,9,0),0)</f>
        <v>43164</v>
      </c>
      <c r="G2301">
        <f t="shared" ca="1" si="73"/>
        <v>17266</v>
      </c>
      <c r="H2301" t="s">
        <v>524</v>
      </c>
    </row>
    <row r="2302" spans="1:8">
      <c r="A2302" t="str">
        <f t="shared" si="72"/>
        <v>آذربايجان شرقيتبريز</v>
      </c>
      <c r="B2302" t="s">
        <v>79</v>
      </c>
      <c r="C2302" t="s">
        <v>82</v>
      </c>
      <c r="D2302" t="s">
        <v>23</v>
      </c>
      <c r="E2302">
        <f t="shared" ca="1" si="74"/>
        <v>1.2315795840999873E-2</v>
      </c>
      <c r="F2302">
        <f>IFERROR(VLOOKUP(H2302,ProfessionalRisk!A:I,9,0),0)</f>
        <v>43164</v>
      </c>
      <c r="G2302">
        <f t="shared" ca="1" si="73"/>
        <v>532</v>
      </c>
      <c r="H2302" t="s">
        <v>524</v>
      </c>
    </row>
    <row r="2303" spans="1:8">
      <c r="A2303" t="str">
        <f t="shared" si="72"/>
        <v>آذربايجان شرقيسراب</v>
      </c>
      <c r="B2303" t="s">
        <v>79</v>
      </c>
      <c r="C2303" t="s">
        <v>83</v>
      </c>
      <c r="D2303" t="s">
        <v>19</v>
      </c>
      <c r="E2303">
        <f t="shared" ca="1" si="74"/>
        <v>0.6</v>
      </c>
      <c r="F2303">
        <f>IFERROR(VLOOKUP(H2303,ProfessionalRisk!A:I,9,0),0)</f>
        <v>2106</v>
      </c>
      <c r="G2303">
        <f t="shared" ca="1" si="73"/>
        <v>1264</v>
      </c>
      <c r="H2303" t="s">
        <v>522</v>
      </c>
    </row>
    <row r="2304" spans="1:8">
      <c r="A2304" t="str">
        <f t="shared" si="72"/>
        <v>آذربايجان شرقيسراب</v>
      </c>
      <c r="B2304" t="s">
        <v>79</v>
      </c>
      <c r="C2304" t="s">
        <v>83</v>
      </c>
      <c r="D2304" t="s">
        <v>477</v>
      </c>
      <c r="E2304">
        <f t="shared" ca="1" si="74"/>
        <v>0.4</v>
      </c>
      <c r="F2304">
        <f>IFERROR(VLOOKUP(H2304,ProfessionalRisk!A:I,9,0),0)</f>
        <v>2106</v>
      </c>
      <c r="G2304">
        <f t="shared" ca="1" si="73"/>
        <v>842</v>
      </c>
      <c r="H2304" t="s">
        <v>522</v>
      </c>
    </row>
    <row r="2305" spans="1:8">
      <c r="A2305" t="str">
        <f t="shared" si="72"/>
        <v>آذربايجان شرقيسراب</v>
      </c>
      <c r="B2305" t="s">
        <v>79</v>
      </c>
      <c r="C2305" t="s">
        <v>83</v>
      </c>
      <c r="D2305" t="s">
        <v>23</v>
      </c>
      <c r="E2305">
        <f t="shared" ca="1" si="74"/>
        <v>1.0193162477351872E-2</v>
      </c>
      <c r="F2305">
        <f>IFERROR(VLOOKUP(H2305,ProfessionalRisk!A:I,9,0),0)</f>
        <v>2106</v>
      </c>
      <c r="G2305">
        <f t="shared" ca="1" si="73"/>
        <v>21</v>
      </c>
      <c r="H2305" t="s">
        <v>522</v>
      </c>
    </row>
    <row r="2306" spans="1:8">
      <c r="A2306" t="str">
        <f t="shared" ref="A2306:A2369" si="75">B2306&amp;C2306</f>
        <v>آذربايجان شرقيمراغه</v>
      </c>
      <c r="B2306" t="s">
        <v>79</v>
      </c>
      <c r="C2306" t="s">
        <v>84</v>
      </c>
      <c r="D2306" t="s">
        <v>19</v>
      </c>
      <c r="E2306">
        <f t="shared" ca="1" si="74"/>
        <v>0.6</v>
      </c>
      <c r="F2306">
        <f>IFERROR(VLOOKUP(H2306,ProfessionalRisk!A:I,9,0),0)</f>
        <v>3544</v>
      </c>
      <c r="G2306">
        <f t="shared" ca="1" si="73"/>
        <v>2126</v>
      </c>
      <c r="H2306" t="s">
        <v>528</v>
      </c>
    </row>
    <row r="2307" spans="1:8">
      <c r="A2307" t="str">
        <f t="shared" si="75"/>
        <v>آذربايجان شرقيمراغه</v>
      </c>
      <c r="B2307" t="s">
        <v>79</v>
      </c>
      <c r="C2307" t="s">
        <v>84</v>
      </c>
      <c r="D2307" t="s">
        <v>477</v>
      </c>
      <c r="E2307">
        <f t="shared" ca="1" si="74"/>
        <v>0.4</v>
      </c>
      <c r="F2307">
        <f>IFERROR(VLOOKUP(H2307,ProfessionalRisk!A:I,9,0),0)</f>
        <v>3544</v>
      </c>
      <c r="G2307">
        <f t="shared" ref="G2307:G2370" ca="1" si="76">IFERROR(ROUND(F2307*E2307,0),0)</f>
        <v>1418</v>
      </c>
      <c r="H2307" t="s">
        <v>528</v>
      </c>
    </row>
    <row r="2308" spans="1:8">
      <c r="A2308" t="str">
        <f t="shared" si="75"/>
        <v>آذربايجان شرقيمراغه</v>
      </c>
      <c r="B2308" t="s">
        <v>79</v>
      </c>
      <c r="C2308" t="s">
        <v>84</v>
      </c>
      <c r="D2308" t="s">
        <v>23</v>
      </c>
      <c r="E2308">
        <f t="shared" ca="1" si="74"/>
        <v>1.7075196511778114E-2</v>
      </c>
      <c r="F2308">
        <f>IFERROR(VLOOKUP(H2308,ProfessionalRisk!A:I,9,0),0)</f>
        <v>3544</v>
      </c>
      <c r="G2308">
        <f t="shared" ca="1" si="76"/>
        <v>61</v>
      </c>
      <c r="H2308" t="s">
        <v>528</v>
      </c>
    </row>
    <row r="2309" spans="1:8">
      <c r="A2309" t="str">
        <f t="shared" si="75"/>
        <v>آذربايجان شرقيمرند</v>
      </c>
      <c r="B2309" t="s">
        <v>79</v>
      </c>
      <c r="C2309" t="s">
        <v>85</v>
      </c>
      <c r="D2309" t="s">
        <v>19</v>
      </c>
      <c r="E2309">
        <f t="shared" ca="1" si="74"/>
        <v>0.6</v>
      </c>
      <c r="F2309">
        <f>IFERROR(VLOOKUP(H2309,ProfessionalRisk!A:I,9,0),0)</f>
        <v>2153</v>
      </c>
      <c r="G2309">
        <f t="shared" ca="1" si="76"/>
        <v>1292</v>
      </c>
      <c r="H2309" t="s">
        <v>535</v>
      </c>
    </row>
    <row r="2310" spans="1:8">
      <c r="A2310" t="str">
        <f t="shared" si="75"/>
        <v>آذربايجان شرقيمرند</v>
      </c>
      <c r="B2310" t="s">
        <v>79</v>
      </c>
      <c r="C2310" t="s">
        <v>85</v>
      </c>
      <c r="D2310" t="s">
        <v>477</v>
      </c>
      <c r="E2310">
        <f t="shared" ca="1" si="74"/>
        <v>0.4</v>
      </c>
      <c r="F2310">
        <f>IFERROR(VLOOKUP(H2310,ProfessionalRisk!A:I,9,0),0)</f>
        <v>2153</v>
      </c>
      <c r="G2310">
        <f t="shared" ca="1" si="76"/>
        <v>861</v>
      </c>
      <c r="H2310" t="s">
        <v>535</v>
      </c>
    </row>
    <row r="2311" spans="1:8">
      <c r="A2311" t="str">
        <f t="shared" si="75"/>
        <v>آذربايجان شرقيمرند</v>
      </c>
      <c r="B2311" t="s">
        <v>79</v>
      </c>
      <c r="C2311" t="s">
        <v>85</v>
      </c>
      <c r="D2311" t="s">
        <v>23</v>
      </c>
      <c r="E2311">
        <f t="shared" ca="1" si="74"/>
        <v>8.6756819634148039E-3</v>
      </c>
      <c r="F2311">
        <f>IFERROR(VLOOKUP(H2311,ProfessionalRisk!A:I,9,0),0)</f>
        <v>2153</v>
      </c>
      <c r="G2311">
        <f t="shared" ca="1" si="76"/>
        <v>19</v>
      </c>
      <c r="H2311" t="s">
        <v>535</v>
      </c>
    </row>
    <row r="2312" spans="1:8">
      <c r="A2312" t="str">
        <f t="shared" si="75"/>
        <v>آذربايجان شرقيميانه</v>
      </c>
      <c r="B2312" t="s">
        <v>79</v>
      </c>
      <c r="C2312" t="s">
        <v>86</v>
      </c>
      <c r="D2312" t="s">
        <v>19</v>
      </c>
      <c r="E2312">
        <f t="shared" ca="1" si="74"/>
        <v>0.6</v>
      </c>
      <c r="F2312">
        <f>IFERROR(VLOOKUP(H2312,ProfessionalRisk!A:I,9,0),0)</f>
        <v>2584</v>
      </c>
      <c r="G2312">
        <f t="shared" ca="1" si="76"/>
        <v>1550</v>
      </c>
      <c r="H2312" t="s">
        <v>529</v>
      </c>
    </row>
    <row r="2313" spans="1:8">
      <c r="A2313" t="str">
        <f t="shared" si="75"/>
        <v>آذربايجان شرقيميانه</v>
      </c>
      <c r="B2313" t="s">
        <v>79</v>
      </c>
      <c r="C2313" t="s">
        <v>86</v>
      </c>
      <c r="D2313" t="s">
        <v>477</v>
      </c>
      <c r="E2313">
        <f t="shared" ca="1" si="74"/>
        <v>0.4</v>
      </c>
      <c r="F2313">
        <f>IFERROR(VLOOKUP(H2313,ProfessionalRisk!A:I,9,0),0)</f>
        <v>2584</v>
      </c>
      <c r="G2313">
        <f t="shared" ca="1" si="76"/>
        <v>1034</v>
      </c>
      <c r="H2313" t="s">
        <v>529</v>
      </c>
    </row>
    <row r="2314" spans="1:8">
      <c r="A2314" t="str">
        <f t="shared" si="75"/>
        <v>آذربايجان شرقيميانه</v>
      </c>
      <c r="B2314" t="s">
        <v>79</v>
      </c>
      <c r="C2314" t="s">
        <v>86</v>
      </c>
      <c r="D2314" t="s">
        <v>23</v>
      </c>
      <c r="E2314">
        <f t="shared" ca="1" si="74"/>
        <v>6.5935325132514726E-3</v>
      </c>
      <c r="F2314">
        <f>IFERROR(VLOOKUP(H2314,ProfessionalRisk!A:I,9,0),0)</f>
        <v>2584</v>
      </c>
      <c r="G2314">
        <f t="shared" ca="1" si="76"/>
        <v>17</v>
      </c>
      <c r="H2314" t="s">
        <v>529</v>
      </c>
    </row>
    <row r="2315" spans="1:8">
      <c r="A2315" t="str">
        <f t="shared" si="75"/>
        <v>آذربايجان شرقيهشترود</v>
      </c>
      <c r="B2315" t="s">
        <v>79</v>
      </c>
      <c r="C2315" t="s">
        <v>87</v>
      </c>
      <c r="D2315" t="s">
        <v>19</v>
      </c>
      <c r="E2315">
        <f t="shared" ca="1" si="74"/>
        <v>0.6</v>
      </c>
      <c r="F2315">
        <f>IFERROR(VLOOKUP(H2315,ProfessionalRisk!A:I,9,0),0)</f>
        <v>1485</v>
      </c>
      <c r="G2315">
        <f t="shared" ca="1" si="76"/>
        <v>891</v>
      </c>
      <c r="H2315" t="s">
        <v>523</v>
      </c>
    </row>
    <row r="2316" spans="1:8">
      <c r="A2316" t="str">
        <f t="shared" si="75"/>
        <v>آذربايجان شرقيهشترود</v>
      </c>
      <c r="B2316" t="s">
        <v>79</v>
      </c>
      <c r="C2316" t="s">
        <v>87</v>
      </c>
      <c r="D2316" t="s">
        <v>477</v>
      </c>
      <c r="E2316">
        <f t="shared" ca="1" si="74"/>
        <v>0.4</v>
      </c>
      <c r="F2316">
        <f>IFERROR(VLOOKUP(H2316,ProfessionalRisk!A:I,9,0),0)</f>
        <v>1485</v>
      </c>
      <c r="G2316">
        <f t="shared" ca="1" si="76"/>
        <v>594</v>
      </c>
      <c r="H2316" t="s">
        <v>523</v>
      </c>
    </row>
    <row r="2317" spans="1:8">
      <c r="A2317" t="str">
        <f t="shared" si="75"/>
        <v>آذربايجان شرقيهشترود</v>
      </c>
      <c r="B2317" t="s">
        <v>79</v>
      </c>
      <c r="C2317" t="s">
        <v>87</v>
      </c>
      <c r="D2317" t="s">
        <v>23</v>
      </c>
      <c r="E2317">
        <f t="shared" ca="1" si="74"/>
        <v>1.5445425495662662E-2</v>
      </c>
      <c r="F2317">
        <f>IFERROR(VLOOKUP(H2317,ProfessionalRisk!A:I,9,0),0)</f>
        <v>1485</v>
      </c>
      <c r="G2317">
        <f t="shared" ca="1" si="76"/>
        <v>23</v>
      </c>
      <c r="H2317" t="s">
        <v>523</v>
      </c>
    </row>
    <row r="2318" spans="1:8">
      <c r="A2318" t="str">
        <f t="shared" si="75"/>
        <v>آذربايجان شرقيبناب</v>
      </c>
      <c r="B2318" t="s">
        <v>79</v>
      </c>
      <c r="C2318" t="s">
        <v>88</v>
      </c>
      <c r="D2318" t="s">
        <v>19</v>
      </c>
      <c r="E2318">
        <f t="shared" ca="1" si="74"/>
        <v>0.6</v>
      </c>
      <c r="F2318">
        <f>IFERROR(VLOOKUP(H2318,ProfessionalRisk!A:I,9,0),0)</f>
        <v>2019</v>
      </c>
      <c r="G2318">
        <f t="shared" ca="1" si="76"/>
        <v>1211</v>
      </c>
      <c r="H2318" t="s">
        <v>520</v>
      </c>
    </row>
    <row r="2319" spans="1:8">
      <c r="A2319" t="str">
        <f t="shared" si="75"/>
        <v>آذربايجان شرقيبناب</v>
      </c>
      <c r="B2319" t="s">
        <v>79</v>
      </c>
      <c r="C2319" t="s">
        <v>88</v>
      </c>
      <c r="D2319" t="s">
        <v>477</v>
      </c>
      <c r="E2319">
        <f t="shared" ca="1" si="74"/>
        <v>0.4</v>
      </c>
      <c r="F2319">
        <f>IFERROR(VLOOKUP(H2319,ProfessionalRisk!A:I,9,0),0)</f>
        <v>2019</v>
      </c>
      <c r="G2319">
        <f t="shared" ca="1" si="76"/>
        <v>808</v>
      </c>
      <c r="H2319" t="s">
        <v>520</v>
      </c>
    </row>
    <row r="2320" spans="1:8">
      <c r="A2320" t="str">
        <f t="shared" si="75"/>
        <v>آذربايجان شرقيبناب</v>
      </c>
      <c r="B2320" t="s">
        <v>79</v>
      </c>
      <c r="C2320" t="s">
        <v>88</v>
      </c>
      <c r="D2320" t="s">
        <v>23</v>
      </c>
      <c r="E2320">
        <f t="shared" ca="1" si="74"/>
        <v>1.105721584944311E-2</v>
      </c>
      <c r="F2320">
        <f>IFERROR(VLOOKUP(H2320,ProfessionalRisk!A:I,9,0),0)</f>
        <v>2019</v>
      </c>
      <c r="G2320">
        <f t="shared" ca="1" si="76"/>
        <v>22</v>
      </c>
      <c r="H2320" t="s">
        <v>520</v>
      </c>
    </row>
    <row r="2321" spans="1:8">
      <c r="A2321" t="str">
        <f t="shared" si="75"/>
        <v>آذربايجان شرقيبستان آباد</v>
      </c>
      <c r="B2321" t="s">
        <v>79</v>
      </c>
      <c r="C2321" t="s">
        <v>89</v>
      </c>
      <c r="D2321" t="s">
        <v>19</v>
      </c>
      <c r="E2321">
        <f t="shared" ca="1" si="74"/>
        <v>0.6</v>
      </c>
      <c r="F2321">
        <f>IFERROR(VLOOKUP(H2321,ProfessionalRisk!A:I,9,0),0)</f>
        <v>1547</v>
      </c>
      <c r="G2321">
        <f t="shared" ca="1" si="76"/>
        <v>928</v>
      </c>
      <c r="H2321" t="s">
        <v>532</v>
      </c>
    </row>
    <row r="2322" spans="1:8">
      <c r="A2322" t="str">
        <f t="shared" si="75"/>
        <v>آذربايجان شرقيبستان آباد</v>
      </c>
      <c r="B2322" t="s">
        <v>79</v>
      </c>
      <c r="C2322" t="s">
        <v>89</v>
      </c>
      <c r="D2322" t="s">
        <v>477</v>
      </c>
      <c r="E2322">
        <f t="shared" ca="1" si="74"/>
        <v>0.4</v>
      </c>
      <c r="F2322">
        <f>IFERROR(VLOOKUP(H2322,ProfessionalRisk!A:I,9,0),0)</f>
        <v>1547</v>
      </c>
      <c r="G2322">
        <f t="shared" ca="1" si="76"/>
        <v>619</v>
      </c>
      <c r="H2322" t="s">
        <v>532</v>
      </c>
    </row>
    <row r="2323" spans="1:8">
      <c r="A2323" t="str">
        <f t="shared" si="75"/>
        <v>آذربايجان شرقيبستان آباد</v>
      </c>
      <c r="B2323" t="s">
        <v>79</v>
      </c>
      <c r="C2323" t="s">
        <v>89</v>
      </c>
      <c r="D2323" t="s">
        <v>23</v>
      </c>
      <c r="E2323">
        <f t="shared" ca="1" si="74"/>
        <v>1.6720169909315095E-2</v>
      </c>
      <c r="F2323">
        <f>IFERROR(VLOOKUP(H2323,ProfessionalRisk!A:I,9,0),0)</f>
        <v>1547</v>
      </c>
      <c r="G2323">
        <f t="shared" ca="1" si="76"/>
        <v>26</v>
      </c>
      <c r="H2323" t="s">
        <v>532</v>
      </c>
    </row>
    <row r="2324" spans="1:8">
      <c r="A2324" t="str">
        <f t="shared" si="75"/>
        <v>آذربايجان شرقيشبستر</v>
      </c>
      <c r="B2324" t="s">
        <v>79</v>
      </c>
      <c r="C2324" t="s">
        <v>90</v>
      </c>
      <c r="D2324" t="s">
        <v>19</v>
      </c>
      <c r="E2324">
        <f t="shared" ca="1" si="74"/>
        <v>0.6</v>
      </c>
      <c r="F2324">
        <f>IFERROR(VLOOKUP(H2324,ProfessionalRisk!A:I,9,0),0)</f>
        <v>1428</v>
      </c>
      <c r="G2324">
        <f t="shared" ca="1" si="76"/>
        <v>857</v>
      </c>
      <c r="H2324" t="s">
        <v>527</v>
      </c>
    </row>
    <row r="2325" spans="1:8">
      <c r="A2325" t="str">
        <f t="shared" si="75"/>
        <v>آذربايجان شرقيشبستر</v>
      </c>
      <c r="B2325" t="s">
        <v>79</v>
      </c>
      <c r="C2325" t="s">
        <v>90</v>
      </c>
      <c r="D2325" t="s">
        <v>477</v>
      </c>
      <c r="E2325">
        <f t="shared" ca="1" si="74"/>
        <v>0.4</v>
      </c>
      <c r="F2325">
        <f>IFERROR(VLOOKUP(H2325,ProfessionalRisk!A:I,9,0),0)</f>
        <v>1428</v>
      </c>
      <c r="G2325">
        <f t="shared" ca="1" si="76"/>
        <v>571</v>
      </c>
      <c r="H2325" t="s">
        <v>527</v>
      </c>
    </row>
    <row r="2326" spans="1:8">
      <c r="A2326" t="str">
        <f t="shared" si="75"/>
        <v>آذربايجان شرقيشبستر</v>
      </c>
      <c r="B2326" t="s">
        <v>79</v>
      </c>
      <c r="C2326" t="s">
        <v>90</v>
      </c>
      <c r="D2326" t="s">
        <v>23</v>
      </c>
      <c r="E2326">
        <f t="shared" ca="1" si="74"/>
        <v>1.2703982099599213E-2</v>
      </c>
      <c r="F2326">
        <f>IFERROR(VLOOKUP(H2326,ProfessionalRisk!A:I,9,0),0)</f>
        <v>1428</v>
      </c>
      <c r="G2326">
        <f t="shared" ca="1" si="76"/>
        <v>18</v>
      </c>
      <c r="H2326" t="s">
        <v>527</v>
      </c>
    </row>
    <row r="2327" spans="1:8">
      <c r="A2327" t="str">
        <f t="shared" si="75"/>
        <v>آذربايجان شرقيكليبر</v>
      </c>
      <c r="B2327" t="s">
        <v>79</v>
      </c>
      <c r="C2327" t="s">
        <v>91</v>
      </c>
      <c r="D2327" t="s">
        <v>19</v>
      </c>
      <c r="E2327">
        <f t="shared" ca="1" si="74"/>
        <v>0.6</v>
      </c>
      <c r="F2327">
        <f>IFERROR(VLOOKUP(H2327,ProfessionalRisk!A:I,9,0),0)</f>
        <v>764</v>
      </c>
      <c r="G2327">
        <f t="shared" ca="1" si="76"/>
        <v>458</v>
      </c>
      <c r="H2327" t="s">
        <v>534</v>
      </c>
    </row>
    <row r="2328" spans="1:8">
      <c r="A2328" t="str">
        <f t="shared" si="75"/>
        <v>آذربايجان شرقيكليبر</v>
      </c>
      <c r="B2328" t="s">
        <v>79</v>
      </c>
      <c r="C2328" t="s">
        <v>91</v>
      </c>
      <c r="D2328" t="s">
        <v>477</v>
      </c>
      <c r="E2328">
        <f t="shared" ca="1" si="74"/>
        <v>0.4</v>
      </c>
      <c r="F2328">
        <f>IFERROR(VLOOKUP(H2328,ProfessionalRisk!A:I,9,0),0)</f>
        <v>764</v>
      </c>
      <c r="G2328">
        <f t="shared" ca="1" si="76"/>
        <v>306</v>
      </c>
      <c r="H2328" t="s">
        <v>534</v>
      </c>
    </row>
    <row r="2329" spans="1:8">
      <c r="A2329" t="str">
        <f t="shared" si="75"/>
        <v>آذربايجان شرقيكليبر</v>
      </c>
      <c r="B2329" t="s">
        <v>79</v>
      </c>
      <c r="C2329" t="s">
        <v>91</v>
      </c>
      <c r="D2329" t="s">
        <v>23</v>
      </c>
      <c r="E2329">
        <f t="shared" ca="1" si="74"/>
        <v>1.4764014564334887E-2</v>
      </c>
      <c r="F2329">
        <f>IFERROR(VLOOKUP(H2329,ProfessionalRisk!A:I,9,0),0)</f>
        <v>764</v>
      </c>
      <c r="G2329">
        <f t="shared" ca="1" si="76"/>
        <v>11</v>
      </c>
      <c r="H2329" t="s">
        <v>534</v>
      </c>
    </row>
    <row r="2330" spans="1:8">
      <c r="A2330" t="str">
        <f t="shared" si="75"/>
        <v>آذربايجان شرقيهريس</v>
      </c>
      <c r="B2330" t="s">
        <v>79</v>
      </c>
      <c r="C2330" t="s">
        <v>92</v>
      </c>
      <c r="D2330" t="s">
        <v>19</v>
      </c>
      <c r="E2330">
        <f t="shared" ca="1" si="74"/>
        <v>0.6</v>
      </c>
      <c r="F2330">
        <f>IFERROR(VLOOKUP(H2330,ProfessionalRisk!A:I,9,0),0)</f>
        <v>1034</v>
      </c>
      <c r="G2330">
        <f t="shared" ca="1" si="76"/>
        <v>620</v>
      </c>
      <c r="H2330" t="s">
        <v>533</v>
      </c>
    </row>
    <row r="2331" spans="1:8">
      <c r="A2331" t="str">
        <f t="shared" si="75"/>
        <v>آذربايجان شرقيهريس</v>
      </c>
      <c r="B2331" t="s">
        <v>79</v>
      </c>
      <c r="C2331" t="s">
        <v>92</v>
      </c>
      <c r="D2331" t="s">
        <v>477</v>
      </c>
      <c r="E2331">
        <f t="shared" ca="1" si="74"/>
        <v>0.4</v>
      </c>
      <c r="F2331">
        <f>IFERROR(VLOOKUP(H2331,ProfessionalRisk!A:I,9,0),0)</f>
        <v>1034</v>
      </c>
      <c r="G2331">
        <f t="shared" ca="1" si="76"/>
        <v>414</v>
      </c>
      <c r="H2331" t="s">
        <v>533</v>
      </c>
    </row>
    <row r="2332" spans="1:8">
      <c r="A2332" t="str">
        <f t="shared" si="75"/>
        <v>آذربايجان شرقيهريس</v>
      </c>
      <c r="B2332" t="s">
        <v>79</v>
      </c>
      <c r="C2332" t="s">
        <v>92</v>
      </c>
      <c r="D2332" t="s">
        <v>23</v>
      </c>
      <c r="E2332">
        <f t="shared" ca="1" si="74"/>
        <v>9.2500289732142665E-3</v>
      </c>
      <c r="F2332">
        <f>IFERROR(VLOOKUP(H2332,ProfessionalRisk!A:I,9,0),0)</f>
        <v>1034</v>
      </c>
      <c r="G2332">
        <f t="shared" ca="1" si="76"/>
        <v>10</v>
      </c>
      <c r="H2332" t="s">
        <v>533</v>
      </c>
    </row>
    <row r="2333" spans="1:8">
      <c r="A2333" t="str">
        <f t="shared" si="75"/>
        <v>آذربايجان شرقيجلفا</v>
      </c>
      <c r="B2333" t="s">
        <v>79</v>
      </c>
      <c r="C2333" t="s">
        <v>93</v>
      </c>
      <c r="D2333" t="s">
        <v>19</v>
      </c>
      <c r="E2333">
        <f t="shared" ca="1" si="74"/>
        <v>0.6</v>
      </c>
      <c r="F2333">
        <f>IFERROR(VLOOKUP(H2333,ProfessionalRisk!A:I,9,0),0)</f>
        <v>601</v>
      </c>
      <c r="G2333">
        <f t="shared" ca="1" si="76"/>
        <v>361</v>
      </c>
      <c r="H2333" t="s">
        <v>530</v>
      </c>
    </row>
    <row r="2334" spans="1:8">
      <c r="A2334" t="str">
        <f t="shared" si="75"/>
        <v>آذربايجان شرقيجلفا</v>
      </c>
      <c r="B2334" t="s">
        <v>79</v>
      </c>
      <c r="C2334" t="s">
        <v>93</v>
      </c>
      <c r="D2334" t="s">
        <v>477</v>
      </c>
      <c r="E2334">
        <f t="shared" ca="1" si="74"/>
        <v>0.4</v>
      </c>
      <c r="F2334">
        <f>IFERROR(VLOOKUP(H2334,ProfessionalRisk!A:I,9,0),0)</f>
        <v>601</v>
      </c>
      <c r="G2334">
        <f t="shared" ca="1" si="76"/>
        <v>240</v>
      </c>
      <c r="H2334" t="s">
        <v>530</v>
      </c>
    </row>
    <row r="2335" spans="1:8">
      <c r="A2335" t="str">
        <f t="shared" si="75"/>
        <v>آذربايجان شرقيجلفا</v>
      </c>
      <c r="B2335" t="s">
        <v>79</v>
      </c>
      <c r="C2335" t="s">
        <v>93</v>
      </c>
      <c r="D2335" t="s">
        <v>23</v>
      </c>
      <c r="E2335">
        <f t="shared" ca="1" si="74"/>
        <v>8.5495560868892762E-4</v>
      </c>
      <c r="F2335">
        <f>IFERROR(VLOOKUP(H2335,ProfessionalRisk!A:I,9,0),0)</f>
        <v>601</v>
      </c>
      <c r="G2335">
        <f t="shared" ca="1" si="76"/>
        <v>1</v>
      </c>
      <c r="H2335" t="s">
        <v>530</v>
      </c>
    </row>
    <row r="2336" spans="1:8">
      <c r="A2336" t="str">
        <f t="shared" si="75"/>
        <v>آذربايجان شرقيملكان</v>
      </c>
      <c r="B2336" t="s">
        <v>79</v>
      </c>
      <c r="C2336" t="s">
        <v>94</v>
      </c>
      <c r="D2336" t="s">
        <v>19</v>
      </c>
      <c r="E2336">
        <f t="shared" ca="1" si="74"/>
        <v>0.6</v>
      </c>
      <c r="F2336">
        <f>IFERROR(VLOOKUP(H2336,ProfessionalRisk!A:I,9,0),0)</f>
        <v>1176</v>
      </c>
      <c r="G2336">
        <f t="shared" ca="1" si="76"/>
        <v>706</v>
      </c>
      <c r="H2336" t="s">
        <v>526</v>
      </c>
    </row>
    <row r="2337" spans="1:8">
      <c r="A2337" t="str">
        <f t="shared" si="75"/>
        <v>آذربايجان شرقيملكان</v>
      </c>
      <c r="B2337" t="s">
        <v>79</v>
      </c>
      <c r="C2337" t="s">
        <v>94</v>
      </c>
      <c r="D2337" t="s">
        <v>477</v>
      </c>
      <c r="E2337">
        <f t="shared" ca="1" si="74"/>
        <v>0.4</v>
      </c>
      <c r="F2337">
        <f>IFERROR(VLOOKUP(H2337,ProfessionalRisk!A:I,9,0),0)</f>
        <v>1176</v>
      </c>
      <c r="G2337">
        <f t="shared" ca="1" si="76"/>
        <v>470</v>
      </c>
      <c r="H2337" t="s">
        <v>526</v>
      </c>
    </row>
    <row r="2338" spans="1:8">
      <c r="A2338" t="str">
        <f t="shared" si="75"/>
        <v>آذربايجان شرقيملكان</v>
      </c>
      <c r="B2338" t="s">
        <v>79</v>
      </c>
      <c r="C2338" t="s">
        <v>94</v>
      </c>
      <c r="D2338" t="s">
        <v>23</v>
      </c>
      <c r="E2338">
        <f t="shared" ca="1" si="74"/>
        <v>4.1211263600199645E-3</v>
      </c>
      <c r="F2338">
        <f>IFERROR(VLOOKUP(H2338,ProfessionalRisk!A:I,9,0),0)</f>
        <v>1176</v>
      </c>
      <c r="G2338">
        <f t="shared" ca="1" si="76"/>
        <v>5</v>
      </c>
      <c r="H2338" t="s">
        <v>526</v>
      </c>
    </row>
    <row r="2339" spans="1:8">
      <c r="A2339" t="str">
        <f t="shared" si="75"/>
        <v>آذربايجان شرقيآذرشهر</v>
      </c>
      <c r="B2339" t="s">
        <v>79</v>
      </c>
      <c r="C2339" t="s">
        <v>95</v>
      </c>
      <c r="D2339" t="s">
        <v>19</v>
      </c>
      <c r="E2339">
        <f t="shared" ref="E2339:E2402" ca="1" si="77">IF(D2339="AP",0.6,IF(D2339="BP",0.4,RAND()*0.02))</f>
        <v>0.6</v>
      </c>
      <c r="F2339">
        <f>IFERROR(VLOOKUP(H2339,ProfessionalRisk!A:I,9,0),0)</f>
        <v>846</v>
      </c>
      <c r="G2339">
        <f t="shared" ca="1" si="76"/>
        <v>508</v>
      </c>
      <c r="H2339" t="s">
        <v>541</v>
      </c>
    </row>
    <row r="2340" spans="1:8">
      <c r="A2340" t="str">
        <f t="shared" si="75"/>
        <v>آذربايجان شرقيآذرشهر</v>
      </c>
      <c r="B2340" t="s">
        <v>79</v>
      </c>
      <c r="C2340" t="s">
        <v>95</v>
      </c>
      <c r="D2340" t="s">
        <v>477</v>
      </c>
      <c r="E2340">
        <f t="shared" ca="1" si="77"/>
        <v>0.4</v>
      </c>
      <c r="F2340">
        <f>IFERROR(VLOOKUP(H2340,ProfessionalRisk!A:I,9,0),0)</f>
        <v>846</v>
      </c>
      <c r="G2340">
        <f t="shared" ca="1" si="76"/>
        <v>338</v>
      </c>
      <c r="H2340" t="s">
        <v>541</v>
      </c>
    </row>
    <row r="2341" spans="1:8">
      <c r="A2341" t="str">
        <f t="shared" si="75"/>
        <v>آذربايجان شرقيآذرشهر</v>
      </c>
      <c r="B2341" t="s">
        <v>79</v>
      </c>
      <c r="C2341" t="s">
        <v>95</v>
      </c>
      <c r="D2341" t="s">
        <v>23</v>
      </c>
      <c r="E2341">
        <f t="shared" ca="1" si="77"/>
        <v>8.4796472289726914E-3</v>
      </c>
      <c r="F2341">
        <f>IFERROR(VLOOKUP(H2341,ProfessionalRisk!A:I,9,0),0)</f>
        <v>846</v>
      </c>
      <c r="G2341">
        <f t="shared" ca="1" si="76"/>
        <v>7</v>
      </c>
      <c r="H2341" t="s">
        <v>541</v>
      </c>
    </row>
    <row r="2342" spans="1:8">
      <c r="A2342" t="str">
        <f t="shared" si="75"/>
        <v>آذربايجان شرقياسكو</v>
      </c>
      <c r="B2342" t="s">
        <v>79</v>
      </c>
      <c r="C2342" t="s">
        <v>96</v>
      </c>
      <c r="D2342" t="s">
        <v>19</v>
      </c>
      <c r="E2342">
        <f t="shared" ca="1" si="77"/>
        <v>0.6</v>
      </c>
      <c r="F2342">
        <f>IFERROR(VLOOKUP(H2342,ProfessionalRisk!A:I,9,0),0)</f>
        <v>826</v>
      </c>
      <c r="G2342">
        <f t="shared" ca="1" si="76"/>
        <v>496</v>
      </c>
      <c r="H2342" t="s">
        <v>536</v>
      </c>
    </row>
    <row r="2343" spans="1:8">
      <c r="A2343" t="str">
        <f t="shared" si="75"/>
        <v>آذربايجان شرقياسكو</v>
      </c>
      <c r="B2343" t="s">
        <v>79</v>
      </c>
      <c r="C2343" t="s">
        <v>96</v>
      </c>
      <c r="D2343" t="s">
        <v>477</v>
      </c>
      <c r="E2343">
        <f t="shared" ca="1" si="77"/>
        <v>0.4</v>
      </c>
      <c r="F2343">
        <f>IFERROR(VLOOKUP(H2343,ProfessionalRisk!A:I,9,0),0)</f>
        <v>826</v>
      </c>
      <c r="G2343">
        <f t="shared" ca="1" si="76"/>
        <v>330</v>
      </c>
      <c r="H2343" t="s">
        <v>536</v>
      </c>
    </row>
    <row r="2344" spans="1:8">
      <c r="A2344" t="str">
        <f t="shared" si="75"/>
        <v>آذربايجان شرقياسكو</v>
      </c>
      <c r="B2344" t="s">
        <v>79</v>
      </c>
      <c r="C2344" t="s">
        <v>96</v>
      </c>
      <c r="D2344" t="s">
        <v>23</v>
      </c>
      <c r="E2344">
        <f t="shared" ca="1" si="77"/>
        <v>5.4938006605965133E-3</v>
      </c>
      <c r="F2344">
        <f>IFERROR(VLOOKUP(H2344,ProfessionalRisk!A:I,9,0),0)</f>
        <v>826</v>
      </c>
      <c r="G2344">
        <f t="shared" ca="1" si="76"/>
        <v>5</v>
      </c>
      <c r="H2344" t="s">
        <v>536</v>
      </c>
    </row>
    <row r="2345" spans="1:8">
      <c r="A2345" t="str">
        <f t="shared" si="75"/>
        <v>آذربايجان شرقيچاراويماق</v>
      </c>
      <c r="B2345" t="s">
        <v>79</v>
      </c>
      <c r="C2345" t="s">
        <v>97</v>
      </c>
      <c r="D2345" t="s">
        <v>19</v>
      </c>
      <c r="E2345">
        <f t="shared" ca="1" si="77"/>
        <v>0.6</v>
      </c>
      <c r="F2345">
        <f>IFERROR(VLOOKUP(H2345,ProfessionalRisk!A:I,9,0),0)</f>
        <v>666</v>
      </c>
      <c r="G2345">
        <f t="shared" ca="1" si="76"/>
        <v>400</v>
      </c>
      <c r="H2345" t="s">
        <v>540</v>
      </c>
    </row>
    <row r="2346" spans="1:8">
      <c r="A2346" t="str">
        <f t="shared" si="75"/>
        <v>آذربايجان شرقيچاراويماق</v>
      </c>
      <c r="B2346" t="s">
        <v>79</v>
      </c>
      <c r="C2346" t="s">
        <v>97</v>
      </c>
      <c r="D2346" t="s">
        <v>477</v>
      </c>
      <c r="E2346">
        <f t="shared" ca="1" si="77"/>
        <v>0.4</v>
      </c>
      <c r="F2346">
        <f>IFERROR(VLOOKUP(H2346,ProfessionalRisk!A:I,9,0),0)</f>
        <v>666</v>
      </c>
      <c r="G2346">
        <f t="shared" ca="1" si="76"/>
        <v>266</v>
      </c>
      <c r="H2346" t="s">
        <v>540</v>
      </c>
    </row>
    <row r="2347" spans="1:8">
      <c r="A2347" t="str">
        <f t="shared" si="75"/>
        <v>آذربايجان شرقيچاراويماق</v>
      </c>
      <c r="B2347" t="s">
        <v>79</v>
      </c>
      <c r="C2347" t="s">
        <v>97</v>
      </c>
      <c r="D2347" t="s">
        <v>23</v>
      </c>
      <c r="E2347">
        <f t="shared" ca="1" si="77"/>
        <v>1.8952902868003419E-3</v>
      </c>
      <c r="F2347">
        <f>IFERROR(VLOOKUP(H2347,ProfessionalRisk!A:I,9,0),0)</f>
        <v>666</v>
      </c>
      <c r="G2347">
        <f t="shared" ca="1" si="76"/>
        <v>1</v>
      </c>
      <c r="H2347" t="s">
        <v>540</v>
      </c>
    </row>
    <row r="2348" spans="1:8">
      <c r="A2348" t="str">
        <f t="shared" si="75"/>
        <v>آذربايجان شرقيورزقان</v>
      </c>
      <c r="B2348" t="s">
        <v>79</v>
      </c>
      <c r="C2348" t="s">
        <v>98</v>
      </c>
      <c r="D2348" t="s">
        <v>19</v>
      </c>
      <c r="E2348">
        <f t="shared" ca="1" si="77"/>
        <v>0.6</v>
      </c>
      <c r="F2348">
        <f>IFERROR(VLOOKUP(H2348,ProfessionalRisk!A:I,9,0),0)</f>
        <v>625</v>
      </c>
      <c r="G2348">
        <f t="shared" ca="1" si="76"/>
        <v>375</v>
      </c>
      <c r="H2348" t="s">
        <v>539</v>
      </c>
    </row>
    <row r="2349" spans="1:8">
      <c r="A2349" t="str">
        <f t="shared" si="75"/>
        <v>آذربايجان شرقيورزقان</v>
      </c>
      <c r="B2349" t="s">
        <v>79</v>
      </c>
      <c r="C2349" t="s">
        <v>98</v>
      </c>
      <c r="D2349" t="s">
        <v>477</v>
      </c>
      <c r="E2349">
        <f t="shared" ca="1" si="77"/>
        <v>0.4</v>
      </c>
      <c r="F2349">
        <f>IFERROR(VLOOKUP(H2349,ProfessionalRisk!A:I,9,0),0)</f>
        <v>625</v>
      </c>
      <c r="G2349">
        <f t="shared" ca="1" si="76"/>
        <v>250</v>
      </c>
      <c r="H2349" t="s">
        <v>539</v>
      </c>
    </row>
    <row r="2350" spans="1:8">
      <c r="A2350" t="str">
        <f t="shared" si="75"/>
        <v>آذربايجان شرقيورزقان</v>
      </c>
      <c r="B2350" t="s">
        <v>79</v>
      </c>
      <c r="C2350" t="s">
        <v>98</v>
      </c>
      <c r="D2350" t="s">
        <v>23</v>
      </c>
      <c r="E2350">
        <f t="shared" ca="1" si="77"/>
        <v>9.4227455043841783E-3</v>
      </c>
      <c r="F2350">
        <f>IFERROR(VLOOKUP(H2350,ProfessionalRisk!A:I,9,0),0)</f>
        <v>625</v>
      </c>
      <c r="G2350">
        <f t="shared" ca="1" si="76"/>
        <v>6</v>
      </c>
      <c r="H2350" t="s">
        <v>539</v>
      </c>
    </row>
    <row r="2351" spans="1:8">
      <c r="A2351" t="str">
        <f t="shared" si="75"/>
        <v>آذربايجان شرقيعجب شير</v>
      </c>
      <c r="B2351" t="s">
        <v>79</v>
      </c>
      <c r="C2351" t="s">
        <v>99</v>
      </c>
      <c r="D2351" t="s">
        <v>19</v>
      </c>
      <c r="E2351">
        <f t="shared" ca="1" si="77"/>
        <v>0.6</v>
      </c>
      <c r="F2351">
        <f>IFERROR(VLOOKUP(H2351,ProfessionalRisk!A:I,9,0),0)</f>
        <v>746</v>
      </c>
      <c r="G2351">
        <f t="shared" ca="1" si="76"/>
        <v>448</v>
      </c>
      <c r="H2351" t="s">
        <v>525</v>
      </c>
    </row>
    <row r="2352" spans="1:8">
      <c r="A2352" t="str">
        <f t="shared" si="75"/>
        <v>آذربايجان شرقيعجب شير</v>
      </c>
      <c r="B2352" t="s">
        <v>79</v>
      </c>
      <c r="C2352" t="s">
        <v>99</v>
      </c>
      <c r="D2352" t="s">
        <v>477</v>
      </c>
      <c r="E2352">
        <f t="shared" ca="1" si="77"/>
        <v>0.4</v>
      </c>
      <c r="F2352">
        <f>IFERROR(VLOOKUP(H2352,ProfessionalRisk!A:I,9,0),0)</f>
        <v>746</v>
      </c>
      <c r="G2352">
        <f t="shared" ca="1" si="76"/>
        <v>298</v>
      </c>
      <c r="H2352" t="s">
        <v>525</v>
      </c>
    </row>
    <row r="2353" spans="1:8">
      <c r="A2353" t="str">
        <f t="shared" si="75"/>
        <v>آذربايجان شرقيعجب شير</v>
      </c>
      <c r="B2353" t="s">
        <v>79</v>
      </c>
      <c r="C2353" t="s">
        <v>99</v>
      </c>
      <c r="D2353" t="s">
        <v>23</v>
      </c>
      <c r="E2353">
        <f t="shared" ca="1" si="77"/>
        <v>4.1053583864055863E-3</v>
      </c>
      <c r="F2353">
        <f>IFERROR(VLOOKUP(H2353,ProfessionalRisk!A:I,9,0),0)</f>
        <v>746</v>
      </c>
      <c r="G2353">
        <f t="shared" ca="1" si="76"/>
        <v>3</v>
      </c>
      <c r="H2353" t="s">
        <v>525</v>
      </c>
    </row>
    <row r="2354" spans="1:8">
      <c r="A2354" t="str">
        <f t="shared" si="75"/>
        <v>آذربايجان شرقيخداافرين</v>
      </c>
      <c r="B2354" t="s">
        <v>79</v>
      </c>
      <c r="C2354" t="s">
        <v>101</v>
      </c>
      <c r="D2354" t="s">
        <v>19</v>
      </c>
      <c r="E2354">
        <f t="shared" ca="1" si="77"/>
        <v>0.6</v>
      </c>
      <c r="F2354">
        <f>IFERROR(VLOOKUP(H2354,ProfessionalRisk!A:I,9,0),0)</f>
        <v>389</v>
      </c>
      <c r="G2354">
        <f t="shared" ca="1" si="76"/>
        <v>233</v>
      </c>
      <c r="H2354" t="s">
        <v>537</v>
      </c>
    </row>
    <row r="2355" spans="1:8">
      <c r="A2355" t="str">
        <f t="shared" si="75"/>
        <v>آذربايجان شرقيخداافرين</v>
      </c>
      <c r="B2355" t="s">
        <v>79</v>
      </c>
      <c r="C2355" t="s">
        <v>101</v>
      </c>
      <c r="D2355" t="s">
        <v>477</v>
      </c>
      <c r="E2355">
        <f t="shared" ca="1" si="77"/>
        <v>0.4</v>
      </c>
      <c r="F2355">
        <f>IFERROR(VLOOKUP(H2355,ProfessionalRisk!A:I,9,0),0)</f>
        <v>389</v>
      </c>
      <c r="G2355">
        <f t="shared" ca="1" si="76"/>
        <v>156</v>
      </c>
      <c r="H2355" t="s">
        <v>537</v>
      </c>
    </row>
    <row r="2356" spans="1:8">
      <c r="A2356" t="str">
        <f t="shared" si="75"/>
        <v>آذربايجان شرقيخداافرين</v>
      </c>
      <c r="B2356" t="s">
        <v>79</v>
      </c>
      <c r="C2356" t="s">
        <v>101</v>
      </c>
      <c r="D2356" t="s">
        <v>23</v>
      </c>
      <c r="E2356">
        <f t="shared" ca="1" si="77"/>
        <v>4.4199137692809478E-4</v>
      </c>
      <c r="F2356">
        <f>IFERROR(VLOOKUP(H2356,ProfessionalRisk!A:I,9,0),0)</f>
        <v>389</v>
      </c>
      <c r="G2356">
        <f t="shared" ca="1" si="76"/>
        <v>0</v>
      </c>
      <c r="H2356" t="s">
        <v>537</v>
      </c>
    </row>
    <row r="2357" spans="1:8">
      <c r="A2357" t="str">
        <f t="shared" si="75"/>
        <v>آذربايجان غربياروميه</v>
      </c>
      <c r="B2357" t="s">
        <v>100</v>
      </c>
      <c r="C2357" t="s">
        <v>102</v>
      </c>
      <c r="D2357" t="s">
        <v>19</v>
      </c>
      <c r="E2357">
        <f t="shared" ca="1" si="77"/>
        <v>0.6</v>
      </c>
      <c r="F2357">
        <f>IFERROR(VLOOKUP(H2357,ProfessionalRisk!A:I,9,0),0)</f>
        <v>20538</v>
      </c>
      <c r="G2357">
        <f t="shared" ca="1" si="76"/>
        <v>12323</v>
      </c>
      <c r="H2357" t="s">
        <v>555</v>
      </c>
    </row>
    <row r="2358" spans="1:8">
      <c r="A2358" t="str">
        <f t="shared" si="75"/>
        <v>آذربايجان غربياروميه</v>
      </c>
      <c r="B2358" t="s">
        <v>100</v>
      </c>
      <c r="C2358" t="s">
        <v>102</v>
      </c>
      <c r="D2358" t="s">
        <v>477</v>
      </c>
      <c r="E2358">
        <f t="shared" ca="1" si="77"/>
        <v>0.4</v>
      </c>
      <c r="F2358">
        <f>IFERROR(VLOOKUP(H2358,ProfessionalRisk!A:I,9,0),0)</f>
        <v>20538</v>
      </c>
      <c r="G2358">
        <f t="shared" ca="1" si="76"/>
        <v>8215</v>
      </c>
      <c r="H2358" t="s">
        <v>555</v>
      </c>
    </row>
    <row r="2359" spans="1:8">
      <c r="A2359" t="str">
        <f t="shared" si="75"/>
        <v>آذربايجان غربياروميه</v>
      </c>
      <c r="B2359" t="s">
        <v>100</v>
      </c>
      <c r="C2359" t="s">
        <v>102</v>
      </c>
      <c r="D2359" t="s">
        <v>23</v>
      </c>
      <c r="E2359">
        <f t="shared" ca="1" si="77"/>
        <v>1.5921239133502973E-2</v>
      </c>
      <c r="F2359">
        <f>IFERROR(VLOOKUP(H2359,ProfessionalRisk!A:I,9,0),0)</f>
        <v>20538</v>
      </c>
      <c r="G2359">
        <f t="shared" ca="1" si="76"/>
        <v>327</v>
      </c>
      <c r="H2359" t="s">
        <v>555</v>
      </c>
    </row>
    <row r="2360" spans="1:8">
      <c r="A2360" t="str">
        <f t="shared" si="75"/>
        <v>آذربايجان غربيپيرانشهر</v>
      </c>
      <c r="B2360" t="s">
        <v>100</v>
      </c>
      <c r="C2360" t="s">
        <v>103</v>
      </c>
      <c r="D2360" t="s">
        <v>19</v>
      </c>
      <c r="E2360">
        <f t="shared" ca="1" si="77"/>
        <v>0.6</v>
      </c>
      <c r="F2360">
        <f>IFERROR(VLOOKUP(H2360,ProfessionalRisk!A:I,9,0),0)</f>
        <v>1190</v>
      </c>
      <c r="G2360">
        <f t="shared" ca="1" si="76"/>
        <v>714</v>
      </c>
      <c r="H2360" t="s">
        <v>542</v>
      </c>
    </row>
    <row r="2361" spans="1:8">
      <c r="A2361" t="str">
        <f t="shared" si="75"/>
        <v>آذربايجان غربيپيرانشهر</v>
      </c>
      <c r="B2361" t="s">
        <v>100</v>
      </c>
      <c r="C2361" t="s">
        <v>103</v>
      </c>
      <c r="D2361" t="s">
        <v>477</v>
      </c>
      <c r="E2361">
        <f t="shared" ca="1" si="77"/>
        <v>0.4</v>
      </c>
      <c r="F2361">
        <f>IFERROR(VLOOKUP(H2361,ProfessionalRisk!A:I,9,0),0)</f>
        <v>1190</v>
      </c>
      <c r="G2361">
        <f t="shared" ca="1" si="76"/>
        <v>476</v>
      </c>
      <c r="H2361" t="s">
        <v>542</v>
      </c>
    </row>
    <row r="2362" spans="1:8">
      <c r="A2362" t="str">
        <f t="shared" si="75"/>
        <v>آذربايجان غربيپيرانشهر</v>
      </c>
      <c r="B2362" t="s">
        <v>100</v>
      </c>
      <c r="C2362" t="s">
        <v>103</v>
      </c>
      <c r="D2362" t="s">
        <v>23</v>
      </c>
      <c r="E2362">
        <f t="shared" ca="1" si="77"/>
        <v>9.2671998182287628E-3</v>
      </c>
      <c r="F2362">
        <f>IFERROR(VLOOKUP(H2362,ProfessionalRisk!A:I,9,0),0)</f>
        <v>1190</v>
      </c>
      <c r="G2362">
        <f t="shared" ca="1" si="76"/>
        <v>11</v>
      </c>
      <c r="H2362" t="s">
        <v>542</v>
      </c>
    </row>
    <row r="2363" spans="1:8">
      <c r="A2363" t="str">
        <f t="shared" si="75"/>
        <v>آذربايجان غربيخوئ</v>
      </c>
      <c r="B2363" t="s">
        <v>100</v>
      </c>
      <c r="C2363" t="s">
        <v>104</v>
      </c>
      <c r="D2363" t="s">
        <v>19</v>
      </c>
      <c r="E2363">
        <f t="shared" ca="1" si="77"/>
        <v>0.6</v>
      </c>
      <c r="F2363">
        <f>IFERROR(VLOOKUP(H2363,ProfessionalRisk!A:I,9,0),0)</f>
        <v>1736</v>
      </c>
      <c r="G2363">
        <f t="shared" ca="1" si="76"/>
        <v>1042</v>
      </c>
      <c r="H2363" t="s">
        <v>547</v>
      </c>
    </row>
    <row r="2364" spans="1:8">
      <c r="A2364" t="str">
        <f t="shared" si="75"/>
        <v>آذربايجان غربيخوئ</v>
      </c>
      <c r="B2364" t="s">
        <v>100</v>
      </c>
      <c r="C2364" t="s">
        <v>104</v>
      </c>
      <c r="D2364" t="s">
        <v>477</v>
      </c>
      <c r="E2364">
        <f t="shared" ca="1" si="77"/>
        <v>0.4</v>
      </c>
      <c r="F2364">
        <f>IFERROR(VLOOKUP(H2364,ProfessionalRisk!A:I,9,0),0)</f>
        <v>1736</v>
      </c>
      <c r="G2364">
        <f t="shared" ca="1" si="76"/>
        <v>694</v>
      </c>
      <c r="H2364" t="s">
        <v>547</v>
      </c>
    </row>
    <row r="2365" spans="1:8">
      <c r="A2365" t="str">
        <f t="shared" si="75"/>
        <v>آذربايجان غربيخوئ</v>
      </c>
      <c r="B2365" t="s">
        <v>100</v>
      </c>
      <c r="C2365" t="s">
        <v>104</v>
      </c>
      <c r="D2365" t="s">
        <v>23</v>
      </c>
      <c r="E2365">
        <f t="shared" ca="1" si="77"/>
        <v>8.4313432789483288E-3</v>
      </c>
      <c r="F2365">
        <f>IFERROR(VLOOKUP(H2365,ProfessionalRisk!A:I,9,0),0)</f>
        <v>1736</v>
      </c>
      <c r="G2365">
        <f t="shared" ca="1" si="76"/>
        <v>15</v>
      </c>
      <c r="H2365" t="s">
        <v>547</v>
      </c>
    </row>
    <row r="2366" spans="1:8">
      <c r="A2366" t="str">
        <f t="shared" si="75"/>
        <v>آذربايجان غربيسردشت</v>
      </c>
      <c r="B2366" t="s">
        <v>100</v>
      </c>
      <c r="C2366" t="s">
        <v>105</v>
      </c>
      <c r="D2366" t="s">
        <v>19</v>
      </c>
      <c r="E2366">
        <f t="shared" ca="1" si="77"/>
        <v>0.6</v>
      </c>
      <c r="F2366">
        <f>IFERROR(VLOOKUP(H2366,ProfessionalRisk!A:I,9,0),0)</f>
        <v>1466</v>
      </c>
      <c r="G2366">
        <f t="shared" ca="1" si="76"/>
        <v>880</v>
      </c>
      <c r="H2366" t="s">
        <v>558</v>
      </c>
    </row>
    <row r="2367" spans="1:8">
      <c r="A2367" t="str">
        <f t="shared" si="75"/>
        <v>آذربايجان غربيسردشت</v>
      </c>
      <c r="B2367" t="s">
        <v>100</v>
      </c>
      <c r="C2367" t="s">
        <v>105</v>
      </c>
      <c r="D2367" t="s">
        <v>477</v>
      </c>
      <c r="E2367">
        <f t="shared" ca="1" si="77"/>
        <v>0.4</v>
      </c>
      <c r="F2367">
        <f>IFERROR(VLOOKUP(H2367,ProfessionalRisk!A:I,9,0),0)</f>
        <v>1466</v>
      </c>
      <c r="G2367">
        <f t="shared" ca="1" si="76"/>
        <v>586</v>
      </c>
      <c r="H2367" t="s">
        <v>558</v>
      </c>
    </row>
    <row r="2368" spans="1:8">
      <c r="A2368" t="str">
        <f t="shared" si="75"/>
        <v>آذربايجان غربيسردشت</v>
      </c>
      <c r="B2368" t="s">
        <v>100</v>
      </c>
      <c r="C2368" t="s">
        <v>105</v>
      </c>
      <c r="D2368" t="s">
        <v>23</v>
      </c>
      <c r="E2368">
        <f t="shared" ca="1" si="77"/>
        <v>6.086122997431425E-3</v>
      </c>
      <c r="F2368">
        <f>IFERROR(VLOOKUP(H2368,ProfessionalRisk!A:I,9,0),0)</f>
        <v>1466</v>
      </c>
      <c r="G2368">
        <f t="shared" ca="1" si="76"/>
        <v>9</v>
      </c>
      <c r="H2368" t="s">
        <v>558</v>
      </c>
    </row>
    <row r="2369" spans="1:8">
      <c r="A2369" t="str">
        <f t="shared" si="75"/>
        <v>آذربايجان غربيسلماس</v>
      </c>
      <c r="B2369" t="s">
        <v>100</v>
      </c>
      <c r="C2369" t="s">
        <v>106</v>
      </c>
      <c r="D2369" t="s">
        <v>19</v>
      </c>
      <c r="E2369">
        <f t="shared" ca="1" si="77"/>
        <v>0.6</v>
      </c>
      <c r="F2369">
        <f>IFERROR(VLOOKUP(H2369,ProfessionalRisk!A:I,9,0),0)</f>
        <v>2060</v>
      </c>
      <c r="G2369">
        <f t="shared" ca="1" si="76"/>
        <v>1236</v>
      </c>
      <c r="H2369" t="s">
        <v>549</v>
      </c>
    </row>
    <row r="2370" spans="1:8">
      <c r="A2370" t="str">
        <f t="shared" ref="A2370:A2433" si="78">B2370&amp;C2370</f>
        <v>آذربايجان غربيسلماس</v>
      </c>
      <c r="B2370" t="s">
        <v>100</v>
      </c>
      <c r="C2370" t="s">
        <v>106</v>
      </c>
      <c r="D2370" t="s">
        <v>477</v>
      </c>
      <c r="E2370">
        <f t="shared" ca="1" si="77"/>
        <v>0.4</v>
      </c>
      <c r="F2370">
        <f>IFERROR(VLOOKUP(H2370,ProfessionalRisk!A:I,9,0),0)</f>
        <v>2060</v>
      </c>
      <c r="G2370">
        <f t="shared" ca="1" si="76"/>
        <v>824</v>
      </c>
      <c r="H2370" t="s">
        <v>549</v>
      </c>
    </row>
    <row r="2371" spans="1:8">
      <c r="A2371" t="str">
        <f t="shared" si="78"/>
        <v>آذربايجان غربيسلماس</v>
      </c>
      <c r="B2371" t="s">
        <v>100</v>
      </c>
      <c r="C2371" t="s">
        <v>106</v>
      </c>
      <c r="D2371" t="s">
        <v>23</v>
      </c>
      <c r="E2371">
        <f t="shared" ca="1" si="77"/>
        <v>5.5925279114083896E-3</v>
      </c>
      <c r="F2371">
        <f>IFERROR(VLOOKUP(H2371,ProfessionalRisk!A:I,9,0),0)</f>
        <v>2060</v>
      </c>
      <c r="G2371">
        <f t="shared" ref="G2371:G2434" ca="1" si="79">IFERROR(ROUND(F2371*E2371,0),0)</f>
        <v>12</v>
      </c>
      <c r="H2371" t="s">
        <v>549</v>
      </c>
    </row>
    <row r="2372" spans="1:8">
      <c r="A2372" t="str">
        <f t="shared" si="78"/>
        <v>آذربايجان غربيماكو</v>
      </c>
      <c r="B2372" t="s">
        <v>100</v>
      </c>
      <c r="C2372" t="s">
        <v>107</v>
      </c>
      <c r="D2372" t="s">
        <v>19</v>
      </c>
      <c r="E2372">
        <f t="shared" ca="1" si="77"/>
        <v>0.6</v>
      </c>
      <c r="F2372">
        <f>IFERROR(VLOOKUP(H2372,ProfessionalRisk!A:I,9,0),0)</f>
        <v>1284</v>
      </c>
      <c r="G2372">
        <f t="shared" ca="1" si="79"/>
        <v>770</v>
      </c>
      <c r="H2372" t="s">
        <v>552</v>
      </c>
    </row>
    <row r="2373" spans="1:8">
      <c r="A2373" t="str">
        <f t="shared" si="78"/>
        <v>آذربايجان غربيماكو</v>
      </c>
      <c r="B2373" t="s">
        <v>100</v>
      </c>
      <c r="C2373" t="s">
        <v>107</v>
      </c>
      <c r="D2373" t="s">
        <v>477</v>
      </c>
      <c r="E2373">
        <f t="shared" ca="1" si="77"/>
        <v>0.4</v>
      </c>
      <c r="F2373">
        <f>IFERROR(VLOOKUP(H2373,ProfessionalRisk!A:I,9,0),0)</f>
        <v>1284</v>
      </c>
      <c r="G2373">
        <f t="shared" ca="1" si="79"/>
        <v>514</v>
      </c>
      <c r="H2373" t="s">
        <v>552</v>
      </c>
    </row>
    <row r="2374" spans="1:8">
      <c r="A2374" t="str">
        <f t="shared" si="78"/>
        <v>آذربايجان غربيماكو</v>
      </c>
      <c r="B2374" t="s">
        <v>100</v>
      </c>
      <c r="C2374" t="s">
        <v>107</v>
      </c>
      <c r="D2374" t="s">
        <v>23</v>
      </c>
      <c r="E2374">
        <f t="shared" ca="1" si="77"/>
        <v>6.1039139605542367E-3</v>
      </c>
      <c r="F2374">
        <f>IFERROR(VLOOKUP(H2374,ProfessionalRisk!A:I,9,0),0)</f>
        <v>1284</v>
      </c>
      <c r="G2374">
        <f t="shared" ca="1" si="79"/>
        <v>8</v>
      </c>
      <c r="H2374" t="s">
        <v>552</v>
      </c>
    </row>
    <row r="2375" spans="1:8">
      <c r="A2375" t="str">
        <f t="shared" si="78"/>
        <v>آذربايجان غربيمهاباد</v>
      </c>
      <c r="B2375" t="s">
        <v>100</v>
      </c>
      <c r="C2375" t="s">
        <v>108</v>
      </c>
      <c r="D2375" t="s">
        <v>19</v>
      </c>
      <c r="E2375">
        <f t="shared" ca="1" si="77"/>
        <v>0.6</v>
      </c>
      <c r="F2375">
        <f>IFERROR(VLOOKUP(H2375,ProfessionalRisk!A:I,9,0),0)</f>
        <v>2716</v>
      </c>
      <c r="G2375">
        <f t="shared" ca="1" si="79"/>
        <v>1630</v>
      </c>
      <c r="H2375" t="s">
        <v>551</v>
      </c>
    </row>
    <row r="2376" spans="1:8">
      <c r="A2376" t="str">
        <f t="shared" si="78"/>
        <v>آذربايجان غربيمهاباد</v>
      </c>
      <c r="B2376" t="s">
        <v>100</v>
      </c>
      <c r="C2376" t="s">
        <v>108</v>
      </c>
      <c r="D2376" t="s">
        <v>477</v>
      </c>
      <c r="E2376">
        <f t="shared" ca="1" si="77"/>
        <v>0.4</v>
      </c>
      <c r="F2376">
        <f>IFERROR(VLOOKUP(H2376,ProfessionalRisk!A:I,9,0),0)</f>
        <v>2716</v>
      </c>
      <c r="G2376">
        <f t="shared" ca="1" si="79"/>
        <v>1086</v>
      </c>
      <c r="H2376" t="s">
        <v>551</v>
      </c>
    </row>
    <row r="2377" spans="1:8">
      <c r="A2377" t="str">
        <f t="shared" si="78"/>
        <v>آذربايجان غربيمهاباد</v>
      </c>
      <c r="B2377" t="s">
        <v>100</v>
      </c>
      <c r="C2377" t="s">
        <v>108</v>
      </c>
      <c r="D2377" t="s">
        <v>23</v>
      </c>
      <c r="E2377">
        <f t="shared" ca="1" si="77"/>
        <v>4.4273386408667601E-3</v>
      </c>
      <c r="F2377">
        <f>IFERROR(VLOOKUP(H2377,ProfessionalRisk!A:I,9,0),0)</f>
        <v>2716</v>
      </c>
      <c r="G2377">
        <f t="shared" ca="1" si="79"/>
        <v>12</v>
      </c>
      <c r="H2377" t="s">
        <v>551</v>
      </c>
    </row>
    <row r="2378" spans="1:8">
      <c r="A2378" t="str">
        <f t="shared" si="78"/>
        <v>آذربايجان غربيمياندوآب</v>
      </c>
      <c r="B2378" t="s">
        <v>100</v>
      </c>
      <c r="C2378" t="s">
        <v>109</v>
      </c>
      <c r="D2378" t="s">
        <v>19</v>
      </c>
      <c r="E2378">
        <f t="shared" ca="1" si="77"/>
        <v>0.6</v>
      </c>
      <c r="F2378">
        <f>IFERROR(VLOOKUP(H2378,ProfessionalRisk!A:I,9,0),0)</f>
        <v>3464</v>
      </c>
      <c r="G2378">
        <f t="shared" ca="1" si="79"/>
        <v>2078</v>
      </c>
      <c r="H2378" t="s">
        <v>548</v>
      </c>
    </row>
    <row r="2379" spans="1:8">
      <c r="A2379" t="str">
        <f t="shared" si="78"/>
        <v>آذربايجان غربيمياندوآب</v>
      </c>
      <c r="B2379" t="s">
        <v>100</v>
      </c>
      <c r="C2379" t="s">
        <v>109</v>
      </c>
      <c r="D2379" t="s">
        <v>477</v>
      </c>
      <c r="E2379">
        <f t="shared" ca="1" si="77"/>
        <v>0.4</v>
      </c>
      <c r="F2379">
        <f>IFERROR(VLOOKUP(H2379,ProfessionalRisk!A:I,9,0),0)</f>
        <v>3464</v>
      </c>
      <c r="G2379">
        <f t="shared" ca="1" si="79"/>
        <v>1386</v>
      </c>
      <c r="H2379" t="s">
        <v>548</v>
      </c>
    </row>
    <row r="2380" spans="1:8">
      <c r="A2380" t="str">
        <f t="shared" si="78"/>
        <v>آذربايجان غربيمياندوآب</v>
      </c>
      <c r="B2380" t="s">
        <v>100</v>
      </c>
      <c r="C2380" t="s">
        <v>109</v>
      </c>
      <c r="D2380" t="s">
        <v>23</v>
      </c>
      <c r="E2380">
        <f t="shared" ca="1" si="77"/>
        <v>7.8772511706134089E-3</v>
      </c>
      <c r="F2380">
        <f>IFERROR(VLOOKUP(H2380,ProfessionalRisk!A:I,9,0),0)</f>
        <v>3464</v>
      </c>
      <c r="G2380">
        <f t="shared" ca="1" si="79"/>
        <v>27</v>
      </c>
      <c r="H2380" t="s">
        <v>548</v>
      </c>
    </row>
    <row r="2381" spans="1:8">
      <c r="A2381" t="str">
        <f t="shared" si="78"/>
        <v>آذربايجان غربينقده</v>
      </c>
      <c r="B2381" t="s">
        <v>100</v>
      </c>
      <c r="C2381" t="s">
        <v>110</v>
      </c>
      <c r="D2381" t="s">
        <v>19</v>
      </c>
      <c r="E2381">
        <f t="shared" ca="1" si="77"/>
        <v>0.6</v>
      </c>
      <c r="F2381">
        <f>IFERROR(VLOOKUP(H2381,ProfessionalRisk!A:I,9,0),0)</f>
        <v>1548</v>
      </c>
      <c r="G2381">
        <f t="shared" ca="1" si="79"/>
        <v>929</v>
      </c>
      <c r="H2381" t="s">
        <v>550</v>
      </c>
    </row>
    <row r="2382" spans="1:8">
      <c r="A2382" t="str">
        <f t="shared" si="78"/>
        <v>آذربايجان غربينقده</v>
      </c>
      <c r="B2382" t="s">
        <v>100</v>
      </c>
      <c r="C2382" t="s">
        <v>110</v>
      </c>
      <c r="D2382" t="s">
        <v>477</v>
      </c>
      <c r="E2382">
        <f t="shared" ca="1" si="77"/>
        <v>0.4</v>
      </c>
      <c r="F2382">
        <f>IFERROR(VLOOKUP(H2382,ProfessionalRisk!A:I,9,0),0)</f>
        <v>1548</v>
      </c>
      <c r="G2382">
        <f t="shared" ca="1" si="79"/>
        <v>619</v>
      </c>
      <c r="H2382" t="s">
        <v>550</v>
      </c>
    </row>
    <row r="2383" spans="1:8">
      <c r="A2383" t="str">
        <f t="shared" si="78"/>
        <v>آذربايجان غربينقده</v>
      </c>
      <c r="B2383" t="s">
        <v>100</v>
      </c>
      <c r="C2383" t="s">
        <v>110</v>
      </c>
      <c r="D2383" t="s">
        <v>23</v>
      </c>
      <c r="E2383">
        <f t="shared" ca="1" si="77"/>
        <v>3.5151386945807442E-3</v>
      </c>
      <c r="F2383">
        <f>IFERROR(VLOOKUP(H2383,ProfessionalRisk!A:I,9,0),0)</f>
        <v>1548</v>
      </c>
      <c r="G2383">
        <f t="shared" ca="1" si="79"/>
        <v>5</v>
      </c>
      <c r="H2383" t="s">
        <v>550</v>
      </c>
    </row>
    <row r="2384" spans="1:8">
      <c r="A2384" t="str">
        <f t="shared" si="78"/>
        <v>آذربايجان غربيبوكان</v>
      </c>
      <c r="B2384" t="s">
        <v>100</v>
      </c>
      <c r="C2384" t="s">
        <v>111</v>
      </c>
      <c r="D2384" t="s">
        <v>19</v>
      </c>
      <c r="E2384">
        <f t="shared" ca="1" si="77"/>
        <v>0.6</v>
      </c>
      <c r="F2384">
        <f>IFERROR(VLOOKUP(H2384,ProfessionalRisk!A:I,9,0),0)</f>
        <v>2518</v>
      </c>
      <c r="G2384">
        <f t="shared" ca="1" si="79"/>
        <v>1511</v>
      </c>
      <c r="H2384" t="s">
        <v>556</v>
      </c>
    </row>
    <row r="2385" spans="1:8">
      <c r="A2385" t="str">
        <f t="shared" si="78"/>
        <v>آذربايجان غربيبوكان</v>
      </c>
      <c r="B2385" t="s">
        <v>100</v>
      </c>
      <c r="C2385" t="s">
        <v>111</v>
      </c>
      <c r="D2385" t="s">
        <v>477</v>
      </c>
      <c r="E2385">
        <f t="shared" ca="1" si="77"/>
        <v>0.4</v>
      </c>
      <c r="F2385">
        <f>IFERROR(VLOOKUP(H2385,ProfessionalRisk!A:I,9,0),0)</f>
        <v>2518</v>
      </c>
      <c r="G2385">
        <f t="shared" ca="1" si="79"/>
        <v>1007</v>
      </c>
      <c r="H2385" t="s">
        <v>556</v>
      </c>
    </row>
    <row r="2386" spans="1:8">
      <c r="A2386" t="str">
        <f t="shared" si="78"/>
        <v>آذربايجان غربيبوكان</v>
      </c>
      <c r="B2386" t="s">
        <v>100</v>
      </c>
      <c r="C2386" t="s">
        <v>111</v>
      </c>
      <c r="D2386" t="s">
        <v>23</v>
      </c>
      <c r="E2386">
        <f t="shared" ca="1" si="77"/>
        <v>1.7362159958927672E-2</v>
      </c>
      <c r="F2386">
        <f>IFERROR(VLOOKUP(H2386,ProfessionalRisk!A:I,9,0),0)</f>
        <v>2518</v>
      </c>
      <c r="G2386">
        <f t="shared" ca="1" si="79"/>
        <v>44</v>
      </c>
      <c r="H2386" t="s">
        <v>556</v>
      </c>
    </row>
    <row r="2387" spans="1:8">
      <c r="A2387" t="str">
        <f t="shared" si="78"/>
        <v>آذربايجان غربيشاهين دژ</v>
      </c>
      <c r="B2387" t="s">
        <v>100</v>
      </c>
      <c r="C2387" t="s">
        <v>112</v>
      </c>
      <c r="D2387" t="s">
        <v>19</v>
      </c>
      <c r="E2387">
        <f t="shared" ca="1" si="77"/>
        <v>0.6</v>
      </c>
      <c r="F2387">
        <f>IFERROR(VLOOKUP(H2387,ProfessionalRisk!A:I,9,0),0)</f>
        <v>827</v>
      </c>
      <c r="G2387">
        <f t="shared" ca="1" si="79"/>
        <v>496</v>
      </c>
      <c r="H2387" t="s">
        <v>553</v>
      </c>
    </row>
    <row r="2388" spans="1:8">
      <c r="A2388" t="str">
        <f t="shared" si="78"/>
        <v>آذربايجان غربيشاهين دژ</v>
      </c>
      <c r="B2388" t="s">
        <v>100</v>
      </c>
      <c r="C2388" t="s">
        <v>112</v>
      </c>
      <c r="D2388" t="s">
        <v>477</v>
      </c>
      <c r="E2388">
        <f t="shared" ca="1" si="77"/>
        <v>0.4</v>
      </c>
      <c r="F2388">
        <f>IFERROR(VLOOKUP(H2388,ProfessionalRisk!A:I,9,0),0)</f>
        <v>827</v>
      </c>
      <c r="G2388">
        <f t="shared" ca="1" si="79"/>
        <v>331</v>
      </c>
      <c r="H2388" t="s">
        <v>553</v>
      </c>
    </row>
    <row r="2389" spans="1:8">
      <c r="A2389" t="str">
        <f t="shared" si="78"/>
        <v>آذربايجان غربيشاهين دژ</v>
      </c>
      <c r="B2389" t="s">
        <v>100</v>
      </c>
      <c r="C2389" t="s">
        <v>112</v>
      </c>
      <c r="D2389" t="s">
        <v>23</v>
      </c>
      <c r="E2389">
        <f t="shared" ca="1" si="77"/>
        <v>2.476418843752437E-3</v>
      </c>
      <c r="F2389">
        <f>IFERROR(VLOOKUP(H2389,ProfessionalRisk!A:I,9,0),0)</f>
        <v>827</v>
      </c>
      <c r="G2389">
        <f t="shared" ca="1" si="79"/>
        <v>2</v>
      </c>
      <c r="H2389" t="s">
        <v>553</v>
      </c>
    </row>
    <row r="2390" spans="1:8">
      <c r="A2390" t="str">
        <f t="shared" si="78"/>
        <v>آذربايجان غربيتكاب</v>
      </c>
      <c r="B2390" t="s">
        <v>100</v>
      </c>
      <c r="C2390" t="s">
        <v>113</v>
      </c>
      <c r="D2390" t="s">
        <v>19</v>
      </c>
      <c r="E2390">
        <f t="shared" ca="1" si="77"/>
        <v>0.6</v>
      </c>
      <c r="F2390">
        <f>IFERROR(VLOOKUP(H2390,ProfessionalRisk!A:I,9,0),0)</f>
        <v>2291</v>
      </c>
      <c r="G2390">
        <f t="shared" ca="1" si="79"/>
        <v>1375</v>
      </c>
      <c r="H2390" t="s">
        <v>546</v>
      </c>
    </row>
    <row r="2391" spans="1:8">
      <c r="A2391" t="str">
        <f t="shared" si="78"/>
        <v>آذربايجان غربيتكاب</v>
      </c>
      <c r="B2391" t="s">
        <v>100</v>
      </c>
      <c r="C2391" t="s">
        <v>113</v>
      </c>
      <c r="D2391" t="s">
        <v>477</v>
      </c>
      <c r="E2391">
        <f t="shared" ca="1" si="77"/>
        <v>0.4</v>
      </c>
      <c r="F2391">
        <f>IFERROR(VLOOKUP(H2391,ProfessionalRisk!A:I,9,0),0)</f>
        <v>2291</v>
      </c>
      <c r="G2391">
        <f t="shared" ca="1" si="79"/>
        <v>916</v>
      </c>
      <c r="H2391" t="s">
        <v>546</v>
      </c>
    </row>
    <row r="2392" spans="1:8">
      <c r="A2392" t="str">
        <f t="shared" si="78"/>
        <v>آذربايجان غربيتكاب</v>
      </c>
      <c r="B2392" t="s">
        <v>100</v>
      </c>
      <c r="C2392" t="s">
        <v>113</v>
      </c>
      <c r="D2392" t="s">
        <v>23</v>
      </c>
      <c r="E2392">
        <f t="shared" ca="1" si="77"/>
        <v>3.0197635109190557E-3</v>
      </c>
      <c r="F2392">
        <f>IFERROR(VLOOKUP(H2392,ProfessionalRisk!A:I,9,0),0)</f>
        <v>2291</v>
      </c>
      <c r="G2392">
        <f t="shared" ca="1" si="79"/>
        <v>7</v>
      </c>
      <c r="H2392" t="s">
        <v>546</v>
      </c>
    </row>
    <row r="2393" spans="1:8">
      <c r="A2393" t="str">
        <f t="shared" si="78"/>
        <v>آذربايجان غربياشنويه</v>
      </c>
      <c r="B2393" t="s">
        <v>100</v>
      </c>
      <c r="C2393" t="s">
        <v>114</v>
      </c>
      <c r="D2393" t="s">
        <v>19</v>
      </c>
      <c r="E2393">
        <f t="shared" ca="1" si="77"/>
        <v>0.6</v>
      </c>
      <c r="F2393">
        <f>IFERROR(VLOOKUP(H2393,ProfessionalRisk!A:I,9,0),0)</f>
        <v>726</v>
      </c>
      <c r="G2393">
        <f t="shared" ca="1" si="79"/>
        <v>436</v>
      </c>
      <c r="H2393" t="s">
        <v>557</v>
      </c>
    </row>
    <row r="2394" spans="1:8">
      <c r="A2394" t="str">
        <f t="shared" si="78"/>
        <v>آذربايجان غربياشنويه</v>
      </c>
      <c r="B2394" t="s">
        <v>100</v>
      </c>
      <c r="C2394" t="s">
        <v>114</v>
      </c>
      <c r="D2394" t="s">
        <v>477</v>
      </c>
      <c r="E2394">
        <f t="shared" ca="1" si="77"/>
        <v>0.4</v>
      </c>
      <c r="F2394">
        <f>IFERROR(VLOOKUP(H2394,ProfessionalRisk!A:I,9,0),0)</f>
        <v>726</v>
      </c>
      <c r="G2394">
        <f t="shared" ca="1" si="79"/>
        <v>290</v>
      </c>
      <c r="H2394" t="s">
        <v>557</v>
      </c>
    </row>
    <row r="2395" spans="1:8">
      <c r="A2395" t="str">
        <f t="shared" si="78"/>
        <v>آذربايجان غربياشنويه</v>
      </c>
      <c r="B2395" t="s">
        <v>100</v>
      </c>
      <c r="C2395" t="s">
        <v>114</v>
      </c>
      <c r="D2395" t="s">
        <v>23</v>
      </c>
      <c r="E2395">
        <f t="shared" ca="1" si="77"/>
        <v>9.5333374049659213E-3</v>
      </c>
      <c r="F2395">
        <f>IFERROR(VLOOKUP(H2395,ProfessionalRisk!A:I,9,0),0)</f>
        <v>726</v>
      </c>
      <c r="G2395">
        <f t="shared" ca="1" si="79"/>
        <v>7</v>
      </c>
      <c r="H2395" t="s">
        <v>557</v>
      </c>
    </row>
    <row r="2396" spans="1:8">
      <c r="A2396" t="str">
        <f t="shared" si="78"/>
        <v>آذربايجان غربيچالدران</v>
      </c>
      <c r="B2396" t="s">
        <v>100</v>
      </c>
      <c r="C2396" t="s">
        <v>115</v>
      </c>
      <c r="D2396" t="s">
        <v>19</v>
      </c>
      <c r="E2396">
        <f t="shared" ca="1" si="77"/>
        <v>0.6</v>
      </c>
      <c r="F2396">
        <f>IFERROR(VLOOKUP(H2396,ProfessionalRisk!A:I,9,0),0)</f>
        <v>601</v>
      </c>
      <c r="G2396">
        <f t="shared" ca="1" si="79"/>
        <v>361</v>
      </c>
      <c r="H2396" t="s">
        <v>554</v>
      </c>
    </row>
    <row r="2397" spans="1:8">
      <c r="A2397" t="str">
        <f t="shared" si="78"/>
        <v>آذربايجان غربيچالدران</v>
      </c>
      <c r="B2397" t="s">
        <v>100</v>
      </c>
      <c r="C2397" t="s">
        <v>115</v>
      </c>
      <c r="D2397" t="s">
        <v>477</v>
      </c>
      <c r="E2397">
        <f t="shared" ca="1" si="77"/>
        <v>0.4</v>
      </c>
      <c r="F2397">
        <f>IFERROR(VLOOKUP(H2397,ProfessionalRisk!A:I,9,0),0)</f>
        <v>601</v>
      </c>
      <c r="G2397">
        <f t="shared" ca="1" si="79"/>
        <v>240</v>
      </c>
      <c r="H2397" t="s">
        <v>554</v>
      </c>
    </row>
    <row r="2398" spans="1:8">
      <c r="A2398" t="str">
        <f t="shared" si="78"/>
        <v>آذربايجان غربيچالدران</v>
      </c>
      <c r="B2398" t="s">
        <v>100</v>
      </c>
      <c r="C2398" t="s">
        <v>115</v>
      </c>
      <c r="D2398" t="s">
        <v>23</v>
      </c>
      <c r="E2398">
        <f t="shared" ca="1" si="77"/>
        <v>1.1053380011986657E-3</v>
      </c>
      <c r="F2398">
        <f>IFERROR(VLOOKUP(H2398,ProfessionalRisk!A:I,9,0),0)</f>
        <v>601</v>
      </c>
      <c r="G2398">
        <f t="shared" ca="1" si="79"/>
        <v>1</v>
      </c>
      <c r="H2398" t="s">
        <v>554</v>
      </c>
    </row>
    <row r="2399" spans="1:8">
      <c r="A2399" t="str">
        <f t="shared" si="78"/>
        <v>آذربايجان غربيپلدشت</v>
      </c>
      <c r="B2399" t="s">
        <v>100</v>
      </c>
      <c r="C2399" t="s">
        <v>116</v>
      </c>
      <c r="D2399" t="s">
        <v>19</v>
      </c>
      <c r="E2399">
        <f t="shared" ca="1" si="77"/>
        <v>0.6</v>
      </c>
      <c r="F2399">
        <f>IFERROR(VLOOKUP(H2399,ProfessionalRisk!A:I,9,0),0)</f>
        <v>496</v>
      </c>
      <c r="G2399">
        <f t="shared" ca="1" si="79"/>
        <v>298</v>
      </c>
      <c r="H2399" t="s">
        <v>559</v>
      </c>
    </row>
    <row r="2400" spans="1:8">
      <c r="A2400" t="str">
        <f t="shared" si="78"/>
        <v>آذربايجان غربيپلدشت</v>
      </c>
      <c r="B2400" t="s">
        <v>100</v>
      </c>
      <c r="C2400" t="s">
        <v>116</v>
      </c>
      <c r="D2400" t="s">
        <v>477</v>
      </c>
      <c r="E2400">
        <f t="shared" ca="1" si="77"/>
        <v>0.4</v>
      </c>
      <c r="F2400">
        <f>IFERROR(VLOOKUP(H2400,ProfessionalRisk!A:I,9,0),0)</f>
        <v>496</v>
      </c>
      <c r="G2400">
        <f t="shared" ca="1" si="79"/>
        <v>198</v>
      </c>
      <c r="H2400" t="s">
        <v>559</v>
      </c>
    </row>
    <row r="2401" spans="1:8">
      <c r="A2401" t="str">
        <f t="shared" si="78"/>
        <v>آذربايجان غربيپلدشت</v>
      </c>
      <c r="B2401" t="s">
        <v>100</v>
      </c>
      <c r="C2401" t="s">
        <v>116</v>
      </c>
      <c r="D2401" t="s">
        <v>23</v>
      </c>
      <c r="E2401">
        <f t="shared" ca="1" si="77"/>
        <v>1.8609495569517031E-2</v>
      </c>
      <c r="F2401">
        <f>IFERROR(VLOOKUP(H2401,ProfessionalRisk!A:I,9,0),0)</f>
        <v>496</v>
      </c>
      <c r="G2401">
        <f t="shared" ca="1" si="79"/>
        <v>9</v>
      </c>
      <c r="H2401" t="s">
        <v>559</v>
      </c>
    </row>
    <row r="2402" spans="1:8">
      <c r="A2402" t="str">
        <f t="shared" si="78"/>
        <v>آذربايجان غربيچايپاره</v>
      </c>
      <c r="B2402" t="s">
        <v>100</v>
      </c>
      <c r="C2402" t="s">
        <v>117</v>
      </c>
      <c r="D2402" t="s">
        <v>19</v>
      </c>
      <c r="E2402">
        <f t="shared" ca="1" si="77"/>
        <v>0.6</v>
      </c>
      <c r="F2402">
        <f>IFERROR(VLOOKUP(H2402,ProfessionalRisk!A:I,9,0),0)</f>
        <v>600</v>
      </c>
      <c r="G2402">
        <f t="shared" ca="1" si="79"/>
        <v>360</v>
      </c>
      <c r="H2402" t="s">
        <v>545</v>
      </c>
    </row>
    <row r="2403" spans="1:8">
      <c r="A2403" t="str">
        <f t="shared" si="78"/>
        <v>آذربايجان غربيچايپاره</v>
      </c>
      <c r="B2403" t="s">
        <v>100</v>
      </c>
      <c r="C2403" t="s">
        <v>117</v>
      </c>
      <c r="D2403" t="s">
        <v>477</v>
      </c>
      <c r="E2403">
        <f t="shared" ref="E2403:E2466" ca="1" si="80">IF(D2403="AP",0.6,IF(D2403="BP",0.4,RAND()*0.02))</f>
        <v>0.4</v>
      </c>
      <c r="F2403">
        <f>IFERROR(VLOOKUP(H2403,ProfessionalRisk!A:I,9,0),0)</f>
        <v>600</v>
      </c>
      <c r="G2403">
        <f t="shared" ca="1" si="79"/>
        <v>240</v>
      </c>
      <c r="H2403" t="s">
        <v>545</v>
      </c>
    </row>
    <row r="2404" spans="1:8">
      <c r="A2404" t="str">
        <f t="shared" si="78"/>
        <v>آذربايجان غربيچايپاره</v>
      </c>
      <c r="B2404" t="s">
        <v>100</v>
      </c>
      <c r="C2404" t="s">
        <v>117</v>
      </c>
      <c r="D2404" t="s">
        <v>23</v>
      </c>
      <c r="E2404">
        <f t="shared" ca="1" si="80"/>
        <v>5.5649459195565342E-3</v>
      </c>
      <c r="F2404">
        <f>IFERROR(VLOOKUP(H2404,ProfessionalRisk!A:I,9,0),0)</f>
        <v>600</v>
      </c>
      <c r="G2404">
        <f t="shared" ca="1" si="79"/>
        <v>3</v>
      </c>
      <c r="H2404" t="s">
        <v>545</v>
      </c>
    </row>
    <row r="2405" spans="1:8">
      <c r="A2405" t="str">
        <f t="shared" si="78"/>
        <v>آذربايجان غربيشوط</v>
      </c>
      <c r="B2405" t="s">
        <v>100</v>
      </c>
      <c r="C2405" t="s">
        <v>119</v>
      </c>
      <c r="D2405" t="s">
        <v>19</v>
      </c>
      <c r="E2405">
        <f t="shared" ca="1" si="80"/>
        <v>0.6</v>
      </c>
      <c r="F2405">
        <f>IFERROR(VLOOKUP(H2405,ProfessionalRisk!A:I,9,0),0)</f>
        <v>535</v>
      </c>
      <c r="G2405">
        <f t="shared" ca="1" si="79"/>
        <v>321</v>
      </c>
      <c r="H2405" t="s">
        <v>544</v>
      </c>
    </row>
    <row r="2406" spans="1:8">
      <c r="A2406" t="str">
        <f t="shared" si="78"/>
        <v>آذربايجان غربيشوط</v>
      </c>
      <c r="B2406" t="s">
        <v>100</v>
      </c>
      <c r="C2406" t="s">
        <v>119</v>
      </c>
      <c r="D2406" t="s">
        <v>477</v>
      </c>
      <c r="E2406">
        <f t="shared" ca="1" si="80"/>
        <v>0.4</v>
      </c>
      <c r="F2406">
        <f>IFERROR(VLOOKUP(H2406,ProfessionalRisk!A:I,9,0),0)</f>
        <v>535</v>
      </c>
      <c r="G2406">
        <f t="shared" ca="1" si="79"/>
        <v>214</v>
      </c>
      <c r="H2406" t="s">
        <v>544</v>
      </c>
    </row>
    <row r="2407" spans="1:8">
      <c r="A2407" t="str">
        <f t="shared" si="78"/>
        <v>آذربايجان غربيشوط</v>
      </c>
      <c r="B2407" t="s">
        <v>100</v>
      </c>
      <c r="C2407" t="s">
        <v>119</v>
      </c>
      <c r="D2407" t="s">
        <v>23</v>
      </c>
      <c r="E2407">
        <f t="shared" ca="1" si="80"/>
        <v>9.2270832673555878E-3</v>
      </c>
      <c r="F2407">
        <f>IFERROR(VLOOKUP(H2407,ProfessionalRisk!A:I,9,0),0)</f>
        <v>535</v>
      </c>
      <c r="G2407">
        <f t="shared" ca="1" si="79"/>
        <v>5</v>
      </c>
      <c r="H2407" t="s">
        <v>544</v>
      </c>
    </row>
    <row r="2408" spans="1:8">
      <c r="A2408" t="str">
        <f t="shared" si="78"/>
        <v>كرمانشاهاسلام آبادغرب</v>
      </c>
      <c r="B2408" t="s">
        <v>118</v>
      </c>
      <c r="C2408" t="s">
        <v>120</v>
      </c>
      <c r="D2408" t="s">
        <v>19</v>
      </c>
      <c r="E2408">
        <f t="shared" ca="1" si="80"/>
        <v>0.6</v>
      </c>
      <c r="F2408">
        <f>IFERROR(VLOOKUP(H2408,ProfessionalRisk!A:I,9,0),0)</f>
        <v>770</v>
      </c>
      <c r="G2408">
        <f t="shared" ca="1" si="79"/>
        <v>462</v>
      </c>
      <c r="H2408" t="s">
        <v>946</v>
      </c>
    </row>
    <row r="2409" spans="1:8">
      <c r="A2409" t="str">
        <f t="shared" si="78"/>
        <v>كرمانشاهاسلام آبادغرب</v>
      </c>
      <c r="B2409" t="s">
        <v>118</v>
      </c>
      <c r="C2409" t="s">
        <v>120</v>
      </c>
      <c r="D2409" t="s">
        <v>477</v>
      </c>
      <c r="E2409">
        <f t="shared" ca="1" si="80"/>
        <v>0.4</v>
      </c>
      <c r="F2409">
        <f>IFERROR(VLOOKUP(H2409,ProfessionalRisk!A:I,9,0),0)</f>
        <v>770</v>
      </c>
      <c r="G2409">
        <f t="shared" ca="1" si="79"/>
        <v>308</v>
      </c>
      <c r="H2409" t="s">
        <v>946</v>
      </c>
    </row>
    <row r="2410" spans="1:8">
      <c r="A2410" t="str">
        <f t="shared" si="78"/>
        <v>كرمانشاهاسلام آبادغرب</v>
      </c>
      <c r="B2410" t="s">
        <v>118</v>
      </c>
      <c r="C2410" t="s">
        <v>120</v>
      </c>
      <c r="D2410" t="s">
        <v>23</v>
      </c>
      <c r="E2410">
        <f t="shared" ca="1" si="80"/>
        <v>1.9930313384356524E-2</v>
      </c>
      <c r="F2410">
        <f>IFERROR(VLOOKUP(H2410,ProfessionalRisk!A:I,9,0),0)</f>
        <v>770</v>
      </c>
      <c r="G2410">
        <f t="shared" ca="1" si="79"/>
        <v>15</v>
      </c>
      <c r="H2410" t="s">
        <v>946</v>
      </c>
    </row>
    <row r="2411" spans="1:8">
      <c r="A2411" t="str">
        <f t="shared" si="78"/>
        <v>كرمانشاهكرمانشاه</v>
      </c>
      <c r="B2411" t="s">
        <v>118</v>
      </c>
      <c r="C2411" t="s">
        <v>118</v>
      </c>
      <c r="D2411" t="s">
        <v>19</v>
      </c>
      <c r="E2411">
        <f t="shared" ca="1" si="80"/>
        <v>0.6</v>
      </c>
      <c r="F2411">
        <f>IFERROR(VLOOKUP(H2411,ProfessionalRisk!A:I,9,0),0)</f>
        <v>20296</v>
      </c>
      <c r="G2411">
        <f t="shared" ca="1" si="79"/>
        <v>12178</v>
      </c>
      <c r="H2411" t="s">
        <v>938</v>
      </c>
    </row>
    <row r="2412" spans="1:8">
      <c r="A2412" t="str">
        <f t="shared" si="78"/>
        <v>كرمانشاهكرمانشاه</v>
      </c>
      <c r="B2412" t="s">
        <v>118</v>
      </c>
      <c r="C2412" t="s">
        <v>118</v>
      </c>
      <c r="D2412" t="s">
        <v>477</v>
      </c>
      <c r="E2412">
        <f t="shared" ca="1" si="80"/>
        <v>0.4</v>
      </c>
      <c r="F2412">
        <f>IFERROR(VLOOKUP(H2412,ProfessionalRisk!A:I,9,0),0)</f>
        <v>20296</v>
      </c>
      <c r="G2412">
        <f t="shared" ca="1" si="79"/>
        <v>8118</v>
      </c>
      <c r="H2412" t="s">
        <v>938</v>
      </c>
    </row>
    <row r="2413" spans="1:8">
      <c r="A2413" t="str">
        <f t="shared" si="78"/>
        <v>كرمانشاهكرمانشاه</v>
      </c>
      <c r="B2413" t="s">
        <v>118</v>
      </c>
      <c r="C2413" t="s">
        <v>118</v>
      </c>
      <c r="D2413" t="s">
        <v>23</v>
      </c>
      <c r="E2413">
        <f t="shared" ca="1" si="80"/>
        <v>1.0736430517310687E-2</v>
      </c>
      <c r="F2413">
        <f>IFERROR(VLOOKUP(H2413,ProfessionalRisk!A:I,9,0),0)</f>
        <v>20296</v>
      </c>
      <c r="G2413">
        <f t="shared" ca="1" si="79"/>
        <v>218</v>
      </c>
      <c r="H2413" t="s">
        <v>938</v>
      </c>
    </row>
    <row r="2414" spans="1:8">
      <c r="A2414" t="str">
        <f t="shared" si="78"/>
        <v>كرمانشاهپاوه</v>
      </c>
      <c r="B2414" t="s">
        <v>118</v>
      </c>
      <c r="C2414" t="s">
        <v>121</v>
      </c>
      <c r="D2414" t="s">
        <v>19</v>
      </c>
      <c r="E2414">
        <f t="shared" ca="1" si="80"/>
        <v>0.6</v>
      </c>
      <c r="F2414">
        <f>IFERROR(VLOOKUP(H2414,ProfessionalRisk!A:I,9,0),0)</f>
        <v>867</v>
      </c>
      <c r="G2414">
        <f t="shared" ca="1" si="79"/>
        <v>520</v>
      </c>
      <c r="H2414" t="s">
        <v>942</v>
      </c>
    </row>
    <row r="2415" spans="1:8">
      <c r="A2415" t="str">
        <f t="shared" si="78"/>
        <v>كرمانشاهپاوه</v>
      </c>
      <c r="B2415" t="s">
        <v>118</v>
      </c>
      <c r="C2415" t="s">
        <v>121</v>
      </c>
      <c r="D2415" t="s">
        <v>477</v>
      </c>
      <c r="E2415">
        <f t="shared" ca="1" si="80"/>
        <v>0.4</v>
      </c>
      <c r="F2415">
        <f>IFERROR(VLOOKUP(H2415,ProfessionalRisk!A:I,9,0),0)</f>
        <v>867</v>
      </c>
      <c r="G2415">
        <f t="shared" ca="1" si="79"/>
        <v>347</v>
      </c>
      <c r="H2415" t="s">
        <v>942</v>
      </c>
    </row>
    <row r="2416" spans="1:8">
      <c r="A2416" t="str">
        <f t="shared" si="78"/>
        <v>كرمانشاهپاوه</v>
      </c>
      <c r="B2416" t="s">
        <v>118</v>
      </c>
      <c r="C2416" t="s">
        <v>121</v>
      </c>
      <c r="D2416" t="s">
        <v>23</v>
      </c>
      <c r="E2416">
        <f t="shared" ca="1" si="80"/>
        <v>8.756928397135353E-3</v>
      </c>
      <c r="F2416">
        <f>IFERROR(VLOOKUP(H2416,ProfessionalRisk!A:I,9,0),0)</f>
        <v>867</v>
      </c>
      <c r="G2416">
        <f t="shared" ca="1" si="79"/>
        <v>8</v>
      </c>
      <c r="H2416" t="s">
        <v>942</v>
      </c>
    </row>
    <row r="2417" spans="1:8">
      <c r="A2417" t="str">
        <f t="shared" si="78"/>
        <v>كرمانشاهسرپل ذهاب</v>
      </c>
      <c r="B2417" t="s">
        <v>118</v>
      </c>
      <c r="C2417" t="s">
        <v>122</v>
      </c>
      <c r="D2417" t="s">
        <v>19</v>
      </c>
      <c r="E2417">
        <f t="shared" ca="1" si="80"/>
        <v>0.6</v>
      </c>
      <c r="F2417">
        <f>IFERROR(VLOOKUP(H2417,ProfessionalRisk!A:I,9,0),0)</f>
        <v>525</v>
      </c>
      <c r="G2417">
        <f t="shared" ca="1" si="79"/>
        <v>315</v>
      </c>
      <c r="H2417" t="s">
        <v>947</v>
      </c>
    </row>
    <row r="2418" spans="1:8">
      <c r="A2418" t="str">
        <f t="shared" si="78"/>
        <v>كرمانشاهسرپل ذهاب</v>
      </c>
      <c r="B2418" t="s">
        <v>118</v>
      </c>
      <c r="C2418" t="s">
        <v>122</v>
      </c>
      <c r="D2418" t="s">
        <v>477</v>
      </c>
      <c r="E2418">
        <f t="shared" ca="1" si="80"/>
        <v>0.4</v>
      </c>
      <c r="F2418">
        <f>IFERROR(VLOOKUP(H2418,ProfessionalRisk!A:I,9,0),0)</f>
        <v>525</v>
      </c>
      <c r="G2418">
        <f t="shared" ca="1" si="79"/>
        <v>210</v>
      </c>
      <c r="H2418" t="s">
        <v>947</v>
      </c>
    </row>
    <row r="2419" spans="1:8">
      <c r="A2419" t="str">
        <f t="shared" si="78"/>
        <v>كرمانشاهسرپل ذهاب</v>
      </c>
      <c r="B2419" t="s">
        <v>118</v>
      </c>
      <c r="C2419" t="s">
        <v>122</v>
      </c>
      <c r="D2419" t="s">
        <v>23</v>
      </c>
      <c r="E2419">
        <f t="shared" ca="1" si="80"/>
        <v>2.0439290944282871E-3</v>
      </c>
      <c r="F2419">
        <f>IFERROR(VLOOKUP(H2419,ProfessionalRisk!A:I,9,0),0)</f>
        <v>525</v>
      </c>
      <c r="G2419">
        <f t="shared" ca="1" si="79"/>
        <v>1</v>
      </c>
      <c r="H2419" t="s">
        <v>947</v>
      </c>
    </row>
    <row r="2420" spans="1:8">
      <c r="A2420" t="str">
        <f t="shared" si="78"/>
        <v>كرمانشاهسنقر</v>
      </c>
      <c r="B2420" t="s">
        <v>118</v>
      </c>
      <c r="C2420" t="s">
        <v>123</v>
      </c>
      <c r="D2420" t="s">
        <v>19</v>
      </c>
      <c r="E2420">
        <f t="shared" ca="1" si="80"/>
        <v>0.6</v>
      </c>
      <c r="F2420">
        <f>IFERROR(VLOOKUP(H2420,ProfessionalRisk!A:I,9,0),0)</f>
        <v>1572</v>
      </c>
      <c r="G2420">
        <f t="shared" ca="1" si="79"/>
        <v>943</v>
      </c>
      <c r="H2420" t="s">
        <v>943</v>
      </c>
    </row>
    <row r="2421" spans="1:8">
      <c r="A2421" t="str">
        <f t="shared" si="78"/>
        <v>كرمانشاهسنقر</v>
      </c>
      <c r="B2421" t="s">
        <v>118</v>
      </c>
      <c r="C2421" t="s">
        <v>123</v>
      </c>
      <c r="D2421" t="s">
        <v>477</v>
      </c>
      <c r="E2421">
        <f t="shared" ca="1" si="80"/>
        <v>0.4</v>
      </c>
      <c r="F2421">
        <f>IFERROR(VLOOKUP(H2421,ProfessionalRisk!A:I,9,0),0)</f>
        <v>1572</v>
      </c>
      <c r="G2421">
        <f t="shared" ca="1" si="79"/>
        <v>629</v>
      </c>
      <c r="H2421" t="s">
        <v>943</v>
      </c>
    </row>
    <row r="2422" spans="1:8">
      <c r="A2422" t="str">
        <f t="shared" si="78"/>
        <v>كرمانشاهسنقر</v>
      </c>
      <c r="B2422" t="s">
        <v>118</v>
      </c>
      <c r="C2422" t="s">
        <v>123</v>
      </c>
      <c r="D2422" t="s">
        <v>23</v>
      </c>
      <c r="E2422">
        <f t="shared" ca="1" si="80"/>
        <v>3.896553673173635E-3</v>
      </c>
      <c r="F2422">
        <f>IFERROR(VLOOKUP(H2422,ProfessionalRisk!A:I,9,0),0)</f>
        <v>1572</v>
      </c>
      <c r="G2422">
        <f t="shared" ca="1" si="79"/>
        <v>6</v>
      </c>
      <c r="H2422" t="s">
        <v>943</v>
      </c>
    </row>
    <row r="2423" spans="1:8">
      <c r="A2423" t="str">
        <f t="shared" si="78"/>
        <v>كرمانشاهقصرشيرين</v>
      </c>
      <c r="B2423" t="s">
        <v>118</v>
      </c>
      <c r="C2423" t="s">
        <v>124</v>
      </c>
      <c r="D2423" t="s">
        <v>19</v>
      </c>
      <c r="E2423">
        <f t="shared" ca="1" si="80"/>
        <v>0.6</v>
      </c>
      <c r="F2423">
        <f>IFERROR(VLOOKUP(H2423,ProfessionalRisk!A:I,9,0),0)</f>
        <v>253</v>
      </c>
      <c r="G2423">
        <f t="shared" ca="1" si="79"/>
        <v>152</v>
      </c>
      <c r="H2423" t="s">
        <v>945</v>
      </c>
    </row>
    <row r="2424" spans="1:8">
      <c r="A2424" t="str">
        <f t="shared" si="78"/>
        <v>كرمانشاهقصرشيرين</v>
      </c>
      <c r="B2424" t="s">
        <v>118</v>
      </c>
      <c r="C2424" t="s">
        <v>124</v>
      </c>
      <c r="D2424" t="s">
        <v>477</v>
      </c>
      <c r="E2424">
        <f t="shared" ca="1" si="80"/>
        <v>0.4</v>
      </c>
      <c r="F2424">
        <f>IFERROR(VLOOKUP(H2424,ProfessionalRisk!A:I,9,0),0)</f>
        <v>253</v>
      </c>
      <c r="G2424">
        <f t="shared" ca="1" si="79"/>
        <v>101</v>
      </c>
      <c r="H2424" t="s">
        <v>945</v>
      </c>
    </row>
    <row r="2425" spans="1:8">
      <c r="A2425" t="str">
        <f t="shared" si="78"/>
        <v>كرمانشاهقصرشيرين</v>
      </c>
      <c r="B2425" t="s">
        <v>118</v>
      </c>
      <c r="C2425" t="s">
        <v>124</v>
      </c>
      <c r="D2425" t="s">
        <v>23</v>
      </c>
      <c r="E2425">
        <f t="shared" ca="1" si="80"/>
        <v>7.0761543147546081E-3</v>
      </c>
      <c r="F2425">
        <f>IFERROR(VLOOKUP(H2425,ProfessionalRisk!A:I,9,0),0)</f>
        <v>253</v>
      </c>
      <c r="G2425">
        <f t="shared" ca="1" si="79"/>
        <v>2</v>
      </c>
      <c r="H2425" t="s">
        <v>945</v>
      </c>
    </row>
    <row r="2426" spans="1:8">
      <c r="A2426" t="str">
        <f t="shared" si="78"/>
        <v>كرمانشاهكنگاور</v>
      </c>
      <c r="B2426" t="s">
        <v>118</v>
      </c>
      <c r="C2426" t="s">
        <v>125</v>
      </c>
      <c r="D2426" t="s">
        <v>19</v>
      </c>
      <c r="E2426">
        <f t="shared" ca="1" si="80"/>
        <v>0.6</v>
      </c>
      <c r="F2426">
        <f>IFERROR(VLOOKUP(H2426,ProfessionalRisk!A:I,9,0),0)</f>
        <v>1058</v>
      </c>
      <c r="G2426">
        <f t="shared" ca="1" si="79"/>
        <v>635</v>
      </c>
      <c r="H2426" t="s">
        <v>944</v>
      </c>
    </row>
    <row r="2427" spans="1:8">
      <c r="A2427" t="str">
        <f t="shared" si="78"/>
        <v>كرمانشاهكنگاور</v>
      </c>
      <c r="B2427" t="s">
        <v>118</v>
      </c>
      <c r="C2427" t="s">
        <v>125</v>
      </c>
      <c r="D2427" t="s">
        <v>477</v>
      </c>
      <c r="E2427">
        <f t="shared" ca="1" si="80"/>
        <v>0.4</v>
      </c>
      <c r="F2427">
        <f>IFERROR(VLOOKUP(H2427,ProfessionalRisk!A:I,9,0),0)</f>
        <v>1058</v>
      </c>
      <c r="G2427">
        <f t="shared" ca="1" si="79"/>
        <v>423</v>
      </c>
      <c r="H2427" t="s">
        <v>944</v>
      </c>
    </row>
    <row r="2428" spans="1:8">
      <c r="A2428" t="str">
        <f t="shared" si="78"/>
        <v>كرمانشاهكنگاور</v>
      </c>
      <c r="B2428" t="s">
        <v>118</v>
      </c>
      <c r="C2428" t="s">
        <v>125</v>
      </c>
      <c r="D2428" t="s">
        <v>23</v>
      </c>
      <c r="E2428">
        <f t="shared" ca="1" si="80"/>
        <v>1.139491620066475E-3</v>
      </c>
      <c r="F2428">
        <f>IFERROR(VLOOKUP(H2428,ProfessionalRisk!A:I,9,0),0)</f>
        <v>1058</v>
      </c>
      <c r="G2428">
        <f t="shared" ca="1" si="79"/>
        <v>1</v>
      </c>
      <c r="H2428" t="s">
        <v>944</v>
      </c>
    </row>
    <row r="2429" spans="1:8">
      <c r="A2429" t="str">
        <f t="shared" si="78"/>
        <v>كرمانشاهگيلانغرب</v>
      </c>
      <c r="B2429" t="s">
        <v>118</v>
      </c>
      <c r="C2429" t="s">
        <v>126</v>
      </c>
      <c r="D2429" t="s">
        <v>19</v>
      </c>
      <c r="E2429">
        <f t="shared" ca="1" si="80"/>
        <v>0.6</v>
      </c>
      <c r="F2429">
        <f>IFERROR(VLOOKUP(H2429,ProfessionalRisk!A:I,9,0),0)</f>
        <v>667</v>
      </c>
      <c r="G2429">
        <f t="shared" ca="1" si="79"/>
        <v>400</v>
      </c>
      <c r="H2429" t="s">
        <v>941</v>
      </c>
    </row>
    <row r="2430" spans="1:8">
      <c r="A2430" t="str">
        <f t="shared" si="78"/>
        <v>كرمانشاهگيلانغرب</v>
      </c>
      <c r="B2430" t="s">
        <v>118</v>
      </c>
      <c r="C2430" t="s">
        <v>126</v>
      </c>
      <c r="D2430" t="s">
        <v>477</v>
      </c>
      <c r="E2430">
        <f t="shared" ca="1" si="80"/>
        <v>0.4</v>
      </c>
      <c r="F2430">
        <f>IFERROR(VLOOKUP(H2430,ProfessionalRisk!A:I,9,0),0)</f>
        <v>667</v>
      </c>
      <c r="G2430">
        <f t="shared" ca="1" si="79"/>
        <v>267</v>
      </c>
      <c r="H2430" t="s">
        <v>941</v>
      </c>
    </row>
    <row r="2431" spans="1:8">
      <c r="A2431" t="str">
        <f t="shared" si="78"/>
        <v>كرمانشاهگيلانغرب</v>
      </c>
      <c r="B2431" t="s">
        <v>118</v>
      </c>
      <c r="C2431" t="s">
        <v>126</v>
      </c>
      <c r="D2431" t="s">
        <v>23</v>
      </c>
      <c r="E2431">
        <f t="shared" ca="1" si="80"/>
        <v>1.5286517959276441E-2</v>
      </c>
      <c r="F2431">
        <f>IFERROR(VLOOKUP(H2431,ProfessionalRisk!A:I,9,0),0)</f>
        <v>667</v>
      </c>
      <c r="G2431">
        <f t="shared" ca="1" si="79"/>
        <v>10</v>
      </c>
      <c r="H2431" t="s">
        <v>941</v>
      </c>
    </row>
    <row r="2432" spans="1:8">
      <c r="A2432" t="str">
        <f t="shared" si="78"/>
        <v>كرمانشاهجوانرود</v>
      </c>
      <c r="B2432" t="s">
        <v>118</v>
      </c>
      <c r="C2432" t="s">
        <v>127</v>
      </c>
      <c r="D2432" t="s">
        <v>19</v>
      </c>
      <c r="E2432">
        <f t="shared" ca="1" si="80"/>
        <v>0.6</v>
      </c>
      <c r="F2432">
        <f>IFERROR(VLOOKUP(H2432,ProfessionalRisk!A:I,9,0),0)</f>
        <v>1147</v>
      </c>
      <c r="G2432">
        <f t="shared" ca="1" si="79"/>
        <v>688</v>
      </c>
      <c r="H2432" t="s">
        <v>936</v>
      </c>
    </row>
    <row r="2433" spans="1:8">
      <c r="A2433" t="str">
        <f t="shared" si="78"/>
        <v>كرمانشاهجوانرود</v>
      </c>
      <c r="B2433" t="s">
        <v>118</v>
      </c>
      <c r="C2433" t="s">
        <v>127</v>
      </c>
      <c r="D2433" t="s">
        <v>477</v>
      </c>
      <c r="E2433">
        <f t="shared" ca="1" si="80"/>
        <v>0.4</v>
      </c>
      <c r="F2433">
        <f>IFERROR(VLOOKUP(H2433,ProfessionalRisk!A:I,9,0),0)</f>
        <v>1147</v>
      </c>
      <c r="G2433">
        <f t="shared" ca="1" si="79"/>
        <v>459</v>
      </c>
      <c r="H2433" t="s">
        <v>936</v>
      </c>
    </row>
    <row r="2434" spans="1:8">
      <c r="A2434" t="str">
        <f t="shared" ref="A2434:A2497" si="81">B2434&amp;C2434</f>
        <v>كرمانشاهجوانرود</v>
      </c>
      <c r="B2434" t="s">
        <v>118</v>
      </c>
      <c r="C2434" t="s">
        <v>127</v>
      </c>
      <c r="D2434" t="s">
        <v>23</v>
      </c>
      <c r="E2434">
        <f t="shared" ca="1" si="80"/>
        <v>1.2354807947137765E-2</v>
      </c>
      <c r="F2434">
        <f>IFERROR(VLOOKUP(H2434,ProfessionalRisk!A:I,9,0),0)</f>
        <v>1147</v>
      </c>
      <c r="G2434">
        <f t="shared" ca="1" si="79"/>
        <v>14</v>
      </c>
      <c r="H2434" t="s">
        <v>936</v>
      </c>
    </row>
    <row r="2435" spans="1:8">
      <c r="A2435" t="str">
        <f t="shared" si="81"/>
        <v>كرمانشاهصحنه</v>
      </c>
      <c r="B2435" t="s">
        <v>118</v>
      </c>
      <c r="C2435" t="s">
        <v>128</v>
      </c>
      <c r="D2435" t="s">
        <v>19</v>
      </c>
      <c r="E2435">
        <f t="shared" ca="1" si="80"/>
        <v>0.6</v>
      </c>
      <c r="F2435">
        <f>IFERROR(VLOOKUP(H2435,ProfessionalRisk!A:I,9,0),0)</f>
        <v>1048</v>
      </c>
      <c r="G2435">
        <f t="shared" ref="G2435:G2498" ca="1" si="82">IFERROR(ROUND(F2435*E2435,0),0)</f>
        <v>629</v>
      </c>
      <c r="H2435" t="s">
        <v>948</v>
      </c>
    </row>
    <row r="2436" spans="1:8">
      <c r="A2436" t="str">
        <f t="shared" si="81"/>
        <v>كرمانشاهصحنه</v>
      </c>
      <c r="B2436" t="s">
        <v>118</v>
      </c>
      <c r="C2436" t="s">
        <v>128</v>
      </c>
      <c r="D2436" t="s">
        <v>477</v>
      </c>
      <c r="E2436">
        <f t="shared" ca="1" si="80"/>
        <v>0.4</v>
      </c>
      <c r="F2436">
        <f>IFERROR(VLOOKUP(H2436,ProfessionalRisk!A:I,9,0),0)</f>
        <v>1048</v>
      </c>
      <c r="G2436">
        <f t="shared" ca="1" si="82"/>
        <v>419</v>
      </c>
      <c r="H2436" t="s">
        <v>948</v>
      </c>
    </row>
    <row r="2437" spans="1:8">
      <c r="A2437" t="str">
        <f t="shared" si="81"/>
        <v>كرمانشاهصحنه</v>
      </c>
      <c r="B2437" t="s">
        <v>118</v>
      </c>
      <c r="C2437" t="s">
        <v>128</v>
      </c>
      <c r="D2437" t="s">
        <v>23</v>
      </c>
      <c r="E2437">
        <f t="shared" ca="1" si="80"/>
        <v>6.627710001585279E-3</v>
      </c>
      <c r="F2437">
        <f>IFERROR(VLOOKUP(H2437,ProfessionalRisk!A:I,9,0),0)</f>
        <v>1048</v>
      </c>
      <c r="G2437">
        <f t="shared" ca="1" si="82"/>
        <v>7</v>
      </c>
      <c r="H2437" t="s">
        <v>948</v>
      </c>
    </row>
    <row r="2438" spans="1:8">
      <c r="A2438" t="str">
        <f t="shared" si="81"/>
        <v>كرمانشاههرسين</v>
      </c>
      <c r="B2438" t="s">
        <v>118</v>
      </c>
      <c r="C2438" t="s">
        <v>129</v>
      </c>
      <c r="D2438" t="s">
        <v>19</v>
      </c>
      <c r="E2438">
        <f t="shared" ca="1" si="80"/>
        <v>0.6</v>
      </c>
      <c r="F2438">
        <f>IFERROR(VLOOKUP(H2438,ProfessionalRisk!A:I,9,0),0)</f>
        <v>1054</v>
      </c>
      <c r="G2438">
        <f t="shared" ca="1" si="82"/>
        <v>632</v>
      </c>
      <c r="H2438" t="s">
        <v>937</v>
      </c>
    </row>
    <row r="2439" spans="1:8">
      <c r="A2439" t="str">
        <f t="shared" si="81"/>
        <v>كرمانشاههرسين</v>
      </c>
      <c r="B2439" t="s">
        <v>118</v>
      </c>
      <c r="C2439" t="s">
        <v>129</v>
      </c>
      <c r="D2439" t="s">
        <v>477</v>
      </c>
      <c r="E2439">
        <f t="shared" ca="1" si="80"/>
        <v>0.4</v>
      </c>
      <c r="F2439">
        <f>IFERROR(VLOOKUP(H2439,ProfessionalRisk!A:I,9,0),0)</f>
        <v>1054</v>
      </c>
      <c r="G2439">
        <f t="shared" ca="1" si="82"/>
        <v>422</v>
      </c>
      <c r="H2439" t="s">
        <v>937</v>
      </c>
    </row>
    <row r="2440" spans="1:8">
      <c r="A2440" t="str">
        <f t="shared" si="81"/>
        <v>كرمانشاههرسين</v>
      </c>
      <c r="B2440" t="s">
        <v>118</v>
      </c>
      <c r="C2440" t="s">
        <v>129</v>
      </c>
      <c r="D2440" t="s">
        <v>23</v>
      </c>
      <c r="E2440">
        <f t="shared" ca="1" si="80"/>
        <v>1.1829202006043855E-2</v>
      </c>
      <c r="F2440">
        <f>IFERROR(VLOOKUP(H2440,ProfessionalRisk!A:I,9,0),0)</f>
        <v>1054</v>
      </c>
      <c r="G2440">
        <f t="shared" ca="1" si="82"/>
        <v>12</v>
      </c>
      <c r="H2440" t="s">
        <v>937</v>
      </c>
    </row>
    <row r="2441" spans="1:8">
      <c r="A2441" t="str">
        <f t="shared" si="81"/>
        <v>كرمانشاهثلاث باباجاني</v>
      </c>
      <c r="B2441" t="s">
        <v>118</v>
      </c>
      <c r="C2441" t="s">
        <v>130</v>
      </c>
      <c r="D2441" t="s">
        <v>19</v>
      </c>
      <c r="E2441">
        <f t="shared" ca="1" si="80"/>
        <v>0.6</v>
      </c>
      <c r="F2441">
        <f>IFERROR(VLOOKUP(H2441,ProfessionalRisk!A:I,9,0),0)</f>
        <v>392</v>
      </c>
      <c r="G2441">
        <f t="shared" ca="1" si="82"/>
        <v>235</v>
      </c>
      <c r="H2441" t="s">
        <v>940</v>
      </c>
    </row>
    <row r="2442" spans="1:8">
      <c r="A2442" t="str">
        <f t="shared" si="81"/>
        <v>كرمانشاهثلاث باباجاني</v>
      </c>
      <c r="B2442" t="s">
        <v>118</v>
      </c>
      <c r="C2442" t="s">
        <v>130</v>
      </c>
      <c r="D2442" t="s">
        <v>477</v>
      </c>
      <c r="E2442">
        <f t="shared" ca="1" si="80"/>
        <v>0.4</v>
      </c>
      <c r="F2442">
        <f>IFERROR(VLOOKUP(H2442,ProfessionalRisk!A:I,9,0),0)</f>
        <v>392</v>
      </c>
      <c r="G2442">
        <f t="shared" ca="1" si="82"/>
        <v>157</v>
      </c>
      <c r="H2442" t="s">
        <v>940</v>
      </c>
    </row>
    <row r="2443" spans="1:8">
      <c r="A2443" t="str">
        <f t="shared" si="81"/>
        <v>كرمانشاهثلاث باباجاني</v>
      </c>
      <c r="B2443" t="s">
        <v>118</v>
      </c>
      <c r="C2443" t="s">
        <v>130</v>
      </c>
      <c r="D2443" t="s">
        <v>23</v>
      </c>
      <c r="E2443">
        <f t="shared" ca="1" si="80"/>
        <v>1.6845592827223622E-3</v>
      </c>
      <c r="F2443">
        <f>IFERROR(VLOOKUP(H2443,ProfessionalRisk!A:I,9,0),0)</f>
        <v>392</v>
      </c>
      <c r="G2443">
        <f t="shared" ca="1" si="82"/>
        <v>1</v>
      </c>
      <c r="H2443" t="s">
        <v>940</v>
      </c>
    </row>
    <row r="2444" spans="1:8">
      <c r="A2444" t="str">
        <f t="shared" si="81"/>
        <v>كرمانشاهدالاهو</v>
      </c>
      <c r="B2444" t="s">
        <v>118</v>
      </c>
      <c r="C2444" t="s">
        <v>131</v>
      </c>
      <c r="D2444" t="s">
        <v>19</v>
      </c>
      <c r="E2444">
        <f t="shared" ca="1" si="80"/>
        <v>0.6</v>
      </c>
      <c r="F2444">
        <f>IFERROR(VLOOKUP(H2444,ProfessionalRisk!A:I,9,0),0)</f>
        <v>351</v>
      </c>
      <c r="G2444">
        <f t="shared" ca="1" si="82"/>
        <v>211</v>
      </c>
      <c r="H2444" t="s">
        <v>939</v>
      </c>
    </row>
    <row r="2445" spans="1:8">
      <c r="A2445" t="str">
        <f t="shared" si="81"/>
        <v>كرمانشاهدالاهو</v>
      </c>
      <c r="B2445" t="s">
        <v>118</v>
      </c>
      <c r="C2445" t="s">
        <v>131</v>
      </c>
      <c r="D2445" t="s">
        <v>477</v>
      </c>
      <c r="E2445">
        <f t="shared" ca="1" si="80"/>
        <v>0.4</v>
      </c>
      <c r="F2445">
        <f>IFERROR(VLOOKUP(H2445,ProfessionalRisk!A:I,9,0),0)</f>
        <v>351</v>
      </c>
      <c r="G2445">
        <f t="shared" ca="1" si="82"/>
        <v>140</v>
      </c>
      <c r="H2445" t="s">
        <v>939</v>
      </c>
    </row>
    <row r="2446" spans="1:8">
      <c r="A2446" t="str">
        <f t="shared" si="81"/>
        <v>كرمانشاهدالاهو</v>
      </c>
      <c r="B2446" t="s">
        <v>118</v>
      </c>
      <c r="C2446" t="s">
        <v>131</v>
      </c>
      <c r="D2446" t="s">
        <v>23</v>
      </c>
      <c r="E2446">
        <f t="shared" ca="1" si="80"/>
        <v>1.8199408746128649E-2</v>
      </c>
      <c r="F2446">
        <f>IFERROR(VLOOKUP(H2446,ProfessionalRisk!A:I,9,0),0)</f>
        <v>351</v>
      </c>
      <c r="G2446">
        <f t="shared" ca="1" si="82"/>
        <v>6</v>
      </c>
      <c r="H2446" t="s">
        <v>939</v>
      </c>
    </row>
    <row r="2447" spans="1:8">
      <c r="A2447" t="str">
        <f t="shared" si="81"/>
        <v>كرمانشاهروانسر</v>
      </c>
      <c r="B2447" t="s">
        <v>118</v>
      </c>
      <c r="C2447" t="s">
        <v>133</v>
      </c>
      <c r="D2447" t="s">
        <v>19</v>
      </c>
      <c r="E2447">
        <f t="shared" ca="1" si="80"/>
        <v>0.6</v>
      </c>
      <c r="F2447">
        <f>IFERROR(VLOOKUP(H2447,ProfessionalRisk!A:I,9,0),0)</f>
        <v>444</v>
      </c>
      <c r="G2447">
        <f t="shared" ca="1" si="82"/>
        <v>266</v>
      </c>
      <c r="H2447" t="s">
        <v>934</v>
      </c>
    </row>
    <row r="2448" spans="1:8">
      <c r="A2448" t="str">
        <f t="shared" si="81"/>
        <v>كرمانشاهروانسر</v>
      </c>
      <c r="B2448" t="s">
        <v>118</v>
      </c>
      <c r="C2448" t="s">
        <v>133</v>
      </c>
      <c r="D2448" t="s">
        <v>477</v>
      </c>
      <c r="E2448">
        <f t="shared" ca="1" si="80"/>
        <v>0.4</v>
      </c>
      <c r="F2448">
        <f>IFERROR(VLOOKUP(H2448,ProfessionalRisk!A:I,9,0),0)</f>
        <v>444</v>
      </c>
      <c r="G2448">
        <f t="shared" ca="1" si="82"/>
        <v>178</v>
      </c>
      <c r="H2448" t="s">
        <v>934</v>
      </c>
    </row>
    <row r="2449" spans="1:8">
      <c r="A2449" t="str">
        <f t="shared" si="81"/>
        <v>كرمانشاهروانسر</v>
      </c>
      <c r="B2449" t="s">
        <v>118</v>
      </c>
      <c r="C2449" t="s">
        <v>133</v>
      </c>
      <c r="D2449" t="s">
        <v>23</v>
      </c>
      <c r="E2449">
        <f t="shared" ca="1" si="80"/>
        <v>5.0679222727686192E-3</v>
      </c>
      <c r="F2449">
        <f>IFERROR(VLOOKUP(H2449,ProfessionalRisk!A:I,9,0),0)</f>
        <v>444</v>
      </c>
      <c r="G2449">
        <f t="shared" ca="1" si="82"/>
        <v>2</v>
      </c>
      <c r="H2449" t="s">
        <v>934</v>
      </c>
    </row>
    <row r="2450" spans="1:8">
      <c r="A2450" t="str">
        <f t="shared" si="81"/>
        <v>خوزستانآبادان</v>
      </c>
      <c r="B2450" t="s">
        <v>132</v>
      </c>
      <c r="C2450" t="s">
        <v>134</v>
      </c>
      <c r="D2450" t="s">
        <v>19</v>
      </c>
      <c r="E2450">
        <f t="shared" ca="1" si="80"/>
        <v>0.6</v>
      </c>
      <c r="F2450">
        <f>IFERROR(VLOOKUP(H2450,ProfessionalRisk!A:I,9,0),0)</f>
        <v>4560</v>
      </c>
      <c r="G2450">
        <f t="shared" ca="1" si="82"/>
        <v>2736</v>
      </c>
      <c r="H2450" t="s">
        <v>736</v>
      </c>
    </row>
    <row r="2451" spans="1:8">
      <c r="A2451" t="str">
        <f t="shared" si="81"/>
        <v>خوزستانآبادان</v>
      </c>
      <c r="B2451" t="s">
        <v>132</v>
      </c>
      <c r="C2451" t="s">
        <v>134</v>
      </c>
      <c r="D2451" t="s">
        <v>477</v>
      </c>
      <c r="E2451">
        <f t="shared" ca="1" si="80"/>
        <v>0.4</v>
      </c>
      <c r="F2451">
        <f>IFERROR(VLOOKUP(H2451,ProfessionalRisk!A:I,9,0),0)</f>
        <v>4560</v>
      </c>
      <c r="G2451">
        <f t="shared" ca="1" si="82"/>
        <v>1824</v>
      </c>
      <c r="H2451" t="s">
        <v>736</v>
      </c>
    </row>
    <row r="2452" spans="1:8">
      <c r="A2452" t="str">
        <f t="shared" si="81"/>
        <v>خوزستانآبادان</v>
      </c>
      <c r="B2452" t="s">
        <v>132</v>
      </c>
      <c r="C2452" t="s">
        <v>134</v>
      </c>
      <c r="D2452" t="s">
        <v>23</v>
      </c>
      <c r="E2452">
        <f t="shared" ca="1" si="80"/>
        <v>1.4781431523935329E-2</v>
      </c>
      <c r="F2452">
        <f>IFERROR(VLOOKUP(H2452,ProfessionalRisk!A:I,9,0),0)</f>
        <v>4560</v>
      </c>
      <c r="G2452">
        <f t="shared" ca="1" si="82"/>
        <v>67</v>
      </c>
      <c r="H2452" t="s">
        <v>736</v>
      </c>
    </row>
    <row r="2453" spans="1:8">
      <c r="A2453" t="str">
        <f t="shared" si="81"/>
        <v>خوزستانانديمشك</v>
      </c>
      <c r="B2453" t="s">
        <v>132</v>
      </c>
      <c r="C2453" t="s">
        <v>731</v>
      </c>
      <c r="D2453" t="s">
        <v>19</v>
      </c>
      <c r="E2453">
        <f t="shared" ca="1" si="80"/>
        <v>0.6</v>
      </c>
      <c r="F2453">
        <f>IFERROR(VLOOKUP(H2453,ProfessionalRisk!A:I,9,0),0)</f>
        <v>11701</v>
      </c>
      <c r="G2453">
        <f t="shared" ca="1" si="82"/>
        <v>7021</v>
      </c>
      <c r="H2453" t="s">
        <v>855</v>
      </c>
    </row>
    <row r="2454" spans="1:8">
      <c r="A2454" t="str">
        <f t="shared" si="81"/>
        <v>خوزستانانديمشك</v>
      </c>
      <c r="B2454" t="s">
        <v>132</v>
      </c>
      <c r="C2454" t="s">
        <v>731</v>
      </c>
      <c r="D2454" t="s">
        <v>477</v>
      </c>
      <c r="E2454">
        <f t="shared" ca="1" si="80"/>
        <v>0.4</v>
      </c>
      <c r="F2454">
        <f>IFERROR(VLOOKUP(H2454,ProfessionalRisk!A:I,9,0),0)</f>
        <v>11701</v>
      </c>
      <c r="G2454">
        <f t="shared" ca="1" si="82"/>
        <v>4680</v>
      </c>
      <c r="H2454" t="s">
        <v>855</v>
      </c>
    </row>
    <row r="2455" spans="1:8">
      <c r="A2455" t="str">
        <f t="shared" si="81"/>
        <v>خوزستانانديمشك</v>
      </c>
      <c r="B2455" t="s">
        <v>132</v>
      </c>
      <c r="C2455" t="s">
        <v>731</v>
      </c>
      <c r="D2455" t="s">
        <v>23</v>
      </c>
      <c r="E2455">
        <f t="shared" ca="1" si="80"/>
        <v>2.1724929086506606E-3</v>
      </c>
      <c r="F2455">
        <f>IFERROR(VLOOKUP(H2455,ProfessionalRisk!A:I,9,0),0)</f>
        <v>11701</v>
      </c>
      <c r="G2455">
        <f t="shared" ca="1" si="82"/>
        <v>25</v>
      </c>
      <c r="H2455" t="s">
        <v>855</v>
      </c>
    </row>
    <row r="2456" spans="1:8">
      <c r="A2456" t="str">
        <f t="shared" si="81"/>
        <v>خوزستاناهواز</v>
      </c>
      <c r="B2456" t="s">
        <v>132</v>
      </c>
      <c r="C2456" t="s">
        <v>136</v>
      </c>
      <c r="D2456" t="s">
        <v>19</v>
      </c>
      <c r="E2456">
        <f t="shared" ca="1" si="80"/>
        <v>0.6</v>
      </c>
      <c r="F2456">
        <f>IFERROR(VLOOKUP(H2456,ProfessionalRisk!A:I,9,0),0)</f>
        <v>33255</v>
      </c>
      <c r="G2456">
        <f t="shared" ca="1" si="82"/>
        <v>19953</v>
      </c>
      <c r="H2456" t="s">
        <v>711</v>
      </c>
    </row>
    <row r="2457" spans="1:8">
      <c r="A2457" t="str">
        <f t="shared" si="81"/>
        <v>خوزستاناهواز</v>
      </c>
      <c r="B2457" t="s">
        <v>132</v>
      </c>
      <c r="C2457" t="s">
        <v>136</v>
      </c>
      <c r="D2457" t="s">
        <v>477</v>
      </c>
      <c r="E2457">
        <f t="shared" ca="1" si="80"/>
        <v>0.4</v>
      </c>
      <c r="F2457">
        <f>IFERROR(VLOOKUP(H2457,ProfessionalRisk!A:I,9,0),0)</f>
        <v>33255</v>
      </c>
      <c r="G2457">
        <f t="shared" ca="1" si="82"/>
        <v>13302</v>
      </c>
      <c r="H2457" t="s">
        <v>711</v>
      </c>
    </row>
    <row r="2458" spans="1:8">
      <c r="A2458" t="str">
        <f t="shared" si="81"/>
        <v>خوزستاناهواز</v>
      </c>
      <c r="B2458" t="s">
        <v>132</v>
      </c>
      <c r="C2458" t="s">
        <v>136</v>
      </c>
      <c r="D2458" t="s">
        <v>23</v>
      </c>
      <c r="E2458">
        <f t="shared" ca="1" si="80"/>
        <v>1.5398383115823588E-2</v>
      </c>
      <c r="F2458">
        <f>IFERROR(VLOOKUP(H2458,ProfessionalRisk!A:I,9,0),0)</f>
        <v>33255</v>
      </c>
      <c r="G2458">
        <f t="shared" ca="1" si="82"/>
        <v>512</v>
      </c>
      <c r="H2458" t="s">
        <v>711</v>
      </c>
    </row>
    <row r="2459" spans="1:8">
      <c r="A2459" t="str">
        <f t="shared" si="81"/>
        <v>خوزستانايذه</v>
      </c>
      <c r="B2459" t="s">
        <v>132</v>
      </c>
      <c r="C2459" t="s">
        <v>137</v>
      </c>
      <c r="D2459" t="s">
        <v>19</v>
      </c>
      <c r="E2459">
        <f t="shared" ca="1" si="80"/>
        <v>0.6</v>
      </c>
      <c r="F2459">
        <f>IFERROR(VLOOKUP(H2459,ProfessionalRisk!A:I,9,0),0)</f>
        <v>1653</v>
      </c>
      <c r="G2459">
        <f t="shared" ca="1" si="82"/>
        <v>992</v>
      </c>
      <c r="H2459" t="s">
        <v>727</v>
      </c>
    </row>
    <row r="2460" spans="1:8">
      <c r="A2460" t="str">
        <f t="shared" si="81"/>
        <v>خوزستانايذه</v>
      </c>
      <c r="B2460" t="s">
        <v>132</v>
      </c>
      <c r="C2460" t="s">
        <v>137</v>
      </c>
      <c r="D2460" t="s">
        <v>477</v>
      </c>
      <c r="E2460">
        <f t="shared" ca="1" si="80"/>
        <v>0.4</v>
      </c>
      <c r="F2460">
        <f>IFERROR(VLOOKUP(H2460,ProfessionalRisk!A:I,9,0),0)</f>
        <v>1653</v>
      </c>
      <c r="G2460">
        <f t="shared" ca="1" si="82"/>
        <v>661</v>
      </c>
      <c r="H2460" t="s">
        <v>727</v>
      </c>
    </row>
    <row r="2461" spans="1:8">
      <c r="A2461" t="str">
        <f t="shared" si="81"/>
        <v>خوزستانايذه</v>
      </c>
      <c r="B2461" t="s">
        <v>132</v>
      </c>
      <c r="C2461" t="s">
        <v>137</v>
      </c>
      <c r="D2461" t="s">
        <v>23</v>
      </c>
      <c r="E2461">
        <f t="shared" ca="1" si="80"/>
        <v>3.9579057399849685E-3</v>
      </c>
      <c r="F2461">
        <f>IFERROR(VLOOKUP(H2461,ProfessionalRisk!A:I,9,0),0)</f>
        <v>1653</v>
      </c>
      <c r="G2461">
        <f t="shared" ca="1" si="82"/>
        <v>7</v>
      </c>
      <c r="H2461" t="s">
        <v>727</v>
      </c>
    </row>
    <row r="2462" spans="1:8">
      <c r="A2462" t="str">
        <f t="shared" si="81"/>
        <v>خوزستانبندرماهشهر</v>
      </c>
      <c r="B2462" t="s">
        <v>132</v>
      </c>
      <c r="C2462" t="s">
        <v>138</v>
      </c>
      <c r="D2462" t="s">
        <v>19</v>
      </c>
      <c r="E2462">
        <f t="shared" ca="1" si="80"/>
        <v>0.6</v>
      </c>
      <c r="F2462">
        <f>IFERROR(VLOOKUP(H2462,ProfessionalRisk!A:I,9,0),0)</f>
        <v>3192</v>
      </c>
      <c r="G2462">
        <f t="shared" ca="1" si="82"/>
        <v>1915</v>
      </c>
      <c r="H2462" t="s">
        <v>728</v>
      </c>
    </row>
    <row r="2463" spans="1:8">
      <c r="A2463" t="str">
        <f t="shared" si="81"/>
        <v>خوزستانبندرماهشهر</v>
      </c>
      <c r="B2463" t="s">
        <v>132</v>
      </c>
      <c r="C2463" t="s">
        <v>138</v>
      </c>
      <c r="D2463" t="s">
        <v>477</v>
      </c>
      <c r="E2463">
        <f t="shared" ca="1" si="80"/>
        <v>0.4</v>
      </c>
      <c r="F2463">
        <f>IFERROR(VLOOKUP(H2463,ProfessionalRisk!A:I,9,0),0)</f>
        <v>3192</v>
      </c>
      <c r="G2463">
        <f t="shared" ca="1" si="82"/>
        <v>1277</v>
      </c>
      <c r="H2463" t="s">
        <v>728</v>
      </c>
    </row>
    <row r="2464" spans="1:8">
      <c r="A2464" t="str">
        <f t="shared" si="81"/>
        <v>خوزستانبندرماهشهر</v>
      </c>
      <c r="B2464" t="s">
        <v>132</v>
      </c>
      <c r="C2464" t="s">
        <v>138</v>
      </c>
      <c r="D2464" t="s">
        <v>23</v>
      </c>
      <c r="E2464">
        <f t="shared" ca="1" si="80"/>
        <v>1.9055553979620134E-3</v>
      </c>
      <c r="F2464">
        <f>IFERROR(VLOOKUP(H2464,ProfessionalRisk!A:I,9,0),0)</f>
        <v>3192</v>
      </c>
      <c r="G2464">
        <f t="shared" ca="1" si="82"/>
        <v>6</v>
      </c>
      <c r="H2464" t="s">
        <v>728</v>
      </c>
    </row>
    <row r="2465" spans="1:8">
      <c r="A2465" t="str">
        <f t="shared" si="81"/>
        <v>خوزستانبهبهان</v>
      </c>
      <c r="B2465" t="s">
        <v>132</v>
      </c>
      <c r="C2465" t="s">
        <v>139</v>
      </c>
      <c r="D2465" t="s">
        <v>19</v>
      </c>
      <c r="E2465">
        <f t="shared" ca="1" si="80"/>
        <v>0.6</v>
      </c>
      <c r="F2465">
        <f>IFERROR(VLOOKUP(H2465,ProfessionalRisk!A:I,9,0),0)</f>
        <v>3243</v>
      </c>
      <c r="G2465">
        <f t="shared" ca="1" si="82"/>
        <v>1946</v>
      </c>
      <c r="H2465" t="s">
        <v>707</v>
      </c>
    </row>
    <row r="2466" spans="1:8">
      <c r="A2466" t="str">
        <f t="shared" si="81"/>
        <v>خوزستانبهبهان</v>
      </c>
      <c r="B2466" t="s">
        <v>132</v>
      </c>
      <c r="C2466" t="s">
        <v>139</v>
      </c>
      <c r="D2466" t="s">
        <v>477</v>
      </c>
      <c r="E2466">
        <f t="shared" ca="1" si="80"/>
        <v>0.4</v>
      </c>
      <c r="F2466">
        <f>IFERROR(VLOOKUP(H2466,ProfessionalRisk!A:I,9,0),0)</f>
        <v>3243</v>
      </c>
      <c r="G2466">
        <f t="shared" ca="1" si="82"/>
        <v>1297</v>
      </c>
      <c r="H2466" t="s">
        <v>707</v>
      </c>
    </row>
    <row r="2467" spans="1:8">
      <c r="A2467" t="str">
        <f t="shared" si="81"/>
        <v>خوزستانبهبهان</v>
      </c>
      <c r="B2467" t="s">
        <v>132</v>
      </c>
      <c r="C2467" t="s">
        <v>139</v>
      </c>
      <c r="D2467" t="s">
        <v>23</v>
      </c>
      <c r="E2467">
        <f t="shared" ref="E2467:E2530" ca="1" si="83">IF(D2467="AP",0.6,IF(D2467="BP",0.4,RAND()*0.02))</f>
        <v>2.9956311607569441E-3</v>
      </c>
      <c r="F2467">
        <f>IFERROR(VLOOKUP(H2467,ProfessionalRisk!A:I,9,0),0)</f>
        <v>3243</v>
      </c>
      <c r="G2467">
        <f t="shared" ca="1" si="82"/>
        <v>10</v>
      </c>
      <c r="H2467" t="s">
        <v>707</v>
      </c>
    </row>
    <row r="2468" spans="1:8">
      <c r="A2468" t="str">
        <f t="shared" si="81"/>
        <v>خوزستانخرمشهر</v>
      </c>
      <c r="B2468" t="s">
        <v>132</v>
      </c>
      <c r="C2468" t="s">
        <v>140</v>
      </c>
      <c r="D2468" t="s">
        <v>19</v>
      </c>
      <c r="E2468">
        <f t="shared" ca="1" si="83"/>
        <v>0.6</v>
      </c>
      <c r="F2468">
        <f>IFERROR(VLOOKUP(H2468,ProfessionalRisk!A:I,9,0),0)</f>
        <v>1600</v>
      </c>
      <c r="G2468">
        <f t="shared" ca="1" si="82"/>
        <v>960</v>
      </c>
      <c r="H2468" t="s">
        <v>708</v>
      </c>
    </row>
    <row r="2469" spans="1:8">
      <c r="A2469" t="str">
        <f t="shared" si="81"/>
        <v>خوزستانخرمشهر</v>
      </c>
      <c r="B2469" t="s">
        <v>132</v>
      </c>
      <c r="C2469" t="s">
        <v>140</v>
      </c>
      <c r="D2469" t="s">
        <v>477</v>
      </c>
      <c r="E2469">
        <f t="shared" ca="1" si="83"/>
        <v>0.4</v>
      </c>
      <c r="F2469">
        <f>IFERROR(VLOOKUP(H2469,ProfessionalRisk!A:I,9,0),0)</f>
        <v>1600</v>
      </c>
      <c r="G2469">
        <f t="shared" ca="1" si="82"/>
        <v>640</v>
      </c>
      <c r="H2469" t="s">
        <v>708</v>
      </c>
    </row>
    <row r="2470" spans="1:8">
      <c r="A2470" t="str">
        <f t="shared" si="81"/>
        <v>خوزستانخرمشهر</v>
      </c>
      <c r="B2470" t="s">
        <v>132</v>
      </c>
      <c r="C2470" t="s">
        <v>140</v>
      </c>
      <c r="D2470" t="s">
        <v>23</v>
      </c>
      <c r="E2470">
        <f t="shared" ca="1" si="83"/>
        <v>1.8993139421790369E-2</v>
      </c>
      <c r="F2470">
        <f>IFERROR(VLOOKUP(H2470,ProfessionalRisk!A:I,9,0),0)</f>
        <v>1600</v>
      </c>
      <c r="G2470">
        <f t="shared" ca="1" si="82"/>
        <v>30</v>
      </c>
      <c r="H2470" t="s">
        <v>708</v>
      </c>
    </row>
    <row r="2471" spans="1:8">
      <c r="A2471" t="str">
        <f t="shared" si="81"/>
        <v>خوزستاندزفول</v>
      </c>
      <c r="B2471" t="s">
        <v>132</v>
      </c>
      <c r="C2471" t="s">
        <v>141</v>
      </c>
      <c r="D2471" t="s">
        <v>19</v>
      </c>
      <c r="E2471">
        <f t="shared" ca="1" si="83"/>
        <v>0.6</v>
      </c>
      <c r="F2471">
        <f>IFERROR(VLOOKUP(H2471,ProfessionalRisk!A:I,9,0),0)</f>
        <v>5870</v>
      </c>
      <c r="G2471">
        <f t="shared" ca="1" si="82"/>
        <v>3522</v>
      </c>
      <c r="H2471" t="s">
        <v>723</v>
      </c>
    </row>
    <row r="2472" spans="1:8">
      <c r="A2472" t="str">
        <f t="shared" si="81"/>
        <v>خوزستاندزفول</v>
      </c>
      <c r="B2472" t="s">
        <v>132</v>
      </c>
      <c r="C2472" t="s">
        <v>141</v>
      </c>
      <c r="D2472" t="s">
        <v>477</v>
      </c>
      <c r="E2472">
        <f t="shared" ca="1" si="83"/>
        <v>0.4</v>
      </c>
      <c r="F2472">
        <f>IFERROR(VLOOKUP(H2472,ProfessionalRisk!A:I,9,0),0)</f>
        <v>5870</v>
      </c>
      <c r="G2472">
        <f t="shared" ca="1" si="82"/>
        <v>2348</v>
      </c>
      <c r="H2472" t="s">
        <v>723</v>
      </c>
    </row>
    <row r="2473" spans="1:8">
      <c r="A2473" t="str">
        <f t="shared" si="81"/>
        <v>خوزستاندزفول</v>
      </c>
      <c r="B2473" t="s">
        <v>132</v>
      </c>
      <c r="C2473" t="s">
        <v>141</v>
      </c>
      <c r="D2473" t="s">
        <v>23</v>
      </c>
      <c r="E2473">
        <f t="shared" ca="1" si="83"/>
        <v>1.4361506210176589E-2</v>
      </c>
      <c r="F2473">
        <f>IFERROR(VLOOKUP(H2473,ProfessionalRisk!A:I,9,0),0)</f>
        <v>5870</v>
      </c>
      <c r="G2473">
        <f t="shared" ca="1" si="82"/>
        <v>84</v>
      </c>
      <c r="H2473" t="s">
        <v>723</v>
      </c>
    </row>
    <row r="2474" spans="1:8">
      <c r="A2474" t="str">
        <f t="shared" si="81"/>
        <v>خوزستاندشت آزادگان</v>
      </c>
      <c r="B2474" t="s">
        <v>132</v>
      </c>
      <c r="C2474" t="s">
        <v>142</v>
      </c>
      <c r="D2474" t="s">
        <v>19</v>
      </c>
      <c r="E2474">
        <f t="shared" ca="1" si="83"/>
        <v>0.6</v>
      </c>
      <c r="F2474">
        <f>IFERROR(VLOOKUP(H2474,ProfessionalRisk!A:I,9,0),0)</f>
        <v>356</v>
      </c>
      <c r="G2474">
        <f t="shared" ca="1" si="82"/>
        <v>214</v>
      </c>
      <c r="H2474" t="s">
        <v>715</v>
      </c>
    </row>
    <row r="2475" spans="1:8">
      <c r="A2475" t="str">
        <f t="shared" si="81"/>
        <v>خوزستاندشت آزادگان</v>
      </c>
      <c r="B2475" t="s">
        <v>132</v>
      </c>
      <c r="C2475" t="s">
        <v>142</v>
      </c>
      <c r="D2475" t="s">
        <v>477</v>
      </c>
      <c r="E2475">
        <f t="shared" ca="1" si="83"/>
        <v>0.4</v>
      </c>
      <c r="F2475">
        <f>IFERROR(VLOOKUP(H2475,ProfessionalRisk!A:I,9,0),0)</f>
        <v>356</v>
      </c>
      <c r="G2475">
        <f t="shared" ca="1" si="82"/>
        <v>142</v>
      </c>
      <c r="H2475" t="s">
        <v>715</v>
      </c>
    </row>
    <row r="2476" spans="1:8">
      <c r="A2476" t="str">
        <f t="shared" si="81"/>
        <v>خوزستاندشت آزادگان</v>
      </c>
      <c r="B2476" t="s">
        <v>132</v>
      </c>
      <c r="C2476" t="s">
        <v>142</v>
      </c>
      <c r="D2476" t="s">
        <v>23</v>
      </c>
      <c r="E2476">
        <f t="shared" ca="1" si="83"/>
        <v>1.3726153345236289E-2</v>
      </c>
      <c r="F2476">
        <f>IFERROR(VLOOKUP(H2476,ProfessionalRisk!A:I,9,0),0)</f>
        <v>356</v>
      </c>
      <c r="G2476">
        <f t="shared" ca="1" si="82"/>
        <v>5</v>
      </c>
      <c r="H2476" t="s">
        <v>715</v>
      </c>
    </row>
    <row r="2477" spans="1:8">
      <c r="A2477" t="str">
        <f t="shared" si="81"/>
        <v>خوزستانرامهرمز</v>
      </c>
      <c r="B2477" t="s">
        <v>132</v>
      </c>
      <c r="C2477" t="s">
        <v>143</v>
      </c>
      <c r="D2477" t="s">
        <v>19</v>
      </c>
      <c r="E2477">
        <f t="shared" ca="1" si="83"/>
        <v>0.6</v>
      </c>
      <c r="F2477">
        <f>IFERROR(VLOOKUP(H2477,ProfessionalRisk!A:I,9,0),0)</f>
        <v>1313</v>
      </c>
      <c r="G2477">
        <f t="shared" ca="1" si="82"/>
        <v>788</v>
      </c>
      <c r="H2477" t="s">
        <v>732</v>
      </c>
    </row>
    <row r="2478" spans="1:8">
      <c r="A2478" t="str">
        <f t="shared" si="81"/>
        <v>خوزستانرامهرمز</v>
      </c>
      <c r="B2478" t="s">
        <v>132</v>
      </c>
      <c r="C2478" t="s">
        <v>143</v>
      </c>
      <c r="D2478" t="s">
        <v>477</v>
      </c>
      <c r="E2478">
        <f t="shared" ca="1" si="83"/>
        <v>0.4</v>
      </c>
      <c r="F2478">
        <f>IFERROR(VLOOKUP(H2478,ProfessionalRisk!A:I,9,0),0)</f>
        <v>1313</v>
      </c>
      <c r="G2478">
        <f t="shared" ca="1" si="82"/>
        <v>525</v>
      </c>
      <c r="H2478" t="s">
        <v>732</v>
      </c>
    </row>
    <row r="2479" spans="1:8">
      <c r="A2479" t="str">
        <f t="shared" si="81"/>
        <v>خوزستانرامهرمز</v>
      </c>
      <c r="B2479" t="s">
        <v>132</v>
      </c>
      <c r="C2479" t="s">
        <v>143</v>
      </c>
      <c r="D2479" t="s">
        <v>23</v>
      </c>
      <c r="E2479">
        <f t="shared" ca="1" si="83"/>
        <v>7.0070869003460694E-3</v>
      </c>
      <c r="F2479">
        <f>IFERROR(VLOOKUP(H2479,ProfessionalRisk!A:I,9,0),0)</f>
        <v>1313</v>
      </c>
      <c r="G2479">
        <f t="shared" ca="1" si="82"/>
        <v>9</v>
      </c>
      <c r="H2479" t="s">
        <v>732</v>
      </c>
    </row>
    <row r="2480" spans="1:8">
      <c r="A2480" t="str">
        <f t="shared" si="81"/>
        <v>خوزستانشادگان</v>
      </c>
      <c r="B2480" t="s">
        <v>132</v>
      </c>
      <c r="C2480" t="s">
        <v>144</v>
      </c>
      <c r="D2480" t="s">
        <v>19</v>
      </c>
      <c r="E2480">
        <f t="shared" ca="1" si="83"/>
        <v>0.6</v>
      </c>
      <c r="F2480">
        <f>IFERROR(VLOOKUP(H2480,ProfessionalRisk!A:I,9,0),0)</f>
        <v>1432</v>
      </c>
      <c r="G2480">
        <f t="shared" ca="1" si="82"/>
        <v>859</v>
      </c>
      <c r="H2480" t="s">
        <v>717</v>
      </c>
    </row>
    <row r="2481" spans="1:8">
      <c r="A2481" t="str">
        <f t="shared" si="81"/>
        <v>خوزستانشادگان</v>
      </c>
      <c r="B2481" t="s">
        <v>132</v>
      </c>
      <c r="C2481" t="s">
        <v>144</v>
      </c>
      <c r="D2481" t="s">
        <v>477</v>
      </c>
      <c r="E2481">
        <f t="shared" ca="1" si="83"/>
        <v>0.4</v>
      </c>
      <c r="F2481">
        <f>IFERROR(VLOOKUP(H2481,ProfessionalRisk!A:I,9,0),0)</f>
        <v>1432</v>
      </c>
      <c r="G2481">
        <f t="shared" ca="1" si="82"/>
        <v>573</v>
      </c>
      <c r="H2481" t="s">
        <v>717</v>
      </c>
    </row>
    <row r="2482" spans="1:8">
      <c r="A2482" t="str">
        <f t="shared" si="81"/>
        <v>خوزستانشادگان</v>
      </c>
      <c r="B2482" t="s">
        <v>132</v>
      </c>
      <c r="C2482" t="s">
        <v>144</v>
      </c>
      <c r="D2482" t="s">
        <v>23</v>
      </c>
      <c r="E2482">
        <f t="shared" ca="1" si="83"/>
        <v>1.5798042363419308E-3</v>
      </c>
      <c r="F2482">
        <f>IFERROR(VLOOKUP(H2482,ProfessionalRisk!A:I,9,0),0)</f>
        <v>1432</v>
      </c>
      <c r="G2482">
        <f t="shared" ca="1" si="82"/>
        <v>2</v>
      </c>
      <c r="H2482" t="s">
        <v>717</v>
      </c>
    </row>
    <row r="2483" spans="1:8">
      <c r="A2483" t="str">
        <f t="shared" si="81"/>
        <v>خوزستانشوشتر</v>
      </c>
      <c r="B2483" t="s">
        <v>132</v>
      </c>
      <c r="C2483" t="s">
        <v>145</v>
      </c>
      <c r="D2483" t="s">
        <v>19</v>
      </c>
      <c r="E2483">
        <f t="shared" ca="1" si="83"/>
        <v>0.6</v>
      </c>
      <c r="F2483">
        <f>IFERROR(VLOOKUP(H2483,ProfessionalRisk!A:I,9,0),0)</f>
        <v>2260</v>
      </c>
      <c r="G2483">
        <f t="shared" ca="1" si="82"/>
        <v>1356</v>
      </c>
      <c r="H2483" t="s">
        <v>729</v>
      </c>
    </row>
    <row r="2484" spans="1:8">
      <c r="A2484" t="str">
        <f t="shared" si="81"/>
        <v>خوزستانشوشتر</v>
      </c>
      <c r="B2484" t="s">
        <v>132</v>
      </c>
      <c r="C2484" t="s">
        <v>145</v>
      </c>
      <c r="D2484" t="s">
        <v>477</v>
      </c>
      <c r="E2484">
        <f t="shared" ca="1" si="83"/>
        <v>0.4</v>
      </c>
      <c r="F2484">
        <f>IFERROR(VLOOKUP(H2484,ProfessionalRisk!A:I,9,0),0)</f>
        <v>2260</v>
      </c>
      <c r="G2484">
        <f t="shared" ca="1" si="82"/>
        <v>904</v>
      </c>
      <c r="H2484" t="s">
        <v>729</v>
      </c>
    </row>
    <row r="2485" spans="1:8">
      <c r="A2485" t="str">
        <f t="shared" si="81"/>
        <v>خوزستانشوشتر</v>
      </c>
      <c r="B2485" t="s">
        <v>132</v>
      </c>
      <c r="C2485" t="s">
        <v>145</v>
      </c>
      <c r="D2485" t="s">
        <v>23</v>
      </c>
      <c r="E2485">
        <f t="shared" ca="1" si="83"/>
        <v>1.4276227097776362E-2</v>
      </c>
      <c r="F2485">
        <f>IFERROR(VLOOKUP(H2485,ProfessionalRisk!A:I,9,0),0)</f>
        <v>2260</v>
      </c>
      <c r="G2485">
        <f t="shared" ca="1" si="82"/>
        <v>32</v>
      </c>
      <c r="H2485" t="s">
        <v>729</v>
      </c>
    </row>
    <row r="2486" spans="1:8">
      <c r="A2486" t="str">
        <f t="shared" si="81"/>
        <v>خوزستانمسجدسليمان</v>
      </c>
      <c r="B2486" t="s">
        <v>132</v>
      </c>
      <c r="C2486" t="s">
        <v>146</v>
      </c>
      <c r="D2486" t="s">
        <v>19</v>
      </c>
      <c r="E2486">
        <f t="shared" ca="1" si="83"/>
        <v>0.6</v>
      </c>
      <c r="F2486">
        <f>IFERROR(VLOOKUP(H2486,ProfessionalRisk!A:I,9,0),0)</f>
        <v>1909</v>
      </c>
      <c r="G2486">
        <f t="shared" ca="1" si="82"/>
        <v>1145</v>
      </c>
      <c r="H2486" t="s">
        <v>733</v>
      </c>
    </row>
    <row r="2487" spans="1:8">
      <c r="A2487" t="str">
        <f t="shared" si="81"/>
        <v>خوزستانمسجدسليمان</v>
      </c>
      <c r="B2487" t="s">
        <v>132</v>
      </c>
      <c r="C2487" t="s">
        <v>146</v>
      </c>
      <c r="D2487" t="s">
        <v>477</v>
      </c>
      <c r="E2487">
        <f t="shared" ca="1" si="83"/>
        <v>0.4</v>
      </c>
      <c r="F2487">
        <f>IFERROR(VLOOKUP(H2487,ProfessionalRisk!A:I,9,0),0)</f>
        <v>1909</v>
      </c>
      <c r="G2487">
        <f t="shared" ca="1" si="82"/>
        <v>764</v>
      </c>
      <c r="H2487" t="s">
        <v>733</v>
      </c>
    </row>
    <row r="2488" spans="1:8">
      <c r="A2488" t="str">
        <f t="shared" si="81"/>
        <v>خوزستانمسجدسليمان</v>
      </c>
      <c r="B2488" t="s">
        <v>132</v>
      </c>
      <c r="C2488" t="s">
        <v>146</v>
      </c>
      <c r="D2488" t="s">
        <v>23</v>
      </c>
      <c r="E2488">
        <f t="shared" ca="1" si="83"/>
        <v>6.6619044547452958E-3</v>
      </c>
      <c r="F2488">
        <f>IFERROR(VLOOKUP(H2488,ProfessionalRisk!A:I,9,0),0)</f>
        <v>1909</v>
      </c>
      <c r="G2488">
        <f t="shared" ca="1" si="82"/>
        <v>13</v>
      </c>
      <c r="H2488" t="s">
        <v>733</v>
      </c>
    </row>
    <row r="2489" spans="1:8">
      <c r="A2489" t="str">
        <f t="shared" si="81"/>
        <v>خوزستانشوش</v>
      </c>
      <c r="B2489" t="s">
        <v>132</v>
      </c>
      <c r="C2489" t="s">
        <v>147</v>
      </c>
      <c r="D2489" t="s">
        <v>19</v>
      </c>
      <c r="E2489">
        <f t="shared" ca="1" si="83"/>
        <v>0.6</v>
      </c>
      <c r="F2489">
        <f>IFERROR(VLOOKUP(H2489,ProfessionalRisk!A:I,9,0),0)</f>
        <v>1760</v>
      </c>
      <c r="G2489">
        <f t="shared" ca="1" si="82"/>
        <v>1056</v>
      </c>
      <c r="H2489" t="s">
        <v>714</v>
      </c>
    </row>
    <row r="2490" spans="1:8">
      <c r="A2490" t="str">
        <f t="shared" si="81"/>
        <v>خوزستانشوش</v>
      </c>
      <c r="B2490" t="s">
        <v>132</v>
      </c>
      <c r="C2490" t="s">
        <v>147</v>
      </c>
      <c r="D2490" t="s">
        <v>477</v>
      </c>
      <c r="E2490">
        <f t="shared" ca="1" si="83"/>
        <v>0.4</v>
      </c>
      <c r="F2490">
        <f>IFERROR(VLOOKUP(H2490,ProfessionalRisk!A:I,9,0),0)</f>
        <v>1760</v>
      </c>
      <c r="G2490">
        <f t="shared" ca="1" si="82"/>
        <v>704</v>
      </c>
      <c r="H2490" t="s">
        <v>714</v>
      </c>
    </row>
    <row r="2491" spans="1:8">
      <c r="A2491" t="str">
        <f t="shared" si="81"/>
        <v>خوزستانشوش</v>
      </c>
      <c r="B2491" t="s">
        <v>132</v>
      </c>
      <c r="C2491" t="s">
        <v>147</v>
      </c>
      <c r="D2491" t="s">
        <v>23</v>
      </c>
      <c r="E2491">
        <f t="shared" ca="1" si="83"/>
        <v>1.4010327164104766E-2</v>
      </c>
      <c r="F2491">
        <f>IFERROR(VLOOKUP(H2491,ProfessionalRisk!A:I,9,0),0)</f>
        <v>1760</v>
      </c>
      <c r="G2491">
        <f t="shared" ca="1" si="82"/>
        <v>25</v>
      </c>
      <c r="H2491" t="s">
        <v>714</v>
      </c>
    </row>
    <row r="2492" spans="1:8">
      <c r="A2492" t="str">
        <f t="shared" si="81"/>
        <v>خوزستانباغ ملك</v>
      </c>
      <c r="B2492" t="s">
        <v>132</v>
      </c>
      <c r="C2492" t="s">
        <v>725</v>
      </c>
      <c r="D2492" t="s">
        <v>19</v>
      </c>
      <c r="E2492">
        <f t="shared" ca="1" si="83"/>
        <v>0.6</v>
      </c>
      <c r="F2492">
        <f>IFERROR(VLOOKUP(H2492,ProfessionalRisk!A:I,9,0),0)</f>
        <v>11701</v>
      </c>
      <c r="G2492">
        <f t="shared" ca="1" si="82"/>
        <v>7021</v>
      </c>
      <c r="H2492" t="s">
        <v>855</v>
      </c>
    </row>
    <row r="2493" spans="1:8">
      <c r="A2493" t="str">
        <f t="shared" si="81"/>
        <v>خوزستانباغ ملك</v>
      </c>
      <c r="B2493" t="s">
        <v>132</v>
      </c>
      <c r="C2493" t="s">
        <v>725</v>
      </c>
      <c r="D2493" t="s">
        <v>477</v>
      </c>
      <c r="E2493">
        <f t="shared" ca="1" si="83"/>
        <v>0.4</v>
      </c>
      <c r="F2493">
        <f>IFERROR(VLOOKUP(H2493,ProfessionalRisk!A:I,9,0),0)</f>
        <v>11701</v>
      </c>
      <c r="G2493">
        <f t="shared" ca="1" si="82"/>
        <v>4680</v>
      </c>
      <c r="H2493" t="s">
        <v>855</v>
      </c>
    </row>
    <row r="2494" spans="1:8">
      <c r="A2494" t="str">
        <f t="shared" si="81"/>
        <v>خوزستانباغ ملك</v>
      </c>
      <c r="B2494" t="s">
        <v>132</v>
      </c>
      <c r="C2494" t="s">
        <v>725</v>
      </c>
      <c r="D2494" t="s">
        <v>23</v>
      </c>
      <c r="E2494">
        <f t="shared" ca="1" si="83"/>
        <v>1.7868188127012973E-2</v>
      </c>
      <c r="F2494">
        <f>IFERROR(VLOOKUP(H2494,ProfessionalRisk!A:I,9,0),0)</f>
        <v>11701</v>
      </c>
      <c r="G2494">
        <f t="shared" ca="1" si="82"/>
        <v>209</v>
      </c>
      <c r="H2494" t="s">
        <v>855</v>
      </c>
    </row>
    <row r="2495" spans="1:8">
      <c r="A2495" t="str">
        <f t="shared" si="81"/>
        <v>خوزستاناميديه</v>
      </c>
      <c r="B2495" t="s">
        <v>132</v>
      </c>
      <c r="C2495" t="s">
        <v>149</v>
      </c>
      <c r="D2495" t="s">
        <v>19</v>
      </c>
      <c r="E2495">
        <f t="shared" ca="1" si="83"/>
        <v>0.6</v>
      </c>
      <c r="F2495">
        <f>IFERROR(VLOOKUP(H2495,ProfessionalRisk!A:I,9,0),0)</f>
        <v>1046</v>
      </c>
      <c r="G2495">
        <f t="shared" ca="1" si="82"/>
        <v>628</v>
      </c>
      <c r="H2495" t="s">
        <v>734</v>
      </c>
    </row>
    <row r="2496" spans="1:8">
      <c r="A2496" t="str">
        <f t="shared" si="81"/>
        <v>خوزستاناميديه</v>
      </c>
      <c r="B2496" t="s">
        <v>132</v>
      </c>
      <c r="C2496" t="s">
        <v>149</v>
      </c>
      <c r="D2496" t="s">
        <v>477</v>
      </c>
      <c r="E2496">
        <f t="shared" ca="1" si="83"/>
        <v>0.4</v>
      </c>
      <c r="F2496">
        <f>IFERROR(VLOOKUP(H2496,ProfessionalRisk!A:I,9,0),0)</f>
        <v>1046</v>
      </c>
      <c r="G2496">
        <f t="shared" ca="1" si="82"/>
        <v>418</v>
      </c>
      <c r="H2496" t="s">
        <v>734</v>
      </c>
    </row>
    <row r="2497" spans="1:8">
      <c r="A2497" t="str">
        <f t="shared" si="81"/>
        <v>خوزستاناميديه</v>
      </c>
      <c r="B2497" t="s">
        <v>132</v>
      </c>
      <c r="C2497" t="s">
        <v>149</v>
      </c>
      <c r="D2497" t="s">
        <v>23</v>
      </c>
      <c r="E2497">
        <f t="shared" ca="1" si="83"/>
        <v>6.2082960448846623E-3</v>
      </c>
      <c r="F2497">
        <f>IFERROR(VLOOKUP(H2497,ProfessionalRisk!A:I,9,0),0)</f>
        <v>1046</v>
      </c>
      <c r="G2497">
        <f t="shared" ca="1" si="82"/>
        <v>6</v>
      </c>
      <c r="H2497" t="s">
        <v>734</v>
      </c>
    </row>
    <row r="2498" spans="1:8">
      <c r="A2498" t="str">
        <f t="shared" ref="A2498:A2561" si="84">B2498&amp;C2498</f>
        <v>خوزستانلالي</v>
      </c>
      <c r="B2498" t="s">
        <v>132</v>
      </c>
      <c r="C2498" t="s">
        <v>150</v>
      </c>
      <c r="D2498" t="s">
        <v>19</v>
      </c>
      <c r="E2498">
        <f t="shared" ca="1" si="83"/>
        <v>0.6</v>
      </c>
      <c r="F2498">
        <f>IFERROR(VLOOKUP(H2498,ProfessionalRisk!A:I,9,0),0)</f>
        <v>406</v>
      </c>
      <c r="G2498">
        <f t="shared" ca="1" si="82"/>
        <v>244</v>
      </c>
      <c r="H2498" t="s">
        <v>735</v>
      </c>
    </row>
    <row r="2499" spans="1:8">
      <c r="A2499" t="str">
        <f t="shared" si="84"/>
        <v>خوزستانلالي</v>
      </c>
      <c r="B2499" t="s">
        <v>132</v>
      </c>
      <c r="C2499" t="s">
        <v>150</v>
      </c>
      <c r="D2499" t="s">
        <v>477</v>
      </c>
      <c r="E2499">
        <f t="shared" ca="1" si="83"/>
        <v>0.4</v>
      </c>
      <c r="F2499">
        <f>IFERROR(VLOOKUP(H2499,ProfessionalRisk!A:I,9,0),0)</f>
        <v>406</v>
      </c>
      <c r="G2499">
        <f t="shared" ref="G2499:G2562" ca="1" si="85">IFERROR(ROUND(F2499*E2499,0),0)</f>
        <v>162</v>
      </c>
      <c r="H2499" t="s">
        <v>735</v>
      </c>
    </row>
    <row r="2500" spans="1:8">
      <c r="A2500" t="str">
        <f t="shared" si="84"/>
        <v>خوزستانلالي</v>
      </c>
      <c r="B2500" t="s">
        <v>132</v>
      </c>
      <c r="C2500" t="s">
        <v>150</v>
      </c>
      <c r="D2500" t="s">
        <v>23</v>
      </c>
      <c r="E2500">
        <f t="shared" ca="1" si="83"/>
        <v>1.7250639119756148E-2</v>
      </c>
      <c r="F2500">
        <f>IFERROR(VLOOKUP(H2500,ProfessionalRisk!A:I,9,0),0)</f>
        <v>406</v>
      </c>
      <c r="G2500">
        <f t="shared" ca="1" si="85"/>
        <v>7</v>
      </c>
      <c r="H2500" t="s">
        <v>735</v>
      </c>
    </row>
    <row r="2501" spans="1:8">
      <c r="A2501" t="str">
        <f t="shared" si="84"/>
        <v>خوزستانهنديجان</v>
      </c>
      <c r="B2501" t="s">
        <v>132</v>
      </c>
      <c r="C2501" t="s">
        <v>151</v>
      </c>
      <c r="D2501" t="s">
        <v>19</v>
      </c>
      <c r="E2501">
        <f t="shared" ca="1" si="83"/>
        <v>0.6</v>
      </c>
      <c r="F2501">
        <f>IFERROR(VLOOKUP(H2501,ProfessionalRisk!A:I,9,0),0)</f>
        <v>404</v>
      </c>
      <c r="G2501">
        <f t="shared" ca="1" si="85"/>
        <v>242</v>
      </c>
      <c r="H2501" t="s">
        <v>716</v>
      </c>
    </row>
    <row r="2502" spans="1:8">
      <c r="A2502" t="str">
        <f t="shared" si="84"/>
        <v>خوزستانهنديجان</v>
      </c>
      <c r="B2502" t="s">
        <v>132</v>
      </c>
      <c r="C2502" t="s">
        <v>151</v>
      </c>
      <c r="D2502" t="s">
        <v>477</v>
      </c>
      <c r="E2502">
        <f t="shared" ca="1" si="83"/>
        <v>0.4</v>
      </c>
      <c r="F2502">
        <f>IFERROR(VLOOKUP(H2502,ProfessionalRisk!A:I,9,0),0)</f>
        <v>404</v>
      </c>
      <c r="G2502">
        <f t="shared" ca="1" si="85"/>
        <v>162</v>
      </c>
      <c r="H2502" t="s">
        <v>716</v>
      </c>
    </row>
    <row r="2503" spans="1:8">
      <c r="A2503" t="str">
        <f t="shared" si="84"/>
        <v>خوزستانهنديجان</v>
      </c>
      <c r="B2503" t="s">
        <v>132</v>
      </c>
      <c r="C2503" t="s">
        <v>151</v>
      </c>
      <c r="D2503" t="s">
        <v>23</v>
      </c>
      <c r="E2503">
        <f t="shared" ca="1" si="83"/>
        <v>5.0161178218113209E-3</v>
      </c>
      <c r="F2503">
        <f>IFERROR(VLOOKUP(H2503,ProfessionalRisk!A:I,9,0),0)</f>
        <v>404</v>
      </c>
      <c r="G2503">
        <f t="shared" ca="1" si="85"/>
        <v>2</v>
      </c>
      <c r="H2503" t="s">
        <v>716</v>
      </c>
    </row>
    <row r="2504" spans="1:8">
      <c r="A2504" t="str">
        <f t="shared" si="84"/>
        <v>خوزستانرامشير</v>
      </c>
      <c r="B2504" t="s">
        <v>132</v>
      </c>
      <c r="C2504" t="s">
        <v>152</v>
      </c>
      <c r="D2504" t="s">
        <v>19</v>
      </c>
      <c r="E2504">
        <f t="shared" ca="1" si="83"/>
        <v>0.6</v>
      </c>
      <c r="F2504">
        <f>IFERROR(VLOOKUP(H2504,ProfessionalRisk!A:I,9,0),0)</f>
        <v>422</v>
      </c>
      <c r="G2504">
        <f t="shared" ca="1" si="85"/>
        <v>253</v>
      </c>
      <c r="H2504" t="s">
        <v>712</v>
      </c>
    </row>
    <row r="2505" spans="1:8">
      <c r="A2505" t="str">
        <f t="shared" si="84"/>
        <v>خوزستانرامشير</v>
      </c>
      <c r="B2505" t="s">
        <v>132</v>
      </c>
      <c r="C2505" t="s">
        <v>152</v>
      </c>
      <c r="D2505" t="s">
        <v>477</v>
      </c>
      <c r="E2505">
        <f t="shared" ca="1" si="83"/>
        <v>0.4</v>
      </c>
      <c r="F2505">
        <f>IFERROR(VLOOKUP(H2505,ProfessionalRisk!A:I,9,0),0)</f>
        <v>422</v>
      </c>
      <c r="G2505">
        <f t="shared" ca="1" si="85"/>
        <v>169</v>
      </c>
      <c r="H2505" t="s">
        <v>712</v>
      </c>
    </row>
    <row r="2506" spans="1:8">
      <c r="A2506" t="str">
        <f t="shared" si="84"/>
        <v>خوزستانرامشير</v>
      </c>
      <c r="B2506" t="s">
        <v>132</v>
      </c>
      <c r="C2506" t="s">
        <v>152</v>
      </c>
      <c r="D2506" t="s">
        <v>23</v>
      </c>
      <c r="E2506">
        <f t="shared" ca="1" si="83"/>
        <v>1.8248580401633178E-2</v>
      </c>
      <c r="F2506">
        <f>IFERROR(VLOOKUP(H2506,ProfessionalRisk!A:I,9,0),0)</f>
        <v>422</v>
      </c>
      <c r="G2506">
        <f t="shared" ca="1" si="85"/>
        <v>8</v>
      </c>
      <c r="H2506" t="s">
        <v>712</v>
      </c>
    </row>
    <row r="2507" spans="1:8">
      <c r="A2507" t="str">
        <f t="shared" si="84"/>
        <v>خوزستانگتوند</v>
      </c>
      <c r="B2507" t="s">
        <v>132</v>
      </c>
      <c r="C2507" t="s">
        <v>153</v>
      </c>
      <c r="D2507" t="s">
        <v>19</v>
      </c>
      <c r="E2507">
        <f t="shared" ca="1" si="83"/>
        <v>0.6</v>
      </c>
      <c r="F2507">
        <f>IFERROR(VLOOKUP(H2507,ProfessionalRisk!A:I,9,0),0)</f>
        <v>677</v>
      </c>
      <c r="G2507">
        <f t="shared" ca="1" si="85"/>
        <v>406</v>
      </c>
      <c r="H2507" t="s">
        <v>726</v>
      </c>
    </row>
    <row r="2508" spans="1:8">
      <c r="A2508" t="str">
        <f t="shared" si="84"/>
        <v>خوزستانگتوند</v>
      </c>
      <c r="B2508" t="s">
        <v>132</v>
      </c>
      <c r="C2508" t="s">
        <v>153</v>
      </c>
      <c r="D2508" t="s">
        <v>477</v>
      </c>
      <c r="E2508">
        <f t="shared" ca="1" si="83"/>
        <v>0.4</v>
      </c>
      <c r="F2508">
        <f>IFERROR(VLOOKUP(H2508,ProfessionalRisk!A:I,9,0),0)</f>
        <v>677</v>
      </c>
      <c r="G2508">
        <f t="shared" ca="1" si="85"/>
        <v>271</v>
      </c>
      <c r="H2508" t="s">
        <v>726</v>
      </c>
    </row>
    <row r="2509" spans="1:8">
      <c r="A2509" t="str">
        <f t="shared" si="84"/>
        <v>خوزستانگتوند</v>
      </c>
      <c r="B2509" t="s">
        <v>132</v>
      </c>
      <c r="C2509" t="s">
        <v>153</v>
      </c>
      <c r="D2509" t="s">
        <v>23</v>
      </c>
      <c r="E2509">
        <f t="shared" ca="1" si="83"/>
        <v>1.5454206702759351E-2</v>
      </c>
      <c r="F2509">
        <f>IFERROR(VLOOKUP(H2509,ProfessionalRisk!A:I,9,0),0)</f>
        <v>677</v>
      </c>
      <c r="G2509">
        <f t="shared" ca="1" si="85"/>
        <v>10</v>
      </c>
      <c r="H2509" t="s">
        <v>726</v>
      </c>
    </row>
    <row r="2510" spans="1:8">
      <c r="A2510" t="str">
        <f t="shared" si="84"/>
        <v>خوزستانانديكا</v>
      </c>
      <c r="B2510" t="s">
        <v>132</v>
      </c>
      <c r="C2510" t="s">
        <v>719</v>
      </c>
      <c r="D2510" t="s">
        <v>19</v>
      </c>
      <c r="E2510">
        <f t="shared" ca="1" si="83"/>
        <v>0.6</v>
      </c>
      <c r="F2510">
        <f>IFERROR(VLOOKUP(H2510,ProfessionalRisk!A:I,9,0),0)</f>
        <v>11701</v>
      </c>
      <c r="G2510">
        <f t="shared" ca="1" si="85"/>
        <v>7021</v>
      </c>
      <c r="H2510" t="s">
        <v>855</v>
      </c>
    </row>
    <row r="2511" spans="1:8">
      <c r="A2511" t="str">
        <f t="shared" si="84"/>
        <v>خوزستانانديكا</v>
      </c>
      <c r="B2511" t="s">
        <v>132</v>
      </c>
      <c r="C2511" t="s">
        <v>719</v>
      </c>
      <c r="D2511" t="s">
        <v>477</v>
      </c>
      <c r="E2511">
        <f t="shared" ca="1" si="83"/>
        <v>0.4</v>
      </c>
      <c r="F2511">
        <f>IFERROR(VLOOKUP(H2511,ProfessionalRisk!A:I,9,0),0)</f>
        <v>11701</v>
      </c>
      <c r="G2511">
        <f t="shared" ca="1" si="85"/>
        <v>4680</v>
      </c>
      <c r="H2511" t="s">
        <v>855</v>
      </c>
    </row>
    <row r="2512" spans="1:8">
      <c r="A2512" t="str">
        <f t="shared" si="84"/>
        <v>خوزستانانديكا</v>
      </c>
      <c r="B2512" t="s">
        <v>132</v>
      </c>
      <c r="C2512" t="s">
        <v>719</v>
      </c>
      <c r="D2512" t="s">
        <v>23</v>
      </c>
      <c r="E2512">
        <f t="shared" ca="1" si="83"/>
        <v>1.0851819416204687E-2</v>
      </c>
      <c r="F2512">
        <f>IFERROR(VLOOKUP(H2512,ProfessionalRisk!A:I,9,0),0)</f>
        <v>11701</v>
      </c>
      <c r="G2512">
        <f t="shared" ca="1" si="85"/>
        <v>127</v>
      </c>
      <c r="H2512" t="s">
        <v>855</v>
      </c>
    </row>
    <row r="2513" spans="1:8">
      <c r="A2513" t="str">
        <f t="shared" si="84"/>
        <v>خوزستانهفتگل</v>
      </c>
      <c r="B2513" t="s">
        <v>132</v>
      </c>
      <c r="C2513" t="s">
        <v>155</v>
      </c>
      <c r="D2513" t="s">
        <v>19</v>
      </c>
      <c r="E2513">
        <f t="shared" ca="1" si="83"/>
        <v>0.6</v>
      </c>
      <c r="F2513">
        <f>IFERROR(VLOOKUP(H2513,ProfessionalRisk!A:I,9,0),0)</f>
        <v>115</v>
      </c>
      <c r="G2513">
        <f t="shared" ca="1" si="85"/>
        <v>69</v>
      </c>
      <c r="H2513" t="s">
        <v>737</v>
      </c>
    </row>
    <row r="2514" spans="1:8">
      <c r="A2514" t="str">
        <f t="shared" si="84"/>
        <v>خوزستانهفتگل</v>
      </c>
      <c r="B2514" t="s">
        <v>132</v>
      </c>
      <c r="C2514" t="s">
        <v>155</v>
      </c>
      <c r="D2514" t="s">
        <v>477</v>
      </c>
      <c r="E2514">
        <f t="shared" ca="1" si="83"/>
        <v>0.4</v>
      </c>
      <c r="F2514">
        <f>IFERROR(VLOOKUP(H2514,ProfessionalRisk!A:I,9,0),0)</f>
        <v>115</v>
      </c>
      <c r="G2514">
        <f t="shared" ca="1" si="85"/>
        <v>46</v>
      </c>
      <c r="H2514" t="s">
        <v>737</v>
      </c>
    </row>
    <row r="2515" spans="1:8">
      <c r="A2515" t="str">
        <f t="shared" si="84"/>
        <v>خوزستانهفتگل</v>
      </c>
      <c r="B2515" t="s">
        <v>132</v>
      </c>
      <c r="C2515" t="s">
        <v>155</v>
      </c>
      <c r="D2515" t="s">
        <v>23</v>
      </c>
      <c r="E2515">
        <f t="shared" ca="1" si="83"/>
        <v>1.31439006676323E-2</v>
      </c>
      <c r="F2515">
        <f>IFERROR(VLOOKUP(H2515,ProfessionalRisk!A:I,9,0),0)</f>
        <v>115</v>
      </c>
      <c r="G2515">
        <f t="shared" ca="1" si="85"/>
        <v>2</v>
      </c>
      <c r="H2515" t="s">
        <v>737</v>
      </c>
    </row>
    <row r="2516" spans="1:8">
      <c r="A2516" t="str">
        <f t="shared" si="84"/>
        <v>خوزستانهويزه</v>
      </c>
      <c r="B2516" t="s">
        <v>132</v>
      </c>
      <c r="C2516" t="s">
        <v>156</v>
      </c>
      <c r="D2516" t="s">
        <v>19</v>
      </c>
      <c r="E2516">
        <f t="shared" ca="1" si="83"/>
        <v>0.6</v>
      </c>
      <c r="F2516">
        <f>IFERROR(VLOOKUP(H2516,ProfessionalRisk!A:I,9,0),0)</f>
        <v>164</v>
      </c>
      <c r="G2516">
        <f t="shared" ca="1" si="85"/>
        <v>98</v>
      </c>
      <c r="H2516" t="s">
        <v>709</v>
      </c>
    </row>
    <row r="2517" spans="1:8">
      <c r="A2517" t="str">
        <f t="shared" si="84"/>
        <v>خوزستانهويزه</v>
      </c>
      <c r="B2517" t="s">
        <v>132</v>
      </c>
      <c r="C2517" t="s">
        <v>156</v>
      </c>
      <c r="D2517" t="s">
        <v>477</v>
      </c>
      <c r="E2517">
        <f t="shared" ca="1" si="83"/>
        <v>0.4</v>
      </c>
      <c r="F2517">
        <f>IFERROR(VLOOKUP(H2517,ProfessionalRisk!A:I,9,0),0)</f>
        <v>164</v>
      </c>
      <c r="G2517">
        <f t="shared" ca="1" si="85"/>
        <v>66</v>
      </c>
      <c r="H2517" t="s">
        <v>709</v>
      </c>
    </row>
    <row r="2518" spans="1:8">
      <c r="A2518" t="str">
        <f t="shared" si="84"/>
        <v>خوزستانهويزه</v>
      </c>
      <c r="B2518" t="s">
        <v>132</v>
      </c>
      <c r="C2518" t="s">
        <v>156</v>
      </c>
      <c r="D2518" t="s">
        <v>23</v>
      </c>
      <c r="E2518">
        <f t="shared" ca="1" si="83"/>
        <v>1.7104095273757891E-3</v>
      </c>
      <c r="F2518">
        <f>IFERROR(VLOOKUP(H2518,ProfessionalRisk!A:I,9,0),0)</f>
        <v>164</v>
      </c>
      <c r="G2518">
        <f t="shared" ca="1" si="85"/>
        <v>0</v>
      </c>
      <c r="H2518" t="s">
        <v>709</v>
      </c>
    </row>
    <row r="2519" spans="1:8">
      <c r="A2519" t="str">
        <f t="shared" si="84"/>
        <v>خوزستانباوي</v>
      </c>
      <c r="B2519" t="s">
        <v>132</v>
      </c>
      <c r="C2519" t="s">
        <v>157</v>
      </c>
      <c r="D2519" t="s">
        <v>19</v>
      </c>
      <c r="E2519">
        <f t="shared" ca="1" si="83"/>
        <v>0.6</v>
      </c>
      <c r="F2519">
        <f>IFERROR(VLOOKUP(H2519,ProfessionalRisk!A:I,9,0),0)</f>
        <v>842</v>
      </c>
      <c r="G2519">
        <f t="shared" ca="1" si="85"/>
        <v>505</v>
      </c>
      <c r="H2519" t="s">
        <v>710</v>
      </c>
    </row>
    <row r="2520" spans="1:8">
      <c r="A2520" t="str">
        <f t="shared" si="84"/>
        <v>خوزستانباوي</v>
      </c>
      <c r="B2520" t="s">
        <v>132</v>
      </c>
      <c r="C2520" t="s">
        <v>157</v>
      </c>
      <c r="D2520" t="s">
        <v>477</v>
      </c>
      <c r="E2520">
        <f t="shared" ca="1" si="83"/>
        <v>0.4</v>
      </c>
      <c r="F2520">
        <f>IFERROR(VLOOKUP(H2520,ProfessionalRisk!A:I,9,0),0)</f>
        <v>842</v>
      </c>
      <c r="G2520">
        <f t="shared" ca="1" si="85"/>
        <v>337</v>
      </c>
      <c r="H2520" t="s">
        <v>710</v>
      </c>
    </row>
    <row r="2521" spans="1:8">
      <c r="A2521" t="str">
        <f t="shared" si="84"/>
        <v>خوزستانباوي</v>
      </c>
      <c r="B2521" t="s">
        <v>132</v>
      </c>
      <c r="C2521" t="s">
        <v>157</v>
      </c>
      <c r="D2521" t="s">
        <v>23</v>
      </c>
      <c r="E2521">
        <f t="shared" ca="1" si="83"/>
        <v>1.3051735102509419E-2</v>
      </c>
      <c r="F2521">
        <f>IFERROR(VLOOKUP(H2521,ProfessionalRisk!A:I,9,0),0)</f>
        <v>842</v>
      </c>
      <c r="G2521">
        <f t="shared" ca="1" si="85"/>
        <v>11</v>
      </c>
      <c r="H2521" t="s">
        <v>710</v>
      </c>
    </row>
    <row r="2522" spans="1:8">
      <c r="A2522" t="str">
        <f t="shared" si="84"/>
        <v>خوزستانحميديه</v>
      </c>
      <c r="B2522" t="s">
        <v>132</v>
      </c>
      <c r="C2522" t="s">
        <v>158</v>
      </c>
      <c r="D2522" t="s">
        <v>19</v>
      </c>
      <c r="E2522">
        <f t="shared" ca="1" si="83"/>
        <v>0.6</v>
      </c>
      <c r="F2522">
        <f>IFERROR(VLOOKUP(H2522,ProfessionalRisk!A:I,9,0),0)</f>
        <v>466</v>
      </c>
      <c r="G2522">
        <f t="shared" ca="1" si="85"/>
        <v>280</v>
      </c>
      <c r="H2522" t="s">
        <v>722</v>
      </c>
    </row>
    <row r="2523" spans="1:8">
      <c r="A2523" t="str">
        <f t="shared" si="84"/>
        <v>خوزستانحميديه</v>
      </c>
      <c r="B2523" t="s">
        <v>132</v>
      </c>
      <c r="C2523" t="s">
        <v>158</v>
      </c>
      <c r="D2523" t="s">
        <v>477</v>
      </c>
      <c r="E2523">
        <f t="shared" ca="1" si="83"/>
        <v>0.4</v>
      </c>
      <c r="F2523">
        <f>IFERROR(VLOOKUP(H2523,ProfessionalRisk!A:I,9,0),0)</f>
        <v>466</v>
      </c>
      <c r="G2523">
        <f t="shared" ca="1" si="85"/>
        <v>186</v>
      </c>
      <c r="H2523" t="s">
        <v>722</v>
      </c>
    </row>
    <row r="2524" spans="1:8">
      <c r="A2524" t="str">
        <f t="shared" si="84"/>
        <v>خوزستانحميديه</v>
      </c>
      <c r="B2524" t="s">
        <v>132</v>
      </c>
      <c r="C2524" t="s">
        <v>158</v>
      </c>
      <c r="D2524" t="s">
        <v>23</v>
      </c>
      <c r="E2524">
        <f t="shared" ca="1" si="83"/>
        <v>4.3040198326227321E-3</v>
      </c>
      <c r="F2524">
        <f>IFERROR(VLOOKUP(H2524,ProfessionalRisk!A:I,9,0),0)</f>
        <v>466</v>
      </c>
      <c r="G2524">
        <f t="shared" ca="1" si="85"/>
        <v>2</v>
      </c>
      <c r="H2524" t="s">
        <v>722</v>
      </c>
    </row>
    <row r="2525" spans="1:8">
      <c r="A2525" t="str">
        <f t="shared" si="84"/>
        <v>خوزستانآغاجاري</v>
      </c>
      <c r="B2525" t="s">
        <v>132</v>
      </c>
      <c r="C2525" t="s">
        <v>159</v>
      </c>
      <c r="D2525" t="s">
        <v>19</v>
      </c>
      <c r="E2525">
        <f t="shared" ca="1" si="83"/>
        <v>0.6</v>
      </c>
      <c r="F2525">
        <f>IFERROR(VLOOKUP(H2525,ProfessionalRisk!A:I,9,0),0)</f>
        <v>518</v>
      </c>
      <c r="G2525">
        <f t="shared" ca="1" si="85"/>
        <v>311</v>
      </c>
      <c r="H2525" t="s">
        <v>713</v>
      </c>
    </row>
    <row r="2526" spans="1:8">
      <c r="A2526" t="str">
        <f t="shared" si="84"/>
        <v>خوزستانآغاجاري</v>
      </c>
      <c r="B2526" t="s">
        <v>132</v>
      </c>
      <c r="C2526" t="s">
        <v>159</v>
      </c>
      <c r="D2526" t="s">
        <v>477</v>
      </c>
      <c r="E2526">
        <f t="shared" ca="1" si="83"/>
        <v>0.4</v>
      </c>
      <c r="F2526">
        <f>IFERROR(VLOOKUP(H2526,ProfessionalRisk!A:I,9,0),0)</f>
        <v>518</v>
      </c>
      <c r="G2526">
        <f t="shared" ca="1" si="85"/>
        <v>207</v>
      </c>
      <c r="H2526" t="s">
        <v>713</v>
      </c>
    </row>
    <row r="2527" spans="1:8">
      <c r="A2527" t="str">
        <f t="shared" si="84"/>
        <v>خوزستانآغاجاري</v>
      </c>
      <c r="B2527" t="s">
        <v>132</v>
      </c>
      <c r="C2527" t="s">
        <v>159</v>
      </c>
      <c r="D2527" t="s">
        <v>23</v>
      </c>
      <c r="E2527">
        <f t="shared" ca="1" si="83"/>
        <v>4.6074251156856972E-3</v>
      </c>
      <c r="F2527">
        <f>IFERROR(VLOOKUP(H2527,ProfessionalRisk!A:I,9,0),0)</f>
        <v>518</v>
      </c>
      <c r="G2527">
        <f t="shared" ca="1" si="85"/>
        <v>2</v>
      </c>
      <c r="H2527" t="s">
        <v>713</v>
      </c>
    </row>
    <row r="2528" spans="1:8">
      <c r="A2528" t="str">
        <f t="shared" si="84"/>
        <v>خوزستانكارون</v>
      </c>
      <c r="B2528" t="s">
        <v>132</v>
      </c>
      <c r="C2528" t="s">
        <v>721</v>
      </c>
      <c r="D2528" t="s">
        <v>19</v>
      </c>
      <c r="E2528">
        <f t="shared" ca="1" si="83"/>
        <v>0.6</v>
      </c>
      <c r="F2528">
        <f>IFERROR(VLOOKUP(H2528,ProfessionalRisk!A:I,9,0),0)</f>
        <v>11701</v>
      </c>
      <c r="G2528">
        <f t="shared" ca="1" si="85"/>
        <v>7021</v>
      </c>
      <c r="H2528" t="s">
        <v>855</v>
      </c>
    </row>
    <row r="2529" spans="1:8">
      <c r="A2529" t="str">
        <f t="shared" si="84"/>
        <v>خوزستانكارون</v>
      </c>
      <c r="B2529" t="s">
        <v>132</v>
      </c>
      <c r="C2529" t="s">
        <v>721</v>
      </c>
      <c r="D2529" t="s">
        <v>477</v>
      </c>
      <c r="E2529">
        <f t="shared" ca="1" si="83"/>
        <v>0.4</v>
      </c>
      <c r="F2529">
        <f>IFERROR(VLOOKUP(H2529,ProfessionalRisk!A:I,9,0),0)</f>
        <v>11701</v>
      </c>
      <c r="G2529">
        <f t="shared" ca="1" si="85"/>
        <v>4680</v>
      </c>
      <c r="H2529" t="s">
        <v>855</v>
      </c>
    </row>
    <row r="2530" spans="1:8">
      <c r="A2530" t="str">
        <f t="shared" si="84"/>
        <v>خوزستانكارون</v>
      </c>
      <c r="B2530" t="s">
        <v>132</v>
      </c>
      <c r="C2530" t="s">
        <v>721</v>
      </c>
      <c r="D2530" t="s">
        <v>23</v>
      </c>
      <c r="E2530">
        <f t="shared" ca="1" si="83"/>
        <v>8.5073594724957829E-3</v>
      </c>
      <c r="F2530">
        <f>IFERROR(VLOOKUP(H2530,ProfessionalRisk!A:I,9,0),0)</f>
        <v>11701</v>
      </c>
      <c r="G2530">
        <f t="shared" ca="1" si="85"/>
        <v>100</v>
      </c>
      <c r="H2530" t="s">
        <v>855</v>
      </c>
    </row>
    <row r="2531" spans="1:8">
      <c r="A2531" t="str">
        <f t="shared" si="84"/>
        <v>فارسآباده</v>
      </c>
      <c r="B2531" t="s">
        <v>160</v>
      </c>
      <c r="C2531" t="s">
        <v>162</v>
      </c>
      <c r="D2531" t="s">
        <v>19</v>
      </c>
      <c r="E2531">
        <f t="shared" ref="E2531:E2594" ca="1" si="86">IF(D2531="AP",0.6,IF(D2531="BP",0.4,RAND()*0.02))</f>
        <v>0.6</v>
      </c>
      <c r="F2531">
        <f>IFERROR(VLOOKUP(H2531,ProfessionalRisk!A:I,9,0),0)</f>
        <v>1578</v>
      </c>
      <c r="G2531">
        <f t="shared" ca="1" si="85"/>
        <v>947</v>
      </c>
      <c r="H2531" t="s">
        <v>792</v>
      </c>
    </row>
    <row r="2532" spans="1:8">
      <c r="A2532" t="str">
        <f t="shared" si="84"/>
        <v>فارسآباده</v>
      </c>
      <c r="B2532" t="s">
        <v>160</v>
      </c>
      <c r="C2532" t="s">
        <v>162</v>
      </c>
      <c r="D2532" t="s">
        <v>477</v>
      </c>
      <c r="E2532">
        <f t="shared" ca="1" si="86"/>
        <v>0.4</v>
      </c>
      <c r="F2532">
        <f>IFERROR(VLOOKUP(H2532,ProfessionalRisk!A:I,9,0),0)</f>
        <v>1578</v>
      </c>
      <c r="G2532">
        <f t="shared" ca="1" si="85"/>
        <v>631</v>
      </c>
      <c r="H2532" t="s">
        <v>792</v>
      </c>
    </row>
    <row r="2533" spans="1:8">
      <c r="A2533" t="str">
        <f t="shared" si="84"/>
        <v>فارسآباده</v>
      </c>
      <c r="B2533" t="s">
        <v>160</v>
      </c>
      <c r="C2533" t="s">
        <v>162</v>
      </c>
      <c r="D2533" t="s">
        <v>23</v>
      </c>
      <c r="E2533">
        <f t="shared" ca="1" si="86"/>
        <v>1.5689649864331322E-2</v>
      </c>
      <c r="F2533">
        <f>IFERROR(VLOOKUP(H2533,ProfessionalRisk!A:I,9,0),0)</f>
        <v>1578</v>
      </c>
      <c r="G2533">
        <f t="shared" ca="1" si="85"/>
        <v>25</v>
      </c>
      <c r="H2533" t="s">
        <v>792</v>
      </c>
    </row>
    <row r="2534" spans="1:8">
      <c r="A2534" t="str">
        <f t="shared" si="84"/>
        <v>فارساستهبان</v>
      </c>
      <c r="B2534" t="s">
        <v>160</v>
      </c>
      <c r="C2534" t="s">
        <v>163</v>
      </c>
      <c r="D2534" t="s">
        <v>19</v>
      </c>
      <c r="E2534">
        <f t="shared" ca="1" si="86"/>
        <v>0.6</v>
      </c>
      <c r="F2534">
        <f>IFERROR(VLOOKUP(H2534,ProfessionalRisk!A:I,9,0),0)</f>
        <v>972</v>
      </c>
      <c r="G2534">
        <f t="shared" ca="1" si="85"/>
        <v>583</v>
      </c>
      <c r="H2534" t="s">
        <v>791</v>
      </c>
    </row>
    <row r="2535" spans="1:8">
      <c r="A2535" t="str">
        <f t="shared" si="84"/>
        <v>فارساستهبان</v>
      </c>
      <c r="B2535" t="s">
        <v>160</v>
      </c>
      <c r="C2535" t="s">
        <v>163</v>
      </c>
      <c r="D2535" t="s">
        <v>477</v>
      </c>
      <c r="E2535">
        <f t="shared" ca="1" si="86"/>
        <v>0.4</v>
      </c>
      <c r="F2535">
        <f>IFERROR(VLOOKUP(H2535,ProfessionalRisk!A:I,9,0),0)</f>
        <v>972</v>
      </c>
      <c r="G2535">
        <f t="shared" ca="1" si="85"/>
        <v>389</v>
      </c>
      <c r="H2535" t="s">
        <v>791</v>
      </c>
    </row>
    <row r="2536" spans="1:8">
      <c r="A2536" t="str">
        <f t="shared" si="84"/>
        <v>فارساستهبان</v>
      </c>
      <c r="B2536" t="s">
        <v>160</v>
      </c>
      <c r="C2536" t="s">
        <v>163</v>
      </c>
      <c r="D2536" t="s">
        <v>23</v>
      </c>
      <c r="E2536">
        <f t="shared" ca="1" si="86"/>
        <v>4.542233553573141E-3</v>
      </c>
      <c r="F2536">
        <f>IFERROR(VLOOKUP(H2536,ProfessionalRisk!A:I,9,0),0)</f>
        <v>972</v>
      </c>
      <c r="G2536">
        <f t="shared" ca="1" si="85"/>
        <v>4</v>
      </c>
      <c r="H2536" t="s">
        <v>791</v>
      </c>
    </row>
    <row r="2537" spans="1:8">
      <c r="A2537" t="str">
        <f t="shared" si="84"/>
        <v>فارساقليد</v>
      </c>
      <c r="B2537" t="s">
        <v>160</v>
      </c>
      <c r="C2537" t="s">
        <v>164</v>
      </c>
      <c r="D2537" t="s">
        <v>19</v>
      </c>
      <c r="E2537">
        <f t="shared" ca="1" si="86"/>
        <v>0.6</v>
      </c>
      <c r="F2537">
        <f>IFERROR(VLOOKUP(H2537,ProfessionalRisk!A:I,9,0),0)</f>
        <v>1146</v>
      </c>
      <c r="G2537">
        <f t="shared" ca="1" si="85"/>
        <v>688</v>
      </c>
      <c r="H2537" t="s">
        <v>800</v>
      </c>
    </row>
    <row r="2538" spans="1:8">
      <c r="A2538" t="str">
        <f t="shared" si="84"/>
        <v>فارساقليد</v>
      </c>
      <c r="B2538" t="s">
        <v>160</v>
      </c>
      <c r="C2538" t="s">
        <v>164</v>
      </c>
      <c r="D2538" t="s">
        <v>477</v>
      </c>
      <c r="E2538">
        <f t="shared" ca="1" si="86"/>
        <v>0.4</v>
      </c>
      <c r="F2538">
        <f>IFERROR(VLOOKUP(H2538,ProfessionalRisk!A:I,9,0),0)</f>
        <v>1146</v>
      </c>
      <c r="G2538">
        <f t="shared" ca="1" si="85"/>
        <v>458</v>
      </c>
      <c r="H2538" t="s">
        <v>800</v>
      </c>
    </row>
    <row r="2539" spans="1:8">
      <c r="A2539" t="str">
        <f t="shared" si="84"/>
        <v>فارساقليد</v>
      </c>
      <c r="B2539" t="s">
        <v>160</v>
      </c>
      <c r="C2539" t="s">
        <v>164</v>
      </c>
      <c r="D2539" t="s">
        <v>23</v>
      </c>
      <c r="E2539">
        <f t="shared" ca="1" si="86"/>
        <v>5.8808313760021075E-3</v>
      </c>
      <c r="F2539">
        <f>IFERROR(VLOOKUP(H2539,ProfessionalRisk!A:I,9,0),0)</f>
        <v>1146</v>
      </c>
      <c r="G2539">
        <f t="shared" ca="1" si="85"/>
        <v>7</v>
      </c>
      <c r="H2539" t="s">
        <v>800</v>
      </c>
    </row>
    <row r="2540" spans="1:8">
      <c r="A2540" t="str">
        <f t="shared" si="84"/>
        <v>فارسجهرم</v>
      </c>
      <c r="B2540" t="s">
        <v>160</v>
      </c>
      <c r="C2540" t="s">
        <v>165</v>
      </c>
      <c r="D2540" t="s">
        <v>19</v>
      </c>
      <c r="E2540">
        <f t="shared" ca="1" si="86"/>
        <v>0.6</v>
      </c>
      <c r="F2540">
        <f>IFERROR(VLOOKUP(H2540,ProfessionalRisk!A:I,9,0),0)</f>
        <v>4174</v>
      </c>
      <c r="G2540">
        <f t="shared" ca="1" si="85"/>
        <v>2504</v>
      </c>
      <c r="H2540" t="s">
        <v>785</v>
      </c>
    </row>
    <row r="2541" spans="1:8">
      <c r="A2541" t="str">
        <f t="shared" si="84"/>
        <v>فارسجهرم</v>
      </c>
      <c r="B2541" t="s">
        <v>160</v>
      </c>
      <c r="C2541" t="s">
        <v>165</v>
      </c>
      <c r="D2541" t="s">
        <v>477</v>
      </c>
      <c r="E2541">
        <f t="shared" ca="1" si="86"/>
        <v>0.4</v>
      </c>
      <c r="F2541">
        <f>IFERROR(VLOOKUP(H2541,ProfessionalRisk!A:I,9,0),0)</f>
        <v>4174</v>
      </c>
      <c r="G2541">
        <f t="shared" ca="1" si="85"/>
        <v>1670</v>
      </c>
      <c r="H2541" t="s">
        <v>785</v>
      </c>
    </row>
    <row r="2542" spans="1:8">
      <c r="A2542" t="str">
        <f t="shared" si="84"/>
        <v>فارسجهرم</v>
      </c>
      <c r="B2542" t="s">
        <v>160</v>
      </c>
      <c r="C2542" t="s">
        <v>165</v>
      </c>
      <c r="D2542" t="s">
        <v>23</v>
      </c>
      <c r="E2542">
        <f t="shared" ca="1" si="86"/>
        <v>1.9982542876446595E-2</v>
      </c>
      <c r="F2542">
        <f>IFERROR(VLOOKUP(H2542,ProfessionalRisk!A:I,9,0),0)</f>
        <v>4174</v>
      </c>
      <c r="G2542">
        <f t="shared" ca="1" si="85"/>
        <v>83</v>
      </c>
      <c r="H2542" t="s">
        <v>785</v>
      </c>
    </row>
    <row r="2543" spans="1:8">
      <c r="A2543" t="str">
        <f t="shared" si="84"/>
        <v>فارسداراب</v>
      </c>
      <c r="B2543" t="s">
        <v>160</v>
      </c>
      <c r="C2543" t="s">
        <v>166</v>
      </c>
      <c r="D2543" t="s">
        <v>19</v>
      </c>
      <c r="E2543">
        <f t="shared" ca="1" si="86"/>
        <v>0.6</v>
      </c>
      <c r="F2543">
        <f>IFERROR(VLOOKUP(H2543,ProfessionalRisk!A:I,9,0),0)</f>
        <v>1943</v>
      </c>
      <c r="G2543">
        <f t="shared" ca="1" si="85"/>
        <v>1166</v>
      </c>
      <c r="H2543" t="s">
        <v>793</v>
      </c>
    </row>
    <row r="2544" spans="1:8">
      <c r="A2544" t="str">
        <f t="shared" si="84"/>
        <v>فارسداراب</v>
      </c>
      <c r="B2544" t="s">
        <v>160</v>
      </c>
      <c r="C2544" t="s">
        <v>166</v>
      </c>
      <c r="D2544" t="s">
        <v>477</v>
      </c>
      <c r="E2544">
        <f t="shared" ca="1" si="86"/>
        <v>0.4</v>
      </c>
      <c r="F2544">
        <f>IFERROR(VLOOKUP(H2544,ProfessionalRisk!A:I,9,0),0)</f>
        <v>1943</v>
      </c>
      <c r="G2544">
        <f t="shared" ca="1" si="85"/>
        <v>777</v>
      </c>
      <c r="H2544" t="s">
        <v>793</v>
      </c>
    </row>
    <row r="2545" spans="1:8">
      <c r="A2545" t="str">
        <f t="shared" si="84"/>
        <v>فارسداراب</v>
      </c>
      <c r="B2545" t="s">
        <v>160</v>
      </c>
      <c r="C2545" t="s">
        <v>166</v>
      </c>
      <c r="D2545" t="s">
        <v>23</v>
      </c>
      <c r="E2545">
        <f t="shared" ca="1" si="86"/>
        <v>1.6742858410580749E-2</v>
      </c>
      <c r="F2545">
        <f>IFERROR(VLOOKUP(H2545,ProfessionalRisk!A:I,9,0),0)</f>
        <v>1943</v>
      </c>
      <c r="G2545">
        <f t="shared" ca="1" si="85"/>
        <v>33</v>
      </c>
      <c r="H2545" t="s">
        <v>793</v>
      </c>
    </row>
    <row r="2546" spans="1:8">
      <c r="A2546" t="str">
        <f t="shared" si="84"/>
        <v>فارسسپيدان</v>
      </c>
      <c r="B2546" t="s">
        <v>160</v>
      </c>
      <c r="C2546" t="s">
        <v>167</v>
      </c>
      <c r="D2546" t="s">
        <v>19</v>
      </c>
      <c r="E2546">
        <f t="shared" ca="1" si="86"/>
        <v>0.6</v>
      </c>
      <c r="F2546">
        <f>IFERROR(VLOOKUP(H2546,ProfessionalRisk!A:I,9,0),0)</f>
        <v>1126</v>
      </c>
      <c r="G2546">
        <f t="shared" ca="1" si="85"/>
        <v>676</v>
      </c>
      <c r="H2546" t="s">
        <v>799</v>
      </c>
    </row>
    <row r="2547" spans="1:8">
      <c r="A2547" t="str">
        <f t="shared" si="84"/>
        <v>فارسسپيدان</v>
      </c>
      <c r="B2547" t="s">
        <v>160</v>
      </c>
      <c r="C2547" t="s">
        <v>167</v>
      </c>
      <c r="D2547" t="s">
        <v>477</v>
      </c>
      <c r="E2547">
        <f t="shared" ca="1" si="86"/>
        <v>0.4</v>
      </c>
      <c r="F2547">
        <f>IFERROR(VLOOKUP(H2547,ProfessionalRisk!A:I,9,0),0)</f>
        <v>1126</v>
      </c>
      <c r="G2547">
        <f t="shared" ca="1" si="85"/>
        <v>450</v>
      </c>
      <c r="H2547" t="s">
        <v>799</v>
      </c>
    </row>
    <row r="2548" spans="1:8">
      <c r="A2548" t="str">
        <f t="shared" si="84"/>
        <v>فارسسپيدان</v>
      </c>
      <c r="B2548" t="s">
        <v>160</v>
      </c>
      <c r="C2548" t="s">
        <v>167</v>
      </c>
      <c r="D2548" t="s">
        <v>23</v>
      </c>
      <c r="E2548">
        <f t="shared" ca="1" si="86"/>
        <v>9.0061429748140177E-3</v>
      </c>
      <c r="F2548">
        <f>IFERROR(VLOOKUP(H2548,ProfessionalRisk!A:I,9,0),0)</f>
        <v>1126</v>
      </c>
      <c r="G2548">
        <f t="shared" ca="1" si="85"/>
        <v>10</v>
      </c>
      <c r="H2548" t="s">
        <v>799</v>
      </c>
    </row>
    <row r="2549" spans="1:8">
      <c r="A2549" t="str">
        <f t="shared" si="84"/>
        <v>فارسشيراز</v>
      </c>
      <c r="B2549" t="s">
        <v>160</v>
      </c>
      <c r="C2549" t="s">
        <v>168</v>
      </c>
      <c r="D2549" t="s">
        <v>19</v>
      </c>
      <c r="E2549">
        <f t="shared" ca="1" si="86"/>
        <v>0.6</v>
      </c>
      <c r="F2549">
        <f>IFERROR(VLOOKUP(H2549,ProfessionalRisk!A:I,9,0),0)</f>
        <v>53026</v>
      </c>
      <c r="G2549">
        <f t="shared" ca="1" si="85"/>
        <v>31816</v>
      </c>
      <c r="H2549" t="s">
        <v>789</v>
      </c>
    </row>
    <row r="2550" spans="1:8">
      <c r="A2550" t="str">
        <f t="shared" si="84"/>
        <v>فارسشيراز</v>
      </c>
      <c r="B2550" t="s">
        <v>160</v>
      </c>
      <c r="C2550" t="s">
        <v>168</v>
      </c>
      <c r="D2550" t="s">
        <v>477</v>
      </c>
      <c r="E2550">
        <f t="shared" ca="1" si="86"/>
        <v>0.4</v>
      </c>
      <c r="F2550">
        <f>IFERROR(VLOOKUP(H2550,ProfessionalRisk!A:I,9,0),0)</f>
        <v>53026</v>
      </c>
      <c r="G2550">
        <f t="shared" ca="1" si="85"/>
        <v>21210</v>
      </c>
      <c r="H2550" t="s">
        <v>789</v>
      </c>
    </row>
    <row r="2551" spans="1:8">
      <c r="A2551" t="str">
        <f t="shared" si="84"/>
        <v>فارسشيراز</v>
      </c>
      <c r="B2551" t="s">
        <v>160</v>
      </c>
      <c r="C2551" t="s">
        <v>168</v>
      </c>
      <c r="D2551" t="s">
        <v>23</v>
      </c>
      <c r="E2551">
        <f t="shared" ca="1" si="86"/>
        <v>7.3398295066361202E-3</v>
      </c>
      <c r="F2551">
        <f>IFERROR(VLOOKUP(H2551,ProfessionalRisk!A:I,9,0),0)</f>
        <v>53026</v>
      </c>
      <c r="G2551">
        <f t="shared" ca="1" si="85"/>
        <v>389</v>
      </c>
      <c r="H2551" t="s">
        <v>789</v>
      </c>
    </row>
    <row r="2552" spans="1:8">
      <c r="A2552" t="str">
        <f t="shared" si="84"/>
        <v>فارسفسا</v>
      </c>
      <c r="B2552" t="s">
        <v>160</v>
      </c>
      <c r="C2552" t="s">
        <v>169</v>
      </c>
      <c r="D2552" t="s">
        <v>19</v>
      </c>
      <c r="E2552">
        <f t="shared" ca="1" si="86"/>
        <v>0.6</v>
      </c>
      <c r="F2552">
        <f>IFERROR(VLOOKUP(H2552,ProfessionalRisk!A:I,9,0),0)</f>
        <v>4282</v>
      </c>
      <c r="G2552">
        <f t="shared" ca="1" si="85"/>
        <v>2569</v>
      </c>
      <c r="H2552" t="s">
        <v>801</v>
      </c>
    </row>
    <row r="2553" spans="1:8">
      <c r="A2553" t="str">
        <f t="shared" si="84"/>
        <v>فارسفسا</v>
      </c>
      <c r="B2553" t="s">
        <v>160</v>
      </c>
      <c r="C2553" t="s">
        <v>169</v>
      </c>
      <c r="D2553" t="s">
        <v>477</v>
      </c>
      <c r="E2553">
        <f t="shared" ca="1" si="86"/>
        <v>0.4</v>
      </c>
      <c r="F2553">
        <f>IFERROR(VLOOKUP(H2553,ProfessionalRisk!A:I,9,0),0)</f>
        <v>4282</v>
      </c>
      <c r="G2553">
        <f t="shared" ca="1" si="85"/>
        <v>1713</v>
      </c>
      <c r="H2553" t="s">
        <v>801</v>
      </c>
    </row>
    <row r="2554" spans="1:8">
      <c r="A2554" t="str">
        <f t="shared" si="84"/>
        <v>فارسفسا</v>
      </c>
      <c r="B2554" t="s">
        <v>160</v>
      </c>
      <c r="C2554" t="s">
        <v>169</v>
      </c>
      <c r="D2554" t="s">
        <v>23</v>
      </c>
      <c r="E2554">
        <f t="shared" ca="1" si="86"/>
        <v>1.9891506543314279E-2</v>
      </c>
      <c r="F2554">
        <f>IFERROR(VLOOKUP(H2554,ProfessionalRisk!A:I,9,0),0)</f>
        <v>4282</v>
      </c>
      <c r="G2554">
        <f t="shared" ca="1" si="85"/>
        <v>85</v>
      </c>
      <c r="H2554" t="s">
        <v>801</v>
      </c>
    </row>
    <row r="2555" spans="1:8">
      <c r="A2555" t="str">
        <f t="shared" si="84"/>
        <v>فارسفيروزآباد</v>
      </c>
      <c r="B2555" t="s">
        <v>160</v>
      </c>
      <c r="C2555" t="s">
        <v>170</v>
      </c>
      <c r="D2555" t="s">
        <v>19</v>
      </c>
      <c r="E2555">
        <f t="shared" ca="1" si="86"/>
        <v>0.6</v>
      </c>
      <c r="F2555">
        <f>IFERROR(VLOOKUP(H2555,ProfessionalRisk!A:I,9,0),0)</f>
        <v>1400</v>
      </c>
      <c r="G2555">
        <f t="shared" ca="1" si="85"/>
        <v>840</v>
      </c>
      <c r="H2555" t="s">
        <v>795</v>
      </c>
    </row>
    <row r="2556" spans="1:8">
      <c r="A2556" t="str">
        <f t="shared" si="84"/>
        <v>فارسفيروزآباد</v>
      </c>
      <c r="B2556" t="s">
        <v>160</v>
      </c>
      <c r="C2556" t="s">
        <v>170</v>
      </c>
      <c r="D2556" t="s">
        <v>477</v>
      </c>
      <c r="E2556">
        <f t="shared" ca="1" si="86"/>
        <v>0.4</v>
      </c>
      <c r="F2556">
        <f>IFERROR(VLOOKUP(H2556,ProfessionalRisk!A:I,9,0),0)</f>
        <v>1400</v>
      </c>
      <c r="G2556">
        <f t="shared" ca="1" si="85"/>
        <v>560</v>
      </c>
      <c r="H2556" t="s">
        <v>795</v>
      </c>
    </row>
    <row r="2557" spans="1:8">
      <c r="A2557" t="str">
        <f t="shared" si="84"/>
        <v>فارسفيروزآباد</v>
      </c>
      <c r="B2557" t="s">
        <v>160</v>
      </c>
      <c r="C2557" t="s">
        <v>170</v>
      </c>
      <c r="D2557" t="s">
        <v>23</v>
      </c>
      <c r="E2557">
        <f t="shared" ca="1" si="86"/>
        <v>3.6257386452055828E-3</v>
      </c>
      <c r="F2557">
        <f>IFERROR(VLOOKUP(H2557,ProfessionalRisk!A:I,9,0),0)</f>
        <v>1400</v>
      </c>
      <c r="G2557">
        <f t="shared" ca="1" si="85"/>
        <v>5</v>
      </c>
      <c r="H2557" t="s">
        <v>795</v>
      </c>
    </row>
    <row r="2558" spans="1:8">
      <c r="A2558" t="str">
        <f t="shared" si="84"/>
        <v>فارسكازرون</v>
      </c>
      <c r="B2558" t="s">
        <v>160</v>
      </c>
      <c r="C2558" t="s">
        <v>171</v>
      </c>
      <c r="D2558" t="s">
        <v>19</v>
      </c>
      <c r="E2558">
        <f t="shared" ca="1" si="86"/>
        <v>0.6</v>
      </c>
      <c r="F2558">
        <f>IFERROR(VLOOKUP(H2558,ProfessionalRisk!A:I,9,0),0)</f>
        <v>2652</v>
      </c>
      <c r="G2558">
        <f t="shared" ca="1" si="85"/>
        <v>1591</v>
      </c>
      <c r="H2558" t="s">
        <v>797</v>
      </c>
    </row>
    <row r="2559" spans="1:8">
      <c r="A2559" t="str">
        <f t="shared" si="84"/>
        <v>فارسكازرون</v>
      </c>
      <c r="B2559" t="s">
        <v>160</v>
      </c>
      <c r="C2559" t="s">
        <v>171</v>
      </c>
      <c r="D2559" t="s">
        <v>477</v>
      </c>
      <c r="E2559">
        <f t="shared" ca="1" si="86"/>
        <v>0.4</v>
      </c>
      <c r="F2559">
        <f>IFERROR(VLOOKUP(H2559,ProfessionalRisk!A:I,9,0),0)</f>
        <v>2652</v>
      </c>
      <c r="G2559">
        <f t="shared" ca="1" si="85"/>
        <v>1061</v>
      </c>
      <c r="H2559" t="s">
        <v>797</v>
      </c>
    </row>
    <row r="2560" spans="1:8">
      <c r="A2560" t="str">
        <f t="shared" si="84"/>
        <v>فارسكازرون</v>
      </c>
      <c r="B2560" t="s">
        <v>160</v>
      </c>
      <c r="C2560" t="s">
        <v>171</v>
      </c>
      <c r="D2560" t="s">
        <v>23</v>
      </c>
      <c r="E2560">
        <f t="shared" ca="1" si="86"/>
        <v>1.8860661246759652E-2</v>
      </c>
      <c r="F2560">
        <f>IFERROR(VLOOKUP(H2560,ProfessionalRisk!A:I,9,0),0)</f>
        <v>2652</v>
      </c>
      <c r="G2560">
        <f t="shared" ca="1" si="85"/>
        <v>50</v>
      </c>
      <c r="H2560" t="s">
        <v>797</v>
      </c>
    </row>
    <row r="2561" spans="1:8">
      <c r="A2561" t="str">
        <f t="shared" si="84"/>
        <v>فارسلارستان</v>
      </c>
      <c r="B2561" t="s">
        <v>160</v>
      </c>
      <c r="C2561" t="s">
        <v>172</v>
      </c>
      <c r="D2561" t="s">
        <v>19</v>
      </c>
      <c r="E2561">
        <f t="shared" ca="1" si="86"/>
        <v>0.6</v>
      </c>
      <c r="F2561">
        <f>IFERROR(VLOOKUP(H2561,ProfessionalRisk!A:I,9,0),0)</f>
        <v>1206</v>
      </c>
      <c r="G2561">
        <f t="shared" ca="1" si="85"/>
        <v>724</v>
      </c>
      <c r="H2561" t="s">
        <v>804</v>
      </c>
    </row>
    <row r="2562" spans="1:8">
      <c r="A2562" t="str">
        <f t="shared" ref="A2562:A2625" si="87">B2562&amp;C2562</f>
        <v>فارسلارستان</v>
      </c>
      <c r="B2562" t="s">
        <v>160</v>
      </c>
      <c r="C2562" t="s">
        <v>172</v>
      </c>
      <c r="D2562" t="s">
        <v>477</v>
      </c>
      <c r="E2562">
        <f t="shared" ca="1" si="86"/>
        <v>0.4</v>
      </c>
      <c r="F2562">
        <f>IFERROR(VLOOKUP(H2562,ProfessionalRisk!A:I,9,0),0)</f>
        <v>1206</v>
      </c>
      <c r="G2562">
        <f t="shared" ca="1" si="85"/>
        <v>482</v>
      </c>
      <c r="H2562" t="s">
        <v>804</v>
      </c>
    </row>
    <row r="2563" spans="1:8">
      <c r="A2563" t="str">
        <f t="shared" si="87"/>
        <v>فارسلارستان</v>
      </c>
      <c r="B2563" t="s">
        <v>160</v>
      </c>
      <c r="C2563" t="s">
        <v>172</v>
      </c>
      <c r="D2563" t="s">
        <v>23</v>
      </c>
      <c r="E2563">
        <f t="shared" ca="1" si="86"/>
        <v>1.0506063029953072E-3</v>
      </c>
      <c r="F2563">
        <f>IFERROR(VLOOKUP(H2563,ProfessionalRisk!A:I,9,0),0)</f>
        <v>1206</v>
      </c>
      <c r="G2563">
        <f t="shared" ref="G2563:G2626" ca="1" si="88">IFERROR(ROUND(F2563*E2563,0),0)</f>
        <v>1</v>
      </c>
      <c r="H2563" t="s">
        <v>804</v>
      </c>
    </row>
    <row r="2564" spans="1:8">
      <c r="A2564" t="str">
        <f t="shared" si="87"/>
        <v>فارسمرودشت</v>
      </c>
      <c r="B2564" t="s">
        <v>160</v>
      </c>
      <c r="C2564" t="s">
        <v>173</v>
      </c>
      <c r="D2564" t="s">
        <v>19</v>
      </c>
      <c r="E2564">
        <f t="shared" ca="1" si="86"/>
        <v>0.6</v>
      </c>
      <c r="F2564">
        <f>IFERROR(VLOOKUP(H2564,ProfessionalRisk!A:I,9,0),0)</f>
        <v>3020</v>
      </c>
      <c r="G2564">
        <f t="shared" ca="1" si="88"/>
        <v>1812</v>
      </c>
      <c r="H2564" t="s">
        <v>782</v>
      </c>
    </row>
    <row r="2565" spans="1:8">
      <c r="A2565" t="str">
        <f t="shared" si="87"/>
        <v>فارسمرودشت</v>
      </c>
      <c r="B2565" t="s">
        <v>160</v>
      </c>
      <c r="C2565" t="s">
        <v>173</v>
      </c>
      <c r="D2565" t="s">
        <v>477</v>
      </c>
      <c r="E2565">
        <f t="shared" ca="1" si="86"/>
        <v>0.4</v>
      </c>
      <c r="F2565">
        <f>IFERROR(VLOOKUP(H2565,ProfessionalRisk!A:I,9,0),0)</f>
        <v>3020</v>
      </c>
      <c r="G2565">
        <f t="shared" ca="1" si="88"/>
        <v>1208</v>
      </c>
      <c r="H2565" t="s">
        <v>782</v>
      </c>
    </row>
    <row r="2566" spans="1:8">
      <c r="A2566" t="str">
        <f t="shared" si="87"/>
        <v>فارسمرودشت</v>
      </c>
      <c r="B2566" t="s">
        <v>160</v>
      </c>
      <c r="C2566" t="s">
        <v>173</v>
      </c>
      <c r="D2566" t="s">
        <v>23</v>
      </c>
      <c r="E2566">
        <f t="shared" ca="1" si="86"/>
        <v>1.315273161971567E-2</v>
      </c>
      <c r="F2566">
        <f>IFERROR(VLOOKUP(H2566,ProfessionalRisk!A:I,9,0),0)</f>
        <v>3020</v>
      </c>
      <c r="G2566">
        <f t="shared" ca="1" si="88"/>
        <v>40</v>
      </c>
      <c r="H2566" t="s">
        <v>782</v>
      </c>
    </row>
    <row r="2567" spans="1:8">
      <c r="A2567" t="str">
        <f t="shared" si="87"/>
        <v>فارسممسني</v>
      </c>
      <c r="B2567" t="s">
        <v>160</v>
      </c>
      <c r="C2567" t="s">
        <v>174</v>
      </c>
      <c r="D2567" t="s">
        <v>19</v>
      </c>
      <c r="E2567">
        <f t="shared" ca="1" si="86"/>
        <v>0.6</v>
      </c>
      <c r="F2567">
        <f>IFERROR(VLOOKUP(H2567,ProfessionalRisk!A:I,9,0),0)</f>
        <v>1679</v>
      </c>
      <c r="G2567">
        <f t="shared" ca="1" si="88"/>
        <v>1007</v>
      </c>
      <c r="H2567" t="s">
        <v>779</v>
      </c>
    </row>
    <row r="2568" spans="1:8">
      <c r="A2568" t="str">
        <f t="shared" si="87"/>
        <v>فارسممسني</v>
      </c>
      <c r="B2568" t="s">
        <v>160</v>
      </c>
      <c r="C2568" t="s">
        <v>174</v>
      </c>
      <c r="D2568" t="s">
        <v>477</v>
      </c>
      <c r="E2568">
        <f t="shared" ca="1" si="86"/>
        <v>0.4</v>
      </c>
      <c r="F2568">
        <f>IFERROR(VLOOKUP(H2568,ProfessionalRisk!A:I,9,0),0)</f>
        <v>1679</v>
      </c>
      <c r="G2568">
        <f t="shared" ca="1" si="88"/>
        <v>672</v>
      </c>
      <c r="H2568" t="s">
        <v>779</v>
      </c>
    </row>
    <row r="2569" spans="1:8">
      <c r="A2569" t="str">
        <f t="shared" si="87"/>
        <v>فارسممسني</v>
      </c>
      <c r="B2569" t="s">
        <v>160</v>
      </c>
      <c r="C2569" t="s">
        <v>174</v>
      </c>
      <c r="D2569" t="s">
        <v>23</v>
      </c>
      <c r="E2569">
        <f t="shared" ca="1" si="86"/>
        <v>1.8351168065866511E-2</v>
      </c>
      <c r="F2569">
        <f>IFERROR(VLOOKUP(H2569,ProfessionalRisk!A:I,9,0),0)</f>
        <v>1679</v>
      </c>
      <c r="G2569">
        <f t="shared" ca="1" si="88"/>
        <v>31</v>
      </c>
      <c r="H2569" t="s">
        <v>779</v>
      </c>
    </row>
    <row r="2570" spans="1:8">
      <c r="A2570" t="str">
        <f t="shared" si="87"/>
        <v>فارسني ريز</v>
      </c>
      <c r="B2570" t="s">
        <v>160</v>
      </c>
      <c r="C2570" t="s">
        <v>175</v>
      </c>
      <c r="D2570" t="s">
        <v>19</v>
      </c>
      <c r="E2570">
        <f t="shared" ca="1" si="86"/>
        <v>0.6</v>
      </c>
      <c r="F2570">
        <f>IFERROR(VLOOKUP(H2570,ProfessionalRisk!A:I,9,0),0)</f>
        <v>600</v>
      </c>
      <c r="G2570">
        <f t="shared" ca="1" si="88"/>
        <v>360</v>
      </c>
      <c r="H2570" t="s">
        <v>794</v>
      </c>
    </row>
    <row r="2571" spans="1:8">
      <c r="A2571" t="str">
        <f t="shared" si="87"/>
        <v>فارسني ريز</v>
      </c>
      <c r="B2571" t="s">
        <v>160</v>
      </c>
      <c r="C2571" t="s">
        <v>175</v>
      </c>
      <c r="D2571" t="s">
        <v>477</v>
      </c>
      <c r="E2571">
        <f t="shared" ca="1" si="86"/>
        <v>0.4</v>
      </c>
      <c r="F2571">
        <f>IFERROR(VLOOKUP(H2571,ProfessionalRisk!A:I,9,0),0)</f>
        <v>600</v>
      </c>
      <c r="G2571">
        <f t="shared" ca="1" si="88"/>
        <v>240</v>
      </c>
      <c r="H2571" t="s">
        <v>794</v>
      </c>
    </row>
    <row r="2572" spans="1:8">
      <c r="A2572" t="str">
        <f t="shared" si="87"/>
        <v>فارسني ريز</v>
      </c>
      <c r="B2572" t="s">
        <v>160</v>
      </c>
      <c r="C2572" t="s">
        <v>175</v>
      </c>
      <c r="D2572" t="s">
        <v>23</v>
      </c>
      <c r="E2572">
        <f t="shared" ca="1" si="86"/>
        <v>1.491301514032219E-2</v>
      </c>
      <c r="F2572">
        <f>IFERROR(VLOOKUP(H2572,ProfessionalRisk!A:I,9,0),0)</f>
        <v>600</v>
      </c>
      <c r="G2572">
        <f t="shared" ca="1" si="88"/>
        <v>9</v>
      </c>
      <c r="H2572" t="s">
        <v>794</v>
      </c>
    </row>
    <row r="2573" spans="1:8">
      <c r="A2573" t="str">
        <f t="shared" si="87"/>
        <v>فارسلامرد</v>
      </c>
      <c r="B2573" t="s">
        <v>160</v>
      </c>
      <c r="C2573" t="s">
        <v>176</v>
      </c>
      <c r="D2573" t="s">
        <v>19</v>
      </c>
      <c r="E2573">
        <f t="shared" ca="1" si="86"/>
        <v>0.6</v>
      </c>
      <c r="F2573">
        <f>IFERROR(VLOOKUP(H2573,ProfessionalRisk!A:I,9,0),0)</f>
        <v>1899</v>
      </c>
      <c r="G2573">
        <f t="shared" ca="1" si="88"/>
        <v>1139</v>
      </c>
      <c r="H2573" t="s">
        <v>805</v>
      </c>
    </row>
    <row r="2574" spans="1:8">
      <c r="A2574" t="str">
        <f t="shared" si="87"/>
        <v>فارسلامرد</v>
      </c>
      <c r="B2574" t="s">
        <v>160</v>
      </c>
      <c r="C2574" t="s">
        <v>176</v>
      </c>
      <c r="D2574" t="s">
        <v>477</v>
      </c>
      <c r="E2574">
        <f t="shared" ca="1" si="86"/>
        <v>0.4</v>
      </c>
      <c r="F2574">
        <f>IFERROR(VLOOKUP(H2574,ProfessionalRisk!A:I,9,0),0)</f>
        <v>1899</v>
      </c>
      <c r="G2574">
        <f t="shared" ca="1" si="88"/>
        <v>760</v>
      </c>
      <c r="H2574" t="s">
        <v>805</v>
      </c>
    </row>
    <row r="2575" spans="1:8">
      <c r="A2575" t="str">
        <f t="shared" si="87"/>
        <v>فارسلامرد</v>
      </c>
      <c r="B2575" t="s">
        <v>160</v>
      </c>
      <c r="C2575" t="s">
        <v>176</v>
      </c>
      <c r="D2575" t="s">
        <v>23</v>
      </c>
      <c r="E2575">
        <f t="shared" ca="1" si="86"/>
        <v>3.1982840468862727E-3</v>
      </c>
      <c r="F2575">
        <f>IFERROR(VLOOKUP(H2575,ProfessionalRisk!A:I,9,0),0)</f>
        <v>1899</v>
      </c>
      <c r="G2575">
        <f t="shared" ca="1" si="88"/>
        <v>6</v>
      </c>
      <c r="H2575" t="s">
        <v>805</v>
      </c>
    </row>
    <row r="2576" spans="1:8">
      <c r="A2576" t="str">
        <f t="shared" si="87"/>
        <v>فارسبوانات</v>
      </c>
      <c r="B2576" t="s">
        <v>160</v>
      </c>
      <c r="C2576" t="s">
        <v>177</v>
      </c>
      <c r="D2576" t="s">
        <v>19</v>
      </c>
      <c r="E2576">
        <f t="shared" ca="1" si="86"/>
        <v>0.6</v>
      </c>
      <c r="F2576">
        <f>IFERROR(VLOOKUP(H2576,ProfessionalRisk!A:I,9,0),0)</f>
        <v>851</v>
      </c>
      <c r="G2576">
        <f t="shared" ca="1" si="88"/>
        <v>511</v>
      </c>
      <c r="H2576" t="s">
        <v>790</v>
      </c>
    </row>
    <row r="2577" spans="1:8">
      <c r="A2577" t="str">
        <f t="shared" si="87"/>
        <v>فارسبوانات</v>
      </c>
      <c r="B2577" t="s">
        <v>160</v>
      </c>
      <c r="C2577" t="s">
        <v>177</v>
      </c>
      <c r="D2577" t="s">
        <v>477</v>
      </c>
      <c r="E2577">
        <f t="shared" ca="1" si="86"/>
        <v>0.4</v>
      </c>
      <c r="F2577">
        <f>IFERROR(VLOOKUP(H2577,ProfessionalRisk!A:I,9,0),0)</f>
        <v>851</v>
      </c>
      <c r="G2577">
        <f t="shared" ca="1" si="88"/>
        <v>340</v>
      </c>
      <c r="H2577" t="s">
        <v>790</v>
      </c>
    </row>
    <row r="2578" spans="1:8">
      <c r="A2578" t="str">
        <f t="shared" si="87"/>
        <v>فارسبوانات</v>
      </c>
      <c r="B2578" t="s">
        <v>160</v>
      </c>
      <c r="C2578" t="s">
        <v>177</v>
      </c>
      <c r="D2578" t="s">
        <v>23</v>
      </c>
      <c r="E2578">
        <f t="shared" ca="1" si="86"/>
        <v>1.4870458196245273E-2</v>
      </c>
      <c r="F2578">
        <f>IFERROR(VLOOKUP(H2578,ProfessionalRisk!A:I,9,0),0)</f>
        <v>851</v>
      </c>
      <c r="G2578">
        <f t="shared" ca="1" si="88"/>
        <v>13</v>
      </c>
      <c r="H2578" t="s">
        <v>790</v>
      </c>
    </row>
    <row r="2579" spans="1:8">
      <c r="A2579" t="str">
        <f t="shared" si="87"/>
        <v>فارسارسنجان</v>
      </c>
      <c r="B2579" t="s">
        <v>160</v>
      </c>
      <c r="C2579" t="s">
        <v>178</v>
      </c>
      <c r="D2579" t="s">
        <v>19</v>
      </c>
      <c r="E2579">
        <f t="shared" ca="1" si="86"/>
        <v>0.6</v>
      </c>
      <c r="F2579">
        <f>IFERROR(VLOOKUP(H2579,ProfessionalRisk!A:I,9,0),0)</f>
        <v>698</v>
      </c>
      <c r="G2579">
        <f t="shared" ca="1" si="88"/>
        <v>419</v>
      </c>
      <c r="H2579" t="s">
        <v>802</v>
      </c>
    </row>
    <row r="2580" spans="1:8">
      <c r="A2580" t="str">
        <f t="shared" si="87"/>
        <v>فارسارسنجان</v>
      </c>
      <c r="B2580" t="s">
        <v>160</v>
      </c>
      <c r="C2580" t="s">
        <v>178</v>
      </c>
      <c r="D2580" t="s">
        <v>477</v>
      </c>
      <c r="E2580">
        <f t="shared" ca="1" si="86"/>
        <v>0.4</v>
      </c>
      <c r="F2580">
        <f>IFERROR(VLOOKUP(H2580,ProfessionalRisk!A:I,9,0),0)</f>
        <v>698</v>
      </c>
      <c r="G2580">
        <f t="shared" ca="1" si="88"/>
        <v>279</v>
      </c>
      <c r="H2580" t="s">
        <v>802</v>
      </c>
    </row>
    <row r="2581" spans="1:8">
      <c r="A2581" t="str">
        <f t="shared" si="87"/>
        <v>فارسارسنجان</v>
      </c>
      <c r="B2581" t="s">
        <v>160</v>
      </c>
      <c r="C2581" t="s">
        <v>178</v>
      </c>
      <c r="D2581" t="s">
        <v>23</v>
      </c>
      <c r="E2581">
        <f t="shared" ca="1" si="86"/>
        <v>1.971158133720706E-2</v>
      </c>
      <c r="F2581">
        <f>IFERROR(VLOOKUP(H2581,ProfessionalRisk!A:I,9,0),0)</f>
        <v>698</v>
      </c>
      <c r="G2581">
        <f t="shared" ca="1" si="88"/>
        <v>14</v>
      </c>
      <c r="H2581" t="s">
        <v>802</v>
      </c>
    </row>
    <row r="2582" spans="1:8">
      <c r="A2582" t="str">
        <f t="shared" si="87"/>
        <v>فارسخرم بيد</v>
      </c>
      <c r="B2582" t="s">
        <v>160</v>
      </c>
      <c r="C2582" t="s">
        <v>179</v>
      </c>
      <c r="D2582" t="s">
        <v>19</v>
      </c>
      <c r="E2582">
        <f t="shared" ca="1" si="86"/>
        <v>0.6</v>
      </c>
      <c r="F2582">
        <f>IFERROR(VLOOKUP(H2582,ProfessionalRisk!A:I,9,0),0)</f>
        <v>759</v>
      </c>
      <c r="G2582">
        <f t="shared" ca="1" si="88"/>
        <v>455</v>
      </c>
      <c r="H2582" t="s">
        <v>780</v>
      </c>
    </row>
    <row r="2583" spans="1:8">
      <c r="A2583" t="str">
        <f t="shared" si="87"/>
        <v>فارسخرم بيد</v>
      </c>
      <c r="B2583" t="s">
        <v>160</v>
      </c>
      <c r="C2583" t="s">
        <v>179</v>
      </c>
      <c r="D2583" t="s">
        <v>477</v>
      </c>
      <c r="E2583">
        <f t="shared" ca="1" si="86"/>
        <v>0.4</v>
      </c>
      <c r="F2583">
        <f>IFERROR(VLOOKUP(H2583,ProfessionalRisk!A:I,9,0),0)</f>
        <v>759</v>
      </c>
      <c r="G2583">
        <f t="shared" ca="1" si="88"/>
        <v>304</v>
      </c>
      <c r="H2583" t="s">
        <v>780</v>
      </c>
    </row>
    <row r="2584" spans="1:8">
      <c r="A2584" t="str">
        <f t="shared" si="87"/>
        <v>فارسخرم بيد</v>
      </c>
      <c r="B2584" t="s">
        <v>160</v>
      </c>
      <c r="C2584" t="s">
        <v>179</v>
      </c>
      <c r="D2584" t="s">
        <v>23</v>
      </c>
      <c r="E2584">
        <f t="shared" ca="1" si="86"/>
        <v>2.9104068205734945E-3</v>
      </c>
      <c r="F2584">
        <f>IFERROR(VLOOKUP(H2584,ProfessionalRisk!A:I,9,0),0)</f>
        <v>759</v>
      </c>
      <c r="G2584">
        <f t="shared" ca="1" si="88"/>
        <v>2</v>
      </c>
      <c r="H2584" t="s">
        <v>780</v>
      </c>
    </row>
    <row r="2585" spans="1:8">
      <c r="A2585" t="str">
        <f t="shared" si="87"/>
        <v>فارسزرين دشت</v>
      </c>
      <c r="B2585" t="s">
        <v>160</v>
      </c>
      <c r="C2585" t="s">
        <v>180</v>
      </c>
      <c r="D2585" t="s">
        <v>19</v>
      </c>
      <c r="E2585">
        <f t="shared" ca="1" si="86"/>
        <v>0.6</v>
      </c>
      <c r="F2585">
        <f>IFERROR(VLOOKUP(H2585,ProfessionalRisk!A:I,9,0),0)</f>
        <v>515</v>
      </c>
      <c r="G2585">
        <f t="shared" ca="1" si="88"/>
        <v>309</v>
      </c>
      <c r="H2585" t="s">
        <v>777</v>
      </c>
    </row>
    <row r="2586" spans="1:8">
      <c r="A2586" t="str">
        <f t="shared" si="87"/>
        <v>فارسزرين دشت</v>
      </c>
      <c r="B2586" t="s">
        <v>160</v>
      </c>
      <c r="C2586" t="s">
        <v>180</v>
      </c>
      <c r="D2586" t="s">
        <v>477</v>
      </c>
      <c r="E2586">
        <f t="shared" ca="1" si="86"/>
        <v>0.4</v>
      </c>
      <c r="F2586">
        <f>IFERROR(VLOOKUP(H2586,ProfessionalRisk!A:I,9,0),0)</f>
        <v>515</v>
      </c>
      <c r="G2586">
        <f t="shared" ca="1" si="88"/>
        <v>206</v>
      </c>
      <c r="H2586" t="s">
        <v>777</v>
      </c>
    </row>
    <row r="2587" spans="1:8">
      <c r="A2587" t="str">
        <f t="shared" si="87"/>
        <v>فارسزرين دشت</v>
      </c>
      <c r="B2587" t="s">
        <v>160</v>
      </c>
      <c r="C2587" t="s">
        <v>180</v>
      </c>
      <c r="D2587" t="s">
        <v>23</v>
      </c>
      <c r="E2587">
        <f t="shared" ca="1" si="86"/>
        <v>4.3061681044257233E-3</v>
      </c>
      <c r="F2587">
        <f>IFERROR(VLOOKUP(H2587,ProfessionalRisk!A:I,9,0),0)</f>
        <v>515</v>
      </c>
      <c r="G2587">
        <f t="shared" ca="1" si="88"/>
        <v>2</v>
      </c>
      <c r="H2587" t="s">
        <v>777</v>
      </c>
    </row>
    <row r="2588" spans="1:8">
      <c r="A2588" t="str">
        <f t="shared" si="87"/>
        <v>فارسقيروكارزين</v>
      </c>
      <c r="B2588" t="s">
        <v>160</v>
      </c>
      <c r="C2588" t="s">
        <v>181</v>
      </c>
      <c r="D2588" t="s">
        <v>19</v>
      </c>
      <c r="E2588">
        <f t="shared" ca="1" si="86"/>
        <v>0.6</v>
      </c>
      <c r="F2588">
        <f>IFERROR(VLOOKUP(H2588,ProfessionalRisk!A:I,9,0),0)</f>
        <v>386</v>
      </c>
      <c r="G2588">
        <f t="shared" ca="1" si="88"/>
        <v>232</v>
      </c>
      <c r="H2588" t="s">
        <v>803</v>
      </c>
    </row>
    <row r="2589" spans="1:8">
      <c r="A2589" t="str">
        <f t="shared" si="87"/>
        <v>فارسقيروكارزين</v>
      </c>
      <c r="B2589" t="s">
        <v>160</v>
      </c>
      <c r="C2589" t="s">
        <v>181</v>
      </c>
      <c r="D2589" t="s">
        <v>477</v>
      </c>
      <c r="E2589">
        <f t="shared" ca="1" si="86"/>
        <v>0.4</v>
      </c>
      <c r="F2589">
        <f>IFERROR(VLOOKUP(H2589,ProfessionalRisk!A:I,9,0),0)</f>
        <v>386</v>
      </c>
      <c r="G2589">
        <f t="shared" ca="1" si="88"/>
        <v>154</v>
      </c>
      <c r="H2589" t="s">
        <v>803</v>
      </c>
    </row>
    <row r="2590" spans="1:8">
      <c r="A2590" t="str">
        <f t="shared" si="87"/>
        <v>فارسقيروكارزين</v>
      </c>
      <c r="B2590" t="s">
        <v>160</v>
      </c>
      <c r="C2590" t="s">
        <v>181</v>
      </c>
      <c r="D2590" t="s">
        <v>23</v>
      </c>
      <c r="E2590">
        <f t="shared" ca="1" si="86"/>
        <v>1.547329934871291E-2</v>
      </c>
      <c r="F2590">
        <f>IFERROR(VLOOKUP(H2590,ProfessionalRisk!A:I,9,0),0)</f>
        <v>386</v>
      </c>
      <c r="G2590">
        <f t="shared" ca="1" si="88"/>
        <v>6</v>
      </c>
      <c r="H2590" t="s">
        <v>803</v>
      </c>
    </row>
    <row r="2591" spans="1:8">
      <c r="A2591" t="str">
        <f t="shared" si="87"/>
        <v>فارسمهر</v>
      </c>
      <c r="B2591" t="s">
        <v>160</v>
      </c>
      <c r="C2591" t="s">
        <v>182</v>
      </c>
      <c r="D2591" t="s">
        <v>19</v>
      </c>
      <c r="E2591">
        <f t="shared" ca="1" si="86"/>
        <v>0.6</v>
      </c>
      <c r="F2591">
        <f>IFERROR(VLOOKUP(H2591,ProfessionalRisk!A:I,9,0),0)</f>
        <v>1007</v>
      </c>
      <c r="G2591">
        <f t="shared" ca="1" si="88"/>
        <v>604</v>
      </c>
      <c r="H2591" t="s">
        <v>778</v>
      </c>
    </row>
    <row r="2592" spans="1:8">
      <c r="A2592" t="str">
        <f t="shared" si="87"/>
        <v>فارسمهر</v>
      </c>
      <c r="B2592" t="s">
        <v>160</v>
      </c>
      <c r="C2592" t="s">
        <v>182</v>
      </c>
      <c r="D2592" t="s">
        <v>477</v>
      </c>
      <c r="E2592">
        <f t="shared" ca="1" si="86"/>
        <v>0.4</v>
      </c>
      <c r="F2592">
        <f>IFERROR(VLOOKUP(H2592,ProfessionalRisk!A:I,9,0),0)</f>
        <v>1007</v>
      </c>
      <c r="G2592">
        <f t="shared" ca="1" si="88"/>
        <v>403</v>
      </c>
      <c r="H2592" t="s">
        <v>778</v>
      </c>
    </row>
    <row r="2593" spans="1:8">
      <c r="A2593" t="str">
        <f t="shared" si="87"/>
        <v>فارسمهر</v>
      </c>
      <c r="B2593" t="s">
        <v>160</v>
      </c>
      <c r="C2593" t="s">
        <v>182</v>
      </c>
      <c r="D2593" t="s">
        <v>23</v>
      </c>
      <c r="E2593">
        <f t="shared" ca="1" si="86"/>
        <v>1.2085200696518176E-2</v>
      </c>
      <c r="F2593">
        <f>IFERROR(VLOOKUP(H2593,ProfessionalRisk!A:I,9,0),0)</f>
        <v>1007</v>
      </c>
      <c r="G2593">
        <f t="shared" ca="1" si="88"/>
        <v>12</v>
      </c>
      <c r="H2593" t="s">
        <v>778</v>
      </c>
    </row>
    <row r="2594" spans="1:8">
      <c r="A2594" t="str">
        <f t="shared" si="87"/>
        <v>فارسفراشبند</v>
      </c>
      <c r="B2594" t="s">
        <v>160</v>
      </c>
      <c r="C2594" t="s">
        <v>183</v>
      </c>
      <c r="D2594" t="s">
        <v>19</v>
      </c>
      <c r="E2594">
        <f t="shared" ca="1" si="86"/>
        <v>0.6</v>
      </c>
      <c r="F2594">
        <f>IFERROR(VLOOKUP(H2594,ProfessionalRisk!A:I,9,0),0)</f>
        <v>313</v>
      </c>
      <c r="G2594">
        <f t="shared" ca="1" si="88"/>
        <v>188</v>
      </c>
      <c r="H2594" t="s">
        <v>796</v>
      </c>
    </row>
    <row r="2595" spans="1:8">
      <c r="A2595" t="str">
        <f t="shared" si="87"/>
        <v>فارسفراشبند</v>
      </c>
      <c r="B2595" t="s">
        <v>160</v>
      </c>
      <c r="C2595" t="s">
        <v>183</v>
      </c>
      <c r="D2595" t="s">
        <v>477</v>
      </c>
      <c r="E2595">
        <f t="shared" ref="E2595:E2658" ca="1" si="89">IF(D2595="AP",0.6,IF(D2595="BP",0.4,RAND()*0.02))</f>
        <v>0.4</v>
      </c>
      <c r="F2595">
        <f>IFERROR(VLOOKUP(H2595,ProfessionalRisk!A:I,9,0),0)</f>
        <v>313</v>
      </c>
      <c r="G2595">
        <f t="shared" ca="1" si="88"/>
        <v>125</v>
      </c>
      <c r="H2595" t="s">
        <v>796</v>
      </c>
    </row>
    <row r="2596" spans="1:8">
      <c r="A2596" t="str">
        <f t="shared" si="87"/>
        <v>فارسفراشبند</v>
      </c>
      <c r="B2596" t="s">
        <v>160</v>
      </c>
      <c r="C2596" t="s">
        <v>183</v>
      </c>
      <c r="D2596" t="s">
        <v>23</v>
      </c>
      <c r="E2596">
        <f t="shared" ca="1" si="89"/>
        <v>1.6016011931472385E-2</v>
      </c>
      <c r="F2596">
        <f>IFERROR(VLOOKUP(H2596,ProfessionalRisk!A:I,9,0),0)</f>
        <v>313</v>
      </c>
      <c r="G2596">
        <f t="shared" ca="1" si="88"/>
        <v>5</v>
      </c>
      <c r="H2596" t="s">
        <v>796</v>
      </c>
    </row>
    <row r="2597" spans="1:8">
      <c r="A2597" t="str">
        <f t="shared" si="87"/>
        <v>فارسپاسارگاد</v>
      </c>
      <c r="B2597" t="s">
        <v>160</v>
      </c>
      <c r="C2597" t="s">
        <v>184</v>
      </c>
      <c r="D2597" t="s">
        <v>19</v>
      </c>
      <c r="E2597">
        <f t="shared" ca="1" si="89"/>
        <v>0.6</v>
      </c>
      <c r="F2597">
        <f>IFERROR(VLOOKUP(H2597,ProfessionalRisk!A:I,9,0),0)</f>
        <v>730</v>
      </c>
      <c r="G2597">
        <f t="shared" ca="1" si="88"/>
        <v>438</v>
      </c>
      <c r="H2597" t="s">
        <v>798</v>
      </c>
    </row>
    <row r="2598" spans="1:8">
      <c r="A2598" t="str">
        <f t="shared" si="87"/>
        <v>فارسپاسارگاد</v>
      </c>
      <c r="B2598" t="s">
        <v>160</v>
      </c>
      <c r="C2598" t="s">
        <v>184</v>
      </c>
      <c r="D2598" t="s">
        <v>477</v>
      </c>
      <c r="E2598">
        <f t="shared" ca="1" si="89"/>
        <v>0.4</v>
      </c>
      <c r="F2598">
        <f>IFERROR(VLOOKUP(H2598,ProfessionalRisk!A:I,9,0),0)</f>
        <v>730</v>
      </c>
      <c r="G2598">
        <f t="shared" ca="1" si="88"/>
        <v>292</v>
      </c>
      <c r="H2598" t="s">
        <v>798</v>
      </c>
    </row>
    <row r="2599" spans="1:8">
      <c r="A2599" t="str">
        <f t="shared" si="87"/>
        <v>فارسپاسارگاد</v>
      </c>
      <c r="B2599" t="s">
        <v>160</v>
      </c>
      <c r="C2599" t="s">
        <v>184</v>
      </c>
      <c r="D2599" t="s">
        <v>23</v>
      </c>
      <c r="E2599">
        <f t="shared" ca="1" si="89"/>
        <v>1.8512187592826601E-3</v>
      </c>
      <c r="F2599">
        <f>IFERROR(VLOOKUP(H2599,ProfessionalRisk!A:I,9,0),0)</f>
        <v>730</v>
      </c>
      <c r="G2599">
        <f t="shared" ca="1" si="88"/>
        <v>1</v>
      </c>
      <c r="H2599" t="s">
        <v>798</v>
      </c>
    </row>
    <row r="2600" spans="1:8">
      <c r="A2600" t="str">
        <f t="shared" si="87"/>
        <v>فارسخنج</v>
      </c>
      <c r="B2600" t="s">
        <v>160</v>
      </c>
      <c r="C2600" t="s">
        <v>185</v>
      </c>
      <c r="D2600" t="s">
        <v>19</v>
      </c>
      <c r="E2600">
        <f t="shared" ca="1" si="89"/>
        <v>0.6</v>
      </c>
      <c r="F2600">
        <f>IFERROR(VLOOKUP(H2600,ProfessionalRisk!A:I,9,0),0)</f>
        <v>508</v>
      </c>
      <c r="G2600">
        <f t="shared" ca="1" si="88"/>
        <v>305</v>
      </c>
      <c r="H2600" t="s">
        <v>783</v>
      </c>
    </row>
    <row r="2601" spans="1:8">
      <c r="A2601" t="str">
        <f t="shared" si="87"/>
        <v>فارسخنج</v>
      </c>
      <c r="B2601" t="s">
        <v>160</v>
      </c>
      <c r="C2601" t="s">
        <v>185</v>
      </c>
      <c r="D2601" t="s">
        <v>477</v>
      </c>
      <c r="E2601">
        <f t="shared" ca="1" si="89"/>
        <v>0.4</v>
      </c>
      <c r="F2601">
        <f>IFERROR(VLOOKUP(H2601,ProfessionalRisk!A:I,9,0),0)</f>
        <v>508</v>
      </c>
      <c r="G2601">
        <f t="shared" ca="1" si="88"/>
        <v>203</v>
      </c>
      <c r="H2601" t="s">
        <v>783</v>
      </c>
    </row>
    <row r="2602" spans="1:8">
      <c r="A2602" t="str">
        <f t="shared" si="87"/>
        <v>فارسخنج</v>
      </c>
      <c r="B2602" t="s">
        <v>160</v>
      </c>
      <c r="C2602" t="s">
        <v>185</v>
      </c>
      <c r="D2602" t="s">
        <v>23</v>
      </c>
      <c r="E2602">
        <f t="shared" ca="1" si="89"/>
        <v>1.3137025692946667E-2</v>
      </c>
      <c r="F2602">
        <f>IFERROR(VLOOKUP(H2602,ProfessionalRisk!A:I,9,0),0)</f>
        <v>508</v>
      </c>
      <c r="G2602">
        <f t="shared" ca="1" si="88"/>
        <v>7</v>
      </c>
      <c r="H2602" t="s">
        <v>783</v>
      </c>
    </row>
    <row r="2603" spans="1:8">
      <c r="A2603" t="str">
        <f t="shared" si="87"/>
        <v>فارسسروستان</v>
      </c>
      <c r="B2603" t="s">
        <v>160</v>
      </c>
      <c r="C2603" t="s">
        <v>186</v>
      </c>
      <c r="D2603" t="s">
        <v>19</v>
      </c>
      <c r="E2603">
        <f t="shared" ca="1" si="89"/>
        <v>0.6</v>
      </c>
      <c r="F2603">
        <f>IFERROR(VLOOKUP(H2603,ProfessionalRisk!A:I,9,0),0)</f>
        <v>639</v>
      </c>
      <c r="G2603">
        <f t="shared" ca="1" si="88"/>
        <v>383</v>
      </c>
      <c r="H2603" t="s">
        <v>786</v>
      </c>
    </row>
    <row r="2604" spans="1:8">
      <c r="A2604" t="str">
        <f t="shared" si="87"/>
        <v>فارسسروستان</v>
      </c>
      <c r="B2604" t="s">
        <v>160</v>
      </c>
      <c r="C2604" t="s">
        <v>186</v>
      </c>
      <c r="D2604" t="s">
        <v>477</v>
      </c>
      <c r="E2604">
        <f t="shared" ca="1" si="89"/>
        <v>0.4</v>
      </c>
      <c r="F2604">
        <f>IFERROR(VLOOKUP(H2604,ProfessionalRisk!A:I,9,0),0)</f>
        <v>639</v>
      </c>
      <c r="G2604">
        <f t="shared" ca="1" si="88"/>
        <v>256</v>
      </c>
      <c r="H2604" t="s">
        <v>786</v>
      </c>
    </row>
    <row r="2605" spans="1:8">
      <c r="A2605" t="str">
        <f t="shared" si="87"/>
        <v>فارسسروستان</v>
      </c>
      <c r="B2605" t="s">
        <v>160</v>
      </c>
      <c r="C2605" t="s">
        <v>186</v>
      </c>
      <c r="D2605" t="s">
        <v>23</v>
      </c>
      <c r="E2605">
        <f t="shared" ca="1" si="89"/>
        <v>6.9589261007229513E-4</v>
      </c>
      <c r="F2605">
        <f>IFERROR(VLOOKUP(H2605,ProfessionalRisk!A:I,9,0),0)</f>
        <v>639</v>
      </c>
      <c r="G2605">
        <f t="shared" ca="1" si="88"/>
        <v>0</v>
      </c>
      <c r="H2605" t="s">
        <v>786</v>
      </c>
    </row>
    <row r="2606" spans="1:8">
      <c r="A2606" t="str">
        <f t="shared" si="87"/>
        <v>فارسرستم</v>
      </c>
      <c r="B2606" t="s">
        <v>160</v>
      </c>
      <c r="C2606" t="s">
        <v>187</v>
      </c>
      <c r="D2606" t="s">
        <v>19</v>
      </c>
      <c r="E2606">
        <f t="shared" ca="1" si="89"/>
        <v>0.6</v>
      </c>
      <c r="F2606">
        <f>IFERROR(VLOOKUP(H2606,ProfessionalRisk!A:I,9,0),0)</f>
        <v>343</v>
      </c>
      <c r="G2606">
        <f t="shared" ca="1" si="88"/>
        <v>206</v>
      </c>
      <c r="H2606" t="s">
        <v>788</v>
      </c>
    </row>
    <row r="2607" spans="1:8">
      <c r="A2607" t="str">
        <f t="shared" si="87"/>
        <v>فارسرستم</v>
      </c>
      <c r="B2607" t="s">
        <v>160</v>
      </c>
      <c r="C2607" t="s">
        <v>187</v>
      </c>
      <c r="D2607" t="s">
        <v>477</v>
      </c>
      <c r="E2607">
        <f t="shared" ca="1" si="89"/>
        <v>0.4</v>
      </c>
      <c r="F2607">
        <f>IFERROR(VLOOKUP(H2607,ProfessionalRisk!A:I,9,0),0)</f>
        <v>343</v>
      </c>
      <c r="G2607">
        <f t="shared" ca="1" si="88"/>
        <v>137</v>
      </c>
      <c r="H2607" t="s">
        <v>788</v>
      </c>
    </row>
    <row r="2608" spans="1:8">
      <c r="A2608" t="str">
        <f t="shared" si="87"/>
        <v>فارسرستم</v>
      </c>
      <c r="B2608" t="s">
        <v>160</v>
      </c>
      <c r="C2608" t="s">
        <v>187</v>
      </c>
      <c r="D2608" t="s">
        <v>23</v>
      </c>
      <c r="E2608">
        <f t="shared" ca="1" si="89"/>
        <v>9.1399914928648358E-3</v>
      </c>
      <c r="F2608">
        <f>IFERROR(VLOOKUP(H2608,ProfessionalRisk!A:I,9,0),0)</f>
        <v>343</v>
      </c>
      <c r="G2608">
        <f t="shared" ca="1" si="88"/>
        <v>3</v>
      </c>
      <c r="H2608" t="s">
        <v>788</v>
      </c>
    </row>
    <row r="2609" spans="1:8">
      <c r="A2609" t="str">
        <f t="shared" si="87"/>
        <v>فارسگراش</v>
      </c>
      <c r="B2609" t="s">
        <v>160</v>
      </c>
      <c r="C2609" t="s">
        <v>188</v>
      </c>
      <c r="D2609" t="s">
        <v>19</v>
      </c>
      <c r="E2609">
        <f t="shared" ca="1" si="89"/>
        <v>0.6</v>
      </c>
      <c r="F2609">
        <f>IFERROR(VLOOKUP(H2609,ProfessionalRisk!A:I,9,0),0)</f>
        <v>2322</v>
      </c>
      <c r="G2609">
        <f t="shared" ca="1" si="88"/>
        <v>1393</v>
      </c>
      <c r="H2609" t="s">
        <v>781</v>
      </c>
    </row>
    <row r="2610" spans="1:8">
      <c r="A2610" t="str">
        <f t="shared" si="87"/>
        <v>فارسگراش</v>
      </c>
      <c r="B2610" t="s">
        <v>160</v>
      </c>
      <c r="C2610" t="s">
        <v>188</v>
      </c>
      <c r="D2610" t="s">
        <v>477</v>
      </c>
      <c r="E2610">
        <f t="shared" ca="1" si="89"/>
        <v>0.4</v>
      </c>
      <c r="F2610">
        <f>IFERROR(VLOOKUP(H2610,ProfessionalRisk!A:I,9,0),0)</f>
        <v>2322</v>
      </c>
      <c r="G2610">
        <f t="shared" ca="1" si="88"/>
        <v>929</v>
      </c>
      <c r="H2610" t="s">
        <v>781</v>
      </c>
    </row>
    <row r="2611" spans="1:8">
      <c r="A2611" t="str">
        <f t="shared" si="87"/>
        <v>فارسگراش</v>
      </c>
      <c r="B2611" t="s">
        <v>160</v>
      </c>
      <c r="C2611" t="s">
        <v>188</v>
      </c>
      <c r="D2611" t="s">
        <v>23</v>
      </c>
      <c r="E2611">
        <f t="shared" ca="1" si="89"/>
        <v>1.0852863570143041E-2</v>
      </c>
      <c r="F2611">
        <f>IFERROR(VLOOKUP(H2611,ProfessionalRisk!A:I,9,0),0)</f>
        <v>2322</v>
      </c>
      <c r="G2611">
        <f t="shared" ca="1" si="88"/>
        <v>25</v>
      </c>
      <c r="H2611" t="s">
        <v>781</v>
      </c>
    </row>
    <row r="2612" spans="1:8">
      <c r="A2612" t="str">
        <f t="shared" si="87"/>
        <v>فارسكوار</v>
      </c>
      <c r="B2612" t="s">
        <v>160</v>
      </c>
      <c r="C2612" t="s">
        <v>189</v>
      </c>
      <c r="D2612" t="s">
        <v>19</v>
      </c>
      <c r="E2612">
        <f t="shared" ca="1" si="89"/>
        <v>0.6</v>
      </c>
      <c r="F2612">
        <f>IFERROR(VLOOKUP(H2612,ProfessionalRisk!A:I,9,0),0)</f>
        <v>1068</v>
      </c>
      <c r="G2612">
        <f t="shared" ca="1" si="88"/>
        <v>641</v>
      </c>
      <c r="H2612" t="s">
        <v>787</v>
      </c>
    </row>
    <row r="2613" spans="1:8">
      <c r="A2613" t="str">
        <f t="shared" si="87"/>
        <v>فارسكوار</v>
      </c>
      <c r="B2613" t="s">
        <v>160</v>
      </c>
      <c r="C2613" t="s">
        <v>189</v>
      </c>
      <c r="D2613" t="s">
        <v>477</v>
      </c>
      <c r="E2613">
        <f t="shared" ca="1" si="89"/>
        <v>0.4</v>
      </c>
      <c r="F2613">
        <f>IFERROR(VLOOKUP(H2613,ProfessionalRisk!A:I,9,0),0)</f>
        <v>1068</v>
      </c>
      <c r="G2613">
        <f t="shared" ca="1" si="88"/>
        <v>427</v>
      </c>
      <c r="H2613" t="s">
        <v>787</v>
      </c>
    </row>
    <row r="2614" spans="1:8">
      <c r="A2614" t="str">
        <f t="shared" si="87"/>
        <v>فارسكوار</v>
      </c>
      <c r="B2614" t="s">
        <v>160</v>
      </c>
      <c r="C2614" t="s">
        <v>189</v>
      </c>
      <c r="D2614" t="s">
        <v>23</v>
      </c>
      <c r="E2614">
        <f t="shared" ca="1" si="89"/>
        <v>9.6152871423200014E-3</v>
      </c>
      <c r="F2614">
        <f>IFERROR(VLOOKUP(H2614,ProfessionalRisk!A:I,9,0),0)</f>
        <v>1068</v>
      </c>
      <c r="G2614">
        <f t="shared" ca="1" si="88"/>
        <v>10</v>
      </c>
      <c r="H2614" t="s">
        <v>787</v>
      </c>
    </row>
    <row r="2615" spans="1:8">
      <c r="A2615" t="str">
        <f t="shared" si="87"/>
        <v>فارسخرامه</v>
      </c>
      <c r="B2615" t="s">
        <v>160</v>
      </c>
      <c r="C2615" t="s">
        <v>191</v>
      </c>
      <c r="D2615" t="s">
        <v>19</v>
      </c>
      <c r="E2615">
        <f t="shared" ca="1" si="89"/>
        <v>0.6</v>
      </c>
      <c r="F2615">
        <f>IFERROR(VLOOKUP(H2615,ProfessionalRisk!A:I,9,0),0)</f>
        <v>910</v>
      </c>
      <c r="G2615">
        <f t="shared" ca="1" si="88"/>
        <v>546</v>
      </c>
      <c r="H2615" t="s">
        <v>784</v>
      </c>
    </row>
    <row r="2616" spans="1:8">
      <c r="A2616" t="str">
        <f t="shared" si="87"/>
        <v>فارسخرامه</v>
      </c>
      <c r="B2616" t="s">
        <v>160</v>
      </c>
      <c r="C2616" t="s">
        <v>191</v>
      </c>
      <c r="D2616" t="s">
        <v>477</v>
      </c>
      <c r="E2616">
        <f t="shared" ca="1" si="89"/>
        <v>0.4</v>
      </c>
      <c r="F2616">
        <f>IFERROR(VLOOKUP(H2616,ProfessionalRisk!A:I,9,0),0)</f>
        <v>910</v>
      </c>
      <c r="G2616">
        <f t="shared" ca="1" si="88"/>
        <v>364</v>
      </c>
      <c r="H2616" t="s">
        <v>784</v>
      </c>
    </row>
    <row r="2617" spans="1:8">
      <c r="A2617" t="str">
        <f t="shared" si="87"/>
        <v>فارسخرامه</v>
      </c>
      <c r="B2617" t="s">
        <v>160</v>
      </c>
      <c r="C2617" t="s">
        <v>191</v>
      </c>
      <c r="D2617" t="s">
        <v>23</v>
      </c>
      <c r="E2617">
        <f t="shared" ca="1" si="89"/>
        <v>1.9896539347431185E-3</v>
      </c>
      <c r="F2617">
        <f>IFERROR(VLOOKUP(H2617,ProfessionalRisk!A:I,9,0),0)</f>
        <v>910</v>
      </c>
      <c r="G2617">
        <f t="shared" ca="1" si="88"/>
        <v>2</v>
      </c>
      <c r="H2617" t="s">
        <v>784</v>
      </c>
    </row>
    <row r="2618" spans="1:8">
      <c r="A2618" t="str">
        <f t="shared" si="87"/>
        <v>كرمانبافت</v>
      </c>
      <c r="B2618" t="s">
        <v>190</v>
      </c>
      <c r="C2618" t="s">
        <v>192</v>
      </c>
      <c r="D2618" t="s">
        <v>19</v>
      </c>
      <c r="E2618">
        <f t="shared" ca="1" si="89"/>
        <v>0.6</v>
      </c>
      <c r="F2618">
        <f>IFERROR(VLOOKUP(H2618,ProfessionalRisk!A:I,9,0),0)</f>
        <v>1261</v>
      </c>
      <c r="G2618">
        <f t="shared" ca="1" si="88"/>
        <v>757</v>
      </c>
      <c r="H2618" t="s">
        <v>931</v>
      </c>
    </row>
    <row r="2619" spans="1:8">
      <c r="A2619" t="str">
        <f t="shared" si="87"/>
        <v>كرمانبافت</v>
      </c>
      <c r="B2619" t="s">
        <v>190</v>
      </c>
      <c r="C2619" t="s">
        <v>192</v>
      </c>
      <c r="D2619" t="s">
        <v>477</v>
      </c>
      <c r="E2619">
        <f t="shared" ca="1" si="89"/>
        <v>0.4</v>
      </c>
      <c r="F2619">
        <f>IFERROR(VLOOKUP(H2619,ProfessionalRisk!A:I,9,0),0)</f>
        <v>1261</v>
      </c>
      <c r="G2619">
        <f t="shared" ca="1" si="88"/>
        <v>504</v>
      </c>
      <c r="H2619" t="s">
        <v>931</v>
      </c>
    </row>
    <row r="2620" spans="1:8">
      <c r="A2620" t="str">
        <f t="shared" si="87"/>
        <v>كرمانبافت</v>
      </c>
      <c r="B2620" t="s">
        <v>190</v>
      </c>
      <c r="C2620" t="s">
        <v>192</v>
      </c>
      <c r="D2620" t="s">
        <v>23</v>
      </c>
      <c r="E2620">
        <f t="shared" ca="1" si="89"/>
        <v>9.4622613878054488E-3</v>
      </c>
      <c r="F2620">
        <f>IFERROR(VLOOKUP(H2620,ProfessionalRisk!A:I,9,0),0)</f>
        <v>1261</v>
      </c>
      <c r="G2620">
        <f t="shared" ca="1" si="88"/>
        <v>12</v>
      </c>
      <c r="H2620" t="s">
        <v>931</v>
      </c>
    </row>
    <row r="2621" spans="1:8">
      <c r="A2621" t="str">
        <f t="shared" si="87"/>
        <v>كرمانبم</v>
      </c>
      <c r="B2621" t="s">
        <v>190</v>
      </c>
      <c r="C2621" t="s">
        <v>193</v>
      </c>
      <c r="D2621" t="s">
        <v>19</v>
      </c>
      <c r="E2621">
        <f t="shared" ca="1" si="89"/>
        <v>0.6</v>
      </c>
      <c r="F2621">
        <f>IFERROR(VLOOKUP(H2621,ProfessionalRisk!A:I,9,0),0)</f>
        <v>2654</v>
      </c>
      <c r="G2621">
        <f t="shared" ca="1" si="88"/>
        <v>1592</v>
      </c>
      <c r="H2621" t="s">
        <v>925</v>
      </c>
    </row>
    <row r="2622" spans="1:8">
      <c r="A2622" t="str">
        <f t="shared" si="87"/>
        <v>كرمانبم</v>
      </c>
      <c r="B2622" t="s">
        <v>190</v>
      </c>
      <c r="C2622" t="s">
        <v>193</v>
      </c>
      <c r="D2622" t="s">
        <v>477</v>
      </c>
      <c r="E2622">
        <f t="shared" ca="1" si="89"/>
        <v>0.4</v>
      </c>
      <c r="F2622">
        <f>IFERROR(VLOOKUP(H2622,ProfessionalRisk!A:I,9,0),0)</f>
        <v>2654</v>
      </c>
      <c r="G2622">
        <f t="shared" ca="1" si="88"/>
        <v>1062</v>
      </c>
      <c r="H2622" t="s">
        <v>925</v>
      </c>
    </row>
    <row r="2623" spans="1:8">
      <c r="A2623" t="str">
        <f t="shared" si="87"/>
        <v>كرمانبم</v>
      </c>
      <c r="B2623" t="s">
        <v>190</v>
      </c>
      <c r="C2623" t="s">
        <v>193</v>
      </c>
      <c r="D2623" t="s">
        <v>23</v>
      </c>
      <c r="E2623">
        <f t="shared" ca="1" si="89"/>
        <v>7.3719987866866649E-3</v>
      </c>
      <c r="F2623">
        <f>IFERROR(VLOOKUP(H2623,ProfessionalRisk!A:I,9,0),0)</f>
        <v>2654</v>
      </c>
      <c r="G2623">
        <f t="shared" ca="1" si="88"/>
        <v>20</v>
      </c>
      <c r="H2623" t="s">
        <v>925</v>
      </c>
    </row>
    <row r="2624" spans="1:8">
      <c r="A2624" t="str">
        <f t="shared" si="87"/>
        <v>كرمانجيرفت</v>
      </c>
      <c r="B2624" t="s">
        <v>190</v>
      </c>
      <c r="C2624" t="s">
        <v>194</v>
      </c>
      <c r="D2624" t="s">
        <v>19</v>
      </c>
      <c r="E2624">
        <f t="shared" ca="1" si="89"/>
        <v>0.6</v>
      </c>
      <c r="F2624">
        <f>IFERROR(VLOOKUP(H2624,ProfessionalRisk!A:I,9,0),0)</f>
        <v>4073</v>
      </c>
      <c r="G2624">
        <f t="shared" ca="1" si="88"/>
        <v>2444</v>
      </c>
      <c r="H2624" t="s">
        <v>921</v>
      </c>
    </row>
    <row r="2625" spans="1:8">
      <c r="A2625" t="str">
        <f t="shared" si="87"/>
        <v>كرمانجيرفت</v>
      </c>
      <c r="B2625" t="s">
        <v>190</v>
      </c>
      <c r="C2625" t="s">
        <v>194</v>
      </c>
      <c r="D2625" t="s">
        <v>477</v>
      </c>
      <c r="E2625">
        <f t="shared" ca="1" si="89"/>
        <v>0.4</v>
      </c>
      <c r="F2625">
        <f>IFERROR(VLOOKUP(H2625,ProfessionalRisk!A:I,9,0),0)</f>
        <v>4073</v>
      </c>
      <c r="G2625">
        <f t="shared" ca="1" si="88"/>
        <v>1629</v>
      </c>
      <c r="H2625" t="s">
        <v>921</v>
      </c>
    </row>
    <row r="2626" spans="1:8">
      <c r="A2626" t="str">
        <f t="shared" ref="A2626:A2689" si="90">B2626&amp;C2626</f>
        <v>كرمانجيرفت</v>
      </c>
      <c r="B2626" t="s">
        <v>190</v>
      </c>
      <c r="C2626" t="s">
        <v>194</v>
      </c>
      <c r="D2626" t="s">
        <v>23</v>
      </c>
      <c r="E2626">
        <f t="shared" ca="1" si="89"/>
        <v>1.4276933020744721E-2</v>
      </c>
      <c r="F2626">
        <f>IFERROR(VLOOKUP(H2626,ProfessionalRisk!A:I,9,0),0)</f>
        <v>4073</v>
      </c>
      <c r="G2626">
        <f t="shared" ca="1" si="88"/>
        <v>58</v>
      </c>
      <c r="H2626" t="s">
        <v>921</v>
      </c>
    </row>
    <row r="2627" spans="1:8">
      <c r="A2627" t="str">
        <f t="shared" si="90"/>
        <v>كرمانرفسنجان</v>
      </c>
      <c r="B2627" t="s">
        <v>190</v>
      </c>
      <c r="C2627" t="s">
        <v>195</v>
      </c>
      <c r="D2627" t="s">
        <v>19</v>
      </c>
      <c r="E2627">
        <f t="shared" ca="1" si="89"/>
        <v>0.6</v>
      </c>
      <c r="F2627">
        <f>IFERROR(VLOOKUP(H2627,ProfessionalRisk!A:I,9,0),0)</f>
        <v>4851</v>
      </c>
      <c r="G2627">
        <f t="shared" ref="G2627:G2690" ca="1" si="91">IFERROR(ROUND(F2627*E2627,0),0)</f>
        <v>2911</v>
      </c>
      <c r="H2627" t="s">
        <v>917</v>
      </c>
    </row>
    <row r="2628" spans="1:8">
      <c r="A2628" t="str">
        <f t="shared" si="90"/>
        <v>كرمانرفسنجان</v>
      </c>
      <c r="B2628" t="s">
        <v>190</v>
      </c>
      <c r="C2628" t="s">
        <v>195</v>
      </c>
      <c r="D2628" t="s">
        <v>477</v>
      </c>
      <c r="E2628">
        <f t="shared" ca="1" si="89"/>
        <v>0.4</v>
      </c>
      <c r="F2628">
        <f>IFERROR(VLOOKUP(H2628,ProfessionalRisk!A:I,9,0),0)</f>
        <v>4851</v>
      </c>
      <c r="G2628">
        <f t="shared" ca="1" si="91"/>
        <v>1940</v>
      </c>
      <c r="H2628" t="s">
        <v>917</v>
      </c>
    </row>
    <row r="2629" spans="1:8">
      <c r="A2629" t="str">
        <f t="shared" si="90"/>
        <v>كرمانرفسنجان</v>
      </c>
      <c r="B2629" t="s">
        <v>190</v>
      </c>
      <c r="C2629" t="s">
        <v>195</v>
      </c>
      <c r="D2629" t="s">
        <v>23</v>
      </c>
      <c r="E2629">
        <f t="shared" ca="1" si="89"/>
        <v>7.4335004894747318E-4</v>
      </c>
      <c r="F2629">
        <f>IFERROR(VLOOKUP(H2629,ProfessionalRisk!A:I,9,0),0)</f>
        <v>4851</v>
      </c>
      <c r="G2629">
        <f t="shared" ca="1" si="91"/>
        <v>4</v>
      </c>
      <c r="H2629" t="s">
        <v>917</v>
      </c>
    </row>
    <row r="2630" spans="1:8">
      <c r="A2630" t="str">
        <f t="shared" si="90"/>
        <v>كرمانزرند</v>
      </c>
      <c r="B2630" t="s">
        <v>190</v>
      </c>
      <c r="C2630" t="s">
        <v>196</v>
      </c>
      <c r="D2630" t="s">
        <v>19</v>
      </c>
      <c r="E2630">
        <f t="shared" ca="1" si="89"/>
        <v>0.6</v>
      </c>
      <c r="F2630">
        <f>IFERROR(VLOOKUP(H2630,ProfessionalRisk!A:I,9,0),0)</f>
        <v>1949</v>
      </c>
      <c r="G2630">
        <f t="shared" ca="1" si="91"/>
        <v>1169</v>
      </c>
      <c r="H2630" t="s">
        <v>923</v>
      </c>
    </row>
    <row r="2631" spans="1:8">
      <c r="A2631" t="str">
        <f t="shared" si="90"/>
        <v>كرمانزرند</v>
      </c>
      <c r="B2631" t="s">
        <v>190</v>
      </c>
      <c r="C2631" t="s">
        <v>196</v>
      </c>
      <c r="D2631" t="s">
        <v>477</v>
      </c>
      <c r="E2631">
        <f t="shared" ca="1" si="89"/>
        <v>0.4</v>
      </c>
      <c r="F2631">
        <f>IFERROR(VLOOKUP(H2631,ProfessionalRisk!A:I,9,0),0)</f>
        <v>1949</v>
      </c>
      <c r="G2631">
        <f t="shared" ca="1" si="91"/>
        <v>780</v>
      </c>
      <c r="H2631" t="s">
        <v>923</v>
      </c>
    </row>
    <row r="2632" spans="1:8">
      <c r="A2632" t="str">
        <f t="shared" si="90"/>
        <v>كرمانزرند</v>
      </c>
      <c r="B2632" t="s">
        <v>190</v>
      </c>
      <c r="C2632" t="s">
        <v>196</v>
      </c>
      <c r="D2632" t="s">
        <v>23</v>
      </c>
      <c r="E2632">
        <f t="shared" ca="1" si="89"/>
        <v>1.3420130125922159E-3</v>
      </c>
      <c r="F2632">
        <f>IFERROR(VLOOKUP(H2632,ProfessionalRisk!A:I,9,0),0)</f>
        <v>1949</v>
      </c>
      <c r="G2632">
        <f t="shared" ca="1" si="91"/>
        <v>3</v>
      </c>
      <c r="H2632" t="s">
        <v>923</v>
      </c>
    </row>
    <row r="2633" spans="1:8">
      <c r="A2633" t="str">
        <f t="shared" si="90"/>
        <v>كرمانسيرجان</v>
      </c>
      <c r="B2633" t="s">
        <v>190</v>
      </c>
      <c r="C2633" t="s">
        <v>197</v>
      </c>
      <c r="D2633" t="s">
        <v>19</v>
      </c>
      <c r="E2633">
        <f t="shared" ca="1" si="89"/>
        <v>0.6</v>
      </c>
      <c r="F2633">
        <f>IFERROR(VLOOKUP(H2633,ProfessionalRisk!A:I,9,0),0)</f>
        <v>3728</v>
      </c>
      <c r="G2633">
        <f t="shared" ca="1" si="91"/>
        <v>2237</v>
      </c>
      <c r="H2633" t="s">
        <v>928</v>
      </c>
    </row>
    <row r="2634" spans="1:8">
      <c r="A2634" t="str">
        <f t="shared" si="90"/>
        <v>كرمانسيرجان</v>
      </c>
      <c r="B2634" t="s">
        <v>190</v>
      </c>
      <c r="C2634" t="s">
        <v>197</v>
      </c>
      <c r="D2634" t="s">
        <v>477</v>
      </c>
      <c r="E2634">
        <f t="shared" ca="1" si="89"/>
        <v>0.4</v>
      </c>
      <c r="F2634">
        <f>IFERROR(VLOOKUP(H2634,ProfessionalRisk!A:I,9,0),0)</f>
        <v>3728</v>
      </c>
      <c r="G2634">
        <f t="shared" ca="1" si="91"/>
        <v>1491</v>
      </c>
      <c r="H2634" t="s">
        <v>928</v>
      </c>
    </row>
    <row r="2635" spans="1:8">
      <c r="A2635" t="str">
        <f t="shared" si="90"/>
        <v>كرمانسيرجان</v>
      </c>
      <c r="B2635" t="s">
        <v>190</v>
      </c>
      <c r="C2635" t="s">
        <v>197</v>
      </c>
      <c r="D2635" t="s">
        <v>23</v>
      </c>
      <c r="E2635">
        <f t="shared" ca="1" si="89"/>
        <v>1.9251180347130845E-2</v>
      </c>
      <c r="F2635">
        <f>IFERROR(VLOOKUP(H2635,ProfessionalRisk!A:I,9,0),0)</f>
        <v>3728</v>
      </c>
      <c r="G2635">
        <f t="shared" ca="1" si="91"/>
        <v>72</v>
      </c>
      <c r="H2635" t="s">
        <v>928</v>
      </c>
    </row>
    <row r="2636" spans="1:8">
      <c r="A2636" t="str">
        <f t="shared" si="90"/>
        <v>كرمانشهربابك</v>
      </c>
      <c r="B2636" t="s">
        <v>190</v>
      </c>
      <c r="C2636" t="s">
        <v>198</v>
      </c>
      <c r="D2636" t="s">
        <v>19</v>
      </c>
      <c r="E2636">
        <f t="shared" ca="1" si="89"/>
        <v>0.6</v>
      </c>
      <c r="F2636">
        <f>IFERROR(VLOOKUP(H2636,ProfessionalRisk!A:I,9,0),0)</f>
        <v>1102</v>
      </c>
      <c r="G2636">
        <f t="shared" ca="1" si="91"/>
        <v>661</v>
      </c>
      <c r="H2636" t="s">
        <v>930</v>
      </c>
    </row>
    <row r="2637" spans="1:8">
      <c r="A2637" t="str">
        <f t="shared" si="90"/>
        <v>كرمانشهربابك</v>
      </c>
      <c r="B2637" t="s">
        <v>190</v>
      </c>
      <c r="C2637" t="s">
        <v>198</v>
      </c>
      <c r="D2637" t="s">
        <v>477</v>
      </c>
      <c r="E2637">
        <f t="shared" ca="1" si="89"/>
        <v>0.4</v>
      </c>
      <c r="F2637">
        <f>IFERROR(VLOOKUP(H2637,ProfessionalRisk!A:I,9,0),0)</f>
        <v>1102</v>
      </c>
      <c r="G2637">
        <f t="shared" ca="1" si="91"/>
        <v>441</v>
      </c>
      <c r="H2637" t="s">
        <v>930</v>
      </c>
    </row>
    <row r="2638" spans="1:8">
      <c r="A2638" t="str">
        <f t="shared" si="90"/>
        <v>كرمانشهربابك</v>
      </c>
      <c r="B2638" t="s">
        <v>190</v>
      </c>
      <c r="C2638" t="s">
        <v>198</v>
      </c>
      <c r="D2638" t="s">
        <v>23</v>
      </c>
      <c r="E2638">
        <f t="shared" ca="1" si="89"/>
        <v>6.7169533301535212E-3</v>
      </c>
      <c r="F2638">
        <f>IFERROR(VLOOKUP(H2638,ProfessionalRisk!A:I,9,0),0)</f>
        <v>1102</v>
      </c>
      <c r="G2638">
        <f t="shared" ca="1" si="91"/>
        <v>7</v>
      </c>
      <c r="H2638" t="s">
        <v>930</v>
      </c>
    </row>
    <row r="2639" spans="1:8">
      <c r="A2639" t="str">
        <f t="shared" si="90"/>
        <v>كرمانكرمان</v>
      </c>
      <c r="B2639" t="s">
        <v>190</v>
      </c>
      <c r="C2639" t="s">
        <v>190</v>
      </c>
      <c r="D2639" t="s">
        <v>19</v>
      </c>
      <c r="E2639">
        <f t="shared" ca="1" si="89"/>
        <v>0.6</v>
      </c>
      <c r="F2639">
        <f>IFERROR(VLOOKUP(H2639,ProfessionalRisk!A:I,9,0),0)</f>
        <v>20991</v>
      </c>
      <c r="G2639">
        <f t="shared" ca="1" si="91"/>
        <v>12595</v>
      </c>
      <c r="H2639" t="s">
        <v>926</v>
      </c>
    </row>
    <row r="2640" spans="1:8">
      <c r="A2640" t="str">
        <f t="shared" si="90"/>
        <v>كرمانكرمان</v>
      </c>
      <c r="B2640" t="s">
        <v>190</v>
      </c>
      <c r="C2640" t="s">
        <v>190</v>
      </c>
      <c r="D2640" t="s">
        <v>477</v>
      </c>
      <c r="E2640">
        <f t="shared" ca="1" si="89"/>
        <v>0.4</v>
      </c>
      <c r="F2640">
        <f>IFERROR(VLOOKUP(H2640,ProfessionalRisk!A:I,9,0),0)</f>
        <v>20991</v>
      </c>
      <c r="G2640">
        <f t="shared" ca="1" si="91"/>
        <v>8396</v>
      </c>
      <c r="H2640" t="s">
        <v>926</v>
      </c>
    </row>
    <row r="2641" spans="1:8">
      <c r="A2641" t="str">
        <f t="shared" si="90"/>
        <v>كرمانكرمان</v>
      </c>
      <c r="B2641" t="s">
        <v>190</v>
      </c>
      <c r="C2641" t="s">
        <v>190</v>
      </c>
      <c r="D2641" t="s">
        <v>23</v>
      </c>
      <c r="E2641">
        <f t="shared" ca="1" si="89"/>
        <v>1.5854200391356474E-2</v>
      </c>
      <c r="F2641">
        <f>IFERROR(VLOOKUP(H2641,ProfessionalRisk!A:I,9,0),0)</f>
        <v>20991</v>
      </c>
      <c r="G2641">
        <f t="shared" ca="1" si="91"/>
        <v>333</v>
      </c>
      <c r="H2641" t="s">
        <v>926</v>
      </c>
    </row>
    <row r="2642" spans="1:8">
      <c r="A2642" t="str">
        <f t="shared" si="90"/>
        <v>كرمانكهنوج</v>
      </c>
      <c r="B2642" t="s">
        <v>190</v>
      </c>
      <c r="C2642" t="s">
        <v>199</v>
      </c>
      <c r="D2642" t="s">
        <v>19</v>
      </c>
      <c r="E2642">
        <f t="shared" ca="1" si="89"/>
        <v>0.6</v>
      </c>
      <c r="F2642">
        <f>IFERROR(VLOOKUP(H2642,ProfessionalRisk!A:I,9,0),0)</f>
        <v>1034</v>
      </c>
      <c r="G2642">
        <f t="shared" ca="1" si="91"/>
        <v>620</v>
      </c>
      <c r="H2642" t="s">
        <v>932</v>
      </c>
    </row>
    <row r="2643" spans="1:8">
      <c r="A2643" t="str">
        <f t="shared" si="90"/>
        <v>كرمانكهنوج</v>
      </c>
      <c r="B2643" t="s">
        <v>190</v>
      </c>
      <c r="C2643" t="s">
        <v>199</v>
      </c>
      <c r="D2643" t="s">
        <v>477</v>
      </c>
      <c r="E2643">
        <f t="shared" ca="1" si="89"/>
        <v>0.4</v>
      </c>
      <c r="F2643">
        <f>IFERROR(VLOOKUP(H2643,ProfessionalRisk!A:I,9,0),0)</f>
        <v>1034</v>
      </c>
      <c r="G2643">
        <f t="shared" ca="1" si="91"/>
        <v>414</v>
      </c>
      <c r="H2643" t="s">
        <v>932</v>
      </c>
    </row>
    <row r="2644" spans="1:8">
      <c r="A2644" t="str">
        <f t="shared" si="90"/>
        <v>كرمانكهنوج</v>
      </c>
      <c r="B2644" t="s">
        <v>190</v>
      </c>
      <c r="C2644" t="s">
        <v>199</v>
      </c>
      <c r="D2644" t="s">
        <v>23</v>
      </c>
      <c r="E2644">
        <f t="shared" ca="1" si="89"/>
        <v>1.1685119857219086E-2</v>
      </c>
      <c r="F2644">
        <f>IFERROR(VLOOKUP(H2644,ProfessionalRisk!A:I,9,0),0)</f>
        <v>1034</v>
      </c>
      <c r="G2644">
        <f t="shared" ca="1" si="91"/>
        <v>12</v>
      </c>
      <c r="H2644" t="s">
        <v>932</v>
      </c>
    </row>
    <row r="2645" spans="1:8">
      <c r="A2645" t="str">
        <f t="shared" si="90"/>
        <v>كرمانبردسير</v>
      </c>
      <c r="B2645" t="s">
        <v>190</v>
      </c>
      <c r="C2645" t="s">
        <v>200</v>
      </c>
      <c r="D2645" t="s">
        <v>19</v>
      </c>
      <c r="E2645">
        <f t="shared" ca="1" si="89"/>
        <v>0.6</v>
      </c>
      <c r="F2645">
        <f>IFERROR(VLOOKUP(H2645,ProfessionalRisk!A:I,9,0),0)</f>
        <v>1348</v>
      </c>
      <c r="G2645">
        <f t="shared" ca="1" si="91"/>
        <v>809</v>
      </c>
      <c r="H2645" t="s">
        <v>915</v>
      </c>
    </row>
    <row r="2646" spans="1:8">
      <c r="A2646" t="str">
        <f t="shared" si="90"/>
        <v>كرمانبردسير</v>
      </c>
      <c r="B2646" t="s">
        <v>190</v>
      </c>
      <c r="C2646" t="s">
        <v>200</v>
      </c>
      <c r="D2646" t="s">
        <v>477</v>
      </c>
      <c r="E2646">
        <f t="shared" ca="1" si="89"/>
        <v>0.4</v>
      </c>
      <c r="F2646">
        <f>IFERROR(VLOOKUP(H2646,ProfessionalRisk!A:I,9,0),0)</f>
        <v>1348</v>
      </c>
      <c r="G2646">
        <f t="shared" ca="1" si="91"/>
        <v>539</v>
      </c>
      <c r="H2646" t="s">
        <v>915</v>
      </c>
    </row>
    <row r="2647" spans="1:8">
      <c r="A2647" t="str">
        <f t="shared" si="90"/>
        <v>كرمانبردسير</v>
      </c>
      <c r="B2647" t="s">
        <v>190</v>
      </c>
      <c r="C2647" t="s">
        <v>200</v>
      </c>
      <c r="D2647" t="s">
        <v>23</v>
      </c>
      <c r="E2647">
        <f t="shared" ca="1" si="89"/>
        <v>1.1880290142976041E-2</v>
      </c>
      <c r="F2647">
        <f>IFERROR(VLOOKUP(H2647,ProfessionalRisk!A:I,9,0),0)</f>
        <v>1348</v>
      </c>
      <c r="G2647">
        <f t="shared" ca="1" si="91"/>
        <v>16</v>
      </c>
      <c r="H2647" t="s">
        <v>915</v>
      </c>
    </row>
    <row r="2648" spans="1:8">
      <c r="A2648" t="str">
        <f t="shared" si="90"/>
        <v>كرمانراور</v>
      </c>
      <c r="B2648" t="s">
        <v>190</v>
      </c>
      <c r="C2648" t="s">
        <v>201</v>
      </c>
      <c r="D2648" t="s">
        <v>19</v>
      </c>
      <c r="E2648">
        <f t="shared" ca="1" si="89"/>
        <v>0.6</v>
      </c>
      <c r="F2648">
        <f>IFERROR(VLOOKUP(H2648,ProfessionalRisk!A:I,9,0),0)</f>
        <v>715</v>
      </c>
      <c r="G2648">
        <f t="shared" ca="1" si="91"/>
        <v>429</v>
      </c>
      <c r="H2648" t="s">
        <v>929</v>
      </c>
    </row>
    <row r="2649" spans="1:8">
      <c r="A2649" t="str">
        <f t="shared" si="90"/>
        <v>كرمانراور</v>
      </c>
      <c r="B2649" t="s">
        <v>190</v>
      </c>
      <c r="C2649" t="s">
        <v>201</v>
      </c>
      <c r="D2649" t="s">
        <v>477</v>
      </c>
      <c r="E2649">
        <f t="shared" ca="1" si="89"/>
        <v>0.4</v>
      </c>
      <c r="F2649">
        <f>IFERROR(VLOOKUP(H2649,ProfessionalRisk!A:I,9,0),0)</f>
        <v>715</v>
      </c>
      <c r="G2649">
        <f t="shared" ca="1" si="91"/>
        <v>286</v>
      </c>
      <c r="H2649" t="s">
        <v>929</v>
      </c>
    </row>
    <row r="2650" spans="1:8">
      <c r="A2650" t="str">
        <f t="shared" si="90"/>
        <v>كرمانراور</v>
      </c>
      <c r="B2650" t="s">
        <v>190</v>
      </c>
      <c r="C2650" t="s">
        <v>201</v>
      </c>
      <c r="D2650" t="s">
        <v>23</v>
      </c>
      <c r="E2650">
        <f t="shared" ca="1" si="89"/>
        <v>1.0193175776508738E-2</v>
      </c>
      <c r="F2650">
        <f>IFERROR(VLOOKUP(H2650,ProfessionalRisk!A:I,9,0),0)</f>
        <v>715</v>
      </c>
      <c r="G2650">
        <f t="shared" ca="1" si="91"/>
        <v>7</v>
      </c>
      <c r="H2650" t="s">
        <v>929</v>
      </c>
    </row>
    <row r="2651" spans="1:8">
      <c r="A2651" t="str">
        <f t="shared" si="90"/>
        <v>كرمانعنبرآباد</v>
      </c>
      <c r="B2651" t="s">
        <v>190</v>
      </c>
      <c r="C2651" t="s">
        <v>202</v>
      </c>
      <c r="D2651" t="s">
        <v>19</v>
      </c>
      <c r="E2651">
        <f t="shared" ca="1" si="89"/>
        <v>0.6</v>
      </c>
      <c r="F2651">
        <f>IFERROR(VLOOKUP(H2651,ProfessionalRisk!A:I,9,0),0)</f>
        <v>481</v>
      </c>
      <c r="G2651">
        <f t="shared" ca="1" si="91"/>
        <v>289</v>
      </c>
      <c r="H2651" t="s">
        <v>910</v>
      </c>
    </row>
    <row r="2652" spans="1:8">
      <c r="A2652" t="str">
        <f t="shared" si="90"/>
        <v>كرمانعنبرآباد</v>
      </c>
      <c r="B2652" t="s">
        <v>190</v>
      </c>
      <c r="C2652" t="s">
        <v>202</v>
      </c>
      <c r="D2652" t="s">
        <v>477</v>
      </c>
      <c r="E2652">
        <f t="shared" ca="1" si="89"/>
        <v>0.4</v>
      </c>
      <c r="F2652">
        <f>IFERROR(VLOOKUP(H2652,ProfessionalRisk!A:I,9,0),0)</f>
        <v>481</v>
      </c>
      <c r="G2652">
        <f t="shared" ca="1" si="91"/>
        <v>192</v>
      </c>
      <c r="H2652" t="s">
        <v>910</v>
      </c>
    </row>
    <row r="2653" spans="1:8">
      <c r="A2653" t="str">
        <f t="shared" si="90"/>
        <v>كرمانعنبرآباد</v>
      </c>
      <c r="B2653" t="s">
        <v>190</v>
      </c>
      <c r="C2653" t="s">
        <v>202</v>
      </c>
      <c r="D2653" t="s">
        <v>23</v>
      </c>
      <c r="E2653">
        <f t="shared" ca="1" si="89"/>
        <v>9.7143567467805527E-3</v>
      </c>
      <c r="F2653">
        <f>IFERROR(VLOOKUP(H2653,ProfessionalRisk!A:I,9,0),0)</f>
        <v>481</v>
      </c>
      <c r="G2653">
        <f t="shared" ca="1" si="91"/>
        <v>5</v>
      </c>
      <c r="H2653" t="s">
        <v>910</v>
      </c>
    </row>
    <row r="2654" spans="1:8">
      <c r="A2654" t="str">
        <f t="shared" si="90"/>
        <v>كرمانمنوجان</v>
      </c>
      <c r="B2654" t="s">
        <v>190</v>
      </c>
      <c r="C2654" t="s">
        <v>203</v>
      </c>
      <c r="D2654" t="s">
        <v>19</v>
      </c>
      <c r="E2654">
        <f t="shared" ca="1" si="89"/>
        <v>0.6</v>
      </c>
      <c r="F2654">
        <f>IFERROR(VLOOKUP(H2654,ProfessionalRisk!A:I,9,0),0)</f>
        <v>566</v>
      </c>
      <c r="G2654">
        <f t="shared" ca="1" si="91"/>
        <v>340</v>
      </c>
      <c r="H2654" t="s">
        <v>916</v>
      </c>
    </row>
    <row r="2655" spans="1:8">
      <c r="A2655" t="str">
        <f t="shared" si="90"/>
        <v>كرمانمنوجان</v>
      </c>
      <c r="B2655" t="s">
        <v>190</v>
      </c>
      <c r="C2655" t="s">
        <v>203</v>
      </c>
      <c r="D2655" t="s">
        <v>477</v>
      </c>
      <c r="E2655">
        <f t="shared" ca="1" si="89"/>
        <v>0.4</v>
      </c>
      <c r="F2655">
        <f>IFERROR(VLOOKUP(H2655,ProfessionalRisk!A:I,9,0),0)</f>
        <v>566</v>
      </c>
      <c r="G2655">
        <f t="shared" ca="1" si="91"/>
        <v>226</v>
      </c>
      <c r="H2655" t="s">
        <v>916</v>
      </c>
    </row>
    <row r="2656" spans="1:8">
      <c r="A2656" t="str">
        <f t="shared" si="90"/>
        <v>كرمانمنوجان</v>
      </c>
      <c r="B2656" t="s">
        <v>190</v>
      </c>
      <c r="C2656" t="s">
        <v>203</v>
      </c>
      <c r="D2656" t="s">
        <v>23</v>
      </c>
      <c r="E2656">
        <f t="shared" ca="1" si="89"/>
        <v>1.7222151851068263E-2</v>
      </c>
      <c r="F2656">
        <f>IFERROR(VLOOKUP(H2656,ProfessionalRisk!A:I,9,0),0)</f>
        <v>566</v>
      </c>
      <c r="G2656">
        <f t="shared" ca="1" si="91"/>
        <v>10</v>
      </c>
      <c r="H2656" t="s">
        <v>916</v>
      </c>
    </row>
    <row r="2657" spans="1:8">
      <c r="A2657" t="str">
        <f t="shared" si="90"/>
        <v>كرمانكوهبنان</v>
      </c>
      <c r="B2657" t="s">
        <v>190</v>
      </c>
      <c r="C2657" t="s">
        <v>204</v>
      </c>
      <c r="D2657" t="s">
        <v>19</v>
      </c>
      <c r="E2657">
        <f t="shared" ca="1" si="89"/>
        <v>0.6</v>
      </c>
      <c r="F2657">
        <f>IFERROR(VLOOKUP(H2657,ProfessionalRisk!A:I,9,0),0)</f>
        <v>279</v>
      </c>
      <c r="G2657">
        <f t="shared" ca="1" si="91"/>
        <v>167</v>
      </c>
      <c r="H2657" t="s">
        <v>912</v>
      </c>
    </row>
    <row r="2658" spans="1:8">
      <c r="A2658" t="str">
        <f t="shared" si="90"/>
        <v>كرمانكوهبنان</v>
      </c>
      <c r="B2658" t="s">
        <v>190</v>
      </c>
      <c r="C2658" t="s">
        <v>204</v>
      </c>
      <c r="D2658" t="s">
        <v>477</v>
      </c>
      <c r="E2658">
        <f t="shared" ca="1" si="89"/>
        <v>0.4</v>
      </c>
      <c r="F2658">
        <f>IFERROR(VLOOKUP(H2658,ProfessionalRisk!A:I,9,0),0)</f>
        <v>279</v>
      </c>
      <c r="G2658">
        <f t="shared" ca="1" si="91"/>
        <v>112</v>
      </c>
      <c r="H2658" t="s">
        <v>912</v>
      </c>
    </row>
    <row r="2659" spans="1:8">
      <c r="A2659" t="str">
        <f t="shared" si="90"/>
        <v>كرمانكوهبنان</v>
      </c>
      <c r="B2659" t="s">
        <v>190</v>
      </c>
      <c r="C2659" t="s">
        <v>204</v>
      </c>
      <c r="D2659" t="s">
        <v>23</v>
      </c>
      <c r="E2659">
        <f t="shared" ref="E2659:E2722" ca="1" si="92">IF(D2659="AP",0.6,IF(D2659="BP",0.4,RAND()*0.02))</f>
        <v>3.6134703427693495E-3</v>
      </c>
      <c r="F2659">
        <f>IFERROR(VLOOKUP(H2659,ProfessionalRisk!A:I,9,0),0)</f>
        <v>279</v>
      </c>
      <c r="G2659">
        <f t="shared" ca="1" si="91"/>
        <v>1</v>
      </c>
      <c r="H2659" t="s">
        <v>912</v>
      </c>
    </row>
    <row r="2660" spans="1:8">
      <c r="A2660" t="str">
        <f t="shared" si="90"/>
        <v>كرمانرودبارجنوب</v>
      </c>
      <c r="B2660" t="s">
        <v>190</v>
      </c>
      <c r="C2660" t="s">
        <v>205</v>
      </c>
      <c r="D2660" t="s">
        <v>19</v>
      </c>
      <c r="E2660">
        <f t="shared" ca="1" si="92"/>
        <v>0.6</v>
      </c>
      <c r="F2660">
        <f>IFERROR(VLOOKUP(H2660,ProfessionalRisk!A:I,9,0),0)</f>
        <v>368</v>
      </c>
      <c r="G2660">
        <f t="shared" ca="1" si="91"/>
        <v>221</v>
      </c>
      <c r="H2660" t="s">
        <v>919</v>
      </c>
    </row>
    <row r="2661" spans="1:8">
      <c r="A2661" t="str">
        <f t="shared" si="90"/>
        <v>كرمانرودبارجنوب</v>
      </c>
      <c r="B2661" t="s">
        <v>190</v>
      </c>
      <c r="C2661" t="s">
        <v>205</v>
      </c>
      <c r="D2661" t="s">
        <v>477</v>
      </c>
      <c r="E2661">
        <f t="shared" ca="1" si="92"/>
        <v>0.4</v>
      </c>
      <c r="F2661">
        <f>IFERROR(VLOOKUP(H2661,ProfessionalRisk!A:I,9,0),0)</f>
        <v>368</v>
      </c>
      <c r="G2661">
        <f t="shared" ca="1" si="91"/>
        <v>147</v>
      </c>
      <c r="H2661" t="s">
        <v>919</v>
      </c>
    </row>
    <row r="2662" spans="1:8">
      <c r="A2662" t="str">
        <f t="shared" si="90"/>
        <v>كرمانرودبارجنوب</v>
      </c>
      <c r="B2662" t="s">
        <v>190</v>
      </c>
      <c r="C2662" t="s">
        <v>205</v>
      </c>
      <c r="D2662" t="s">
        <v>23</v>
      </c>
      <c r="E2662">
        <f t="shared" ca="1" si="92"/>
        <v>1.3129253608536468E-2</v>
      </c>
      <c r="F2662">
        <f>IFERROR(VLOOKUP(H2662,ProfessionalRisk!A:I,9,0),0)</f>
        <v>368</v>
      </c>
      <c r="G2662">
        <f t="shared" ca="1" si="91"/>
        <v>5</v>
      </c>
      <c r="H2662" t="s">
        <v>919</v>
      </c>
    </row>
    <row r="2663" spans="1:8">
      <c r="A2663" t="str">
        <f t="shared" si="90"/>
        <v>كرمانقلعه گنج</v>
      </c>
      <c r="B2663" t="s">
        <v>190</v>
      </c>
      <c r="C2663" t="s">
        <v>206</v>
      </c>
      <c r="D2663" t="s">
        <v>19</v>
      </c>
      <c r="E2663">
        <f t="shared" ca="1" si="92"/>
        <v>0.6</v>
      </c>
      <c r="F2663">
        <f>IFERROR(VLOOKUP(H2663,ProfessionalRisk!A:I,9,0),0)</f>
        <v>543</v>
      </c>
      <c r="G2663">
        <f t="shared" ca="1" si="91"/>
        <v>326</v>
      </c>
      <c r="H2663" t="s">
        <v>914</v>
      </c>
    </row>
    <row r="2664" spans="1:8">
      <c r="A2664" t="str">
        <f t="shared" si="90"/>
        <v>كرمانقلعه گنج</v>
      </c>
      <c r="B2664" t="s">
        <v>190</v>
      </c>
      <c r="C2664" t="s">
        <v>206</v>
      </c>
      <c r="D2664" t="s">
        <v>477</v>
      </c>
      <c r="E2664">
        <f t="shared" ca="1" si="92"/>
        <v>0.4</v>
      </c>
      <c r="F2664">
        <f>IFERROR(VLOOKUP(H2664,ProfessionalRisk!A:I,9,0),0)</f>
        <v>543</v>
      </c>
      <c r="G2664">
        <f t="shared" ca="1" si="91"/>
        <v>217</v>
      </c>
      <c r="H2664" t="s">
        <v>914</v>
      </c>
    </row>
    <row r="2665" spans="1:8">
      <c r="A2665" t="str">
        <f t="shared" si="90"/>
        <v>كرمانقلعه گنج</v>
      </c>
      <c r="B2665" t="s">
        <v>190</v>
      </c>
      <c r="C2665" t="s">
        <v>206</v>
      </c>
      <c r="D2665" t="s">
        <v>23</v>
      </c>
      <c r="E2665">
        <f t="shared" ca="1" si="92"/>
        <v>1.2262406407193477E-2</v>
      </c>
      <c r="F2665">
        <f>IFERROR(VLOOKUP(H2665,ProfessionalRisk!A:I,9,0),0)</f>
        <v>543</v>
      </c>
      <c r="G2665">
        <f t="shared" ca="1" si="91"/>
        <v>7</v>
      </c>
      <c r="H2665" t="s">
        <v>914</v>
      </c>
    </row>
    <row r="2666" spans="1:8">
      <c r="A2666" t="str">
        <f t="shared" si="90"/>
        <v>كرمانريگان</v>
      </c>
      <c r="B2666" t="s">
        <v>190</v>
      </c>
      <c r="C2666" t="s">
        <v>207</v>
      </c>
      <c r="D2666" t="s">
        <v>19</v>
      </c>
      <c r="E2666">
        <f t="shared" ca="1" si="92"/>
        <v>0.6</v>
      </c>
      <c r="F2666">
        <f>IFERROR(VLOOKUP(H2666,ProfessionalRisk!A:I,9,0),0)</f>
        <v>378</v>
      </c>
      <c r="G2666">
        <f t="shared" ca="1" si="91"/>
        <v>227</v>
      </c>
      <c r="H2666" t="s">
        <v>918</v>
      </c>
    </row>
    <row r="2667" spans="1:8">
      <c r="A2667" t="str">
        <f t="shared" si="90"/>
        <v>كرمانريگان</v>
      </c>
      <c r="B2667" t="s">
        <v>190</v>
      </c>
      <c r="C2667" t="s">
        <v>207</v>
      </c>
      <c r="D2667" t="s">
        <v>477</v>
      </c>
      <c r="E2667">
        <f t="shared" ca="1" si="92"/>
        <v>0.4</v>
      </c>
      <c r="F2667">
        <f>IFERROR(VLOOKUP(H2667,ProfessionalRisk!A:I,9,0),0)</f>
        <v>378</v>
      </c>
      <c r="G2667">
        <f t="shared" ca="1" si="91"/>
        <v>151</v>
      </c>
      <c r="H2667" t="s">
        <v>918</v>
      </c>
    </row>
    <row r="2668" spans="1:8">
      <c r="A2668" t="str">
        <f t="shared" si="90"/>
        <v>كرمانريگان</v>
      </c>
      <c r="B2668" t="s">
        <v>190</v>
      </c>
      <c r="C2668" t="s">
        <v>207</v>
      </c>
      <c r="D2668" t="s">
        <v>23</v>
      </c>
      <c r="E2668">
        <f t="shared" ca="1" si="92"/>
        <v>1.0667360816977268E-2</v>
      </c>
      <c r="F2668">
        <f>IFERROR(VLOOKUP(H2668,ProfessionalRisk!A:I,9,0),0)</f>
        <v>378</v>
      </c>
      <c r="G2668">
        <f t="shared" ca="1" si="91"/>
        <v>4</v>
      </c>
      <c r="H2668" t="s">
        <v>918</v>
      </c>
    </row>
    <row r="2669" spans="1:8">
      <c r="A2669" t="str">
        <f t="shared" si="90"/>
        <v>كرمانرابر</v>
      </c>
      <c r="B2669" t="s">
        <v>190</v>
      </c>
      <c r="C2669" t="s">
        <v>208</v>
      </c>
      <c r="D2669" t="s">
        <v>19</v>
      </c>
      <c r="E2669">
        <f t="shared" ca="1" si="92"/>
        <v>0.6</v>
      </c>
      <c r="F2669">
        <f>IFERROR(VLOOKUP(H2669,ProfessionalRisk!A:I,9,0),0)</f>
        <v>320</v>
      </c>
      <c r="G2669">
        <f t="shared" ca="1" si="91"/>
        <v>192</v>
      </c>
      <c r="H2669" t="s">
        <v>924</v>
      </c>
    </row>
    <row r="2670" spans="1:8">
      <c r="A2670" t="str">
        <f t="shared" si="90"/>
        <v>كرمانرابر</v>
      </c>
      <c r="B2670" t="s">
        <v>190</v>
      </c>
      <c r="C2670" t="s">
        <v>208</v>
      </c>
      <c r="D2670" t="s">
        <v>477</v>
      </c>
      <c r="E2670">
        <f t="shared" ca="1" si="92"/>
        <v>0.4</v>
      </c>
      <c r="F2670">
        <f>IFERROR(VLOOKUP(H2670,ProfessionalRisk!A:I,9,0),0)</f>
        <v>320</v>
      </c>
      <c r="G2670">
        <f t="shared" ca="1" si="91"/>
        <v>128</v>
      </c>
      <c r="H2670" t="s">
        <v>924</v>
      </c>
    </row>
    <row r="2671" spans="1:8">
      <c r="A2671" t="str">
        <f t="shared" si="90"/>
        <v>كرمانرابر</v>
      </c>
      <c r="B2671" t="s">
        <v>190</v>
      </c>
      <c r="C2671" t="s">
        <v>208</v>
      </c>
      <c r="D2671" t="s">
        <v>23</v>
      </c>
      <c r="E2671">
        <f t="shared" ca="1" si="92"/>
        <v>6.7709061289554966E-3</v>
      </c>
      <c r="F2671">
        <f>IFERROR(VLOOKUP(H2671,ProfessionalRisk!A:I,9,0),0)</f>
        <v>320</v>
      </c>
      <c r="G2671">
        <f t="shared" ca="1" si="91"/>
        <v>2</v>
      </c>
      <c r="H2671" t="s">
        <v>924</v>
      </c>
    </row>
    <row r="2672" spans="1:8">
      <c r="A2672" t="str">
        <f t="shared" si="90"/>
        <v>كرمانفهرج</v>
      </c>
      <c r="B2672" t="s">
        <v>190</v>
      </c>
      <c r="C2672" t="s">
        <v>209</v>
      </c>
      <c r="D2672" t="s">
        <v>19</v>
      </c>
      <c r="E2672">
        <f t="shared" ca="1" si="92"/>
        <v>0.6</v>
      </c>
      <c r="F2672">
        <f>IFERROR(VLOOKUP(H2672,ProfessionalRisk!A:I,9,0),0)</f>
        <v>265</v>
      </c>
      <c r="G2672">
        <f t="shared" ca="1" si="91"/>
        <v>159</v>
      </c>
      <c r="H2672" t="s">
        <v>920</v>
      </c>
    </row>
    <row r="2673" spans="1:8">
      <c r="A2673" t="str">
        <f t="shared" si="90"/>
        <v>كرمانفهرج</v>
      </c>
      <c r="B2673" t="s">
        <v>190</v>
      </c>
      <c r="C2673" t="s">
        <v>209</v>
      </c>
      <c r="D2673" t="s">
        <v>477</v>
      </c>
      <c r="E2673">
        <f t="shared" ca="1" si="92"/>
        <v>0.4</v>
      </c>
      <c r="F2673">
        <f>IFERROR(VLOOKUP(H2673,ProfessionalRisk!A:I,9,0),0)</f>
        <v>265</v>
      </c>
      <c r="G2673">
        <f t="shared" ca="1" si="91"/>
        <v>106</v>
      </c>
      <c r="H2673" t="s">
        <v>920</v>
      </c>
    </row>
    <row r="2674" spans="1:8">
      <c r="A2674" t="str">
        <f t="shared" si="90"/>
        <v>كرمانفهرج</v>
      </c>
      <c r="B2674" t="s">
        <v>190</v>
      </c>
      <c r="C2674" t="s">
        <v>209</v>
      </c>
      <c r="D2674" t="s">
        <v>23</v>
      </c>
      <c r="E2674">
        <f t="shared" ca="1" si="92"/>
        <v>1.0274915196393597E-2</v>
      </c>
      <c r="F2674">
        <f>IFERROR(VLOOKUP(H2674,ProfessionalRisk!A:I,9,0),0)</f>
        <v>265</v>
      </c>
      <c r="G2674">
        <f t="shared" ca="1" si="91"/>
        <v>3</v>
      </c>
      <c r="H2674" t="s">
        <v>920</v>
      </c>
    </row>
    <row r="2675" spans="1:8">
      <c r="A2675" t="str">
        <f t="shared" si="90"/>
        <v>كرمانانار</v>
      </c>
      <c r="B2675" t="s">
        <v>190</v>
      </c>
      <c r="C2675" t="s">
        <v>210</v>
      </c>
      <c r="D2675" t="s">
        <v>19</v>
      </c>
      <c r="E2675">
        <f t="shared" ca="1" si="92"/>
        <v>0.6</v>
      </c>
      <c r="F2675">
        <f>IFERROR(VLOOKUP(H2675,ProfessionalRisk!A:I,9,0),0)</f>
        <v>487</v>
      </c>
      <c r="G2675">
        <f t="shared" ca="1" si="91"/>
        <v>292</v>
      </c>
      <c r="H2675" t="s">
        <v>913</v>
      </c>
    </row>
    <row r="2676" spans="1:8">
      <c r="A2676" t="str">
        <f t="shared" si="90"/>
        <v>كرمانانار</v>
      </c>
      <c r="B2676" t="s">
        <v>190</v>
      </c>
      <c r="C2676" t="s">
        <v>210</v>
      </c>
      <c r="D2676" t="s">
        <v>477</v>
      </c>
      <c r="E2676">
        <f t="shared" ca="1" si="92"/>
        <v>0.4</v>
      </c>
      <c r="F2676">
        <f>IFERROR(VLOOKUP(H2676,ProfessionalRisk!A:I,9,0),0)</f>
        <v>487</v>
      </c>
      <c r="G2676">
        <f t="shared" ca="1" si="91"/>
        <v>195</v>
      </c>
      <c r="H2676" t="s">
        <v>913</v>
      </c>
    </row>
    <row r="2677" spans="1:8">
      <c r="A2677" t="str">
        <f t="shared" si="90"/>
        <v>كرمانانار</v>
      </c>
      <c r="B2677" t="s">
        <v>190</v>
      </c>
      <c r="C2677" t="s">
        <v>210</v>
      </c>
      <c r="D2677" t="s">
        <v>23</v>
      </c>
      <c r="E2677">
        <f t="shared" ca="1" si="92"/>
        <v>1.9106814529417978E-2</v>
      </c>
      <c r="F2677">
        <f>IFERROR(VLOOKUP(H2677,ProfessionalRisk!A:I,9,0),0)</f>
        <v>487</v>
      </c>
      <c r="G2677">
        <f t="shared" ca="1" si="91"/>
        <v>9</v>
      </c>
      <c r="H2677" t="s">
        <v>913</v>
      </c>
    </row>
    <row r="2678" spans="1:8">
      <c r="A2678" t="str">
        <f t="shared" si="90"/>
        <v>كرماننرماشير</v>
      </c>
      <c r="B2678" t="s">
        <v>190</v>
      </c>
      <c r="C2678" t="s">
        <v>211</v>
      </c>
      <c r="D2678" t="s">
        <v>19</v>
      </c>
      <c r="E2678">
        <f t="shared" ca="1" si="92"/>
        <v>0.6</v>
      </c>
      <c r="F2678">
        <f>IFERROR(VLOOKUP(H2678,ProfessionalRisk!A:I,9,0),0)</f>
        <v>426</v>
      </c>
      <c r="G2678">
        <f t="shared" ca="1" si="91"/>
        <v>256</v>
      </c>
      <c r="H2678" t="s">
        <v>927</v>
      </c>
    </row>
    <row r="2679" spans="1:8">
      <c r="A2679" t="str">
        <f t="shared" si="90"/>
        <v>كرماننرماشير</v>
      </c>
      <c r="B2679" t="s">
        <v>190</v>
      </c>
      <c r="C2679" t="s">
        <v>211</v>
      </c>
      <c r="D2679" t="s">
        <v>477</v>
      </c>
      <c r="E2679">
        <f t="shared" ca="1" si="92"/>
        <v>0.4</v>
      </c>
      <c r="F2679">
        <f>IFERROR(VLOOKUP(H2679,ProfessionalRisk!A:I,9,0),0)</f>
        <v>426</v>
      </c>
      <c r="G2679">
        <f t="shared" ca="1" si="91"/>
        <v>170</v>
      </c>
      <c r="H2679" t="s">
        <v>927</v>
      </c>
    </row>
    <row r="2680" spans="1:8">
      <c r="A2680" t="str">
        <f t="shared" si="90"/>
        <v>كرماننرماشير</v>
      </c>
      <c r="B2680" t="s">
        <v>190</v>
      </c>
      <c r="C2680" t="s">
        <v>211</v>
      </c>
      <c r="D2680" t="s">
        <v>23</v>
      </c>
      <c r="E2680">
        <f t="shared" ca="1" si="92"/>
        <v>1.5682804745949491E-2</v>
      </c>
      <c r="F2680">
        <f>IFERROR(VLOOKUP(H2680,ProfessionalRisk!A:I,9,0),0)</f>
        <v>426</v>
      </c>
      <c r="G2680">
        <f t="shared" ca="1" si="91"/>
        <v>7</v>
      </c>
      <c r="H2680" t="s">
        <v>927</v>
      </c>
    </row>
    <row r="2681" spans="1:8">
      <c r="A2681" t="str">
        <f t="shared" si="90"/>
        <v>كرمانفارياب</v>
      </c>
      <c r="B2681" t="s">
        <v>190</v>
      </c>
      <c r="C2681" t="s">
        <v>212</v>
      </c>
      <c r="D2681" t="s">
        <v>19</v>
      </c>
      <c r="E2681">
        <f t="shared" ca="1" si="92"/>
        <v>0.6</v>
      </c>
      <c r="F2681">
        <f>IFERROR(VLOOKUP(H2681,ProfessionalRisk!A:I,9,0),0)</f>
        <v>151</v>
      </c>
      <c r="G2681">
        <f t="shared" ca="1" si="91"/>
        <v>91</v>
      </c>
      <c r="H2681" t="s">
        <v>922</v>
      </c>
    </row>
    <row r="2682" spans="1:8">
      <c r="A2682" t="str">
        <f t="shared" si="90"/>
        <v>كرمانفارياب</v>
      </c>
      <c r="B2682" t="s">
        <v>190</v>
      </c>
      <c r="C2682" t="s">
        <v>212</v>
      </c>
      <c r="D2682" t="s">
        <v>477</v>
      </c>
      <c r="E2682">
        <f t="shared" ca="1" si="92"/>
        <v>0.4</v>
      </c>
      <c r="F2682">
        <f>IFERROR(VLOOKUP(H2682,ProfessionalRisk!A:I,9,0),0)</f>
        <v>151</v>
      </c>
      <c r="G2682">
        <f t="shared" ca="1" si="91"/>
        <v>60</v>
      </c>
      <c r="H2682" t="s">
        <v>922</v>
      </c>
    </row>
    <row r="2683" spans="1:8">
      <c r="A2683" t="str">
        <f t="shared" si="90"/>
        <v>كرمانفارياب</v>
      </c>
      <c r="B2683" t="s">
        <v>190</v>
      </c>
      <c r="C2683" t="s">
        <v>212</v>
      </c>
      <c r="D2683" t="s">
        <v>23</v>
      </c>
      <c r="E2683">
        <f t="shared" ca="1" si="92"/>
        <v>3.7946409079531998E-3</v>
      </c>
      <c r="F2683">
        <f>IFERROR(VLOOKUP(H2683,ProfessionalRisk!A:I,9,0),0)</f>
        <v>151</v>
      </c>
      <c r="G2683">
        <f t="shared" ca="1" si="91"/>
        <v>1</v>
      </c>
      <c r="H2683" t="s">
        <v>922</v>
      </c>
    </row>
    <row r="2684" spans="1:8">
      <c r="A2684" t="str">
        <f t="shared" si="90"/>
        <v>كرمانارزوئيه</v>
      </c>
      <c r="B2684" t="s">
        <v>190</v>
      </c>
      <c r="C2684" t="s">
        <v>214</v>
      </c>
      <c r="D2684" t="s">
        <v>19</v>
      </c>
      <c r="E2684">
        <f t="shared" ca="1" si="92"/>
        <v>0.6</v>
      </c>
      <c r="F2684">
        <f>IFERROR(VLOOKUP(H2684,ProfessionalRisk!A:I,9,0),0)</f>
        <v>481</v>
      </c>
      <c r="G2684">
        <f t="shared" ca="1" si="91"/>
        <v>289</v>
      </c>
      <c r="H2684" t="s">
        <v>933</v>
      </c>
    </row>
    <row r="2685" spans="1:8">
      <c r="A2685" t="str">
        <f t="shared" si="90"/>
        <v>كرمانارزوئيه</v>
      </c>
      <c r="B2685" t="s">
        <v>190</v>
      </c>
      <c r="C2685" t="s">
        <v>214</v>
      </c>
      <c r="D2685" t="s">
        <v>477</v>
      </c>
      <c r="E2685">
        <f t="shared" ca="1" si="92"/>
        <v>0.4</v>
      </c>
      <c r="F2685">
        <f>IFERROR(VLOOKUP(H2685,ProfessionalRisk!A:I,9,0),0)</f>
        <v>481</v>
      </c>
      <c r="G2685">
        <f t="shared" ca="1" si="91"/>
        <v>192</v>
      </c>
      <c r="H2685" t="s">
        <v>933</v>
      </c>
    </row>
    <row r="2686" spans="1:8">
      <c r="A2686" t="str">
        <f t="shared" si="90"/>
        <v>كرمانارزوئيه</v>
      </c>
      <c r="B2686" t="s">
        <v>190</v>
      </c>
      <c r="C2686" t="s">
        <v>214</v>
      </c>
      <c r="D2686" t="s">
        <v>23</v>
      </c>
      <c r="E2686">
        <f t="shared" ca="1" si="92"/>
        <v>4.6242763964863751E-3</v>
      </c>
      <c r="F2686">
        <f>IFERROR(VLOOKUP(H2686,ProfessionalRisk!A:I,9,0),0)</f>
        <v>481</v>
      </c>
      <c r="G2686">
        <f t="shared" ca="1" si="91"/>
        <v>2</v>
      </c>
      <c r="H2686" t="s">
        <v>933</v>
      </c>
    </row>
    <row r="2687" spans="1:8">
      <c r="A2687" t="str">
        <f t="shared" si="90"/>
        <v>خراسان رضوئتايباد</v>
      </c>
      <c r="B2687" t="s">
        <v>213</v>
      </c>
      <c r="C2687" t="s">
        <v>215</v>
      </c>
      <c r="D2687" t="s">
        <v>19</v>
      </c>
      <c r="E2687">
        <f t="shared" ca="1" si="92"/>
        <v>0.6</v>
      </c>
      <c r="F2687">
        <f>IFERROR(VLOOKUP(H2687,ProfessionalRisk!A:I,9,0),0)</f>
        <v>2213</v>
      </c>
      <c r="G2687">
        <f t="shared" ca="1" si="91"/>
        <v>1328</v>
      </c>
      <c r="H2687" t="s">
        <v>674</v>
      </c>
    </row>
    <row r="2688" spans="1:8">
      <c r="A2688" t="str">
        <f t="shared" si="90"/>
        <v>خراسان رضوئتايباد</v>
      </c>
      <c r="B2688" t="s">
        <v>213</v>
      </c>
      <c r="C2688" t="s">
        <v>215</v>
      </c>
      <c r="D2688" t="s">
        <v>477</v>
      </c>
      <c r="E2688">
        <f t="shared" ca="1" si="92"/>
        <v>0.4</v>
      </c>
      <c r="F2688">
        <f>IFERROR(VLOOKUP(H2688,ProfessionalRisk!A:I,9,0),0)</f>
        <v>2213</v>
      </c>
      <c r="G2688">
        <f t="shared" ca="1" si="91"/>
        <v>885</v>
      </c>
      <c r="H2688" t="s">
        <v>674</v>
      </c>
    </row>
    <row r="2689" spans="1:8">
      <c r="A2689" t="str">
        <f t="shared" si="90"/>
        <v>خراسان رضوئتايباد</v>
      </c>
      <c r="B2689" t="s">
        <v>213</v>
      </c>
      <c r="C2689" t="s">
        <v>215</v>
      </c>
      <c r="D2689" t="s">
        <v>23</v>
      </c>
      <c r="E2689">
        <f t="shared" ca="1" si="92"/>
        <v>1.8519979624509936E-2</v>
      </c>
      <c r="F2689">
        <f>IFERROR(VLOOKUP(H2689,ProfessionalRisk!A:I,9,0),0)</f>
        <v>2213</v>
      </c>
      <c r="G2689">
        <f t="shared" ca="1" si="91"/>
        <v>41</v>
      </c>
      <c r="H2689" t="s">
        <v>674</v>
      </c>
    </row>
    <row r="2690" spans="1:8">
      <c r="A2690" t="str">
        <f t="shared" ref="A2690:A2753" si="93">B2690&amp;C2690</f>
        <v>خراسان رضوئتربت حيدریه</v>
      </c>
      <c r="B2690" t="s">
        <v>213</v>
      </c>
      <c r="C2690" t="s">
        <v>216</v>
      </c>
      <c r="D2690" t="s">
        <v>19</v>
      </c>
      <c r="E2690">
        <f t="shared" ca="1" si="92"/>
        <v>0.6</v>
      </c>
      <c r="F2690">
        <f>IFERROR(VLOOKUP(H2690,ProfessionalRisk!A:I,9,0),0)</f>
        <v>944</v>
      </c>
      <c r="G2690">
        <f t="shared" ca="1" si="91"/>
        <v>566</v>
      </c>
      <c r="H2690" t="s">
        <v>677</v>
      </c>
    </row>
    <row r="2691" spans="1:8">
      <c r="A2691" t="str">
        <f t="shared" si="93"/>
        <v>خراسان رضوئتربت حيدریه</v>
      </c>
      <c r="B2691" t="s">
        <v>213</v>
      </c>
      <c r="C2691" t="s">
        <v>216</v>
      </c>
      <c r="D2691" t="s">
        <v>477</v>
      </c>
      <c r="E2691">
        <f t="shared" ca="1" si="92"/>
        <v>0.4</v>
      </c>
      <c r="F2691">
        <f>IFERROR(VLOOKUP(H2691,ProfessionalRisk!A:I,9,0),0)</f>
        <v>944</v>
      </c>
      <c r="G2691">
        <f t="shared" ref="G2691:G2754" ca="1" si="94">IFERROR(ROUND(F2691*E2691,0),0)</f>
        <v>378</v>
      </c>
      <c r="H2691" t="s">
        <v>677</v>
      </c>
    </row>
    <row r="2692" spans="1:8">
      <c r="A2692" t="str">
        <f t="shared" si="93"/>
        <v>خراسان رضوئتربت حيدریه</v>
      </c>
      <c r="B2692" t="s">
        <v>213</v>
      </c>
      <c r="C2692" t="s">
        <v>216</v>
      </c>
      <c r="D2692" t="s">
        <v>23</v>
      </c>
      <c r="E2692">
        <f t="shared" ca="1" si="92"/>
        <v>8.3783514904965644E-3</v>
      </c>
      <c r="F2692">
        <f>IFERROR(VLOOKUP(H2692,ProfessionalRisk!A:I,9,0),0)</f>
        <v>944</v>
      </c>
      <c r="G2692">
        <f t="shared" ca="1" si="94"/>
        <v>8</v>
      </c>
      <c r="H2692" t="s">
        <v>677</v>
      </c>
    </row>
    <row r="2693" spans="1:8">
      <c r="A2693" t="str">
        <f t="shared" si="93"/>
        <v>خراسان رضوئتربت جام</v>
      </c>
      <c r="B2693" t="s">
        <v>213</v>
      </c>
      <c r="C2693" t="s">
        <v>217</v>
      </c>
      <c r="D2693" t="s">
        <v>19</v>
      </c>
      <c r="E2693">
        <f t="shared" ca="1" si="92"/>
        <v>0.6</v>
      </c>
      <c r="F2693">
        <f>IFERROR(VLOOKUP(H2693,ProfessionalRisk!A:I,9,0),0)</f>
        <v>1504</v>
      </c>
      <c r="G2693">
        <f t="shared" ca="1" si="94"/>
        <v>902</v>
      </c>
      <c r="H2693" t="s">
        <v>670</v>
      </c>
    </row>
    <row r="2694" spans="1:8">
      <c r="A2694" t="str">
        <f t="shared" si="93"/>
        <v>خراسان رضوئتربت جام</v>
      </c>
      <c r="B2694" t="s">
        <v>213</v>
      </c>
      <c r="C2694" t="s">
        <v>217</v>
      </c>
      <c r="D2694" t="s">
        <v>477</v>
      </c>
      <c r="E2694">
        <f t="shared" ca="1" si="92"/>
        <v>0.4</v>
      </c>
      <c r="F2694">
        <f>IFERROR(VLOOKUP(H2694,ProfessionalRisk!A:I,9,0),0)</f>
        <v>1504</v>
      </c>
      <c r="G2694">
        <f t="shared" ca="1" si="94"/>
        <v>602</v>
      </c>
      <c r="H2694" t="s">
        <v>670</v>
      </c>
    </row>
    <row r="2695" spans="1:8">
      <c r="A2695" t="str">
        <f t="shared" si="93"/>
        <v>خراسان رضوئتربت جام</v>
      </c>
      <c r="B2695" t="s">
        <v>213</v>
      </c>
      <c r="C2695" t="s">
        <v>217</v>
      </c>
      <c r="D2695" t="s">
        <v>23</v>
      </c>
      <c r="E2695">
        <f t="shared" ca="1" si="92"/>
        <v>1.6151085375337153E-2</v>
      </c>
      <c r="F2695">
        <f>IFERROR(VLOOKUP(H2695,ProfessionalRisk!A:I,9,0),0)</f>
        <v>1504</v>
      </c>
      <c r="G2695">
        <f t="shared" ca="1" si="94"/>
        <v>24</v>
      </c>
      <c r="H2695" t="s">
        <v>670</v>
      </c>
    </row>
    <row r="2696" spans="1:8">
      <c r="A2696" t="str">
        <f t="shared" si="93"/>
        <v>خراسان رضوئدرگز</v>
      </c>
      <c r="B2696" t="s">
        <v>213</v>
      </c>
      <c r="C2696" t="s">
        <v>218</v>
      </c>
      <c r="D2696" t="s">
        <v>19</v>
      </c>
      <c r="E2696">
        <f t="shared" ca="1" si="92"/>
        <v>0.6</v>
      </c>
      <c r="F2696">
        <f>IFERROR(VLOOKUP(H2696,ProfessionalRisk!A:I,9,0),0)</f>
        <v>1058</v>
      </c>
      <c r="G2696">
        <f t="shared" ca="1" si="94"/>
        <v>635</v>
      </c>
      <c r="H2696" t="s">
        <v>682</v>
      </c>
    </row>
    <row r="2697" spans="1:8">
      <c r="A2697" t="str">
        <f t="shared" si="93"/>
        <v>خراسان رضوئدرگز</v>
      </c>
      <c r="B2697" t="s">
        <v>213</v>
      </c>
      <c r="C2697" t="s">
        <v>218</v>
      </c>
      <c r="D2697" t="s">
        <v>477</v>
      </c>
      <c r="E2697">
        <f t="shared" ca="1" si="92"/>
        <v>0.4</v>
      </c>
      <c r="F2697">
        <f>IFERROR(VLOOKUP(H2697,ProfessionalRisk!A:I,9,0),0)</f>
        <v>1058</v>
      </c>
      <c r="G2697">
        <f t="shared" ca="1" si="94"/>
        <v>423</v>
      </c>
      <c r="H2697" t="s">
        <v>682</v>
      </c>
    </row>
    <row r="2698" spans="1:8">
      <c r="A2698" t="str">
        <f t="shared" si="93"/>
        <v>خراسان رضوئدرگز</v>
      </c>
      <c r="B2698" t="s">
        <v>213</v>
      </c>
      <c r="C2698" t="s">
        <v>218</v>
      </c>
      <c r="D2698" t="s">
        <v>23</v>
      </c>
      <c r="E2698">
        <f t="shared" ca="1" si="92"/>
        <v>6.8161651786222601E-3</v>
      </c>
      <c r="F2698">
        <f>IFERROR(VLOOKUP(H2698,ProfessionalRisk!A:I,9,0),0)</f>
        <v>1058</v>
      </c>
      <c r="G2698">
        <f t="shared" ca="1" si="94"/>
        <v>7</v>
      </c>
      <c r="H2698" t="s">
        <v>682</v>
      </c>
    </row>
    <row r="2699" spans="1:8">
      <c r="A2699" t="str">
        <f t="shared" si="93"/>
        <v>خراسان رضوئسبزوار</v>
      </c>
      <c r="B2699" t="s">
        <v>213</v>
      </c>
      <c r="C2699" t="s">
        <v>219</v>
      </c>
      <c r="D2699" t="s">
        <v>19</v>
      </c>
      <c r="E2699">
        <f t="shared" ca="1" si="92"/>
        <v>0.6</v>
      </c>
      <c r="F2699">
        <f>IFERROR(VLOOKUP(H2699,ProfessionalRisk!A:I,9,0),0)</f>
        <v>5447</v>
      </c>
      <c r="G2699">
        <f t="shared" ca="1" si="94"/>
        <v>3268</v>
      </c>
      <c r="H2699" t="s">
        <v>688</v>
      </c>
    </row>
    <row r="2700" spans="1:8">
      <c r="A2700" t="str">
        <f t="shared" si="93"/>
        <v>خراسان رضوئسبزوار</v>
      </c>
      <c r="B2700" t="s">
        <v>213</v>
      </c>
      <c r="C2700" t="s">
        <v>219</v>
      </c>
      <c r="D2700" t="s">
        <v>477</v>
      </c>
      <c r="E2700">
        <f t="shared" ca="1" si="92"/>
        <v>0.4</v>
      </c>
      <c r="F2700">
        <f>IFERROR(VLOOKUP(H2700,ProfessionalRisk!A:I,9,0),0)</f>
        <v>5447</v>
      </c>
      <c r="G2700">
        <f t="shared" ca="1" si="94"/>
        <v>2179</v>
      </c>
      <c r="H2700" t="s">
        <v>688</v>
      </c>
    </row>
    <row r="2701" spans="1:8">
      <c r="A2701" t="str">
        <f t="shared" si="93"/>
        <v>خراسان رضوئسبزوار</v>
      </c>
      <c r="B2701" t="s">
        <v>213</v>
      </c>
      <c r="C2701" t="s">
        <v>219</v>
      </c>
      <c r="D2701" t="s">
        <v>23</v>
      </c>
      <c r="E2701">
        <f t="shared" ca="1" si="92"/>
        <v>5.2067886709948E-3</v>
      </c>
      <c r="F2701">
        <f>IFERROR(VLOOKUP(H2701,ProfessionalRisk!A:I,9,0),0)</f>
        <v>5447</v>
      </c>
      <c r="G2701">
        <f t="shared" ca="1" si="94"/>
        <v>28</v>
      </c>
      <c r="H2701" t="s">
        <v>688</v>
      </c>
    </row>
    <row r="2702" spans="1:8">
      <c r="A2702" t="str">
        <f t="shared" si="93"/>
        <v>خراسان رضوئقوچان</v>
      </c>
      <c r="B2702" t="s">
        <v>213</v>
      </c>
      <c r="C2702" t="s">
        <v>220</v>
      </c>
      <c r="D2702" t="s">
        <v>19</v>
      </c>
      <c r="E2702">
        <f t="shared" ca="1" si="92"/>
        <v>0.6</v>
      </c>
      <c r="F2702">
        <f>IFERROR(VLOOKUP(H2702,ProfessionalRisk!A:I,9,0),0)</f>
        <v>2342</v>
      </c>
      <c r="G2702">
        <f t="shared" ca="1" si="94"/>
        <v>1405</v>
      </c>
      <c r="H2702" t="s">
        <v>683</v>
      </c>
    </row>
    <row r="2703" spans="1:8">
      <c r="A2703" t="str">
        <f t="shared" si="93"/>
        <v>خراسان رضوئقوچان</v>
      </c>
      <c r="B2703" t="s">
        <v>213</v>
      </c>
      <c r="C2703" t="s">
        <v>220</v>
      </c>
      <c r="D2703" t="s">
        <v>477</v>
      </c>
      <c r="E2703">
        <f t="shared" ca="1" si="92"/>
        <v>0.4</v>
      </c>
      <c r="F2703">
        <f>IFERROR(VLOOKUP(H2703,ProfessionalRisk!A:I,9,0),0)</f>
        <v>2342</v>
      </c>
      <c r="G2703">
        <f t="shared" ca="1" si="94"/>
        <v>937</v>
      </c>
      <c r="H2703" t="s">
        <v>683</v>
      </c>
    </row>
    <row r="2704" spans="1:8">
      <c r="A2704" t="str">
        <f t="shared" si="93"/>
        <v>خراسان رضوئقوچان</v>
      </c>
      <c r="B2704" t="s">
        <v>213</v>
      </c>
      <c r="C2704" t="s">
        <v>220</v>
      </c>
      <c r="D2704" t="s">
        <v>23</v>
      </c>
      <c r="E2704">
        <f t="shared" ca="1" si="92"/>
        <v>1.6417669132299379E-2</v>
      </c>
      <c r="F2704">
        <f>IFERROR(VLOOKUP(H2704,ProfessionalRisk!A:I,9,0),0)</f>
        <v>2342</v>
      </c>
      <c r="G2704">
        <f t="shared" ca="1" si="94"/>
        <v>38</v>
      </c>
      <c r="H2704" t="s">
        <v>683</v>
      </c>
    </row>
    <row r="2705" spans="1:8">
      <c r="A2705" t="str">
        <f t="shared" si="93"/>
        <v>خراسان رضوئكاشمر</v>
      </c>
      <c r="B2705" t="s">
        <v>213</v>
      </c>
      <c r="C2705" t="s">
        <v>221</v>
      </c>
      <c r="D2705" t="s">
        <v>19</v>
      </c>
      <c r="E2705">
        <f t="shared" ca="1" si="92"/>
        <v>0.6</v>
      </c>
      <c r="F2705">
        <f>IFERROR(VLOOKUP(H2705,ProfessionalRisk!A:I,9,0),0)</f>
        <v>2329</v>
      </c>
      <c r="G2705">
        <f t="shared" ca="1" si="94"/>
        <v>1397</v>
      </c>
      <c r="H2705" t="s">
        <v>675</v>
      </c>
    </row>
    <row r="2706" spans="1:8">
      <c r="A2706" t="str">
        <f t="shared" si="93"/>
        <v>خراسان رضوئكاشمر</v>
      </c>
      <c r="B2706" t="s">
        <v>213</v>
      </c>
      <c r="C2706" t="s">
        <v>221</v>
      </c>
      <c r="D2706" t="s">
        <v>477</v>
      </c>
      <c r="E2706">
        <f t="shared" ca="1" si="92"/>
        <v>0.4</v>
      </c>
      <c r="F2706">
        <f>IFERROR(VLOOKUP(H2706,ProfessionalRisk!A:I,9,0),0)</f>
        <v>2329</v>
      </c>
      <c r="G2706">
        <f t="shared" ca="1" si="94"/>
        <v>932</v>
      </c>
      <c r="H2706" t="s">
        <v>675</v>
      </c>
    </row>
    <row r="2707" spans="1:8">
      <c r="A2707" t="str">
        <f t="shared" si="93"/>
        <v>خراسان رضوئكاشمر</v>
      </c>
      <c r="B2707" t="s">
        <v>213</v>
      </c>
      <c r="C2707" t="s">
        <v>221</v>
      </c>
      <c r="D2707" t="s">
        <v>23</v>
      </c>
      <c r="E2707">
        <f t="shared" ca="1" si="92"/>
        <v>1.7817090409237481E-2</v>
      </c>
      <c r="F2707">
        <f>IFERROR(VLOOKUP(H2707,ProfessionalRisk!A:I,9,0),0)</f>
        <v>2329</v>
      </c>
      <c r="G2707">
        <f t="shared" ca="1" si="94"/>
        <v>41</v>
      </c>
      <c r="H2707" t="s">
        <v>675</v>
      </c>
    </row>
    <row r="2708" spans="1:8">
      <c r="A2708" t="str">
        <f t="shared" si="93"/>
        <v>خراسان رضوئگناباد</v>
      </c>
      <c r="B2708" t="s">
        <v>213</v>
      </c>
      <c r="C2708" t="s">
        <v>222</v>
      </c>
      <c r="D2708" t="s">
        <v>19</v>
      </c>
      <c r="E2708">
        <f t="shared" ca="1" si="92"/>
        <v>0.6</v>
      </c>
      <c r="F2708">
        <f>IFERROR(VLOOKUP(H2708,ProfessionalRisk!A:I,9,0),0)</f>
        <v>1919</v>
      </c>
      <c r="G2708">
        <f t="shared" ca="1" si="94"/>
        <v>1151</v>
      </c>
      <c r="H2708" t="s">
        <v>690</v>
      </c>
    </row>
    <row r="2709" spans="1:8">
      <c r="A2709" t="str">
        <f t="shared" si="93"/>
        <v>خراسان رضوئگناباد</v>
      </c>
      <c r="B2709" t="s">
        <v>213</v>
      </c>
      <c r="C2709" t="s">
        <v>222</v>
      </c>
      <c r="D2709" t="s">
        <v>477</v>
      </c>
      <c r="E2709">
        <f t="shared" ca="1" si="92"/>
        <v>0.4</v>
      </c>
      <c r="F2709">
        <f>IFERROR(VLOOKUP(H2709,ProfessionalRisk!A:I,9,0),0)</f>
        <v>1919</v>
      </c>
      <c r="G2709">
        <f t="shared" ca="1" si="94"/>
        <v>768</v>
      </c>
      <c r="H2709" t="s">
        <v>690</v>
      </c>
    </row>
    <row r="2710" spans="1:8">
      <c r="A2710" t="str">
        <f t="shared" si="93"/>
        <v>خراسان رضوئگناباد</v>
      </c>
      <c r="B2710" t="s">
        <v>213</v>
      </c>
      <c r="C2710" t="s">
        <v>222</v>
      </c>
      <c r="D2710" t="s">
        <v>23</v>
      </c>
      <c r="E2710">
        <f t="shared" ca="1" si="92"/>
        <v>5.6493381046740995E-3</v>
      </c>
      <c r="F2710">
        <f>IFERROR(VLOOKUP(H2710,ProfessionalRisk!A:I,9,0),0)</f>
        <v>1919</v>
      </c>
      <c r="G2710">
        <f t="shared" ca="1" si="94"/>
        <v>11</v>
      </c>
      <c r="H2710" t="s">
        <v>690</v>
      </c>
    </row>
    <row r="2711" spans="1:8">
      <c r="A2711" t="str">
        <f t="shared" si="93"/>
        <v>خراسان رضوئمشهد</v>
      </c>
      <c r="B2711" t="s">
        <v>213</v>
      </c>
      <c r="C2711" t="s">
        <v>223</v>
      </c>
      <c r="D2711" t="s">
        <v>19</v>
      </c>
      <c r="E2711">
        <f t="shared" ca="1" si="92"/>
        <v>0.6</v>
      </c>
      <c r="F2711">
        <f>IFERROR(VLOOKUP(H2711,ProfessionalRisk!A:I,9,0),0)</f>
        <v>64758</v>
      </c>
      <c r="G2711">
        <f t="shared" ca="1" si="94"/>
        <v>38855</v>
      </c>
      <c r="H2711" t="s">
        <v>665</v>
      </c>
    </row>
    <row r="2712" spans="1:8">
      <c r="A2712" t="str">
        <f t="shared" si="93"/>
        <v>خراسان رضوئمشهد</v>
      </c>
      <c r="B2712" t="s">
        <v>213</v>
      </c>
      <c r="C2712" t="s">
        <v>223</v>
      </c>
      <c r="D2712" t="s">
        <v>477</v>
      </c>
      <c r="E2712">
        <f t="shared" ca="1" si="92"/>
        <v>0.4</v>
      </c>
      <c r="F2712">
        <f>IFERROR(VLOOKUP(H2712,ProfessionalRisk!A:I,9,0),0)</f>
        <v>64758</v>
      </c>
      <c r="G2712">
        <f t="shared" ca="1" si="94"/>
        <v>25903</v>
      </c>
      <c r="H2712" t="s">
        <v>665</v>
      </c>
    </row>
    <row r="2713" spans="1:8">
      <c r="A2713" t="str">
        <f t="shared" si="93"/>
        <v>خراسان رضوئمشهد</v>
      </c>
      <c r="B2713" t="s">
        <v>213</v>
      </c>
      <c r="C2713" t="s">
        <v>223</v>
      </c>
      <c r="D2713" t="s">
        <v>23</v>
      </c>
      <c r="E2713">
        <f t="shared" ca="1" si="92"/>
        <v>8.5077622482359477E-3</v>
      </c>
      <c r="F2713">
        <f>IFERROR(VLOOKUP(H2713,ProfessionalRisk!A:I,9,0),0)</f>
        <v>64758</v>
      </c>
      <c r="G2713">
        <f t="shared" ca="1" si="94"/>
        <v>551</v>
      </c>
      <c r="H2713" t="s">
        <v>665</v>
      </c>
    </row>
    <row r="2714" spans="1:8">
      <c r="A2714" t="str">
        <f t="shared" si="93"/>
        <v>خراسان رضوئنيشابور</v>
      </c>
      <c r="B2714" t="s">
        <v>213</v>
      </c>
      <c r="C2714" t="s">
        <v>224</v>
      </c>
      <c r="D2714" t="s">
        <v>19</v>
      </c>
      <c r="E2714">
        <f t="shared" ca="1" si="92"/>
        <v>0.6</v>
      </c>
      <c r="F2714">
        <f>IFERROR(VLOOKUP(H2714,ProfessionalRisk!A:I,9,0),0)</f>
        <v>5469</v>
      </c>
      <c r="G2714">
        <f t="shared" ca="1" si="94"/>
        <v>3281</v>
      </c>
      <c r="H2714" t="s">
        <v>695</v>
      </c>
    </row>
    <row r="2715" spans="1:8">
      <c r="A2715" t="str">
        <f t="shared" si="93"/>
        <v>خراسان رضوئنيشابور</v>
      </c>
      <c r="B2715" t="s">
        <v>213</v>
      </c>
      <c r="C2715" t="s">
        <v>224</v>
      </c>
      <c r="D2715" t="s">
        <v>477</v>
      </c>
      <c r="E2715">
        <f t="shared" ca="1" si="92"/>
        <v>0.4</v>
      </c>
      <c r="F2715">
        <f>IFERROR(VLOOKUP(H2715,ProfessionalRisk!A:I,9,0),0)</f>
        <v>5469</v>
      </c>
      <c r="G2715">
        <f t="shared" ca="1" si="94"/>
        <v>2188</v>
      </c>
      <c r="H2715" t="s">
        <v>695</v>
      </c>
    </row>
    <row r="2716" spans="1:8">
      <c r="A2716" t="str">
        <f t="shared" si="93"/>
        <v>خراسان رضوئنيشابور</v>
      </c>
      <c r="B2716" t="s">
        <v>213</v>
      </c>
      <c r="C2716" t="s">
        <v>224</v>
      </c>
      <c r="D2716" t="s">
        <v>23</v>
      </c>
      <c r="E2716">
        <f t="shared" ca="1" si="92"/>
        <v>9.6945247041231759E-3</v>
      </c>
      <c r="F2716">
        <f>IFERROR(VLOOKUP(H2716,ProfessionalRisk!A:I,9,0),0)</f>
        <v>5469</v>
      </c>
      <c r="G2716">
        <f t="shared" ca="1" si="94"/>
        <v>53</v>
      </c>
      <c r="H2716" t="s">
        <v>695</v>
      </c>
    </row>
    <row r="2717" spans="1:8">
      <c r="A2717" t="str">
        <f t="shared" si="93"/>
        <v>خراسان رضوئچناران</v>
      </c>
      <c r="B2717" t="s">
        <v>213</v>
      </c>
      <c r="C2717" t="s">
        <v>225</v>
      </c>
      <c r="D2717" t="s">
        <v>19</v>
      </c>
      <c r="E2717">
        <f t="shared" ca="1" si="92"/>
        <v>0.6</v>
      </c>
      <c r="F2717">
        <f>IFERROR(VLOOKUP(H2717,ProfessionalRisk!A:I,9,0),0)</f>
        <v>1784</v>
      </c>
      <c r="G2717">
        <f t="shared" ca="1" si="94"/>
        <v>1070</v>
      </c>
      <c r="H2717" t="s">
        <v>676</v>
      </c>
    </row>
    <row r="2718" spans="1:8">
      <c r="A2718" t="str">
        <f t="shared" si="93"/>
        <v>خراسان رضوئچناران</v>
      </c>
      <c r="B2718" t="s">
        <v>213</v>
      </c>
      <c r="C2718" t="s">
        <v>225</v>
      </c>
      <c r="D2718" t="s">
        <v>477</v>
      </c>
      <c r="E2718">
        <f t="shared" ca="1" si="92"/>
        <v>0.4</v>
      </c>
      <c r="F2718">
        <f>IFERROR(VLOOKUP(H2718,ProfessionalRisk!A:I,9,0),0)</f>
        <v>1784</v>
      </c>
      <c r="G2718">
        <f t="shared" ca="1" si="94"/>
        <v>714</v>
      </c>
      <c r="H2718" t="s">
        <v>676</v>
      </c>
    </row>
    <row r="2719" spans="1:8">
      <c r="A2719" t="str">
        <f t="shared" si="93"/>
        <v>خراسان رضوئچناران</v>
      </c>
      <c r="B2719" t="s">
        <v>213</v>
      </c>
      <c r="C2719" t="s">
        <v>225</v>
      </c>
      <c r="D2719" t="s">
        <v>23</v>
      </c>
      <c r="E2719">
        <f t="shared" ca="1" si="92"/>
        <v>2.2409058216469368E-3</v>
      </c>
      <c r="F2719">
        <f>IFERROR(VLOOKUP(H2719,ProfessionalRisk!A:I,9,0),0)</f>
        <v>1784</v>
      </c>
      <c r="G2719">
        <f t="shared" ca="1" si="94"/>
        <v>4</v>
      </c>
      <c r="H2719" t="s">
        <v>676</v>
      </c>
    </row>
    <row r="2720" spans="1:8">
      <c r="A2720" t="str">
        <f t="shared" si="93"/>
        <v>خراسان رضوئخواف</v>
      </c>
      <c r="B2720" t="s">
        <v>213</v>
      </c>
      <c r="C2720" t="s">
        <v>226</v>
      </c>
      <c r="D2720" t="s">
        <v>19</v>
      </c>
      <c r="E2720">
        <f t="shared" ca="1" si="92"/>
        <v>0.6</v>
      </c>
      <c r="F2720">
        <f>IFERROR(VLOOKUP(H2720,ProfessionalRisk!A:I,9,0),0)</f>
        <v>2941</v>
      </c>
      <c r="G2720">
        <f t="shared" ca="1" si="94"/>
        <v>1765</v>
      </c>
      <c r="H2720" t="s">
        <v>686</v>
      </c>
    </row>
    <row r="2721" spans="1:8">
      <c r="A2721" t="str">
        <f t="shared" si="93"/>
        <v>خراسان رضوئخواف</v>
      </c>
      <c r="B2721" t="s">
        <v>213</v>
      </c>
      <c r="C2721" t="s">
        <v>226</v>
      </c>
      <c r="D2721" t="s">
        <v>477</v>
      </c>
      <c r="E2721">
        <f t="shared" ca="1" si="92"/>
        <v>0.4</v>
      </c>
      <c r="F2721">
        <f>IFERROR(VLOOKUP(H2721,ProfessionalRisk!A:I,9,0),0)</f>
        <v>2941</v>
      </c>
      <c r="G2721">
        <f t="shared" ca="1" si="94"/>
        <v>1176</v>
      </c>
      <c r="H2721" t="s">
        <v>686</v>
      </c>
    </row>
    <row r="2722" spans="1:8">
      <c r="A2722" t="str">
        <f t="shared" si="93"/>
        <v>خراسان رضوئخواف</v>
      </c>
      <c r="B2722" t="s">
        <v>213</v>
      </c>
      <c r="C2722" t="s">
        <v>226</v>
      </c>
      <c r="D2722" t="s">
        <v>23</v>
      </c>
      <c r="E2722">
        <f t="shared" ca="1" si="92"/>
        <v>7.2118423125605256E-3</v>
      </c>
      <c r="F2722">
        <f>IFERROR(VLOOKUP(H2722,ProfessionalRisk!A:I,9,0),0)</f>
        <v>2941</v>
      </c>
      <c r="G2722">
        <f t="shared" ca="1" si="94"/>
        <v>21</v>
      </c>
      <c r="H2722" t="s">
        <v>686</v>
      </c>
    </row>
    <row r="2723" spans="1:8">
      <c r="A2723" t="str">
        <f t="shared" si="93"/>
        <v>خراسان رضوئسرخس</v>
      </c>
      <c r="B2723" t="s">
        <v>213</v>
      </c>
      <c r="C2723" t="s">
        <v>227</v>
      </c>
      <c r="D2723" t="s">
        <v>19</v>
      </c>
      <c r="E2723">
        <f t="shared" ref="E2723:E2786" ca="1" si="95">IF(D2723="AP",0.6,IF(D2723="BP",0.4,RAND()*0.02))</f>
        <v>0.6</v>
      </c>
      <c r="F2723">
        <f>IFERROR(VLOOKUP(H2723,ProfessionalRisk!A:I,9,0),0)</f>
        <v>1326</v>
      </c>
      <c r="G2723">
        <f t="shared" ca="1" si="94"/>
        <v>796</v>
      </c>
      <c r="H2723" t="s">
        <v>672</v>
      </c>
    </row>
    <row r="2724" spans="1:8">
      <c r="A2724" t="str">
        <f t="shared" si="93"/>
        <v>خراسان رضوئسرخس</v>
      </c>
      <c r="B2724" t="s">
        <v>213</v>
      </c>
      <c r="C2724" t="s">
        <v>227</v>
      </c>
      <c r="D2724" t="s">
        <v>477</v>
      </c>
      <c r="E2724">
        <f t="shared" ca="1" si="95"/>
        <v>0.4</v>
      </c>
      <c r="F2724">
        <f>IFERROR(VLOOKUP(H2724,ProfessionalRisk!A:I,9,0),0)</f>
        <v>1326</v>
      </c>
      <c r="G2724">
        <f t="shared" ca="1" si="94"/>
        <v>530</v>
      </c>
      <c r="H2724" t="s">
        <v>672</v>
      </c>
    </row>
    <row r="2725" spans="1:8">
      <c r="A2725" t="str">
        <f t="shared" si="93"/>
        <v>خراسان رضوئسرخس</v>
      </c>
      <c r="B2725" t="s">
        <v>213</v>
      </c>
      <c r="C2725" t="s">
        <v>227</v>
      </c>
      <c r="D2725" t="s">
        <v>23</v>
      </c>
      <c r="E2725">
        <f t="shared" ca="1" si="95"/>
        <v>1.8625651754600715E-2</v>
      </c>
      <c r="F2725">
        <f>IFERROR(VLOOKUP(H2725,ProfessionalRisk!A:I,9,0),0)</f>
        <v>1326</v>
      </c>
      <c r="G2725">
        <f t="shared" ca="1" si="94"/>
        <v>25</v>
      </c>
      <c r="H2725" t="s">
        <v>672</v>
      </c>
    </row>
    <row r="2726" spans="1:8">
      <c r="A2726" t="str">
        <f t="shared" si="93"/>
        <v>خراسان رضوئفريمان</v>
      </c>
      <c r="B2726" t="s">
        <v>213</v>
      </c>
      <c r="C2726" t="s">
        <v>228</v>
      </c>
      <c r="D2726" t="s">
        <v>19</v>
      </c>
      <c r="E2726">
        <f t="shared" ca="1" si="95"/>
        <v>0.6</v>
      </c>
      <c r="F2726">
        <f>IFERROR(VLOOKUP(H2726,ProfessionalRisk!A:I,9,0),0)</f>
        <v>1459</v>
      </c>
      <c r="G2726">
        <f t="shared" ca="1" si="94"/>
        <v>875</v>
      </c>
      <c r="H2726" t="s">
        <v>667</v>
      </c>
    </row>
    <row r="2727" spans="1:8">
      <c r="A2727" t="str">
        <f t="shared" si="93"/>
        <v>خراسان رضوئفريمان</v>
      </c>
      <c r="B2727" t="s">
        <v>213</v>
      </c>
      <c r="C2727" t="s">
        <v>228</v>
      </c>
      <c r="D2727" t="s">
        <v>477</v>
      </c>
      <c r="E2727">
        <f t="shared" ca="1" si="95"/>
        <v>0.4</v>
      </c>
      <c r="F2727">
        <f>IFERROR(VLOOKUP(H2727,ProfessionalRisk!A:I,9,0),0)</f>
        <v>1459</v>
      </c>
      <c r="G2727">
        <f t="shared" ca="1" si="94"/>
        <v>584</v>
      </c>
      <c r="H2727" t="s">
        <v>667</v>
      </c>
    </row>
    <row r="2728" spans="1:8">
      <c r="A2728" t="str">
        <f t="shared" si="93"/>
        <v>خراسان رضوئفريمان</v>
      </c>
      <c r="B2728" t="s">
        <v>213</v>
      </c>
      <c r="C2728" t="s">
        <v>228</v>
      </c>
      <c r="D2728" t="s">
        <v>23</v>
      </c>
      <c r="E2728">
        <f t="shared" ca="1" si="95"/>
        <v>7.5564713824888699E-3</v>
      </c>
      <c r="F2728">
        <f>IFERROR(VLOOKUP(H2728,ProfessionalRisk!A:I,9,0),0)</f>
        <v>1459</v>
      </c>
      <c r="G2728">
        <f t="shared" ca="1" si="94"/>
        <v>11</v>
      </c>
      <c r="H2728" t="s">
        <v>667</v>
      </c>
    </row>
    <row r="2729" spans="1:8">
      <c r="A2729" t="str">
        <f t="shared" si="93"/>
        <v>خراسان رضوئبردسكن</v>
      </c>
      <c r="B2729" t="s">
        <v>213</v>
      </c>
      <c r="C2729" t="s">
        <v>229</v>
      </c>
      <c r="D2729" t="s">
        <v>19</v>
      </c>
      <c r="E2729">
        <f t="shared" ca="1" si="95"/>
        <v>0.6</v>
      </c>
      <c r="F2729">
        <f>IFERROR(VLOOKUP(H2729,ProfessionalRisk!A:I,9,0),0)</f>
        <v>1130</v>
      </c>
      <c r="G2729">
        <f t="shared" ca="1" si="94"/>
        <v>678</v>
      </c>
      <c r="H2729" t="s">
        <v>689</v>
      </c>
    </row>
    <row r="2730" spans="1:8">
      <c r="A2730" t="str">
        <f t="shared" si="93"/>
        <v>خراسان رضوئبردسكن</v>
      </c>
      <c r="B2730" t="s">
        <v>213</v>
      </c>
      <c r="C2730" t="s">
        <v>229</v>
      </c>
      <c r="D2730" t="s">
        <v>477</v>
      </c>
      <c r="E2730">
        <f t="shared" ca="1" si="95"/>
        <v>0.4</v>
      </c>
      <c r="F2730">
        <f>IFERROR(VLOOKUP(H2730,ProfessionalRisk!A:I,9,0),0)</f>
        <v>1130</v>
      </c>
      <c r="G2730">
        <f t="shared" ca="1" si="94"/>
        <v>452</v>
      </c>
      <c r="H2730" t="s">
        <v>689</v>
      </c>
    </row>
    <row r="2731" spans="1:8">
      <c r="A2731" t="str">
        <f t="shared" si="93"/>
        <v>خراسان رضوئبردسكن</v>
      </c>
      <c r="B2731" t="s">
        <v>213</v>
      </c>
      <c r="C2731" t="s">
        <v>229</v>
      </c>
      <c r="D2731" t="s">
        <v>23</v>
      </c>
      <c r="E2731">
        <f t="shared" ca="1" si="95"/>
        <v>4.4475334670985412E-4</v>
      </c>
      <c r="F2731">
        <f>IFERROR(VLOOKUP(H2731,ProfessionalRisk!A:I,9,0),0)</f>
        <v>1130</v>
      </c>
      <c r="G2731">
        <f t="shared" ca="1" si="94"/>
        <v>1</v>
      </c>
      <c r="H2731" t="s">
        <v>689</v>
      </c>
    </row>
    <row r="2732" spans="1:8">
      <c r="A2732" t="str">
        <f t="shared" si="93"/>
        <v>خراسان رضوئرشتخوار</v>
      </c>
      <c r="B2732" t="s">
        <v>213</v>
      </c>
      <c r="C2732" t="s">
        <v>230</v>
      </c>
      <c r="D2732" t="s">
        <v>19</v>
      </c>
      <c r="E2732">
        <f t="shared" ca="1" si="95"/>
        <v>0.6</v>
      </c>
      <c r="F2732">
        <f>IFERROR(VLOOKUP(H2732,ProfessionalRisk!A:I,9,0),0)</f>
        <v>498</v>
      </c>
      <c r="G2732">
        <f t="shared" ca="1" si="94"/>
        <v>299</v>
      </c>
      <c r="H2732" t="s">
        <v>684</v>
      </c>
    </row>
    <row r="2733" spans="1:8">
      <c r="A2733" t="str">
        <f t="shared" si="93"/>
        <v>خراسان رضوئرشتخوار</v>
      </c>
      <c r="B2733" t="s">
        <v>213</v>
      </c>
      <c r="C2733" t="s">
        <v>230</v>
      </c>
      <c r="D2733" t="s">
        <v>477</v>
      </c>
      <c r="E2733">
        <f t="shared" ca="1" si="95"/>
        <v>0.4</v>
      </c>
      <c r="F2733">
        <f>IFERROR(VLOOKUP(H2733,ProfessionalRisk!A:I,9,0),0)</f>
        <v>498</v>
      </c>
      <c r="G2733">
        <f t="shared" ca="1" si="94"/>
        <v>199</v>
      </c>
      <c r="H2733" t="s">
        <v>684</v>
      </c>
    </row>
    <row r="2734" spans="1:8">
      <c r="A2734" t="str">
        <f t="shared" si="93"/>
        <v>خراسان رضوئرشتخوار</v>
      </c>
      <c r="B2734" t="s">
        <v>213</v>
      </c>
      <c r="C2734" t="s">
        <v>230</v>
      </c>
      <c r="D2734" t="s">
        <v>23</v>
      </c>
      <c r="E2734">
        <f t="shared" ca="1" si="95"/>
        <v>1.2561471678782774E-2</v>
      </c>
      <c r="F2734">
        <f>IFERROR(VLOOKUP(H2734,ProfessionalRisk!A:I,9,0),0)</f>
        <v>498</v>
      </c>
      <c r="G2734">
        <f t="shared" ca="1" si="94"/>
        <v>6</v>
      </c>
      <c r="H2734" t="s">
        <v>684</v>
      </c>
    </row>
    <row r="2735" spans="1:8">
      <c r="A2735" t="str">
        <f t="shared" si="93"/>
        <v>خراسان رضوئكلات</v>
      </c>
      <c r="B2735" t="s">
        <v>213</v>
      </c>
      <c r="C2735" t="s">
        <v>231</v>
      </c>
      <c r="D2735" t="s">
        <v>19</v>
      </c>
      <c r="E2735">
        <f t="shared" ca="1" si="95"/>
        <v>0.6</v>
      </c>
      <c r="F2735">
        <f>IFERROR(VLOOKUP(H2735,ProfessionalRisk!A:I,9,0),0)</f>
        <v>518</v>
      </c>
      <c r="G2735">
        <f t="shared" ca="1" si="94"/>
        <v>311</v>
      </c>
      <c r="H2735" t="s">
        <v>679</v>
      </c>
    </row>
    <row r="2736" spans="1:8">
      <c r="A2736" t="str">
        <f t="shared" si="93"/>
        <v>خراسان رضوئكلات</v>
      </c>
      <c r="B2736" t="s">
        <v>213</v>
      </c>
      <c r="C2736" t="s">
        <v>231</v>
      </c>
      <c r="D2736" t="s">
        <v>477</v>
      </c>
      <c r="E2736">
        <f t="shared" ca="1" si="95"/>
        <v>0.4</v>
      </c>
      <c r="F2736">
        <f>IFERROR(VLOOKUP(H2736,ProfessionalRisk!A:I,9,0),0)</f>
        <v>518</v>
      </c>
      <c r="G2736">
        <f t="shared" ca="1" si="94"/>
        <v>207</v>
      </c>
      <c r="H2736" t="s">
        <v>679</v>
      </c>
    </row>
    <row r="2737" spans="1:8">
      <c r="A2737" t="str">
        <f t="shared" si="93"/>
        <v>خراسان رضوئكلات</v>
      </c>
      <c r="B2737" t="s">
        <v>213</v>
      </c>
      <c r="C2737" t="s">
        <v>231</v>
      </c>
      <c r="D2737" t="s">
        <v>23</v>
      </c>
      <c r="E2737">
        <f t="shared" ca="1" si="95"/>
        <v>1.0857975049612976E-2</v>
      </c>
      <c r="F2737">
        <f>IFERROR(VLOOKUP(H2737,ProfessionalRisk!A:I,9,0),0)</f>
        <v>518</v>
      </c>
      <c r="G2737">
        <f t="shared" ca="1" si="94"/>
        <v>6</v>
      </c>
      <c r="H2737" t="s">
        <v>679</v>
      </c>
    </row>
    <row r="2738" spans="1:8">
      <c r="A2738" t="str">
        <f t="shared" si="93"/>
        <v>خراسان رضوئخليل آباد</v>
      </c>
      <c r="B2738" t="s">
        <v>213</v>
      </c>
      <c r="C2738" t="s">
        <v>232</v>
      </c>
      <c r="D2738" t="s">
        <v>19</v>
      </c>
      <c r="E2738">
        <f t="shared" ca="1" si="95"/>
        <v>0.6</v>
      </c>
      <c r="F2738">
        <f>IFERROR(VLOOKUP(H2738,ProfessionalRisk!A:I,9,0),0)</f>
        <v>369</v>
      </c>
      <c r="G2738">
        <f t="shared" ca="1" si="94"/>
        <v>221</v>
      </c>
      <c r="H2738" t="s">
        <v>673</v>
      </c>
    </row>
    <row r="2739" spans="1:8">
      <c r="A2739" t="str">
        <f t="shared" si="93"/>
        <v>خراسان رضوئخليل آباد</v>
      </c>
      <c r="B2739" t="s">
        <v>213</v>
      </c>
      <c r="C2739" t="s">
        <v>232</v>
      </c>
      <c r="D2739" t="s">
        <v>477</v>
      </c>
      <c r="E2739">
        <f t="shared" ca="1" si="95"/>
        <v>0.4</v>
      </c>
      <c r="F2739">
        <f>IFERROR(VLOOKUP(H2739,ProfessionalRisk!A:I,9,0),0)</f>
        <v>369</v>
      </c>
      <c r="G2739">
        <f t="shared" ca="1" si="94"/>
        <v>148</v>
      </c>
      <c r="H2739" t="s">
        <v>673</v>
      </c>
    </row>
    <row r="2740" spans="1:8">
      <c r="A2740" t="str">
        <f t="shared" si="93"/>
        <v>خراسان رضوئخليل آباد</v>
      </c>
      <c r="B2740" t="s">
        <v>213</v>
      </c>
      <c r="C2740" t="s">
        <v>232</v>
      </c>
      <c r="D2740" t="s">
        <v>23</v>
      </c>
      <c r="E2740">
        <f t="shared" ca="1" si="95"/>
        <v>1.2474895061107905E-2</v>
      </c>
      <c r="F2740">
        <f>IFERROR(VLOOKUP(H2740,ProfessionalRisk!A:I,9,0),0)</f>
        <v>369</v>
      </c>
      <c r="G2740">
        <f t="shared" ca="1" si="94"/>
        <v>5</v>
      </c>
      <c r="H2740" t="s">
        <v>673</v>
      </c>
    </row>
    <row r="2741" spans="1:8">
      <c r="A2741" t="str">
        <f t="shared" si="93"/>
        <v>خراسان رضوئمه ولات</v>
      </c>
      <c r="B2741" t="s">
        <v>213</v>
      </c>
      <c r="C2741" t="s">
        <v>233</v>
      </c>
      <c r="D2741" t="s">
        <v>19</v>
      </c>
      <c r="E2741">
        <f t="shared" ca="1" si="95"/>
        <v>0.6</v>
      </c>
      <c r="F2741">
        <f>IFERROR(VLOOKUP(H2741,ProfessionalRisk!A:I,9,0),0)</f>
        <v>423</v>
      </c>
      <c r="G2741">
        <f t="shared" ca="1" si="94"/>
        <v>254</v>
      </c>
      <c r="H2741" t="s">
        <v>696</v>
      </c>
    </row>
    <row r="2742" spans="1:8">
      <c r="A2742" t="str">
        <f t="shared" si="93"/>
        <v>خراسان رضوئمه ولات</v>
      </c>
      <c r="B2742" t="s">
        <v>213</v>
      </c>
      <c r="C2742" t="s">
        <v>233</v>
      </c>
      <c r="D2742" t="s">
        <v>477</v>
      </c>
      <c r="E2742">
        <f t="shared" ca="1" si="95"/>
        <v>0.4</v>
      </c>
      <c r="F2742">
        <f>IFERROR(VLOOKUP(H2742,ProfessionalRisk!A:I,9,0),0)</f>
        <v>423</v>
      </c>
      <c r="G2742">
        <f t="shared" ca="1" si="94"/>
        <v>169</v>
      </c>
      <c r="H2742" t="s">
        <v>696</v>
      </c>
    </row>
    <row r="2743" spans="1:8">
      <c r="A2743" t="str">
        <f t="shared" si="93"/>
        <v>خراسان رضوئمه ولات</v>
      </c>
      <c r="B2743" t="s">
        <v>213</v>
      </c>
      <c r="C2743" t="s">
        <v>233</v>
      </c>
      <c r="D2743" t="s">
        <v>23</v>
      </c>
      <c r="E2743">
        <f t="shared" ca="1" si="95"/>
        <v>9.595677613884147E-3</v>
      </c>
      <c r="F2743">
        <f>IFERROR(VLOOKUP(H2743,ProfessionalRisk!A:I,9,0),0)</f>
        <v>423</v>
      </c>
      <c r="G2743">
        <f t="shared" ca="1" si="94"/>
        <v>4</v>
      </c>
      <c r="H2743" t="s">
        <v>696</v>
      </c>
    </row>
    <row r="2744" spans="1:8">
      <c r="A2744" t="str">
        <f t="shared" si="93"/>
        <v>خراسان رضوئبجستان</v>
      </c>
      <c r="B2744" t="s">
        <v>213</v>
      </c>
      <c r="C2744" t="s">
        <v>234</v>
      </c>
      <c r="D2744" t="s">
        <v>19</v>
      </c>
      <c r="E2744">
        <f t="shared" ca="1" si="95"/>
        <v>0.6</v>
      </c>
      <c r="F2744">
        <f>IFERROR(VLOOKUP(H2744,ProfessionalRisk!A:I,9,0),0)</f>
        <v>413</v>
      </c>
      <c r="G2744">
        <f t="shared" ca="1" si="94"/>
        <v>248</v>
      </c>
      <c r="H2744" t="s">
        <v>669</v>
      </c>
    </row>
    <row r="2745" spans="1:8">
      <c r="A2745" t="str">
        <f t="shared" si="93"/>
        <v>خراسان رضوئبجستان</v>
      </c>
      <c r="B2745" t="s">
        <v>213</v>
      </c>
      <c r="C2745" t="s">
        <v>234</v>
      </c>
      <c r="D2745" t="s">
        <v>477</v>
      </c>
      <c r="E2745">
        <f t="shared" ca="1" si="95"/>
        <v>0.4</v>
      </c>
      <c r="F2745">
        <f>IFERROR(VLOOKUP(H2745,ProfessionalRisk!A:I,9,0),0)</f>
        <v>413</v>
      </c>
      <c r="G2745">
        <f t="shared" ca="1" si="94"/>
        <v>165</v>
      </c>
      <c r="H2745" t="s">
        <v>669</v>
      </c>
    </row>
    <row r="2746" spans="1:8">
      <c r="A2746" t="str">
        <f t="shared" si="93"/>
        <v>خراسان رضوئبجستان</v>
      </c>
      <c r="B2746" t="s">
        <v>213</v>
      </c>
      <c r="C2746" t="s">
        <v>234</v>
      </c>
      <c r="D2746" t="s">
        <v>23</v>
      </c>
      <c r="E2746">
        <f t="shared" ca="1" si="95"/>
        <v>1.1646591920984562E-2</v>
      </c>
      <c r="F2746">
        <f>IFERROR(VLOOKUP(H2746,ProfessionalRisk!A:I,9,0),0)</f>
        <v>413</v>
      </c>
      <c r="G2746">
        <f t="shared" ca="1" si="94"/>
        <v>5</v>
      </c>
      <c r="H2746" t="s">
        <v>669</v>
      </c>
    </row>
    <row r="2747" spans="1:8">
      <c r="A2747" t="str">
        <f t="shared" si="93"/>
        <v>خراسان رضوئبينالود</v>
      </c>
      <c r="B2747" t="s">
        <v>213</v>
      </c>
      <c r="C2747" t="s">
        <v>235</v>
      </c>
      <c r="D2747" t="s">
        <v>19</v>
      </c>
      <c r="E2747">
        <f t="shared" ca="1" si="95"/>
        <v>0.6</v>
      </c>
      <c r="F2747">
        <f>IFERROR(VLOOKUP(H2747,ProfessionalRisk!A:I,9,0),0)</f>
        <v>623</v>
      </c>
      <c r="G2747">
        <f t="shared" ca="1" si="94"/>
        <v>374</v>
      </c>
      <c r="H2747" t="s">
        <v>668</v>
      </c>
    </row>
    <row r="2748" spans="1:8">
      <c r="A2748" t="str">
        <f t="shared" si="93"/>
        <v>خراسان رضوئبينالود</v>
      </c>
      <c r="B2748" t="s">
        <v>213</v>
      </c>
      <c r="C2748" t="s">
        <v>235</v>
      </c>
      <c r="D2748" t="s">
        <v>477</v>
      </c>
      <c r="E2748">
        <f t="shared" ca="1" si="95"/>
        <v>0.4</v>
      </c>
      <c r="F2748">
        <f>IFERROR(VLOOKUP(H2748,ProfessionalRisk!A:I,9,0),0)</f>
        <v>623</v>
      </c>
      <c r="G2748">
        <f t="shared" ca="1" si="94"/>
        <v>249</v>
      </c>
      <c r="H2748" t="s">
        <v>668</v>
      </c>
    </row>
    <row r="2749" spans="1:8">
      <c r="A2749" t="str">
        <f t="shared" si="93"/>
        <v>خراسان رضوئبينالود</v>
      </c>
      <c r="B2749" t="s">
        <v>213</v>
      </c>
      <c r="C2749" t="s">
        <v>235</v>
      </c>
      <c r="D2749" t="s">
        <v>23</v>
      </c>
      <c r="E2749">
        <f t="shared" ca="1" si="95"/>
        <v>3.6529678143197851E-4</v>
      </c>
      <c r="F2749">
        <f>IFERROR(VLOOKUP(H2749,ProfessionalRisk!A:I,9,0),0)</f>
        <v>623</v>
      </c>
      <c r="G2749">
        <f t="shared" ca="1" si="94"/>
        <v>0</v>
      </c>
      <c r="H2749" t="s">
        <v>668</v>
      </c>
    </row>
    <row r="2750" spans="1:8">
      <c r="A2750" t="str">
        <f t="shared" si="93"/>
        <v>خراسان رضوئفيروزه (تخت جلگه)</v>
      </c>
      <c r="B2750" t="s">
        <v>213</v>
      </c>
      <c r="C2750" t="s">
        <v>236</v>
      </c>
      <c r="D2750" t="s">
        <v>19</v>
      </c>
      <c r="E2750">
        <f t="shared" ca="1" si="95"/>
        <v>0.6</v>
      </c>
      <c r="F2750">
        <f>IFERROR(VLOOKUP(H2750,ProfessionalRisk!A:I,9,0),0)</f>
        <v>521</v>
      </c>
      <c r="G2750">
        <f t="shared" ca="1" si="94"/>
        <v>313</v>
      </c>
      <c r="H2750" t="s">
        <v>680</v>
      </c>
    </row>
    <row r="2751" spans="1:8">
      <c r="A2751" t="str">
        <f t="shared" si="93"/>
        <v>خراسان رضوئفيروزه (تخت جلگه)</v>
      </c>
      <c r="B2751" t="s">
        <v>213</v>
      </c>
      <c r="C2751" t="s">
        <v>236</v>
      </c>
      <c r="D2751" t="s">
        <v>477</v>
      </c>
      <c r="E2751">
        <f t="shared" ca="1" si="95"/>
        <v>0.4</v>
      </c>
      <c r="F2751">
        <f>IFERROR(VLOOKUP(H2751,ProfessionalRisk!A:I,9,0),0)</f>
        <v>521</v>
      </c>
      <c r="G2751">
        <f t="shared" ca="1" si="94"/>
        <v>208</v>
      </c>
      <c r="H2751" t="s">
        <v>680</v>
      </c>
    </row>
    <row r="2752" spans="1:8">
      <c r="A2752" t="str">
        <f t="shared" si="93"/>
        <v>خراسان رضوئفيروزه (تخت جلگه)</v>
      </c>
      <c r="B2752" t="s">
        <v>213</v>
      </c>
      <c r="C2752" t="s">
        <v>236</v>
      </c>
      <c r="D2752" t="s">
        <v>23</v>
      </c>
      <c r="E2752">
        <f t="shared" ca="1" si="95"/>
        <v>1.4129215456044928E-2</v>
      </c>
      <c r="F2752">
        <f>IFERROR(VLOOKUP(H2752,ProfessionalRisk!A:I,9,0),0)</f>
        <v>521</v>
      </c>
      <c r="G2752">
        <f t="shared" ca="1" si="94"/>
        <v>7</v>
      </c>
      <c r="H2752" t="s">
        <v>680</v>
      </c>
    </row>
    <row r="2753" spans="1:8">
      <c r="A2753" t="str">
        <f t="shared" si="93"/>
        <v>خراسان رضوئجغتاي</v>
      </c>
      <c r="B2753" t="s">
        <v>213</v>
      </c>
      <c r="C2753" t="s">
        <v>237</v>
      </c>
      <c r="D2753" t="s">
        <v>19</v>
      </c>
      <c r="E2753">
        <f t="shared" ca="1" si="95"/>
        <v>0.6</v>
      </c>
      <c r="F2753">
        <f>IFERROR(VLOOKUP(H2753,ProfessionalRisk!A:I,9,0),0)</f>
        <v>738</v>
      </c>
      <c r="G2753">
        <f t="shared" ca="1" si="94"/>
        <v>443</v>
      </c>
      <c r="H2753" t="s">
        <v>685</v>
      </c>
    </row>
    <row r="2754" spans="1:8">
      <c r="A2754" t="str">
        <f t="shared" ref="A2754:A2817" si="96">B2754&amp;C2754</f>
        <v>خراسان رضوئجغتاي</v>
      </c>
      <c r="B2754" t="s">
        <v>213</v>
      </c>
      <c r="C2754" t="s">
        <v>237</v>
      </c>
      <c r="D2754" t="s">
        <v>477</v>
      </c>
      <c r="E2754">
        <f t="shared" ca="1" si="95"/>
        <v>0.4</v>
      </c>
      <c r="F2754">
        <f>IFERROR(VLOOKUP(H2754,ProfessionalRisk!A:I,9,0),0)</f>
        <v>738</v>
      </c>
      <c r="G2754">
        <f t="shared" ca="1" si="94"/>
        <v>295</v>
      </c>
      <c r="H2754" t="s">
        <v>685</v>
      </c>
    </row>
    <row r="2755" spans="1:8">
      <c r="A2755" t="str">
        <f t="shared" si="96"/>
        <v>خراسان رضوئجغتاي</v>
      </c>
      <c r="B2755" t="s">
        <v>213</v>
      </c>
      <c r="C2755" t="s">
        <v>237</v>
      </c>
      <c r="D2755" t="s">
        <v>23</v>
      </c>
      <c r="E2755">
        <f t="shared" ca="1" si="95"/>
        <v>2.4212640137363174E-3</v>
      </c>
      <c r="F2755">
        <f>IFERROR(VLOOKUP(H2755,ProfessionalRisk!A:I,9,0),0)</f>
        <v>738</v>
      </c>
      <c r="G2755">
        <f t="shared" ref="G2755:G2818" ca="1" si="97">IFERROR(ROUND(F2755*E2755,0),0)</f>
        <v>2</v>
      </c>
      <c r="H2755" t="s">
        <v>685</v>
      </c>
    </row>
    <row r="2756" spans="1:8">
      <c r="A2756" t="str">
        <f t="shared" si="96"/>
        <v>خراسان رضوئزاوه</v>
      </c>
      <c r="B2756" t="s">
        <v>213</v>
      </c>
      <c r="C2756" t="s">
        <v>238</v>
      </c>
      <c r="D2756" t="s">
        <v>19</v>
      </c>
      <c r="E2756">
        <f t="shared" ca="1" si="95"/>
        <v>0.6</v>
      </c>
      <c r="F2756">
        <f>IFERROR(VLOOKUP(H2756,ProfessionalRisk!A:I,9,0),0)</f>
        <v>466</v>
      </c>
      <c r="G2756">
        <f t="shared" ca="1" si="97"/>
        <v>280</v>
      </c>
      <c r="H2756" t="s">
        <v>687</v>
      </c>
    </row>
    <row r="2757" spans="1:8">
      <c r="A2757" t="str">
        <f t="shared" si="96"/>
        <v>خراسان رضوئزاوه</v>
      </c>
      <c r="B2757" t="s">
        <v>213</v>
      </c>
      <c r="C2757" t="s">
        <v>238</v>
      </c>
      <c r="D2757" t="s">
        <v>477</v>
      </c>
      <c r="E2757">
        <f t="shared" ca="1" si="95"/>
        <v>0.4</v>
      </c>
      <c r="F2757">
        <f>IFERROR(VLOOKUP(H2757,ProfessionalRisk!A:I,9,0),0)</f>
        <v>466</v>
      </c>
      <c r="G2757">
        <f t="shared" ca="1" si="97"/>
        <v>186</v>
      </c>
      <c r="H2757" t="s">
        <v>687</v>
      </c>
    </row>
    <row r="2758" spans="1:8">
      <c r="A2758" t="str">
        <f t="shared" si="96"/>
        <v>خراسان رضوئزاوه</v>
      </c>
      <c r="B2758" t="s">
        <v>213</v>
      </c>
      <c r="C2758" t="s">
        <v>238</v>
      </c>
      <c r="D2758" t="s">
        <v>23</v>
      </c>
      <c r="E2758">
        <f t="shared" ca="1" si="95"/>
        <v>1.6572360714880881E-2</v>
      </c>
      <c r="F2758">
        <f>IFERROR(VLOOKUP(H2758,ProfessionalRisk!A:I,9,0),0)</f>
        <v>466</v>
      </c>
      <c r="G2758">
        <f t="shared" ca="1" si="97"/>
        <v>8</v>
      </c>
      <c r="H2758" t="s">
        <v>687</v>
      </c>
    </row>
    <row r="2759" spans="1:8">
      <c r="A2759" t="str">
        <f t="shared" si="96"/>
        <v>خراسان رضوئجوين</v>
      </c>
      <c r="B2759" t="s">
        <v>213</v>
      </c>
      <c r="C2759" t="s">
        <v>239</v>
      </c>
      <c r="D2759" t="s">
        <v>19</v>
      </c>
      <c r="E2759">
        <f t="shared" ca="1" si="95"/>
        <v>0.6</v>
      </c>
      <c r="F2759">
        <f>IFERROR(VLOOKUP(H2759,ProfessionalRisk!A:I,9,0),0)</f>
        <v>839</v>
      </c>
      <c r="G2759">
        <f t="shared" ca="1" si="97"/>
        <v>503</v>
      </c>
      <c r="H2759" t="s">
        <v>692</v>
      </c>
    </row>
    <row r="2760" spans="1:8">
      <c r="A2760" t="str">
        <f t="shared" si="96"/>
        <v>خراسان رضوئجوين</v>
      </c>
      <c r="B2760" t="s">
        <v>213</v>
      </c>
      <c r="C2760" t="s">
        <v>239</v>
      </c>
      <c r="D2760" t="s">
        <v>477</v>
      </c>
      <c r="E2760">
        <f t="shared" ca="1" si="95"/>
        <v>0.4</v>
      </c>
      <c r="F2760">
        <f>IFERROR(VLOOKUP(H2760,ProfessionalRisk!A:I,9,0),0)</f>
        <v>839</v>
      </c>
      <c r="G2760">
        <f t="shared" ca="1" si="97"/>
        <v>336</v>
      </c>
      <c r="H2760" t="s">
        <v>692</v>
      </c>
    </row>
    <row r="2761" spans="1:8">
      <c r="A2761" t="str">
        <f t="shared" si="96"/>
        <v>خراسان رضوئجوين</v>
      </c>
      <c r="B2761" t="s">
        <v>213</v>
      </c>
      <c r="C2761" t="s">
        <v>239</v>
      </c>
      <c r="D2761" t="s">
        <v>23</v>
      </c>
      <c r="E2761">
        <f t="shared" ca="1" si="95"/>
        <v>1.3873255312463259E-2</v>
      </c>
      <c r="F2761">
        <f>IFERROR(VLOOKUP(H2761,ProfessionalRisk!A:I,9,0),0)</f>
        <v>839</v>
      </c>
      <c r="G2761">
        <f t="shared" ca="1" si="97"/>
        <v>12</v>
      </c>
      <c r="H2761" t="s">
        <v>692</v>
      </c>
    </row>
    <row r="2762" spans="1:8">
      <c r="A2762" t="str">
        <f t="shared" si="96"/>
        <v>خراسان رضوئباخرز</v>
      </c>
      <c r="B2762" t="s">
        <v>213</v>
      </c>
      <c r="C2762" t="s">
        <v>240</v>
      </c>
      <c r="D2762" t="s">
        <v>19</v>
      </c>
      <c r="E2762">
        <f t="shared" ca="1" si="95"/>
        <v>0.6</v>
      </c>
      <c r="F2762">
        <f>IFERROR(VLOOKUP(H2762,ProfessionalRisk!A:I,9,0),0)</f>
        <v>2437</v>
      </c>
      <c r="G2762">
        <f t="shared" ca="1" si="97"/>
        <v>1462</v>
      </c>
      <c r="H2762" t="s">
        <v>691</v>
      </c>
    </row>
    <row r="2763" spans="1:8">
      <c r="A2763" t="str">
        <f t="shared" si="96"/>
        <v>خراسان رضوئباخرز</v>
      </c>
      <c r="B2763" t="s">
        <v>213</v>
      </c>
      <c r="C2763" t="s">
        <v>240</v>
      </c>
      <c r="D2763" t="s">
        <v>477</v>
      </c>
      <c r="E2763">
        <f t="shared" ca="1" si="95"/>
        <v>0.4</v>
      </c>
      <c r="F2763">
        <f>IFERROR(VLOOKUP(H2763,ProfessionalRisk!A:I,9,0),0)</f>
        <v>2437</v>
      </c>
      <c r="G2763">
        <f t="shared" ca="1" si="97"/>
        <v>975</v>
      </c>
      <c r="H2763" t="s">
        <v>691</v>
      </c>
    </row>
    <row r="2764" spans="1:8">
      <c r="A2764" t="str">
        <f t="shared" si="96"/>
        <v>خراسان رضوئباخرز</v>
      </c>
      <c r="B2764" t="s">
        <v>213</v>
      </c>
      <c r="C2764" t="s">
        <v>240</v>
      </c>
      <c r="D2764" t="s">
        <v>23</v>
      </c>
      <c r="E2764">
        <f t="shared" ca="1" si="95"/>
        <v>9.8746551647339149E-4</v>
      </c>
      <c r="F2764">
        <f>IFERROR(VLOOKUP(H2764,ProfessionalRisk!A:I,9,0),0)</f>
        <v>2437</v>
      </c>
      <c r="G2764">
        <f t="shared" ca="1" si="97"/>
        <v>2</v>
      </c>
      <c r="H2764" t="s">
        <v>691</v>
      </c>
    </row>
    <row r="2765" spans="1:8">
      <c r="A2765" t="str">
        <f t="shared" si="96"/>
        <v>خراسان رضوئخوشاب</v>
      </c>
      <c r="B2765" t="s">
        <v>213</v>
      </c>
      <c r="C2765" t="s">
        <v>241</v>
      </c>
      <c r="D2765" t="s">
        <v>19</v>
      </c>
      <c r="E2765">
        <f t="shared" ca="1" si="95"/>
        <v>0.6</v>
      </c>
      <c r="F2765">
        <f>IFERROR(VLOOKUP(H2765,ProfessionalRisk!A:I,9,0),0)</f>
        <v>392</v>
      </c>
      <c r="G2765">
        <f t="shared" ca="1" si="97"/>
        <v>235</v>
      </c>
      <c r="H2765" t="s">
        <v>671</v>
      </c>
    </row>
    <row r="2766" spans="1:8">
      <c r="A2766" t="str">
        <f t="shared" si="96"/>
        <v>خراسان رضوئخوشاب</v>
      </c>
      <c r="B2766" t="s">
        <v>213</v>
      </c>
      <c r="C2766" t="s">
        <v>241</v>
      </c>
      <c r="D2766" t="s">
        <v>477</v>
      </c>
      <c r="E2766">
        <f t="shared" ca="1" si="95"/>
        <v>0.4</v>
      </c>
      <c r="F2766">
        <f>IFERROR(VLOOKUP(H2766,ProfessionalRisk!A:I,9,0),0)</f>
        <v>392</v>
      </c>
      <c r="G2766">
        <f t="shared" ca="1" si="97"/>
        <v>157</v>
      </c>
      <c r="H2766" t="s">
        <v>671</v>
      </c>
    </row>
    <row r="2767" spans="1:8">
      <c r="A2767" t="str">
        <f t="shared" si="96"/>
        <v>خراسان رضوئخوشاب</v>
      </c>
      <c r="B2767" t="s">
        <v>213</v>
      </c>
      <c r="C2767" t="s">
        <v>241</v>
      </c>
      <c r="D2767" t="s">
        <v>23</v>
      </c>
      <c r="E2767">
        <f t="shared" ca="1" si="95"/>
        <v>5.1345491692512948E-3</v>
      </c>
      <c r="F2767">
        <f>IFERROR(VLOOKUP(H2767,ProfessionalRisk!A:I,9,0),0)</f>
        <v>392</v>
      </c>
      <c r="G2767">
        <f t="shared" ca="1" si="97"/>
        <v>2</v>
      </c>
      <c r="H2767" t="s">
        <v>671</v>
      </c>
    </row>
    <row r="2768" spans="1:8">
      <c r="A2768" t="str">
        <f t="shared" si="96"/>
        <v>خراسان رضوئداور زن</v>
      </c>
      <c r="B2768" t="s">
        <v>213</v>
      </c>
      <c r="C2768" t="s">
        <v>243</v>
      </c>
      <c r="D2768" t="s">
        <v>19</v>
      </c>
      <c r="E2768">
        <f t="shared" ca="1" si="95"/>
        <v>0.6</v>
      </c>
      <c r="F2768">
        <f>IFERROR(VLOOKUP(H2768,ProfessionalRisk!A:I,9,0),0)</f>
        <v>226</v>
      </c>
      <c r="G2768">
        <f t="shared" ca="1" si="97"/>
        <v>136</v>
      </c>
      <c r="H2768" t="s">
        <v>693</v>
      </c>
    </row>
    <row r="2769" spans="1:8">
      <c r="A2769" t="str">
        <f t="shared" si="96"/>
        <v>خراسان رضوئداور زن</v>
      </c>
      <c r="B2769" t="s">
        <v>213</v>
      </c>
      <c r="C2769" t="s">
        <v>243</v>
      </c>
      <c r="D2769" t="s">
        <v>477</v>
      </c>
      <c r="E2769">
        <f t="shared" ca="1" si="95"/>
        <v>0.4</v>
      </c>
      <c r="F2769">
        <f>IFERROR(VLOOKUP(H2769,ProfessionalRisk!A:I,9,0),0)</f>
        <v>226</v>
      </c>
      <c r="G2769">
        <f t="shared" ca="1" si="97"/>
        <v>90</v>
      </c>
      <c r="H2769" t="s">
        <v>693</v>
      </c>
    </row>
    <row r="2770" spans="1:8">
      <c r="A2770" t="str">
        <f t="shared" si="96"/>
        <v>خراسان رضوئداور زن</v>
      </c>
      <c r="B2770" t="s">
        <v>213</v>
      </c>
      <c r="C2770" t="s">
        <v>243</v>
      </c>
      <c r="D2770" t="s">
        <v>23</v>
      </c>
      <c r="E2770">
        <f t="shared" ca="1" si="95"/>
        <v>9.4948997702939651E-3</v>
      </c>
      <c r="F2770">
        <f>IFERROR(VLOOKUP(H2770,ProfessionalRisk!A:I,9,0),0)</f>
        <v>226</v>
      </c>
      <c r="G2770">
        <f t="shared" ca="1" si="97"/>
        <v>2</v>
      </c>
      <c r="H2770" t="s">
        <v>693</v>
      </c>
    </row>
    <row r="2771" spans="1:8">
      <c r="A2771" t="str">
        <f t="shared" si="96"/>
        <v>اصفهاناردستان</v>
      </c>
      <c r="B2771" t="s">
        <v>242</v>
      </c>
      <c r="C2771" t="s">
        <v>244</v>
      </c>
      <c r="D2771" t="s">
        <v>19</v>
      </c>
      <c r="E2771">
        <f t="shared" ca="1" si="95"/>
        <v>0.6</v>
      </c>
      <c r="F2771">
        <f>IFERROR(VLOOKUP(H2771,ProfessionalRisk!A:I,9,0),0)</f>
        <v>767</v>
      </c>
      <c r="G2771">
        <f t="shared" ca="1" si="97"/>
        <v>460</v>
      </c>
      <c r="H2771" t="s">
        <v>585</v>
      </c>
    </row>
    <row r="2772" spans="1:8">
      <c r="A2772" t="str">
        <f t="shared" si="96"/>
        <v>اصفهاناردستان</v>
      </c>
      <c r="B2772" t="s">
        <v>242</v>
      </c>
      <c r="C2772" t="s">
        <v>244</v>
      </c>
      <c r="D2772" t="s">
        <v>477</v>
      </c>
      <c r="E2772">
        <f t="shared" ca="1" si="95"/>
        <v>0.4</v>
      </c>
      <c r="F2772">
        <f>IFERROR(VLOOKUP(H2772,ProfessionalRisk!A:I,9,0),0)</f>
        <v>767</v>
      </c>
      <c r="G2772">
        <f t="shared" ca="1" si="97"/>
        <v>307</v>
      </c>
      <c r="H2772" t="s">
        <v>585</v>
      </c>
    </row>
    <row r="2773" spans="1:8">
      <c r="A2773" t="str">
        <f t="shared" si="96"/>
        <v>اصفهاناردستان</v>
      </c>
      <c r="B2773" t="s">
        <v>242</v>
      </c>
      <c r="C2773" t="s">
        <v>244</v>
      </c>
      <c r="D2773" t="s">
        <v>23</v>
      </c>
      <c r="E2773">
        <f t="shared" ca="1" si="95"/>
        <v>9.5415833166952822E-3</v>
      </c>
      <c r="F2773">
        <f>IFERROR(VLOOKUP(H2773,ProfessionalRisk!A:I,9,0),0)</f>
        <v>767</v>
      </c>
      <c r="G2773">
        <f t="shared" ca="1" si="97"/>
        <v>7</v>
      </c>
      <c r="H2773" t="s">
        <v>585</v>
      </c>
    </row>
    <row r="2774" spans="1:8">
      <c r="A2774" t="str">
        <f t="shared" si="96"/>
        <v>اصفهاناصفهان</v>
      </c>
      <c r="B2774" t="s">
        <v>242</v>
      </c>
      <c r="C2774" t="s">
        <v>242</v>
      </c>
      <c r="D2774" t="s">
        <v>19</v>
      </c>
      <c r="E2774">
        <f t="shared" ca="1" si="95"/>
        <v>0.6</v>
      </c>
      <c r="F2774">
        <f>IFERROR(VLOOKUP(H2774,ProfessionalRisk!A:I,9,0),0)</f>
        <v>55583</v>
      </c>
      <c r="G2774">
        <f t="shared" ca="1" si="97"/>
        <v>33350</v>
      </c>
      <c r="H2774" t="s">
        <v>597</v>
      </c>
    </row>
    <row r="2775" spans="1:8">
      <c r="A2775" t="str">
        <f t="shared" si="96"/>
        <v>اصفهاناصفهان</v>
      </c>
      <c r="B2775" t="s">
        <v>242</v>
      </c>
      <c r="C2775" t="s">
        <v>242</v>
      </c>
      <c r="D2775" t="s">
        <v>477</v>
      </c>
      <c r="E2775">
        <f t="shared" ca="1" si="95"/>
        <v>0.4</v>
      </c>
      <c r="F2775">
        <f>IFERROR(VLOOKUP(H2775,ProfessionalRisk!A:I,9,0),0)</f>
        <v>55583</v>
      </c>
      <c r="G2775">
        <f t="shared" ca="1" si="97"/>
        <v>22233</v>
      </c>
      <c r="H2775" t="s">
        <v>597</v>
      </c>
    </row>
    <row r="2776" spans="1:8">
      <c r="A2776" t="str">
        <f t="shared" si="96"/>
        <v>اصفهاناصفهان</v>
      </c>
      <c r="B2776" t="s">
        <v>242</v>
      </c>
      <c r="C2776" t="s">
        <v>242</v>
      </c>
      <c r="D2776" t="s">
        <v>23</v>
      </c>
      <c r="E2776">
        <f t="shared" ca="1" si="95"/>
        <v>9.4920699145033469E-3</v>
      </c>
      <c r="F2776">
        <f>IFERROR(VLOOKUP(H2776,ProfessionalRisk!A:I,9,0),0)</f>
        <v>55583</v>
      </c>
      <c r="G2776">
        <f t="shared" ca="1" si="97"/>
        <v>528</v>
      </c>
      <c r="H2776" t="s">
        <v>597</v>
      </c>
    </row>
    <row r="2777" spans="1:8">
      <c r="A2777" t="str">
        <f t="shared" si="96"/>
        <v>اصفهانخميني شهر</v>
      </c>
      <c r="B2777" t="s">
        <v>242</v>
      </c>
      <c r="C2777" t="s">
        <v>245</v>
      </c>
      <c r="D2777" t="s">
        <v>19</v>
      </c>
      <c r="E2777">
        <f t="shared" ca="1" si="95"/>
        <v>0.6</v>
      </c>
      <c r="F2777">
        <f>IFERROR(VLOOKUP(H2777,ProfessionalRisk!A:I,9,0),0)</f>
        <v>1510</v>
      </c>
      <c r="G2777">
        <f t="shared" ca="1" si="97"/>
        <v>906</v>
      </c>
      <c r="H2777" t="s">
        <v>588</v>
      </c>
    </row>
    <row r="2778" spans="1:8">
      <c r="A2778" t="str">
        <f t="shared" si="96"/>
        <v>اصفهانخميني شهر</v>
      </c>
      <c r="B2778" t="s">
        <v>242</v>
      </c>
      <c r="C2778" t="s">
        <v>245</v>
      </c>
      <c r="D2778" t="s">
        <v>477</v>
      </c>
      <c r="E2778">
        <f t="shared" ca="1" si="95"/>
        <v>0.4</v>
      </c>
      <c r="F2778">
        <f>IFERROR(VLOOKUP(H2778,ProfessionalRisk!A:I,9,0),0)</f>
        <v>1510</v>
      </c>
      <c r="G2778">
        <f t="shared" ca="1" si="97"/>
        <v>604</v>
      </c>
      <c r="H2778" t="s">
        <v>588</v>
      </c>
    </row>
    <row r="2779" spans="1:8">
      <c r="A2779" t="str">
        <f t="shared" si="96"/>
        <v>اصفهانخميني شهر</v>
      </c>
      <c r="B2779" t="s">
        <v>242</v>
      </c>
      <c r="C2779" t="s">
        <v>245</v>
      </c>
      <c r="D2779" t="s">
        <v>23</v>
      </c>
      <c r="E2779">
        <f t="shared" ca="1" si="95"/>
        <v>1.5740320438272566E-2</v>
      </c>
      <c r="F2779">
        <f>IFERROR(VLOOKUP(H2779,ProfessionalRisk!A:I,9,0),0)</f>
        <v>1510</v>
      </c>
      <c r="G2779">
        <f t="shared" ca="1" si="97"/>
        <v>24</v>
      </c>
      <c r="H2779" t="s">
        <v>588</v>
      </c>
    </row>
    <row r="2780" spans="1:8">
      <c r="A2780" t="str">
        <f t="shared" si="96"/>
        <v>اصفهانخوانسار</v>
      </c>
      <c r="B2780" t="s">
        <v>242</v>
      </c>
      <c r="C2780" t="s">
        <v>246</v>
      </c>
      <c r="D2780" t="s">
        <v>19</v>
      </c>
      <c r="E2780">
        <f t="shared" ca="1" si="95"/>
        <v>0.6</v>
      </c>
      <c r="F2780">
        <f>IFERROR(VLOOKUP(H2780,ProfessionalRisk!A:I,9,0),0)</f>
        <v>886</v>
      </c>
      <c r="G2780">
        <f t="shared" ca="1" si="97"/>
        <v>532</v>
      </c>
      <c r="H2780" t="s">
        <v>572</v>
      </c>
    </row>
    <row r="2781" spans="1:8">
      <c r="A2781" t="str">
        <f t="shared" si="96"/>
        <v>اصفهانخوانسار</v>
      </c>
      <c r="B2781" t="s">
        <v>242</v>
      </c>
      <c r="C2781" t="s">
        <v>246</v>
      </c>
      <c r="D2781" t="s">
        <v>477</v>
      </c>
      <c r="E2781">
        <f t="shared" ca="1" si="95"/>
        <v>0.4</v>
      </c>
      <c r="F2781">
        <f>IFERROR(VLOOKUP(H2781,ProfessionalRisk!A:I,9,0),0)</f>
        <v>886</v>
      </c>
      <c r="G2781">
        <f t="shared" ca="1" si="97"/>
        <v>354</v>
      </c>
      <c r="H2781" t="s">
        <v>572</v>
      </c>
    </row>
    <row r="2782" spans="1:8">
      <c r="A2782" t="str">
        <f t="shared" si="96"/>
        <v>اصفهانخوانسار</v>
      </c>
      <c r="B2782" t="s">
        <v>242</v>
      </c>
      <c r="C2782" t="s">
        <v>246</v>
      </c>
      <c r="D2782" t="s">
        <v>23</v>
      </c>
      <c r="E2782">
        <f t="shared" ca="1" si="95"/>
        <v>2.9534381934299336E-3</v>
      </c>
      <c r="F2782">
        <f>IFERROR(VLOOKUP(H2782,ProfessionalRisk!A:I,9,0),0)</f>
        <v>886</v>
      </c>
      <c r="G2782">
        <f t="shared" ca="1" si="97"/>
        <v>3</v>
      </c>
      <c r="H2782" t="s">
        <v>572</v>
      </c>
    </row>
    <row r="2783" spans="1:8">
      <c r="A2783" t="str">
        <f t="shared" si="96"/>
        <v>اصفهانسميرم</v>
      </c>
      <c r="B2783" t="s">
        <v>242</v>
      </c>
      <c r="C2783" t="s">
        <v>247</v>
      </c>
      <c r="D2783" t="s">
        <v>19</v>
      </c>
      <c r="E2783">
        <f t="shared" ca="1" si="95"/>
        <v>0.6</v>
      </c>
      <c r="F2783">
        <f>IFERROR(VLOOKUP(H2783,ProfessionalRisk!A:I,9,0),0)</f>
        <v>1037</v>
      </c>
      <c r="G2783">
        <f t="shared" ca="1" si="97"/>
        <v>622</v>
      </c>
      <c r="H2783" t="s">
        <v>598</v>
      </c>
    </row>
    <row r="2784" spans="1:8">
      <c r="A2784" t="str">
        <f t="shared" si="96"/>
        <v>اصفهانسميرم</v>
      </c>
      <c r="B2784" t="s">
        <v>242</v>
      </c>
      <c r="C2784" t="s">
        <v>247</v>
      </c>
      <c r="D2784" t="s">
        <v>477</v>
      </c>
      <c r="E2784">
        <f t="shared" ca="1" si="95"/>
        <v>0.4</v>
      </c>
      <c r="F2784">
        <f>IFERROR(VLOOKUP(H2784,ProfessionalRisk!A:I,9,0),0)</f>
        <v>1037</v>
      </c>
      <c r="G2784">
        <f t="shared" ca="1" si="97"/>
        <v>415</v>
      </c>
      <c r="H2784" t="s">
        <v>598</v>
      </c>
    </row>
    <row r="2785" spans="1:8">
      <c r="A2785" t="str">
        <f t="shared" si="96"/>
        <v>اصفهانسميرم</v>
      </c>
      <c r="B2785" t="s">
        <v>242</v>
      </c>
      <c r="C2785" t="s">
        <v>247</v>
      </c>
      <c r="D2785" t="s">
        <v>23</v>
      </c>
      <c r="E2785">
        <f t="shared" ca="1" si="95"/>
        <v>1.6384424228081725E-2</v>
      </c>
      <c r="F2785">
        <f>IFERROR(VLOOKUP(H2785,ProfessionalRisk!A:I,9,0),0)</f>
        <v>1037</v>
      </c>
      <c r="G2785">
        <f t="shared" ca="1" si="97"/>
        <v>17</v>
      </c>
      <c r="H2785" t="s">
        <v>598</v>
      </c>
    </row>
    <row r="2786" spans="1:8">
      <c r="A2786" t="str">
        <f t="shared" si="96"/>
        <v>اصفهانفريدن</v>
      </c>
      <c r="B2786" t="s">
        <v>242</v>
      </c>
      <c r="C2786" t="s">
        <v>248</v>
      </c>
      <c r="D2786" t="s">
        <v>19</v>
      </c>
      <c r="E2786">
        <f t="shared" ca="1" si="95"/>
        <v>0.6</v>
      </c>
      <c r="F2786">
        <f>IFERROR(VLOOKUP(H2786,ProfessionalRisk!A:I,9,0),0)</f>
        <v>938</v>
      </c>
      <c r="G2786">
        <f t="shared" ca="1" si="97"/>
        <v>563</v>
      </c>
      <c r="H2786" t="s">
        <v>576</v>
      </c>
    </row>
    <row r="2787" spans="1:8">
      <c r="A2787" t="str">
        <f t="shared" si="96"/>
        <v>اصفهانفريدن</v>
      </c>
      <c r="B2787" t="s">
        <v>242</v>
      </c>
      <c r="C2787" t="s">
        <v>248</v>
      </c>
      <c r="D2787" t="s">
        <v>477</v>
      </c>
      <c r="E2787">
        <f t="shared" ref="E2787:E2850" ca="1" si="98">IF(D2787="AP",0.6,IF(D2787="BP",0.4,RAND()*0.02))</f>
        <v>0.4</v>
      </c>
      <c r="F2787">
        <f>IFERROR(VLOOKUP(H2787,ProfessionalRisk!A:I,9,0),0)</f>
        <v>938</v>
      </c>
      <c r="G2787">
        <f t="shared" ca="1" si="97"/>
        <v>375</v>
      </c>
      <c r="H2787" t="s">
        <v>576</v>
      </c>
    </row>
    <row r="2788" spans="1:8">
      <c r="A2788" t="str">
        <f t="shared" si="96"/>
        <v>اصفهانفريدن</v>
      </c>
      <c r="B2788" t="s">
        <v>242</v>
      </c>
      <c r="C2788" t="s">
        <v>248</v>
      </c>
      <c r="D2788" t="s">
        <v>23</v>
      </c>
      <c r="E2788">
        <f t="shared" ca="1" si="98"/>
        <v>7.0390754881923794E-3</v>
      </c>
      <c r="F2788">
        <f>IFERROR(VLOOKUP(H2788,ProfessionalRisk!A:I,9,0),0)</f>
        <v>938</v>
      </c>
      <c r="G2788">
        <f t="shared" ca="1" si="97"/>
        <v>7</v>
      </c>
      <c r="H2788" t="s">
        <v>576</v>
      </c>
    </row>
    <row r="2789" spans="1:8">
      <c r="A2789" t="str">
        <f t="shared" si="96"/>
        <v>اصفهانفريدونشهر</v>
      </c>
      <c r="B2789" t="s">
        <v>242</v>
      </c>
      <c r="C2789" t="s">
        <v>249</v>
      </c>
      <c r="D2789" t="s">
        <v>19</v>
      </c>
      <c r="E2789">
        <f t="shared" ca="1" si="98"/>
        <v>0.6</v>
      </c>
      <c r="F2789">
        <f>IFERROR(VLOOKUP(H2789,ProfessionalRisk!A:I,9,0),0)</f>
        <v>709</v>
      </c>
      <c r="G2789">
        <f t="shared" ca="1" si="97"/>
        <v>425</v>
      </c>
      <c r="H2789" t="s">
        <v>582</v>
      </c>
    </row>
    <row r="2790" spans="1:8">
      <c r="A2790" t="str">
        <f t="shared" si="96"/>
        <v>اصفهانفريدونشهر</v>
      </c>
      <c r="B2790" t="s">
        <v>242</v>
      </c>
      <c r="C2790" t="s">
        <v>249</v>
      </c>
      <c r="D2790" t="s">
        <v>477</v>
      </c>
      <c r="E2790">
        <f t="shared" ca="1" si="98"/>
        <v>0.4</v>
      </c>
      <c r="F2790">
        <f>IFERROR(VLOOKUP(H2790,ProfessionalRisk!A:I,9,0),0)</f>
        <v>709</v>
      </c>
      <c r="G2790">
        <f t="shared" ca="1" si="97"/>
        <v>284</v>
      </c>
      <c r="H2790" t="s">
        <v>582</v>
      </c>
    </row>
    <row r="2791" spans="1:8">
      <c r="A2791" t="str">
        <f t="shared" si="96"/>
        <v>اصفهانفريدونشهر</v>
      </c>
      <c r="B2791" t="s">
        <v>242</v>
      </c>
      <c r="C2791" t="s">
        <v>249</v>
      </c>
      <c r="D2791" t="s">
        <v>23</v>
      </c>
      <c r="E2791">
        <f t="shared" ca="1" si="98"/>
        <v>2.869485402516705E-3</v>
      </c>
      <c r="F2791">
        <f>IFERROR(VLOOKUP(H2791,ProfessionalRisk!A:I,9,0),0)</f>
        <v>709</v>
      </c>
      <c r="G2791">
        <f t="shared" ca="1" si="97"/>
        <v>2</v>
      </c>
      <c r="H2791" t="s">
        <v>582</v>
      </c>
    </row>
    <row r="2792" spans="1:8">
      <c r="A2792" t="str">
        <f t="shared" si="96"/>
        <v>اصفهانفلاورجان</v>
      </c>
      <c r="B2792" t="s">
        <v>242</v>
      </c>
      <c r="C2792" t="s">
        <v>250</v>
      </c>
      <c r="D2792" t="s">
        <v>19</v>
      </c>
      <c r="E2792">
        <f t="shared" ca="1" si="98"/>
        <v>0.6</v>
      </c>
      <c r="F2792">
        <f>IFERROR(VLOOKUP(H2792,ProfessionalRisk!A:I,9,0),0)</f>
        <v>2473</v>
      </c>
      <c r="G2792">
        <f t="shared" ca="1" si="97"/>
        <v>1484</v>
      </c>
      <c r="H2792" t="s">
        <v>571</v>
      </c>
    </row>
    <row r="2793" spans="1:8">
      <c r="A2793" t="str">
        <f t="shared" si="96"/>
        <v>اصفهانفلاورجان</v>
      </c>
      <c r="B2793" t="s">
        <v>242</v>
      </c>
      <c r="C2793" t="s">
        <v>250</v>
      </c>
      <c r="D2793" t="s">
        <v>477</v>
      </c>
      <c r="E2793">
        <f t="shared" ca="1" si="98"/>
        <v>0.4</v>
      </c>
      <c r="F2793">
        <f>IFERROR(VLOOKUP(H2793,ProfessionalRisk!A:I,9,0),0)</f>
        <v>2473</v>
      </c>
      <c r="G2793">
        <f t="shared" ca="1" si="97"/>
        <v>989</v>
      </c>
      <c r="H2793" t="s">
        <v>571</v>
      </c>
    </row>
    <row r="2794" spans="1:8">
      <c r="A2794" t="str">
        <f t="shared" si="96"/>
        <v>اصفهانفلاورجان</v>
      </c>
      <c r="B2794" t="s">
        <v>242</v>
      </c>
      <c r="C2794" t="s">
        <v>250</v>
      </c>
      <c r="D2794" t="s">
        <v>23</v>
      </c>
      <c r="E2794">
        <f t="shared" ca="1" si="98"/>
        <v>7.7957070355718682E-3</v>
      </c>
      <c r="F2794">
        <f>IFERROR(VLOOKUP(H2794,ProfessionalRisk!A:I,9,0),0)</f>
        <v>2473</v>
      </c>
      <c r="G2794">
        <f t="shared" ca="1" si="97"/>
        <v>19</v>
      </c>
      <c r="H2794" t="s">
        <v>571</v>
      </c>
    </row>
    <row r="2795" spans="1:8">
      <c r="A2795" t="str">
        <f t="shared" si="96"/>
        <v>اصفهانشهرضا</v>
      </c>
      <c r="B2795" t="s">
        <v>242</v>
      </c>
      <c r="C2795" t="s">
        <v>251</v>
      </c>
      <c r="D2795" t="s">
        <v>19</v>
      </c>
      <c r="E2795">
        <f t="shared" ca="1" si="98"/>
        <v>0.6</v>
      </c>
      <c r="F2795">
        <f>IFERROR(VLOOKUP(H2795,ProfessionalRisk!A:I,9,0),0)</f>
        <v>1922</v>
      </c>
      <c r="G2795">
        <f t="shared" ca="1" si="97"/>
        <v>1153</v>
      </c>
      <c r="H2795" t="s">
        <v>581</v>
      </c>
    </row>
    <row r="2796" spans="1:8">
      <c r="A2796" t="str">
        <f t="shared" si="96"/>
        <v>اصفهانشهرضا</v>
      </c>
      <c r="B2796" t="s">
        <v>242</v>
      </c>
      <c r="C2796" t="s">
        <v>251</v>
      </c>
      <c r="D2796" t="s">
        <v>477</v>
      </c>
      <c r="E2796">
        <f t="shared" ca="1" si="98"/>
        <v>0.4</v>
      </c>
      <c r="F2796">
        <f>IFERROR(VLOOKUP(H2796,ProfessionalRisk!A:I,9,0),0)</f>
        <v>1922</v>
      </c>
      <c r="G2796">
        <f t="shared" ca="1" si="97"/>
        <v>769</v>
      </c>
      <c r="H2796" t="s">
        <v>581</v>
      </c>
    </row>
    <row r="2797" spans="1:8">
      <c r="A2797" t="str">
        <f t="shared" si="96"/>
        <v>اصفهانشهرضا</v>
      </c>
      <c r="B2797" t="s">
        <v>242</v>
      </c>
      <c r="C2797" t="s">
        <v>251</v>
      </c>
      <c r="D2797" t="s">
        <v>23</v>
      </c>
      <c r="E2797">
        <f t="shared" ca="1" si="98"/>
        <v>9.3500405076317582E-3</v>
      </c>
      <c r="F2797">
        <f>IFERROR(VLOOKUP(H2797,ProfessionalRisk!A:I,9,0),0)</f>
        <v>1922</v>
      </c>
      <c r="G2797">
        <f t="shared" ca="1" si="97"/>
        <v>18</v>
      </c>
      <c r="H2797" t="s">
        <v>581</v>
      </c>
    </row>
    <row r="2798" spans="1:8">
      <c r="A2798" t="str">
        <f t="shared" si="96"/>
        <v>اصفهانكاشان</v>
      </c>
      <c r="B2798" t="s">
        <v>242</v>
      </c>
      <c r="C2798" t="s">
        <v>580</v>
      </c>
      <c r="D2798" t="s">
        <v>19</v>
      </c>
      <c r="E2798">
        <f t="shared" ca="1" si="98"/>
        <v>0.6</v>
      </c>
      <c r="F2798">
        <f>IFERROR(VLOOKUP(H2798,ProfessionalRisk!A:I,9,0),0)</f>
        <v>11701</v>
      </c>
      <c r="G2798">
        <f t="shared" ca="1" si="97"/>
        <v>7021</v>
      </c>
      <c r="H2798" t="s">
        <v>855</v>
      </c>
    </row>
    <row r="2799" spans="1:8">
      <c r="A2799" t="str">
        <f t="shared" si="96"/>
        <v>اصفهانكاشان</v>
      </c>
      <c r="B2799" t="s">
        <v>242</v>
      </c>
      <c r="C2799" t="s">
        <v>580</v>
      </c>
      <c r="D2799" t="s">
        <v>477</v>
      </c>
      <c r="E2799">
        <f t="shared" ca="1" si="98"/>
        <v>0.4</v>
      </c>
      <c r="F2799">
        <f>IFERROR(VLOOKUP(H2799,ProfessionalRisk!A:I,9,0),0)</f>
        <v>11701</v>
      </c>
      <c r="G2799">
        <f t="shared" ca="1" si="97"/>
        <v>4680</v>
      </c>
      <c r="H2799" t="s">
        <v>855</v>
      </c>
    </row>
    <row r="2800" spans="1:8">
      <c r="A2800" t="str">
        <f t="shared" si="96"/>
        <v>اصفهانكاشان</v>
      </c>
      <c r="B2800" t="s">
        <v>242</v>
      </c>
      <c r="C2800" t="s">
        <v>580</v>
      </c>
      <c r="D2800" t="s">
        <v>23</v>
      </c>
      <c r="E2800">
        <f t="shared" ca="1" si="98"/>
        <v>1.6010059311668486E-2</v>
      </c>
      <c r="F2800">
        <f>IFERROR(VLOOKUP(H2800,ProfessionalRisk!A:I,9,0),0)</f>
        <v>11701</v>
      </c>
      <c r="G2800">
        <f t="shared" ca="1" si="97"/>
        <v>187</v>
      </c>
      <c r="H2800" t="s">
        <v>855</v>
      </c>
    </row>
    <row r="2801" spans="1:8">
      <c r="A2801" t="str">
        <f t="shared" si="96"/>
        <v>اصفهانگلپايگان</v>
      </c>
      <c r="B2801" t="s">
        <v>242</v>
      </c>
      <c r="C2801" t="s">
        <v>253</v>
      </c>
      <c r="D2801" t="s">
        <v>19</v>
      </c>
      <c r="E2801">
        <f t="shared" ca="1" si="98"/>
        <v>0.6</v>
      </c>
      <c r="F2801">
        <f>IFERROR(VLOOKUP(H2801,ProfessionalRisk!A:I,9,0),0)</f>
        <v>1158</v>
      </c>
      <c r="G2801">
        <f t="shared" ca="1" si="97"/>
        <v>695</v>
      </c>
      <c r="H2801" t="s">
        <v>592</v>
      </c>
    </row>
    <row r="2802" spans="1:8">
      <c r="A2802" t="str">
        <f t="shared" si="96"/>
        <v>اصفهانگلپايگان</v>
      </c>
      <c r="B2802" t="s">
        <v>242</v>
      </c>
      <c r="C2802" t="s">
        <v>253</v>
      </c>
      <c r="D2802" t="s">
        <v>477</v>
      </c>
      <c r="E2802">
        <f t="shared" ca="1" si="98"/>
        <v>0.4</v>
      </c>
      <c r="F2802">
        <f>IFERROR(VLOOKUP(H2802,ProfessionalRisk!A:I,9,0),0)</f>
        <v>1158</v>
      </c>
      <c r="G2802">
        <f t="shared" ca="1" si="97"/>
        <v>463</v>
      </c>
      <c r="H2802" t="s">
        <v>592</v>
      </c>
    </row>
    <row r="2803" spans="1:8">
      <c r="A2803" t="str">
        <f t="shared" si="96"/>
        <v>اصفهانگلپايگان</v>
      </c>
      <c r="B2803" t="s">
        <v>242</v>
      </c>
      <c r="C2803" t="s">
        <v>253</v>
      </c>
      <c r="D2803" t="s">
        <v>23</v>
      </c>
      <c r="E2803">
        <f t="shared" ca="1" si="98"/>
        <v>1.7339579624681373E-2</v>
      </c>
      <c r="F2803">
        <f>IFERROR(VLOOKUP(H2803,ProfessionalRisk!A:I,9,0),0)</f>
        <v>1158</v>
      </c>
      <c r="G2803">
        <f t="shared" ca="1" si="97"/>
        <v>20</v>
      </c>
      <c r="H2803" t="s">
        <v>592</v>
      </c>
    </row>
    <row r="2804" spans="1:8">
      <c r="A2804" t="str">
        <f t="shared" si="96"/>
        <v>اصفهانلنجان</v>
      </c>
      <c r="B2804" t="s">
        <v>242</v>
      </c>
      <c r="C2804" t="s">
        <v>254</v>
      </c>
      <c r="D2804" t="s">
        <v>19</v>
      </c>
      <c r="E2804">
        <f t="shared" ca="1" si="98"/>
        <v>0.6</v>
      </c>
      <c r="F2804">
        <f>IFERROR(VLOOKUP(H2804,ProfessionalRisk!A:I,9,0),0)</f>
        <v>2936</v>
      </c>
      <c r="G2804">
        <f t="shared" ca="1" si="97"/>
        <v>1762</v>
      </c>
      <c r="H2804" t="s">
        <v>601</v>
      </c>
    </row>
    <row r="2805" spans="1:8">
      <c r="A2805" t="str">
        <f t="shared" si="96"/>
        <v>اصفهانلنجان</v>
      </c>
      <c r="B2805" t="s">
        <v>242</v>
      </c>
      <c r="C2805" t="s">
        <v>254</v>
      </c>
      <c r="D2805" t="s">
        <v>477</v>
      </c>
      <c r="E2805">
        <f t="shared" ca="1" si="98"/>
        <v>0.4</v>
      </c>
      <c r="F2805">
        <f>IFERROR(VLOOKUP(H2805,ProfessionalRisk!A:I,9,0),0)</f>
        <v>2936</v>
      </c>
      <c r="G2805">
        <f t="shared" ca="1" si="97"/>
        <v>1174</v>
      </c>
      <c r="H2805" t="s">
        <v>601</v>
      </c>
    </row>
    <row r="2806" spans="1:8">
      <c r="A2806" t="str">
        <f t="shared" si="96"/>
        <v>اصفهانلنجان</v>
      </c>
      <c r="B2806" t="s">
        <v>242</v>
      </c>
      <c r="C2806" t="s">
        <v>254</v>
      </c>
      <c r="D2806" t="s">
        <v>23</v>
      </c>
      <c r="E2806">
        <f t="shared" ca="1" si="98"/>
        <v>1.7599503913133793E-2</v>
      </c>
      <c r="F2806">
        <f>IFERROR(VLOOKUP(H2806,ProfessionalRisk!A:I,9,0),0)</f>
        <v>2936</v>
      </c>
      <c r="G2806">
        <f t="shared" ca="1" si="97"/>
        <v>52</v>
      </c>
      <c r="H2806" t="s">
        <v>601</v>
      </c>
    </row>
    <row r="2807" spans="1:8">
      <c r="A2807" t="str">
        <f t="shared" si="96"/>
        <v>اصفهاننايين</v>
      </c>
      <c r="B2807" t="s">
        <v>242</v>
      </c>
      <c r="C2807" t="s">
        <v>255</v>
      </c>
      <c r="D2807" t="s">
        <v>19</v>
      </c>
      <c r="E2807">
        <f t="shared" ca="1" si="98"/>
        <v>0.6</v>
      </c>
      <c r="F2807">
        <f>IFERROR(VLOOKUP(H2807,ProfessionalRisk!A:I,9,0),0)</f>
        <v>341</v>
      </c>
      <c r="G2807">
        <f t="shared" ca="1" si="97"/>
        <v>205</v>
      </c>
      <c r="H2807" t="s">
        <v>589</v>
      </c>
    </row>
    <row r="2808" spans="1:8">
      <c r="A2808" t="str">
        <f t="shared" si="96"/>
        <v>اصفهاننايين</v>
      </c>
      <c r="B2808" t="s">
        <v>242</v>
      </c>
      <c r="C2808" t="s">
        <v>255</v>
      </c>
      <c r="D2808" t="s">
        <v>477</v>
      </c>
      <c r="E2808">
        <f t="shared" ca="1" si="98"/>
        <v>0.4</v>
      </c>
      <c r="F2808">
        <f>IFERROR(VLOOKUP(H2808,ProfessionalRisk!A:I,9,0),0)</f>
        <v>341</v>
      </c>
      <c r="G2808">
        <f t="shared" ca="1" si="97"/>
        <v>136</v>
      </c>
      <c r="H2808" t="s">
        <v>589</v>
      </c>
    </row>
    <row r="2809" spans="1:8">
      <c r="A2809" t="str">
        <f t="shared" si="96"/>
        <v>اصفهاننايين</v>
      </c>
      <c r="B2809" t="s">
        <v>242</v>
      </c>
      <c r="C2809" t="s">
        <v>255</v>
      </c>
      <c r="D2809" t="s">
        <v>23</v>
      </c>
      <c r="E2809">
        <f t="shared" ca="1" si="98"/>
        <v>1.2853723852390394E-2</v>
      </c>
      <c r="F2809">
        <f>IFERROR(VLOOKUP(H2809,ProfessionalRisk!A:I,9,0),0)</f>
        <v>341</v>
      </c>
      <c r="G2809">
        <f t="shared" ca="1" si="97"/>
        <v>4</v>
      </c>
      <c r="H2809" t="s">
        <v>589</v>
      </c>
    </row>
    <row r="2810" spans="1:8">
      <c r="A2810" t="str">
        <f t="shared" si="96"/>
        <v>اصفهاننجف آباد</v>
      </c>
      <c r="B2810" t="s">
        <v>242</v>
      </c>
      <c r="C2810" t="s">
        <v>256</v>
      </c>
      <c r="D2810" t="s">
        <v>19</v>
      </c>
      <c r="E2810">
        <f t="shared" ca="1" si="98"/>
        <v>0.6</v>
      </c>
      <c r="F2810">
        <f>IFERROR(VLOOKUP(H2810,ProfessionalRisk!A:I,9,0),0)</f>
        <v>1953</v>
      </c>
      <c r="G2810">
        <f t="shared" ca="1" si="97"/>
        <v>1172</v>
      </c>
      <c r="H2810" t="s">
        <v>600</v>
      </c>
    </row>
    <row r="2811" spans="1:8">
      <c r="A2811" t="str">
        <f t="shared" si="96"/>
        <v>اصفهاننجف آباد</v>
      </c>
      <c r="B2811" t="s">
        <v>242</v>
      </c>
      <c r="C2811" t="s">
        <v>256</v>
      </c>
      <c r="D2811" t="s">
        <v>477</v>
      </c>
      <c r="E2811">
        <f t="shared" ca="1" si="98"/>
        <v>0.4</v>
      </c>
      <c r="F2811">
        <f>IFERROR(VLOOKUP(H2811,ProfessionalRisk!A:I,9,0),0)</f>
        <v>1953</v>
      </c>
      <c r="G2811">
        <f t="shared" ca="1" si="97"/>
        <v>781</v>
      </c>
      <c r="H2811" t="s">
        <v>600</v>
      </c>
    </row>
    <row r="2812" spans="1:8">
      <c r="A2812" t="str">
        <f t="shared" si="96"/>
        <v>اصفهاننجف آباد</v>
      </c>
      <c r="B2812" t="s">
        <v>242</v>
      </c>
      <c r="C2812" t="s">
        <v>256</v>
      </c>
      <c r="D2812" t="s">
        <v>23</v>
      </c>
      <c r="E2812">
        <f t="shared" ca="1" si="98"/>
        <v>1.312826089921776E-2</v>
      </c>
      <c r="F2812">
        <f>IFERROR(VLOOKUP(H2812,ProfessionalRisk!A:I,9,0),0)</f>
        <v>1953</v>
      </c>
      <c r="G2812">
        <f t="shared" ca="1" si="97"/>
        <v>26</v>
      </c>
      <c r="H2812" t="s">
        <v>600</v>
      </c>
    </row>
    <row r="2813" spans="1:8">
      <c r="A2813" t="str">
        <f t="shared" si="96"/>
        <v>اصفهاننطنز</v>
      </c>
      <c r="B2813" t="s">
        <v>242</v>
      </c>
      <c r="C2813" t="s">
        <v>257</v>
      </c>
      <c r="D2813" t="s">
        <v>19</v>
      </c>
      <c r="E2813">
        <f t="shared" ca="1" si="98"/>
        <v>0.6</v>
      </c>
      <c r="F2813">
        <f>IFERROR(VLOOKUP(H2813,ProfessionalRisk!A:I,9,0),0)</f>
        <v>847</v>
      </c>
      <c r="G2813">
        <f t="shared" ca="1" si="97"/>
        <v>508</v>
      </c>
      <c r="H2813" t="s">
        <v>575</v>
      </c>
    </row>
    <row r="2814" spans="1:8">
      <c r="A2814" t="str">
        <f t="shared" si="96"/>
        <v>اصفهاننطنز</v>
      </c>
      <c r="B2814" t="s">
        <v>242</v>
      </c>
      <c r="C2814" t="s">
        <v>257</v>
      </c>
      <c r="D2814" t="s">
        <v>477</v>
      </c>
      <c r="E2814">
        <f t="shared" ca="1" si="98"/>
        <v>0.4</v>
      </c>
      <c r="F2814">
        <f>IFERROR(VLOOKUP(H2814,ProfessionalRisk!A:I,9,0),0)</f>
        <v>847</v>
      </c>
      <c r="G2814">
        <f t="shared" ca="1" si="97"/>
        <v>339</v>
      </c>
      <c r="H2814" t="s">
        <v>575</v>
      </c>
    </row>
    <row r="2815" spans="1:8">
      <c r="A2815" t="str">
        <f t="shared" si="96"/>
        <v>اصفهاننطنز</v>
      </c>
      <c r="B2815" t="s">
        <v>242</v>
      </c>
      <c r="C2815" t="s">
        <v>257</v>
      </c>
      <c r="D2815" t="s">
        <v>23</v>
      </c>
      <c r="E2815">
        <f t="shared" ca="1" si="98"/>
        <v>7.0564093506881335E-3</v>
      </c>
      <c r="F2815">
        <f>IFERROR(VLOOKUP(H2815,ProfessionalRisk!A:I,9,0),0)</f>
        <v>847</v>
      </c>
      <c r="G2815">
        <f t="shared" ca="1" si="97"/>
        <v>6</v>
      </c>
      <c r="H2815" t="s">
        <v>575</v>
      </c>
    </row>
    <row r="2816" spans="1:8">
      <c r="A2816" t="str">
        <f t="shared" si="96"/>
        <v>اصفهانشاهين شهر و میمه</v>
      </c>
      <c r="B2816" t="s">
        <v>242</v>
      </c>
      <c r="C2816" t="s">
        <v>258</v>
      </c>
      <c r="D2816" t="s">
        <v>19</v>
      </c>
      <c r="E2816">
        <f t="shared" ca="1" si="98"/>
        <v>0.6</v>
      </c>
      <c r="F2816">
        <f>IFERROR(VLOOKUP(H2816,ProfessionalRisk!A:I,9,0),0)</f>
        <v>1322</v>
      </c>
      <c r="G2816">
        <f t="shared" ca="1" si="97"/>
        <v>793</v>
      </c>
      <c r="H2816" t="s">
        <v>593</v>
      </c>
    </row>
    <row r="2817" spans="1:8">
      <c r="A2817" t="str">
        <f t="shared" si="96"/>
        <v>اصفهانشاهين شهر و میمه</v>
      </c>
      <c r="B2817" t="s">
        <v>242</v>
      </c>
      <c r="C2817" t="s">
        <v>258</v>
      </c>
      <c r="D2817" t="s">
        <v>477</v>
      </c>
      <c r="E2817">
        <f t="shared" ca="1" si="98"/>
        <v>0.4</v>
      </c>
      <c r="F2817">
        <f>IFERROR(VLOOKUP(H2817,ProfessionalRisk!A:I,9,0),0)</f>
        <v>1322</v>
      </c>
      <c r="G2817">
        <f t="shared" ca="1" si="97"/>
        <v>529</v>
      </c>
      <c r="H2817" t="s">
        <v>593</v>
      </c>
    </row>
    <row r="2818" spans="1:8">
      <c r="A2818" t="str">
        <f t="shared" ref="A2818:A2881" si="99">B2818&amp;C2818</f>
        <v>اصفهانشاهين شهر و میمه</v>
      </c>
      <c r="B2818" t="s">
        <v>242</v>
      </c>
      <c r="C2818" t="s">
        <v>258</v>
      </c>
      <c r="D2818" t="s">
        <v>23</v>
      </c>
      <c r="E2818">
        <f t="shared" ca="1" si="98"/>
        <v>3.9895143580091011E-3</v>
      </c>
      <c r="F2818">
        <f>IFERROR(VLOOKUP(H2818,ProfessionalRisk!A:I,9,0),0)</f>
        <v>1322</v>
      </c>
      <c r="G2818">
        <f t="shared" ca="1" si="97"/>
        <v>5</v>
      </c>
      <c r="H2818" t="s">
        <v>593</v>
      </c>
    </row>
    <row r="2819" spans="1:8">
      <c r="A2819" t="str">
        <f t="shared" si="99"/>
        <v>اصفهانمباركه</v>
      </c>
      <c r="B2819" t="s">
        <v>242</v>
      </c>
      <c r="C2819" t="s">
        <v>578</v>
      </c>
      <c r="D2819" t="s">
        <v>19</v>
      </c>
      <c r="E2819">
        <f t="shared" ca="1" si="98"/>
        <v>0.6</v>
      </c>
      <c r="F2819">
        <f>IFERROR(VLOOKUP(H2819,ProfessionalRisk!A:I,9,0),0)</f>
        <v>11701</v>
      </c>
      <c r="G2819">
        <f t="shared" ref="G2819:G2882" ca="1" si="100">IFERROR(ROUND(F2819*E2819,0),0)</f>
        <v>7021</v>
      </c>
      <c r="H2819" t="s">
        <v>855</v>
      </c>
    </row>
    <row r="2820" spans="1:8">
      <c r="A2820" t="str">
        <f t="shared" si="99"/>
        <v>اصفهانمباركه</v>
      </c>
      <c r="B2820" t="s">
        <v>242</v>
      </c>
      <c r="C2820" t="s">
        <v>578</v>
      </c>
      <c r="D2820" t="s">
        <v>477</v>
      </c>
      <c r="E2820">
        <f t="shared" ca="1" si="98"/>
        <v>0.4</v>
      </c>
      <c r="F2820">
        <f>IFERROR(VLOOKUP(H2820,ProfessionalRisk!A:I,9,0),0)</f>
        <v>11701</v>
      </c>
      <c r="G2820">
        <f t="shared" ca="1" si="100"/>
        <v>4680</v>
      </c>
      <c r="H2820" t="s">
        <v>855</v>
      </c>
    </row>
    <row r="2821" spans="1:8">
      <c r="A2821" t="str">
        <f t="shared" si="99"/>
        <v>اصفهانمباركه</v>
      </c>
      <c r="B2821" t="s">
        <v>242</v>
      </c>
      <c r="C2821" t="s">
        <v>578</v>
      </c>
      <c r="D2821" t="s">
        <v>23</v>
      </c>
      <c r="E2821">
        <f t="shared" ca="1" si="98"/>
        <v>8.1774017824787423E-3</v>
      </c>
      <c r="F2821">
        <f>IFERROR(VLOOKUP(H2821,ProfessionalRisk!A:I,9,0),0)</f>
        <v>11701</v>
      </c>
      <c r="G2821">
        <f t="shared" ca="1" si="100"/>
        <v>96</v>
      </c>
      <c r="H2821" t="s">
        <v>855</v>
      </c>
    </row>
    <row r="2822" spans="1:8">
      <c r="A2822" t="str">
        <f t="shared" si="99"/>
        <v>اصفهانآران وبیدگل</v>
      </c>
      <c r="B2822" t="s">
        <v>242</v>
      </c>
      <c r="C2822" t="s">
        <v>260</v>
      </c>
      <c r="D2822" t="s">
        <v>19</v>
      </c>
      <c r="E2822">
        <f t="shared" ca="1" si="98"/>
        <v>0.6</v>
      </c>
      <c r="F2822">
        <f>IFERROR(VLOOKUP(H2822,ProfessionalRisk!A:I,9,0),0)</f>
        <v>268</v>
      </c>
      <c r="G2822">
        <f t="shared" ca="1" si="100"/>
        <v>161</v>
      </c>
      <c r="H2822" t="s">
        <v>573</v>
      </c>
    </row>
    <row r="2823" spans="1:8">
      <c r="A2823" t="str">
        <f t="shared" si="99"/>
        <v>اصفهانآران وبیدگل</v>
      </c>
      <c r="B2823" t="s">
        <v>242</v>
      </c>
      <c r="C2823" t="s">
        <v>260</v>
      </c>
      <c r="D2823" t="s">
        <v>477</v>
      </c>
      <c r="E2823">
        <f t="shared" ca="1" si="98"/>
        <v>0.4</v>
      </c>
      <c r="F2823">
        <f>IFERROR(VLOOKUP(H2823,ProfessionalRisk!A:I,9,0),0)</f>
        <v>268</v>
      </c>
      <c r="G2823">
        <f t="shared" ca="1" si="100"/>
        <v>107</v>
      </c>
      <c r="H2823" t="s">
        <v>573</v>
      </c>
    </row>
    <row r="2824" spans="1:8">
      <c r="A2824" t="str">
        <f t="shared" si="99"/>
        <v>اصفهانآران وبیدگل</v>
      </c>
      <c r="B2824" t="s">
        <v>242</v>
      </c>
      <c r="C2824" t="s">
        <v>260</v>
      </c>
      <c r="D2824" t="s">
        <v>23</v>
      </c>
      <c r="E2824">
        <f t="shared" ca="1" si="98"/>
        <v>1.3107244908983849E-2</v>
      </c>
      <c r="F2824">
        <f>IFERROR(VLOOKUP(H2824,ProfessionalRisk!A:I,9,0),0)</f>
        <v>268</v>
      </c>
      <c r="G2824">
        <f t="shared" ca="1" si="100"/>
        <v>4</v>
      </c>
      <c r="H2824" t="s">
        <v>573</v>
      </c>
    </row>
    <row r="2825" spans="1:8">
      <c r="A2825" t="str">
        <f t="shared" si="99"/>
        <v>اصفهانتيران و کرون</v>
      </c>
      <c r="B2825" t="s">
        <v>242</v>
      </c>
      <c r="C2825" t="s">
        <v>261</v>
      </c>
      <c r="D2825" t="s">
        <v>19</v>
      </c>
      <c r="E2825">
        <f t="shared" ca="1" si="98"/>
        <v>0.6</v>
      </c>
      <c r="F2825">
        <f>IFERROR(VLOOKUP(H2825,ProfessionalRisk!A:I,9,0),0)</f>
        <v>560</v>
      </c>
      <c r="G2825">
        <f t="shared" ca="1" si="100"/>
        <v>336</v>
      </c>
      <c r="H2825" t="s">
        <v>586</v>
      </c>
    </row>
    <row r="2826" spans="1:8">
      <c r="A2826" t="str">
        <f t="shared" si="99"/>
        <v>اصفهانتيران و کرون</v>
      </c>
      <c r="B2826" t="s">
        <v>242</v>
      </c>
      <c r="C2826" t="s">
        <v>261</v>
      </c>
      <c r="D2826" t="s">
        <v>477</v>
      </c>
      <c r="E2826">
        <f t="shared" ca="1" si="98"/>
        <v>0.4</v>
      </c>
      <c r="F2826">
        <f>IFERROR(VLOOKUP(H2826,ProfessionalRisk!A:I,9,0),0)</f>
        <v>560</v>
      </c>
      <c r="G2826">
        <f t="shared" ca="1" si="100"/>
        <v>224</v>
      </c>
      <c r="H2826" t="s">
        <v>586</v>
      </c>
    </row>
    <row r="2827" spans="1:8">
      <c r="A2827" t="str">
        <f t="shared" si="99"/>
        <v>اصفهانتيران و کرون</v>
      </c>
      <c r="B2827" t="s">
        <v>242</v>
      </c>
      <c r="C2827" t="s">
        <v>261</v>
      </c>
      <c r="D2827" t="s">
        <v>23</v>
      </c>
      <c r="E2827">
        <f t="shared" ca="1" si="98"/>
        <v>1.9088181088572364E-2</v>
      </c>
      <c r="F2827">
        <f>IFERROR(VLOOKUP(H2827,ProfessionalRisk!A:I,9,0),0)</f>
        <v>560</v>
      </c>
      <c r="G2827">
        <f t="shared" ca="1" si="100"/>
        <v>11</v>
      </c>
      <c r="H2827" t="s">
        <v>586</v>
      </c>
    </row>
    <row r="2828" spans="1:8">
      <c r="A2828" t="str">
        <f t="shared" si="99"/>
        <v>اصفهانچادگان</v>
      </c>
      <c r="B2828" t="s">
        <v>242</v>
      </c>
      <c r="C2828" t="s">
        <v>262</v>
      </c>
      <c r="D2828" t="s">
        <v>19</v>
      </c>
      <c r="E2828">
        <f t="shared" ca="1" si="98"/>
        <v>0.6</v>
      </c>
      <c r="F2828">
        <f>IFERROR(VLOOKUP(H2828,ProfessionalRisk!A:I,9,0),0)</f>
        <v>524</v>
      </c>
      <c r="G2828">
        <f t="shared" ca="1" si="100"/>
        <v>314</v>
      </c>
      <c r="H2828" t="s">
        <v>591</v>
      </c>
    </row>
    <row r="2829" spans="1:8">
      <c r="A2829" t="str">
        <f t="shared" si="99"/>
        <v>اصفهانچادگان</v>
      </c>
      <c r="B2829" t="s">
        <v>242</v>
      </c>
      <c r="C2829" t="s">
        <v>262</v>
      </c>
      <c r="D2829" t="s">
        <v>477</v>
      </c>
      <c r="E2829">
        <f t="shared" ca="1" si="98"/>
        <v>0.4</v>
      </c>
      <c r="F2829">
        <f>IFERROR(VLOOKUP(H2829,ProfessionalRisk!A:I,9,0),0)</f>
        <v>524</v>
      </c>
      <c r="G2829">
        <f t="shared" ca="1" si="100"/>
        <v>210</v>
      </c>
      <c r="H2829" t="s">
        <v>591</v>
      </c>
    </row>
    <row r="2830" spans="1:8">
      <c r="A2830" t="str">
        <f t="shared" si="99"/>
        <v>اصفهانچادگان</v>
      </c>
      <c r="B2830" t="s">
        <v>242</v>
      </c>
      <c r="C2830" t="s">
        <v>262</v>
      </c>
      <c r="D2830" t="s">
        <v>23</v>
      </c>
      <c r="E2830">
        <f t="shared" ca="1" si="98"/>
        <v>8.5902323659807784E-3</v>
      </c>
      <c r="F2830">
        <f>IFERROR(VLOOKUP(H2830,ProfessionalRisk!A:I,9,0),0)</f>
        <v>524</v>
      </c>
      <c r="G2830">
        <f t="shared" ca="1" si="100"/>
        <v>5</v>
      </c>
      <c r="H2830" t="s">
        <v>591</v>
      </c>
    </row>
    <row r="2831" spans="1:8">
      <c r="A2831" t="str">
        <f t="shared" si="99"/>
        <v>اصفهاندهاقان</v>
      </c>
      <c r="B2831" t="s">
        <v>242</v>
      </c>
      <c r="C2831" t="s">
        <v>263</v>
      </c>
      <c r="D2831" t="s">
        <v>19</v>
      </c>
      <c r="E2831">
        <f t="shared" ca="1" si="98"/>
        <v>0.6</v>
      </c>
      <c r="F2831">
        <f>IFERROR(VLOOKUP(H2831,ProfessionalRisk!A:I,9,0),0)</f>
        <v>523</v>
      </c>
      <c r="G2831">
        <f t="shared" ca="1" si="100"/>
        <v>314</v>
      </c>
      <c r="H2831" t="s">
        <v>599</v>
      </c>
    </row>
    <row r="2832" spans="1:8">
      <c r="A2832" t="str">
        <f t="shared" si="99"/>
        <v>اصفهاندهاقان</v>
      </c>
      <c r="B2832" t="s">
        <v>242</v>
      </c>
      <c r="C2832" t="s">
        <v>263</v>
      </c>
      <c r="D2832" t="s">
        <v>477</v>
      </c>
      <c r="E2832">
        <f t="shared" ca="1" si="98"/>
        <v>0.4</v>
      </c>
      <c r="F2832">
        <f>IFERROR(VLOOKUP(H2832,ProfessionalRisk!A:I,9,0),0)</f>
        <v>523</v>
      </c>
      <c r="G2832">
        <f t="shared" ca="1" si="100"/>
        <v>209</v>
      </c>
      <c r="H2832" t="s">
        <v>599</v>
      </c>
    </row>
    <row r="2833" spans="1:8">
      <c r="A2833" t="str">
        <f t="shared" si="99"/>
        <v>اصفهاندهاقان</v>
      </c>
      <c r="B2833" t="s">
        <v>242</v>
      </c>
      <c r="C2833" t="s">
        <v>263</v>
      </c>
      <c r="D2833" t="s">
        <v>23</v>
      </c>
      <c r="E2833">
        <f t="shared" ca="1" si="98"/>
        <v>9.7004610390743935E-3</v>
      </c>
      <c r="F2833">
        <f>IFERROR(VLOOKUP(H2833,ProfessionalRisk!A:I,9,0),0)</f>
        <v>523</v>
      </c>
      <c r="G2833">
        <f t="shared" ca="1" si="100"/>
        <v>5</v>
      </c>
      <c r="H2833" t="s">
        <v>599</v>
      </c>
    </row>
    <row r="2834" spans="1:8">
      <c r="A2834" t="str">
        <f t="shared" si="99"/>
        <v>اصفهانبرخوار</v>
      </c>
      <c r="B2834" t="s">
        <v>242</v>
      </c>
      <c r="C2834" t="s">
        <v>264</v>
      </c>
      <c r="D2834" t="s">
        <v>19</v>
      </c>
      <c r="E2834">
        <f t="shared" ca="1" si="98"/>
        <v>0.6</v>
      </c>
      <c r="F2834">
        <f>IFERROR(VLOOKUP(H2834,ProfessionalRisk!A:I,9,0),0)</f>
        <v>524</v>
      </c>
      <c r="G2834">
        <f t="shared" ca="1" si="100"/>
        <v>314</v>
      </c>
      <c r="H2834" t="s">
        <v>590</v>
      </c>
    </row>
    <row r="2835" spans="1:8">
      <c r="A2835" t="str">
        <f t="shared" si="99"/>
        <v>اصفهانبرخوار</v>
      </c>
      <c r="B2835" t="s">
        <v>242</v>
      </c>
      <c r="C2835" t="s">
        <v>264</v>
      </c>
      <c r="D2835" t="s">
        <v>477</v>
      </c>
      <c r="E2835">
        <f t="shared" ca="1" si="98"/>
        <v>0.4</v>
      </c>
      <c r="F2835">
        <f>IFERROR(VLOOKUP(H2835,ProfessionalRisk!A:I,9,0),0)</f>
        <v>524</v>
      </c>
      <c r="G2835">
        <f t="shared" ca="1" si="100"/>
        <v>210</v>
      </c>
      <c r="H2835" t="s">
        <v>590</v>
      </c>
    </row>
    <row r="2836" spans="1:8">
      <c r="A2836" t="str">
        <f t="shared" si="99"/>
        <v>اصفهانبرخوار</v>
      </c>
      <c r="B2836" t="s">
        <v>242</v>
      </c>
      <c r="C2836" t="s">
        <v>264</v>
      </c>
      <c r="D2836" t="s">
        <v>23</v>
      </c>
      <c r="E2836">
        <f t="shared" ca="1" si="98"/>
        <v>6.3108566128841108E-3</v>
      </c>
      <c r="F2836">
        <f>IFERROR(VLOOKUP(H2836,ProfessionalRisk!A:I,9,0),0)</f>
        <v>524</v>
      </c>
      <c r="G2836">
        <f t="shared" ca="1" si="100"/>
        <v>3</v>
      </c>
      <c r="H2836" t="s">
        <v>590</v>
      </c>
    </row>
    <row r="2837" spans="1:8">
      <c r="A2837" t="str">
        <f t="shared" si="99"/>
        <v>اصفهانخور و بیابانک</v>
      </c>
      <c r="B2837" t="s">
        <v>242</v>
      </c>
      <c r="C2837" t="s">
        <v>265</v>
      </c>
      <c r="D2837" t="s">
        <v>19</v>
      </c>
      <c r="E2837">
        <f t="shared" ca="1" si="98"/>
        <v>0.6</v>
      </c>
      <c r="F2837">
        <f>IFERROR(VLOOKUP(H2837,ProfessionalRisk!A:I,9,0),0)</f>
        <v>227</v>
      </c>
      <c r="G2837">
        <f t="shared" ca="1" si="100"/>
        <v>136</v>
      </c>
      <c r="H2837" t="s">
        <v>583</v>
      </c>
    </row>
    <row r="2838" spans="1:8">
      <c r="A2838" t="str">
        <f t="shared" si="99"/>
        <v>اصفهانخور و بیابانک</v>
      </c>
      <c r="B2838" t="s">
        <v>242</v>
      </c>
      <c r="C2838" t="s">
        <v>265</v>
      </c>
      <c r="D2838" t="s">
        <v>477</v>
      </c>
      <c r="E2838">
        <f t="shared" ca="1" si="98"/>
        <v>0.4</v>
      </c>
      <c r="F2838">
        <f>IFERROR(VLOOKUP(H2838,ProfessionalRisk!A:I,9,0),0)</f>
        <v>227</v>
      </c>
      <c r="G2838">
        <f t="shared" ca="1" si="100"/>
        <v>91</v>
      </c>
      <c r="H2838" t="s">
        <v>583</v>
      </c>
    </row>
    <row r="2839" spans="1:8">
      <c r="A2839" t="str">
        <f t="shared" si="99"/>
        <v>اصفهانخور و بیابانک</v>
      </c>
      <c r="B2839" t="s">
        <v>242</v>
      </c>
      <c r="C2839" t="s">
        <v>265</v>
      </c>
      <c r="D2839" t="s">
        <v>23</v>
      </c>
      <c r="E2839">
        <f t="shared" ca="1" si="98"/>
        <v>1.2274405908127079E-2</v>
      </c>
      <c r="F2839">
        <f>IFERROR(VLOOKUP(H2839,ProfessionalRisk!A:I,9,0),0)</f>
        <v>227</v>
      </c>
      <c r="G2839">
        <f t="shared" ca="1" si="100"/>
        <v>3</v>
      </c>
      <c r="H2839" t="s">
        <v>583</v>
      </c>
    </row>
    <row r="2840" spans="1:8">
      <c r="A2840" t="str">
        <f t="shared" si="99"/>
        <v>اصفهانبوئین و میاندشت</v>
      </c>
      <c r="B2840" t="s">
        <v>242</v>
      </c>
      <c r="C2840" t="s">
        <v>267</v>
      </c>
      <c r="D2840" t="s">
        <v>19</v>
      </c>
      <c r="E2840">
        <f t="shared" ca="1" si="98"/>
        <v>0.6</v>
      </c>
      <c r="F2840">
        <f>IFERROR(VLOOKUP(H2840,ProfessionalRisk!A:I,9,0),0)</f>
        <v>494</v>
      </c>
      <c r="G2840">
        <f t="shared" ca="1" si="100"/>
        <v>296</v>
      </c>
      <c r="H2840" t="s">
        <v>595</v>
      </c>
    </row>
    <row r="2841" spans="1:8">
      <c r="A2841" t="str">
        <f t="shared" si="99"/>
        <v>اصفهانبوئین و میاندشت</v>
      </c>
      <c r="B2841" t="s">
        <v>242</v>
      </c>
      <c r="C2841" t="s">
        <v>267</v>
      </c>
      <c r="D2841" t="s">
        <v>477</v>
      </c>
      <c r="E2841">
        <f t="shared" ca="1" si="98"/>
        <v>0.4</v>
      </c>
      <c r="F2841">
        <f>IFERROR(VLOOKUP(H2841,ProfessionalRisk!A:I,9,0),0)</f>
        <v>494</v>
      </c>
      <c r="G2841">
        <f t="shared" ca="1" si="100"/>
        <v>198</v>
      </c>
      <c r="H2841" t="s">
        <v>595</v>
      </c>
    </row>
    <row r="2842" spans="1:8">
      <c r="A2842" t="str">
        <f t="shared" si="99"/>
        <v>اصفهانبوئین و میاندشت</v>
      </c>
      <c r="B2842" t="s">
        <v>242</v>
      </c>
      <c r="C2842" t="s">
        <v>267</v>
      </c>
      <c r="D2842" t="s">
        <v>23</v>
      </c>
      <c r="E2842">
        <f t="shared" ca="1" si="98"/>
        <v>6.9352957361337219E-3</v>
      </c>
      <c r="F2842">
        <f>IFERROR(VLOOKUP(H2842,ProfessionalRisk!A:I,9,0),0)</f>
        <v>494</v>
      </c>
      <c r="G2842">
        <f t="shared" ca="1" si="100"/>
        <v>3</v>
      </c>
      <c r="H2842" t="s">
        <v>595</v>
      </c>
    </row>
    <row r="2843" spans="1:8">
      <c r="A2843" t="str">
        <f t="shared" si="99"/>
        <v>سيستان وبلوچستانايرانشهر</v>
      </c>
      <c r="B2843" t="s">
        <v>266</v>
      </c>
      <c r="C2843" t="s">
        <v>268</v>
      </c>
      <c r="D2843" t="s">
        <v>19</v>
      </c>
      <c r="E2843">
        <f t="shared" ca="1" si="98"/>
        <v>0.6</v>
      </c>
      <c r="F2843">
        <f>IFERROR(VLOOKUP(H2843,ProfessionalRisk!A:I,9,0),0)</f>
        <v>3126</v>
      </c>
      <c r="G2843">
        <f t="shared" ca="1" si="100"/>
        <v>1876</v>
      </c>
      <c r="H2843" t="s">
        <v>775</v>
      </c>
    </row>
    <row r="2844" spans="1:8">
      <c r="A2844" t="str">
        <f t="shared" si="99"/>
        <v>سيستان وبلوچستانايرانشهر</v>
      </c>
      <c r="B2844" t="s">
        <v>266</v>
      </c>
      <c r="C2844" t="s">
        <v>268</v>
      </c>
      <c r="D2844" t="s">
        <v>477</v>
      </c>
      <c r="E2844">
        <f t="shared" ca="1" si="98"/>
        <v>0.4</v>
      </c>
      <c r="F2844">
        <f>IFERROR(VLOOKUP(H2844,ProfessionalRisk!A:I,9,0),0)</f>
        <v>3126</v>
      </c>
      <c r="G2844">
        <f t="shared" ca="1" si="100"/>
        <v>1250</v>
      </c>
      <c r="H2844" t="s">
        <v>775</v>
      </c>
    </row>
    <row r="2845" spans="1:8">
      <c r="A2845" t="str">
        <f t="shared" si="99"/>
        <v>سيستان وبلوچستانايرانشهر</v>
      </c>
      <c r="B2845" t="s">
        <v>266</v>
      </c>
      <c r="C2845" t="s">
        <v>268</v>
      </c>
      <c r="D2845" t="s">
        <v>23</v>
      </c>
      <c r="E2845">
        <f t="shared" ca="1" si="98"/>
        <v>1.0821897305830623E-2</v>
      </c>
      <c r="F2845">
        <f>IFERROR(VLOOKUP(H2845,ProfessionalRisk!A:I,9,0),0)</f>
        <v>3126</v>
      </c>
      <c r="G2845">
        <f t="shared" ca="1" si="100"/>
        <v>34</v>
      </c>
      <c r="H2845" t="s">
        <v>775</v>
      </c>
    </row>
    <row r="2846" spans="1:8">
      <c r="A2846" t="str">
        <f t="shared" si="99"/>
        <v>سيستان وبلوچستانچابهار</v>
      </c>
      <c r="B2846" t="s">
        <v>266</v>
      </c>
      <c r="C2846" t="s">
        <v>269</v>
      </c>
      <c r="D2846" t="s">
        <v>19</v>
      </c>
      <c r="E2846">
        <f t="shared" ca="1" si="98"/>
        <v>0.6</v>
      </c>
      <c r="F2846">
        <f>IFERROR(VLOOKUP(H2846,ProfessionalRisk!A:I,9,0),0)</f>
        <v>863</v>
      </c>
      <c r="G2846">
        <f t="shared" ca="1" si="100"/>
        <v>518</v>
      </c>
      <c r="H2846" t="s">
        <v>759</v>
      </c>
    </row>
    <row r="2847" spans="1:8">
      <c r="A2847" t="str">
        <f t="shared" si="99"/>
        <v>سيستان وبلوچستانچابهار</v>
      </c>
      <c r="B2847" t="s">
        <v>266</v>
      </c>
      <c r="C2847" t="s">
        <v>269</v>
      </c>
      <c r="D2847" t="s">
        <v>477</v>
      </c>
      <c r="E2847">
        <f t="shared" ca="1" si="98"/>
        <v>0.4</v>
      </c>
      <c r="F2847">
        <f>IFERROR(VLOOKUP(H2847,ProfessionalRisk!A:I,9,0),0)</f>
        <v>863</v>
      </c>
      <c r="G2847">
        <f t="shared" ca="1" si="100"/>
        <v>345</v>
      </c>
      <c r="H2847" t="s">
        <v>759</v>
      </c>
    </row>
    <row r="2848" spans="1:8">
      <c r="A2848" t="str">
        <f t="shared" si="99"/>
        <v>سيستان وبلوچستانچابهار</v>
      </c>
      <c r="B2848" t="s">
        <v>266</v>
      </c>
      <c r="C2848" t="s">
        <v>269</v>
      </c>
      <c r="D2848" t="s">
        <v>23</v>
      </c>
      <c r="E2848">
        <f t="shared" ca="1" si="98"/>
        <v>1.7779259302512094E-2</v>
      </c>
      <c r="F2848">
        <f>IFERROR(VLOOKUP(H2848,ProfessionalRisk!A:I,9,0),0)</f>
        <v>863</v>
      </c>
      <c r="G2848">
        <f t="shared" ca="1" si="100"/>
        <v>15</v>
      </c>
      <c r="H2848" t="s">
        <v>759</v>
      </c>
    </row>
    <row r="2849" spans="1:8">
      <c r="A2849" t="str">
        <f t="shared" si="99"/>
        <v>سيستان وبلوچستانخاش</v>
      </c>
      <c r="B2849" t="s">
        <v>266</v>
      </c>
      <c r="C2849" t="s">
        <v>270</v>
      </c>
      <c r="D2849" t="s">
        <v>19</v>
      </c>
      <c r="E2849">
        <f t="shared" ca="1" si="98"/>
        <v>0.6</v>
      </c>
      <c r="F2849">
        <f>IFERROR(VLOOKUP(H2849,ProfessionalRisk!A:I,9,0),0)</f>
        <v>2249</v>
      </c>
      <c r="G2849">
        <f t="shared" ca="1" si="100"/>
        <v>1349</v>
      </c>
      <c r="H2849" t="s">
        <v>770</v>
      </c>
    </row>
    <row r="2850" spans="1:8">
      <c r="A2850" t="str">
        <f t="shared" si="99"/>
        <v>سيستان وبلوچستانخاش</v>
      </c>
      <c r="B2850" t="s">
        <v>266</v>
      </c>
      <c r="C2850" t="s">
        <v>270</v>
      </c>
      <c r="D2850" t="s">
        <v>477</v>
      </c>
      <c r="E2850">
        <f t="shared" ca="1" si="98"/>
        <v>0.4</v>
      </c>
      <c r="F2850">
        <f>IFERROR(VLOOKUP(H2850,ProfessionalRisk!A:I,9,0),0)</f>
        <v>2249</v>
      </c>
      <c r="G2850">
        <f t="shared" ca="1" si="100"/>
        <v>900</v>
      </c>
      <c r="H2850" t="s">
        <v>770</v>
      </c>
    </row>
    <row r="2851" spans="1:8">
      <c r="A2851" t="str">
        <f t="shared" si="99"/>
        <v>سيستان وبلوچستانخاش</v>
      </c>
      <c r="B2851" t="s">
        <v>266</v>
      </c>
      <c r="C2851" t="s">
        <v>270</v>
      </c>
      <c r="D2851" t="s">
        <v>23</v>
      </c>
      <c r="E2851">
        <f t="shared" ref="E2851:E2914" ca="1" si="101">IF(D2851="AP",0.6,IF(D2851="BP",0.4,RAND()*0.02))</f>
        <v>2.5075276118990677E-3</v>
      </c>
      <c r="F2851">
        <f>IFERROR(VLOOKUP(H2851,ProfessionalRisk!A:I,9,0),0)</f>
        <v>2249</v>
      </c>
      <c r="G2851">
        <f t="shared" ca="1" si="100"/>
        <v>6</v>
      </c>
      <c r="H2851" t="s">
        <v>770</v>
      </c>
    </row>
    <row r="2852" spans="1:8">
      <c r="A2852" t="str">
        <f t="shared" si="99"/>
        <v>سيستان وبلوچستانزابل</v>
      </c>
      <c r="B2852" t="s">
        <v>266</v>
      </c>
      <c r="C2852" t="s">
        <v>271</v>
      </c>
      <c r="D2852" t="s">
        <v>19</v>
      </c>
      <c r="E2852">
        <f t="shared" ca="1" si="101"/>
        <v>0.6</v>
      </c>
      <c r="F2852">
        <f>IFERROR(VLOOKUP(H2852,ProfessionalRisk!A:I,9,0),0)</f>
        <v>3283</v>
      </c>
      <c r="G2852">
        <f t="shared" ca="1" si="100"/>
        <v>1970</v>
      </c>
      <c r="H2852" t="s">
        <v>762</v>
      </c>
    </row>
    <row r="2853" spans="1:8">
      <c r="A2853" t="str">
        <f t="shared" si="99"/>
        <v>سيستان وبلوچستانزابل</v>
      </c>
      <c r="B2853" t="s">
        <v>266</v>
      </c>
      <c r="C2853" t="s">
        <v>271</v>
      </c>
      <c r="D2853" t="s">
        <v>477</v>
      </c>
      <c r="E2853">
        <f t="shared" ca="1" si="101"/>
        <v>0.4</v>
      </c>
      <c r="F2853">
        <f>IFERROR(VLOOKUP(H2853,ProfessionalRisk!A:I,9,0),0)</f>
        <v>3283</v>
      </c>
      <c r="G2853">
        <f t="shared" ca="1" si="100"/>
        <v>1313</v>
      </c>
      <c r="H2853" t="s">
        <v>762</v>
      </c>
    </row>
    <row r="2854" spans="1:8">
      <c r="A2854" t="str">
        <f t="shared" si="99"/>
        <v>سيستان وبلوچستانزابل</v>
      </c>
      <c r="B2854" t="s">
        <v>266</v>
      </c>
      <c r="C2854" t="s">
        <v>271</v>
      </c>
      <c r="D2854" t="s">
        <v>23</v>
      </c>
      <c r="E2854">
        <f t="shared" ca="1" si="101"/>
        <v>1.335122307611796E-2</v>
      </c>
      <c r="F2854">
        <f>IFERROR(VLOOKUP(H2854,ProfessionalRisk!A:I,9,0),0)</f>
        <v>3283</v>
      </c>
      <c r="G2854">
        <f t="shared" ca="1" si="100"/>
        <v>44</v>
      </c>
      <c r="H2854" t="s">
        <v>762</v>
      </c>
    </row>
    <row r="2855" spans="1:8">
      <c r="A2855" t="str">
        <f t="shared" si="99"/>
        <v>سيستان وبلوچستانزاهدان</v>
      </c>
      <c r="B2855" t="s">
        <v>266</v>
      </c>
      <c r="C2855" t="s">
        <v>272</v>
      </c>
      <c r="D2855" t="s">
        <v>19</v>
      </c>
      <c r="E2855">
        <f t="shared" ca="1" si="101"/>
        <v>0.6</v>
      </c>
      <c r="F2855">
        <f>IFERROR(VLOOKUP(H2855,ProfessionalRisk!A:I,9,0),0)</f>
        <v>9899</v>
      </c>
      <c r="G2855">
        <f t="shared" ca="1" si="100"/>
        <v>5939</v>
      </c>
      <c r="H2855" t="s">
        <v>758</v>
      </c>
    </row>
    <row r="2856" spans="1:8">
      <c r="A2856" t="str">
        <f t="shared" si="99"/>
        <v>سيستان وبلوچستانزاهدان</v>
      </c>
      <c r="B2856" t="s">
        <v>266</v>
      </c>
      <c r="C2856" t="s">
        <v>272</v>
      </c>
      <c r="D2856" t="s">
        <v>477</v>
      </c>
      <c r="E2856">
        <f t="shared" ca="1" si="101"/>
        <v>0.4</v>
      </c>
      <c r="F2856">
        <f>IFERROR(VLOOKUP(H2856,ProfessionalRisk!A:I,9,0),0)</f>
        <v>9899</v>
      </c>
      <c r="G2856">
        <f t="shared" ca="1" si="100"/>
        <v>3960</v>
      </c>
      <c r="H2856" t="s">
        <v>758</v>
      </c>
    </row>
    <row r="2857" spans="1:8">
      <c r="A2857" t="str">
        <f t="shared" si="99"/>
        <v>سيستان وبلوچستانزاهدان</v>
      </c>
      <c r="B2857" t="s">
        <v>266</v>
      </c>
      <c r="C2857" t="s">
        <v>272</v>
      </c>
      <c r="D2857" t="s">
        <v>23</v>
      </c>
      <c r="E2857">
        <f t="shared" ca="1" si="101"/>
        <v>3.0241273428913652E-3</v>
      </c>
      <c r="F2857">
        <f>IFERROR(VLOOKUP(H2857,ProfessionalRisk!A:I,9,0),0)</f>
        <v>9899</v>
      </c>
      <c r="G2857">
        <f t="shared" ca="1" si="100"/>
        <v>30</v>
      </c>
      <c r="H2857" t="s">
        <v>758</v>
      </c>
    </row>
    <row r="2858" spans="1:8">
      <c r="A2858" t="str">
        <f t="shared" si="99"/>
        <v>سيستان وبلوچستانسراوان</v>
      </c>
      <c r="B2858" t="s">
        <v>266</v>
      </c>
      <c r="C2858" t="s">
        <v>273</v>
      </c>
      <c r="D2858" t="s">
        <v>19</v>
      </c>
      <c r="E2858">
        <f t="shared" ca="1" si="101"/>
        <v>0.6</v>
      </c>
      <c r="F2858">
        <f>IFERROR(VLOOKUP(H2858,ProfessionalRisk!A:I,9,0),0)</f>
        <v>1681</v>
      </c>
      <c r="G2858">
        <f t="shared" ca="1" si="100"/>
        <v>1009</v>
      </c>
      <c r="H2858" t="s">
        <v>768</v>
      </c>
    </row>
    <row r="2859" spans="1:8">
      <c r="A2859" t="str">
        <f t="shared" si="99"/>
        <v>سيستان وبلوچستانسراوان</v>
      </c>
      <c r="B2859" t="s">
        <v>266</v>
      </c>
      <c r="C2859" t="s">
        <v>273</v>
      </c>
      <c r="D2859" t="s">
        <v>477</v>
      </c>
      <c r="E2859">
        <f t="shared" ca="1" si="101"/>
        <v>0.4</v>
      </c>
      <c r="F2859">
        <f>IFERROR(VLOOKUP(H2859,ProfessionalRisk!A:I,9,0),0)</f>
        <v>1681</v>
      </c>
      <c r="G2859">
        <f t="shared" ca="1" si="100"/>
        <v>672</v>
      </c>
      <c r="H2859" t="s">
        <v>768</v>
      </c>
    </row>
    <row r="2860" spans="1:8">
      <c r="A2860" t="str">
        <f t="shared" si="99"/>
        <v>سيستان وبلوچستانسراوان</v>
      </c>
      <c r="B2860" t="s">
        <v>266</v>
      </c>
      <c r="C2860" t="s">
        <v>273</v>
      </c>
      <c r="D2860" t="s">
        <v>23</v>
      </c>
      <c r="E2860">
        <f t="shared" ca="1" si="101"/>
        <v>3.0977415342313599E-3</v>
      </c>
      <c r="F2860">
        <f>IFERROR(VLOOKUP(H2860,ProfessionalRisk!A:I,9,0),0)</f>
        <v>1681</v>
      </c>
      <c r="G2860">
        <f t="shared" ca="1" si="100"/>
        <v>5</v>
      </c>
      <c r="H2860" t="s">
        <v>768</v>
      </c>
    </row>
    <row r="2861" spans="1:8">
      <c r="A2861" t="str">
        <f t="shared" si="99"/>
        <v>سيستان وبلوچستاننيك شهر</v>
      </c>
      <c r="B2861" t="s">
        <v>266</v>
      </c>
      <c r="C2861" t="s">
        <v>274</v>
      </c>
      <c r="D2861" t="s">
        <v>19</v>
      </c>
      <c r="E2861">
        <f t="shared" ca="1" si="101"/>
        <v>0.6</v>
      </c>
      <c r="F2861">
        <f>IFERROR(VLOOKUP(H2861,ProfessionalRisk!A:I,9,0),0)</f>
        <v>724</v>
      </c>
      <c r="G2861">
        <f t="shared" ca="1" si="100"/>
        <v>434</v>
      </c>
      <c r="H2861" t="s">
        <v>774</v>
      </c>
    </row>
    <row r="2862" spans="1:8">
      <c r="A2862" t="str">
        <f t="shared" si="99"/>
        <v>سيستان وبلوچستاننيك شهر</v>
      </c>
      <c r="B2862" t="s">
        <v>266</v>
      </c>
      <c r="C2862" t="s">
        <v>274</v>
      </c>
      <c r="D2862" t="s">
        <v>477</v>
      </c>
      <c r="E2862">
        <f t="shared" ca="1" si="101"/>
        <v>0.4</v>
      </c>
      <c r="F2862">
        <f>IFERROR(VLOOKUP(H2862,ProfessionalRisk!A:I,9,0),0)</f>
        <v>724</v>
      </c>
      <c r="G2862">
        <f t="shared" ca="1" si="100"/>
        <v>290</v>
      </c>
      <c r="H2862" t="s">
        <v>774</v>
      </c>
    </row>
    <row r="2863" spans="1:8">
      <c r="A2863" t="str">
        <f t="shared" si="99"/>
        <v>سيستان وبلوچستاننيك شهر</v>
      </c>
      <c r="B2863" t="s">
        <v>266</v>
      </c>
      <c r="C2863" t="s">
        <v>274</v>
      </c>
      <c r="D2863" t="s">
        <v>23</v>
      </c>
      <c r="E2863">
        <f t="shared" ca="1" si="101"/>
        <v>6.9055040110298175E-3</v>
      </c>
      <c r="F2863">
        <f>IFERROR(VLOOKUP(H2863,ProfessionalRisk!A:I,9,0),0)</f>
        <v>724</v>
      </c>
      <c r="G2863">
        <f t="shared" ca="1" si="100"/>
        <v>5</v>
      </c>
      <c r="H2863" t="s">
        <v>774</v>
      </c>
    </row>
    <row r="2864" spans="1:8">
      <c r="A2864" t="str">
        <f t="shared" si="99"/>
        <v>سيستان وبلوچستانسرباز</v>
      </c>
      <c r="B2864" t="s">
        <v>266</v>
      </c>
      <c r="C2864" t="s">
        <v>275</v>
      </c>
      <c r="D2864" t="s">
        <v>19</v>
      </c>
      <c r="E2864">
        <f t="shared" ca="1" si="101"/>
        <v>0.6</v>
      </c>
      <c r="F2864">
        <f>IFERROR(VLOOKUP(H2864,ProfessionalRisk!A:I,9,0),0)</f>
        <v>1547</v>
      </c>
      <c r="G2864">
        <f t="shared" ca="1" si="100"/>
        <v>928</v>
      </c>
      <c r="H2864" t="s">
        <v>760</v>
      </c>
    </row>
    <row r="2865" spans="1:8">
      <c r="A2865" t="str">
        <f t="shared" si="99"/>
        <v>سيستان وبلوچستانسرباز</v>
      </c>
      <c r="B2865" t="s">
        <v>266</v>
      </c>
      <c r="C2865" t="s">
        <v>275</v>
      </c>
      <c r="D2865" t="s">
        <v>477</v>
      </c>
      <c r="E2865">
        <f t="shared" ca="1" si="101"/>
        <v>0.4</v>
      </c>
      <c r="F2865">
        <f>IFERROR(VLOOKUP(H2865,ProfessionalRisk!A:I,9,0),0)</f>
        <v>1547</v>
      </c>
      <c r="G2865">
        <f t="shared" ca="1" si="100"/>
        <v>619</v>
      </c>
      <c r="H2865" t="s">
        <v>760</v>
      </c>
    </row>
    <row r="2866" spans="1:8">
      <c r="A2866" t="str">
        <f t="shared" si="99"/>
        <v>سيستان وبلوچستانسرباز</v>
      </c>
      <c r="B2866" t="s">
        <v>266</v>
      </c>
      <c r="C2866" t="s">
        <v>275</v>
      </c>
      <c r="D2866" t="s">
        <v>23</v>
      </c>
      <c r="E2866">
        <f t="shared" ca="1" si="101"/>
        <v>8.7040146385536435E-3</v>
      </c>
      <c r="F2866">
        <f>IFERROR(VLOOKUP(H2866,ProfessionalRisk!A:I,9,0),0)</f>
        <v>1547</v>
      </c>
      <c r="G2866">
        <f t="shared" ca="1" si="100"/>
        <v>13</v>
      </c>
      <c r="H2866" t="s">
        <v>760</v>
      </c>
    </row>
    <row r="2867" spans="1:8">
      <c r="A2867" t="str">
        <f t="shared" si="99"/>
        <v>سيستان وبلوچستانكنارك</v>
      </c>
      <c r="B2867" t="s">
        <v>266</v>
      </c>
      <c r="C2867" t="s">
        <v>276</v>
      </c>
      <c r="D2867" t="s">
        <v>19</v>
      </c>
      <c r="E2867">
        <f t="shared" ca="1" si="101"/>
        <v>0.6</v>
      </c>
      <c r="F2867">
        <f>IFERROR(VLOOKUP(H2867,ProfessionalRisk!A:I,9,0),0)</f>
        <v>281</v>
      </c>
      <c r="G2867">
        <f t="shared" ca="1" si="100"/>
        <v>169</v>
      </c>
      <c r="H2867" t="s">
        <v>761</v>
      </c>
    </row>
    <row r="2868" spans="1:8">
      <c r="A2868" t="str">
        <f t="shared" si="99"/>
        <v>سيستان وبلوچستانكنارك</v>
      </c>
      <c r="B2868" t="s">
        <v>266</v>
      </c>
      <c r="C2868" t="s">
        <v>276</v>
      </c>
      <c r="D2868" t="s">
        <v>477</v>
      </c>
      <c r="E2868">
        <f t="shared" ca="1" si="101"/>
        <v>0.4</v>
      </c>
      <c r="F2868">
        <f>IFERROR(VLOOKUP(H2868,ProfessionalRisk!A:I,9,0),0)</f>
        <v>281</v>
      </c>
      <c r="G2868">
        <f t="shared" ca="1" si="100"/>
        <v>112</v>
      </c>
      <c r="H2868" t="s">
        <v>761</v>
      </c>
    </row>
    <row r="2869" spans="1:8">
      <c r="A2869" t="str">
        <f t="shared" si="99"/>
        <v>سيستان وبلوچستانكنارك</v>
      </c>
      <c r="B2869" t="s">
        <v>266</v>
      </c>
      <c r="C2869" t="s">
        <v>276</v>
      </c>
      <c r="D2869" t="s">
        <v>23</v>
      </c>
      <c r="E2869">
        <f t="shared" ca="1" si="101"/>
        <v>1.1067440478605315E-2</v>
      </c>
      <c r="F2869">
        <f>IFERROR(VLOOKUP(H2869,ProfessionalRisk!A:I,9,0),0)</f>
        <v>281</v>
      </c>
      <c r="G2869">
        <f t="shared" ca="1" si="100"/>
        <v>3</v>
      </c>
      <c r="H2869" t="s">
        <v>761</v>
      </c>
    </row>
    <row r="2870" spans="1:8">
      <c r="A2870" t="str">
        <f t="shared" si="99"/>
        <v>سيستان وبلوچستانزهك</v>
      </c>
      <c r="B2870" t="s">
        <v>266</v>
      </c>
      <c r="C2870" t="s">
        <v>277</v>
      </c>
      <c r="D2870" t="s">
        <v>19</v>
      </c>
      <c r="E2870">
        <f t="shared" ca="1" si="101"/>
        <v>0.6</v>
      </c>
      <c r="F2870">
        <f>IFERROR(VLOOKUP(H2870,ProfessionalRisk!A:I,9,0),0)</f>
        <v>1054</v>
      </c>
      <c r="G2870">
        <f t="shared" ca="1" si="100"/>
        <v>632</v>
      </c>
      <c r="H2870" t="s">
        <v>772</v>
      </c>
    </row>
    <row r="2871" spans="1:8">
      <c r="A2871" t="str">
        <f t="shared" si="99"/>
        <v>سيستان وبلوچستانزهك</v>
      </c>
      <c r="B2871" t="s">
        <v>266</v>
      </c>
      <c r="C2871" t="s">
        <v>277</v>
      </c>
      <c r="D2871" t="s">
        <v>477</v>
      </c>
      <c r="E2871">
        <f t="shared" ca="1" si="101"/>
        <v>0.4</v>
      </c>
      <c r="F2871">
        <f>IFERROR(VLOOKUP(H2871,ProfessionalRisk!A:I,9,0),0)</f>
        <v>1054</v>
      </c>
      <c r="G2871">
        <f t="shared" ca="1" si="100"/>
        <v>422</v>
      </c>
      <c r="H2871" t="s">
        <v>772</v>
      </c>
    </row>
    <row r="2872" spans="1:8">
      <c r="A2872" t="str">
        <f t="shared" si="99"/>
        <v>سيستان وبلوچستانزهك</v>
      </c>
      <c r="B2872" t="s">
        <v>266</v>
      </c>
      <c r="C2872" t="s">
        <v>277</v>
      </c>
      <c r="D2872" t="s">
        <v>23</v>
      </c>
      <c r="E2872">
        <f t="shared" ca="1" si="101"/>
        <v>4.1724105613134537E-3</v>
      </c>
      <c r="F2872">
        <f>IFERROR(VLOOKUP(H2872,ProfessionalRisk!A:I,9,0),0)</f>
        <v>1054</v>
      </c>
      <c r="G2872">
        <f t="shared" ca="1" si="100"/>
        <v>4</v>
      </c>
      <c r="H2872" t="s">
        <v>772</v>
      </c>
    </row>
    <row r="2873" spans="1:8">
      <c r="A2873" t="str">
        <f t="shared" si="99"/>
        <v>سيستان وبلوچستانهيرمند</v>
      </c>
      <c r="B2873" t="s">
        <v>266</v>
      </c>
      <c r="C2873" t="s">
        <v>278</v>
      </c>
      <c r="D2873" t="s">
        <v>19</v>
      </c>
      <c r="E2873">
        <f t="shared" ca="1" si="101"/>
        <v>0.6</v>
      </c>
      <c r="F2873">
        <f>IFERROR(VLOOKUP(H2873,ProfessionalRisk!A:I,9,0),0)</f>
        <v>689</v>
      </c>
      <c r="G2873">
        <f t="shared" ca="1" si="100"/>
        <v>413</v>
      </c>
      <c r="H2873" t="s">
        <v>765</v>
      </c>
    </row>
    <row r="2874" spans="1:8">
      <c r="A2874" t="str">
        <f t="shared" si="99"/>
        <v>سيستان وبلوچستانهيرمند</v>
      </c>
      <c r="B2874" t="s">
        <v>266</v>
      </c>
      <c r="C2874" t="s">
        <v>278</v>
      </c>
      <c r="D2874" t="s">
        <v>477</v>
      </c>
      <c r="E2874">
        <f t="shared" ca="1" si="101"/>
        <v>0.4</v>
      </c>
      <c r="F2874">
        <f>IFERROR(VLOOKUP(H2874,ProfessionalRisk!A:I,9,0),0)</f>
        <v>689</v>
      </c>
      <c r="G2874">
        <f t="shared" ca="1" si="100"/>
        <v>276</v>
      </c>
      <c r="H2874" t="s">
        <v>765</v>
      </c>
    </row>
    <row r="2875" spans="1:8">
      <c r="A2875" t="str">
        <f t="shared" si="99"/>
        <v>سيستان وبلوچستانهيرمند</v>
      </c>
      <c r="B2875" t="s">
        <v>266</v>
      </c>
      <c r="C2875" t="s">
        <v>278</v>
      </c>
      <c r="D2875" t="s">
        <v>23</v>
      </c>
      <c r="E2875">
        <f t="shared" ca="1" si="101"/>
        <v>7.1537548519617069E-3</v>
      </c>
      <c r="F2875">
        <f>IFERROR(VLOOKUP(H2875,ProfessionalRisk!A:I,9,0),0)</f>
        <v>689</v>
      </c>
      <c r="G2875">
        <f t="shared" ca="1" si="100"/>
        <v>5</v>
      </c>
      <c r="H2875" t="s">
        <v>765</v>
      </c>
    </row>
    <row r="2876" spans="1:8">
      <c r="A2876" t="str">
        <f t="shared" si="99"/>
        <v>سيستان وبلوچستاندلگان</v>
      </c>
      <c r="B2876" t="s">
        <v>266</v>
      </c>
      <c r="C2876" t="s">
        <v>279</v>
      </c>
      <c r="D2876" t="s">
        <v>19</v>
      </c>
      <c r="E2876">
        <f t="shared" ca="1" si="101"/>
        <v>0.6</v>
      </c>
      <c r="F2876">
        <f>IFERROR(VLOOKUP(H2876,ProfessionalRisk!A:I,9,0),0)</f>
        <v>427</v>
      </c>
      <c r="G2876">
        <f t="shared" ca="1" si="100"/>
        <v>256</v>
      </c>
      <c r="H2876" t="s">
        <v>764</v>
      </c>
    </row>
    <row r="2877" spans="1:8">
      <c r="A2877" t="str">
        <f t="shared" si="99"/>
        <v>سيستان وبلوچستاندلگان</v>
      </c>
      <c r="B2877" t="s">
        <v>266</v>
      </c>
      <c r="C2877" t="s">
        <v>279</v>
      </c>
      <c r="D2877" t="s">
        <v>477</v>
      </c>
      <c r="E2877">
        <f t="shared" ca="1" si="101"/>
        <v>0.4</v>
      </c>
      <c r="F2877">
        <f>IFERROR(VLOOKUP(H2877,ProfessionalRisk!A:I,9,0),0)</f>
        <v>427</v>
      </c>
      <c r="G2877">
        <f t="shared" ca="1" si="100"/>
        <v>171</v>
      </c>
      <c r="H2877" t="s">
        <v>764</v>
      </c>
    </row>
    <row r="2878" spans="1:8">
      <c r="A2878" t="str">
        <f t="shared" si="99"/>
        <v>سيستان وبلوچستاندلگان</v>
      </c>
      <c r="B2878" t="s">
        <v>266</v>
      </c>
      <c r="C2878" t="s">
        <v>279</v>
      </c>
      <c r="D2878" t="s">
        <v>23</v>
      </c>
      <c r="E2878">
        <f t="shared" ca="1" si="101"/>
        <v>1.7668688156374728E-2</v>
      </c>
      <c r="F2878">
        <f>IFERROR(VLOOKUP(H2878,ProfessionalRisk!A:I,9,0),0)</f>
        <v>427</v>
      </c>
      <c r="G2878">
        <f t="shared" ca="1" si="100"/>
        <v>8</v>
      </c>
      <c r="H2878" t="s">
        <v>764</v>
      </c>
    </row>
    <row r="2879" spans="1:8">
      <c r="A2879" t="str">
        <f t="shared" si="99"/>
        <v>سيستان وبلوچستانمهرستان (زابلی)</v>
      </c>
      <c r="B2879" t="s">
        <v>266</v>
      </c>
      <c r="C2879" t="s">
        <v>280</v>
      </c>
      <c r="D2879" t="s">
        <v>19</v>
      </c>
      <c r="E2879">
        <f t="shared" ca="1" si="101"/>
        <v>0.6</v>
      </c>
      <c r="F2879">
        <f>IFERROR(VLOOKUP(H2879,ProfessionalRisk!A:I,9,0),0)</f>
        <v>300</v>
      </c>
      <c r="G2879">
        <f t="shared" ca="1" si="100"/>
        <v>180</v>
      </c>
      <c r="H2879" t="s">
        <v>766</v>
      </c>
    </row>
    <row r="2880" spans="1:8">
      <c r="A2880" t="str">
        <f t="shared" si="99"/>
        <v>سيستان وبلوچستانمهرستان (زابلی)</v>
      </c>
      <c r="B2880" t="s">
        <v>266</v>
      </c>
      <c r="C2880" t="s">
        <v>280</v>
      </c>
      <c r="D2880" t="s">
        <v>477</v>
      </c>
      <c r="E2880">
        <f t="shared" ca="1" si="101"/>
        <v>0.4</v>
      </c>
      <c r="F2880">
        <f>IFERROR(VLOOKUP(H2880,ProfessionalRisk!A:I,9,0),0)</f>
        <v>300</v>
      </c>
      <c r="G2880">
        <f t="shared" ca="1" si="100"/>
        <v>120</v>
      </c>
      <c r="H2880" t="s">
        <v>766</v>
      </c>
    </row>
    <row r="2881" spans="1:8">
      <c r="A2881" t="str">
        <f t="shared" si="99"/>
        <v>سيستان وبلوچستانمهرستان (زابلی)</v>
      </c>
      <c r="B2881" t="s">
        <v>266</v>
      </c>
      <c r="C2881" t="s">
        <v>280</v>
      </c>
      <c r="D2881" t="s">
        <v>23</v>
      </c>
      <c r="E2881">
        <f t="shared" ca="1" si="101"/>
        <v>1.8028948367991928E-2</v>
      </c>
      <c r="F2881">
        <f>IFERROR(VLOOKUP(H2881,ProfessionalRisk!A:I,9,0),0)</f>
        <v>300</v>
      </c>
      <c r="G2881">
        <f t="shared" ca="1" si="100"/>
        <v>5</v>
      </c>
      <c r="H2881" t="s">
        <v>766</v>
      </c>
    </row>
    <row r="2882" spans="1:8">
      <c r="A2882" t="str">
        <f t="shared" ref="A2882:A2945" si="102">B2882&amp;C2882</f>
        <v>سيستان وبلوچستانسيب و سوران</v>
      </c>
      <c r="B2882" t="s">
        <v>266</v>
      </c>
      <c r="C2882" t="s">
        <v>281</v>
      </c>
      <c r="D2882" t="s">
        <v>19</v>
      </c>
      <c r="E2882">
        <f t="shared" ca="1" si="101"/>
        <v>0.6</v>
      </c>
      <c r="F2882">
        <f>IFERROR(VLOOKUP(H2882,ProfessionalRisk!A:I,9,0),0)</f>
        <v>351</v>
      </c>
      <c r="G2882">
        <f t="shared" ca="1" si="100"/>
        <v>211</v>
      </c>
      <c r="H2882" t="s">
        <v>776</v>
      </c>
    </row>
    <row r="2883" spans="1:8">
      <c r="A2883" t="str">
        <f t="shared" si="102"/>
        <v>سيستان وبلوچستانسيب و سوران</v>
      </c>
      <c r="B2883" t="s">
        <v>266</v>
      </c>
      <c r="C2883" t="s">
        <v>281</v>
      </c>
      <c r="D2883" t="s">
        <v>477</v>
      </c>
      <c r="E2883">
        <f t="shared" ca="1" si="101"/>
        <v>0.4</v>
      </c>
      <c r="F2883">
        <f>IFERROR(VLOOKUP(H2883,ProfessionalRisk!A:I,9,0),0)</f>
        <v>351</v>
      </c>
      <c r="G2883">
        <f t="shared" ref="G2883:G2946" ca="1" si="103">IFERROR(ROUND(F2883*E2883,0),0)</f>
        <v>140</v>
      </c>
      <c r="H2883" t="s">
        <v>776</v>
      </c>
    </row>
    <row r="2884" spans="1:8">
      <c r="A2884" t="str">
        <f t="shared" si="102"/>
        <v>سيستان وبلوچستانسيب و سوران</v>
      </c>
      <c r="B2884" t="s">
        <v>266</v>
      </c>
      <c r="C2884" t="s">
        <v>281</v>
      </c>
      <c r="D2884" t="s">
        <v>23</v>
      </c>
      <c r="E2884">
        <f t="shared" ca="1" si="101"/>
        <v>1.1960557283734314E-2</v>
      </c>
      <c r="F2884">
        <f>IFERROR(VLOOKUP(H2884,ProfessionalRisk!A:I,9,0),0)</f>
        <v>351</v>
      </c>
      <c r="G2884">
        <f t="shared" ca="1" si="103"/>
        <v>4</v>
      </c>
      <c r="H2884" t="s">
        <v>776</v>
      </c>
    </row>
    <row r="2885" spans="1:8">
      <c r="A2885" t="str">
        <f t="shared" si="102"/>
        <v>سيستان وبلوچستاننيمروز</v>
      </c>
      <c r="B2885" t="s">
        <v>266</v>
      </c>
      <c r="C2885" t="s">
        <v>282</v>
      </c>
      <c r="D2885" t="s">
        <v>19</v>
      </c>
      <c r="E2885">
        <f t="shared" ca="1" si="101"/>
        <v>0.6</v>
      </c>
      <c r="F2885">
        <f>IFERROR(VLOOKUP(H2885,ProfessionalRisk!A:I,9,0),0)</f>
        <v>343</v>
      </c>
      <c r="G2885">
        <f t="shared" ca="1" si="103"/>
        <v>206</v>
      </c>
      <c r="H2885" t="s">
        <v>763</v>
      </c>
    </row>
    <row r="2886" spans="1:8">
      <c r="A2886" t="str">
        <f t="shared" si="102"/>
        <v>سيستان وبلوچستاننيمروز</v>
      </c>
      <c r="B2886" t="s">
        <v>266</v>
      </c>
      <c r="C2886" t="s">
        <v>282</v>
      </c>
      <c r="D2886" t="s">
        <v>477</v>
      </c>
      <c r="E2886">
        <f t="shared" ca="1" si="101"/>
        <v>0.4</v>
      </c>
      <c r="F2886">
        <f>IFERROR(VLOOKUP(H2886,ProfessionalRisk!A:I,9,0),0)</f>
        <v>343</v>
      </c>
      <c r="G2886">
        <f t="shared" ca="1" si="103"/>
        <v>137</v>
      </c>
      <c r="H2886" t="s">
        <v>763</v>
      </c>
    </row>
    <row r="2887" spans="1:8">
      <c r="A2887" t="str">
        <f t="shared" si="102"/>
        <v>سيستان وبلوچستاننيمروز</v>
      </c>
      <c r="B2887" t="s">
        <v>266</v>
      </c>
      <c r="C2887" t="s">
        <v>282</v>
      </c>
      <c r="D2887" t="s">
        <v>23</v>
      </c>
      <c r="E2887">
        <f t="shared" ca="1" si="101"/>
        <v>1.7348437698953813E-2</v>
      </c>
      <c r="F2887">
        <f>IFERROR(VLOOKUP(H2887,ProfessionalRisk!A:I,9,0),0)</f>
        <v>343</v>
      </c>
      <c r="G2887">
        <f t="shared" ca="1" si="103"/>
        <v>6</v>
      </c>
      <c r="H2887" t="s">
        <v>763</v>
      </c>
    </row>
    <row r="2888" spans="1:8">
      <c r="A2888" t="str">
        <f t="shared" si="102"/>
        <v>سيستان وبلوچستانهامون</v>
      </c>
      <c r="B2888" t="s">
        <v>266</v>
      </c>
      <c r="C2888" t="s">
        <v>283</v>
      </c>
      <c r="D2888" t="s">
        <v>19</v>
      </c>
      <c r="E2888">
        <f t="shared" ca="1" si="101"/>
        <v>0.6</v>
      </c>
      <c r="F2888">
        <f>IFERROR(VLOOKUP(H2888,ProfessionalRisk!A:I,9,0),0)</f>
        <v>448</v>
      </c>
      <c r="G2888">
        <f t="shared" ca="1" si="103"/>
        <v>269</v>
      </c>
      <c r="H2888" t="s">
        <v>771</v>
      </c>
    </row>
    <row r="2889" spans="1:8">
      <c r="A2889" t="str">
        <f t="shared" si="102"/>
        <v>سيستان وبلوچستانهامون</v>
      </c>
      <c r="B2889" t="s">
        <v>266</v>
      </c>
      <c r="C2889" t="s">
        <v>283</v>
      </c>
      <c r="D2889" t="s">
        <v>477</v>
      </c>
      <c r="E2889">
        <f t="shared" ca="1" si="101"/>
        <v>0.4</v>
      </c>
      <c r="F2889">
        <f>IFERROR(VLOOKUP(H2889,ProfessionalRisk!A:I,9,0),0)</f>
        <v>448</v>
      </c>
      <c r="G2889">
        <f t="shared" ca="1" si="103"/>
        <v>179</v>
      </c>
      <c r="H2889" t="s">
        <v>771</v>
      </c>
    </row>
    <row r="2890" spans="1:8">
      <c r="A2890" t="str">
        <f t="shared" si="102"/>
        <v>سيستان وبلوچستانهامون</v>
      </c>
      <c r="B2890" t="s">
        <v>266</v>
      </c>
      <c r="C2890" t="s">
        <v>283</v>
      </c>
      <c r="D2890" t="s">
        <v>23</v>
      </c>
      <c r="E2890">
        <f t="shared" ca="1" si="101"/>
        <v>1.1316434204052388E-2</v>
      </c>
      <c r="F2890">
        <f>IFERROR(VLOOKUP(H2890,ProfessionalRisk!A:I,9,0),0)</f>
        <v>448</v>
      </c>
      <c r="G2890">
        <f t="shared" ca="1" si="103"/>
        <v>5</v>
      </c>
      <c r="H2890" t="s">
        <v>771</v>
      </c>
    </row>
    <row r="2891" spans="1:8">
      <c r="A2891" t="str">
        <f t="shared" si="102"/>
        <v>سيستان وبلوچستانميرجاوه</v>
      </c>
      <c r="B2891" t="s">
        <v>266</v>
      </c>
      <c r="C2891" t="s">
        <v>284</v>
      </c>
      <c r="D2891" t="s">
        <v>19</v>
      </c>
      <c r="E2891">
        <f t="shared" ca="1" si="101"/>
        <v>0.6</v>
      </c>
      <c r="F2891">
        <f>IFERROR(VLOOKUP(H2891,ProfessionalRisk!A:I,9,0),0)</f>
        <v>346</v>
      </c>
      <c r="G2891">
        <f t="shared" ca="1" si="103"/>
        <v>208</v>
      </c>
      <c r="H2891" t="s">
        <v>769</v>
      </c>
    </row>
    <row r="2892" spans="1:8">
      <c r="A2892" t="str">
        <f t="shared" si="102"/>
        <v>سيستان وبلوچستانميرجاوه</v>
      </c>
      <c r="B2892" t="s">
        <v>266</v>
      </c>
      <c r="C2892" t="s">
        <v>284</v>
      </c>
      <c r="D2892" t="s">
        <v>477</v>
      </c>
      <c r="E2892">
        <f t="shared" ca="1" si="101"/>
        <v>0.4</v>
      </c>
      <c r="F2892">
        <f>IFERROR(VLOOKUP(H2892,ProfessionalRisk!A:I,9,0),0)</f>
        <v>346</v>
      </c>
      <c r="G2892">
        <f t="shared" ca="1" si="103"/>
        <v>138</v>
      </c>
      <c r="H2892" t="s">
        <v>769</v>
      </c>
    </row>
    <row r="2893" spans="1:8">
      <c r="A2893" t="str">
        <f t="shared" si="102"/>
        <v>سيستان وبلوچستانميرجاوه</v>
      </c>
      <c r="B2893" t="s">
        <v>266</v>
      </c>
      <c r="C2893" t="s">
        <v>284</v>
      </c>
      <c r="D2893" t="s">
        <v>23</v>
      </c>
      <c r="E2893">
        <f t="shared" ca="1" si="101"/>
        <v>9.6107917421497935E-3</v>
      </c>
      <c r="F2893">
        <f>IFERROR(VLOOKUP(H2893,ProfessionalRisk!A:I,9,0),0)</f>
        <v>346</v>
      </c>
      <c r="G2893">
        <f t="shared" ca="1" si="103"/>
        <v>3</v>
      </c>
      <c r="H2893" t="s">
        <v>769</v>
      </c>
    </row>
    <row r="2894" spans="1:8">
      <c r="A2894" t="str">
        <f t="shared" si="102"/>
        <v>سيستان وبلوچستانقصرقند</v>
      </c>
      <c r="B2894" t="s">
        <v>266</v>
      </c>
      <c r="C2894" t="s">
        <v>285</v>
      </c>
      <c r="D2894" t="s">
        <v>19</v>
      </c>
      <c r="E2894">
        <f t="shared" ca="1" si="101"/>
        <v>0.6</v>
      </c>
      <c r="F2894">
        <f>IFERROR(VLOOKUP(H2894,ProfessionalRisk!A:I,9,0),0)</f>
        <v>254</v>
      </c>
      <c r="G2894">
        <f t="shared" ca="1" si="103"/>
        <v>152</v>
      </c>
      <c r="H2894" t="s">
        <v>756</v>
      </c>
    </row>
    <row r="2895" spans="1:8">
      <c r="A2895" t="str">
        <f t="shared" si="102"/>
        <v>سيستان وبلوچستانقصرقند</v>
      </c>
      <c r="B2895" t="s">
        <v>266</v>
      </c>
      <c r="C2895" t="s">
        <v>285</v>
      </c>
      <c r="D2895" t="s">
        <v>477</v>
      </c>
      <c r="E2895">
        <f t="shared" ca="1" si="101"/>
        <v>0.4</v>
      </c>
      <c r="F2895">
        <f>IFERROR(VLOOKUP(H2895,ProfessionalRisk!A:I,9,0),0)</f>
        <v>254</v>
      </c>
      <c r="G2895">
        <f t="shared" ca="1" si="103"/>
        <v>102</v>
      </c>
      <c r="H2895" t="s">
        <v>756</v>
      </c>
    </row>
    <row r="2896" spans="1:8">
      <c r="A2896" t="str">
        <f t="shared" si="102"/>
        <v>سيستان وبلوچستانقصرقند</v>
      </c>
      <c r="B2896" t="s">
        <v>266</v>
      </c>
      <c r="C2896" t="s">
        <v>285</v>
      </c>
      <c r="D2896" t="s">
        <v>23</v>
      </c>
      <c r="E2896">
        <f t="shared" ca="1" si="101"/>
        <v>9.2568198149852975E-3</v>
      </c>
      <c r="F2896">
        <f>IFERROR(VLOOKUP(H2896,ProfessionalRisk!A:I,9,0),0)</f>
        <v>254</v>
      </c>
      <c r="G2896">
        <f t="shared" ca="1" si="103"/>
        <v>2</v>
      </c>
      <c r="H2896" t="s">
        <v>756</v>
      </c>
    </row>
    <row r="2897" spans="1:8">
      <c r="A2897" t="str">
        <f t="shared" si="102"/>
        <v>سيستان وبلوچستانفنوج</v>
      </c>
      <c r="B2897" t="s">
        <v>266</v>
      </c>
      <c r="C2897" t="s">
        <v>287</v>
      </c>
      <c r="D2897" t="s">
        <v>19</v>
      </c>
      <c r="E2897">
        <f t="shared" ca="1" si="101"/>
        <v>0.6</v>
      </c>
      <c r="F2897">
        <f>IFERROR(VLOOKUP(H2897,ProfessionalRisk!A:I,9,0),0)</f>
        <v>254</v>
      </c>
      <c r="G2897">
        <f t="shared" ca="1" si="103"/>
        <v>152</v>
      </c>
      <c r="H2897" t="s">
        <v>773</v>
      </c>
    </row>
    <row r="2898" spans="1:8">
      <c r="A2898" t="str">
        <f t="shared" si="102"/>
        <v>سيستان وبلوچستانفنوج</v>
      </c>
      <c r="B2898" t="s">
        <v>266</v>
      </c>
      <c r="C2898" t="s">
        <v>287</v>
      </c>
      <c r="D2898" t="s">
        <v>477</v>
      </c>
      <c r="E2898">
        <f t="shared" ca="1" si="101"/>
        <v>0.4</v>
      </c>
      <c r="F2898">
        <f>IFERROR(VLOOKUP(H2898,ProfessionalRisk!A:I,9,0),0)</f>
        <v>254</v>
      </c>
      <c r="G2898">
        <f t="shared" ca="1" si="103"/>
        <v>102</v>
      </c>
      <c r="H2898" t="s">
        <v>773</v>
      </c>
    </row>
    <row r="2899" spans="1:8">
      <c r="A2899" t="str">
        <f t="shared" si="102"/>
        <v>سيستان وبلوچستانفنوج</v>
      </c>
      <c r="B2899" t="s">
        <v>266</v>
      </c>
      <c r="C2899" t="s">
        <v>287</v>
      </c>
      <c r="D2899" t="s">
        <v>23</v>
      </c>
      <c r="E2899">
        <f t="shared" ca="1" si="101"/>
        <v>1.3138501285038398E-2</v>
      </c>
      <c r="F2899">
        <f>IFERROR(VLOOKUP(H2899,ProfessionalRisk!A:I,9,0),0)</f>
        <v>254</v>
      </c>
      <c r="G2899">
        <f t="shared" ca="1" si="103"/>
        <v>3</v>
      </c>
      <c r="H2899" t="s">
        <v>773</v>
      </c>
    </row>
    <row r="2900" spans="1:8">
      <c r="A2900" t="str">
        <f t="shared" si="102"/>
        <v>كردستانبانه</v>
      </c>
      <c r="B2900" t="s">
        <v>286</v>
      </c>
      <c r="C2900" t="s">
        <v>288</v>
      </c>
      <c r="D2900" t="s">
        <v>19</v>
      </c>
      <c r="E2900">
        <f t="shared" ca="1" si="101"/>
        <v>0.6</v>
      </c>
      <c r="F2900">
        <f>IFERROR(VLOOKUP(H2900,ProfessionalRisk!A:I,9,0),0)</f>
        <v>1768</v>
      </c>
      <c r="G2900">
        <f t="shared" ca="1" si="103"/>
        <v>1061</v>
      </c>
      <c r="H2900" t="s">
        <v>904</v>
      </c>
    </row>
    <row r="2901" spans="1:8">
      <c r="A2901" t="str">
        <f t="shared" si="102"/>
        <v>كردستانبانه</v>
      </c>
      <c r="B2901" t="s">
        <v>286</v>
      </c>
      <c r="C2901" t="s">
        <v>288</v>
      </c>
      <c r="D2901" t="s">
        <v>477</v>
      </c>
      <c r="E2901">
        <f t="shared" ca="1" si="101"/>
        <v>0.4</v>
      </c>
      <c r="F2901">
        <f>IFERROR(VLOOKUP(H2901,ProfessionalRisk!A:I,9,0),0)</f>
        <v>1768</v>
      </c>
      <c r="G2901">
        <f t="shared" ca="1" si="103"/>
        <v>707</v>
      </c>
      <c r="H2901" t="s">
        <v>904</v>
      </c>
    </row>
    <row r="2902" spans="1:8">
      <c r="A2902" t="str">
        <f t="shared" si="102"/>
        <v>كردستانبانه</v>
      </c>
      <c r="B2902" t="s">
        <v>286</v>
      </c>
      <c r="C2902" t="s">
        <v>288</v>
      </c>
      <c r="D2902" t="s">
        <v>23</v>
      </c>
      <c r="E2902">
        <f t="shared" ca="1" si="101"/>
        <v>5.9256214929390748E-3</v>
      </c>
      <c r="F2902">
        <f>IFERROR(VLOOKUP(H2902,ProfessionalRisk!A:I,9,0),0)</f>
        <v>1768</v>
      </c>
      <c r="G2902">
        <f t="shared" ca="1" si="103"/>
        <v>10</v>
      </c>
      <c r="H2902" t="s">
        <v>904</v>
      </c>
    </row>
    <row r="2903" spans="1:8">
      <c r="A2903" t="str">
        <f t="shared" si="102"/>
        <v>كردستانبيجار</v>
      </c>
      <c r="B2903" t="s">
        <v>286</v>
      </c>
      <c r="C2903" t="s">
        <v>289</v>
      </c>
      <c r="D2903" t="s">
        <v>19</v>
      </c>
      <c r="E2903">
        <f t="shared" ca="1" si="101"/>
        <v>0.6</v>
      </c>
      <c r="F2903">
        <f>IFERROR(VLOOKUP(H2903,ProfessionalRisk!A:I,9,0),0)</f>
        <v>1462</v>
      </c>
      <c r="G2903">
        <f t="shared" ca="1" si="103"/>
        <v>877</v>
      </c>
      <c r="H2903" t="s">
        <v>908</v>
      </c>
    </row>
    <row r="2904" spans="1:8">
      <c r="A2904" t="str">
        <f t="shared" si="102"/>
        <v>كردستانبيجار</v>
      </c>
      <c r="B2904" t="s">
        <v>286</v>
      </c>
      <c r="C2904" t="s">
        <v>289</v>
      </c>
      <c r="D2904" t="s">
        <v>477</v>
      </c>
      <c r="E2904">
        <f t="shared" ca="1" si="101"/>
        <v>0.4</v>
      </c>
      <c r="F2904">
        <f>IFERROR(VLOOKUP(H2904,ProfessionalRisk!A:I,9,0),0)</f>
        <v>1462</v>
      </c>
      <c r="G2904">
        <f t="shared" ca="1" si="103"/>
        <v>585</v>
      </c>
      <c r="H2904" t="s">
        <v>908</v>
      </c>
    </row>
    <row r="2905" spans="1:8">
      <c r="A2905" t="str">
        <f t="shared" si="102"/>
        <v>كردستانبيجار</v>
      </c>
      <c r="B2905" t="s">
        <v>286</v>
      </c>
      <c r="C2905" t="s">
        <v>289</v>
      </c>
      <c r="D2905" t="s">
        <v>23</v>
      </c>
      <c r="E2905">
        <f t="shared" ca="1" si="101"/>
        <v>1.1515719754114256E-2</v>
      </c>
      <c r="F2905">
        <f>IFERROR(VLOOKUP(H2905,ProfessionalRisk!A:I,9,0),0)</f>
        <v>1462</v>
      </c>
      <c r="G2905">
        <f t="shared" ca="1" si="103"/>
        <v>17</v>
      </c>
      <c r="H2905" t="s">
        <v>908</v>
      </c>
    </row>
    <row r="2906" spans="1:8">
      <c r="A2906" t="str">
        <f t="shared" si="102"/>
        <v>كردستانسقز</v>
      </c>
      <c r="B2906" t="s">
        <v>286</v>
      </c>
      <c r="C2906" t="s">
        <v>290</v>
      </c>
      <c r="D2906" t="s">
        <v>19</v>
      </c>
      <c r="E2906">
        <f t="shared" ca="1" si="101"/>
        <v>0.6</v>
      </c>
      <c r="F2906">
        <f>IFERROR(VLOOKUP(H2906,ProfessionalRisk!A:I,9,0),0)</f>
        <v>2784</v>
      </c>
      <c r="G2906">
        <f t="shared" ca="1" si="103"/>
        <v>1670</v>
      </c>
      <c r="H2906" t="s">
        <v>901</v>
      </c>
    </row>
    <row r="2907" spans="1:8">
      <c r="A2907" t="str">
        <f t="shared" si="102"/>
        <v>كردستانسقز</v>
      </c>
      <c r="B2907" t="s">
        <v>286</v>
      </c>
      <c r="C2907" t="s">
        <v>290</v>
      </c>
      <c r="D2907" t="s">
        <v>477</v>
      </c>
      <c r="E2907">
        <f t="shared" ca="1" si="101"/>
        <v>0.4</v>
      </c>
      <c r="F2907">
        <f>IFERROR(VLOOKUP(H2907,ProfessionalRisk!A:I,9,0),0)</f>
        <v>2784</v>
      </c>
      <c r="G2907">
        <f t="shared" ca="1" si="103"/>
        <v>1114</v>
      </c>
      <c r="H2907" t="s">
        <v>901</v>
      </c>
    </row>
    <row r="2908" spans="1:8">
      <c r="A2908" t="str">
        <f t="shared" si="102"/>
        <v>كردستانسقز</v>
      </c>
      <c r="B2908" t="s">
        <v>286</v>
      </c>
      <c r="C2908" t="s">
        <v>290</v>
      </c>
      <c r="D2908" t="s">
        <v>23</v>
      </c>
      <c r="E2908">
        <f t="shared" ca="1" si="101"/>
        <v>2.8543748012064963E-3</v>
      </c>
      <c r="F2908">
        <f>IFERROR(VLOOKUP(H2908,ProfessionalRisk!A:I,9,0),0)</f>
        <v>2784</v>
      </c>
      <c r="G2908">
        <f t="shared" ca="1" si="103"/>
        <v>8</v>
      </c>
      <c r="H2908" t="s">
        <v>901</v>
      </c>
    </row>
    <row r="2909" spans="1:8">
      <c r="A2909" t="str">
        <f t="shared" si="102"/>
        <v>كردستانسنندج</v>
      </c>
      <c r="B2909" t="s">
        <v>286</v>
      </c>
      <c r="C2909" t="s">
        <v>291</v>
      </c>
      <c r="D2909" t="s">
        <v>19</v>
      </c>
      <c r="E2909">
        <f t="shared" ca="1" si="101"/>
        <v>0.6</v>
      </c>
      <c r="F2909">
        <f>IFERROR(VLOOKUP(H2909,ProfessionalRisk!A:I,9,0),0)</f>
        <v>11748</v>
      </c>
      <c r="G2909">
        <f t="shared" ca="1" si="103"/>
        <v>7049</v>
      </c>
      <c r="H2909" t="s">
        <v>903</v>
      </c>
    </row>
    <row r="2910" spans="1:8">
      <c r="A2910" t="str">
        <f t="shared" si="102"/>
        <v>كردستانسنندج</v>
      </c>
      <c r="B2910" t="s">
        <v>286</v>
      </c>
      <c r="C2910" t="s">
        <v>291</v>
      </c>
      <c r="D2910" t="s">
        <v>477</v>
      </c>
      <c r="E2910">
        <f t="shared" ca="1" si="101"/>
        <v>0.4</v>
      </c>
      <c r="F2910">
        <f>IFERROR(VLOOKUP(H2910,ProfessionalRisk!A:I,9,0),0)</f>
        <v>11748</v>
      </c>
      <c r="G2910">
        <f t="shared" ca="1" si="103"/>
        <v>4699</v>
      </c>
      <c r="H2910" t="s">
        <v>903</v>
      </c>
    </row>
    <row r="2911" spans="1:8">
      <c r="A2911" t="str">
        <f t="shared" si="102"/>
        <v>كردستانسنندج</v>
      </c>
      <c r="B2911" t="s">
        <v>286</v>
      </c>
      <c r="C2911" t="s">
        <v>291</v>
      </c>
      <c r="D2911" t="s">
        <v>23</v>
      </c>
      <c r="E2911">
        <f t="shared" ca="1" si="101"/>
        <v>1.7032382002828196E-3</v>
      </c>
      <c r="F2911">
        <f>IFERROR(VLOOKUP(H2911,ProfessionalRisk!A:I,9,0),0)</f>
        <v>11748</v>
      </c>
      <c r="G2911">
        <f t="shared" ca="1" si="103"/>
        <v>20</v>
      </c>
      <c r="H2911" t="s">
        <v>903</v>
      </c>
    </row>
    <row r="2912" spans="1:8">
      <c r="A2912" t="str">
        <f t="shared" si="102"/>
        <v>كردستانقروه</v>
      </c>
      <c r="B2912" t="s">
        <v>286</v>
      </c>
      <c r="C2912" t="s">
        <v>292</v>
      </c>
      <c r="D2912" t="s">
        <v>19</v>
      </c>
      <c r="E2912">
        <f t="shared" ca="1" si="101"/>
        <v>0.6</v>
      </c>
      <c r="F2912">
        <f>IFERROR(VLOOKUP(H2912,ProfessionalRisk!A:I,9,0),0)</f>
        <v>1689</v>
      </c>
      <c r="G2912">
        <f t="shared" ca="1" si="103"/>
        <v>1013</v>
      </c>
      <c r="H2912" t="s">
        <v>902</v>
      </c>
    </row>
    <row r="2913" spans="1:8">
      <c r="A2913" t="str">
        <f t="shared" si="102"/>
        <v>كردستانقروه</v>
      </c>
      <c r="B2913" t="s">
        <v>286</v>
      </c>
      <c r="C2913" t="s">
        <v>292</v>
      </c>
      <c r="D2913" t="s">
        <v>477</v>
      </c>
      <c r="E2913">
        <f t="shared" ca="1" si="101"/>
        <v>0.4</v>
      </c>
      <c r="F2913">
        <f>IFERROR(VLOOKUP(H2913,ProfessionalRisk!A:I,9,0),0)</f>
        <v>1689</v>
      </c>
      <c r="G2913">
        <f t="shared" ca="1" si="103"/>
        <v>676</v>
      </c>
      <c r="H2913" t="s">
        <v>902</v>
      </c>
    </row>
    <row r="2914" spans="1:8">
      <c r="A2914" t="str">
        <f t="shared" si="102"/>
        <v>كردستانقروه</v>
      </c>
      <c r="B2914" t="s">
        <v>286</v>
      </c>
      <c r="C2914" t="s">
        <v>292</v>
      </c>
      <c r="D2914" t="s">
        <v>23</v>
      </c>
      <c r="E2914">
        <f t="shared" ca="1" si="101"/>
        <v>1.7799365340305046E-2</v>
      </c>
      <c r="F2914">
        <f>IFERROR(VLOOKUP(H2914,ProfessionalRisk!A:I,9,0),0)</f>
        <v>1689</v>
      </c>
      <c r="G2914">
        <f t="shared" ca="1" si="103"/>
        <v>30</v>
      </c>
      <c r="H2914" t="s">
        <v>902</v>
      </c>
    </row>
    <row r="2915" spans="1:8">
      <c r="A2915" t="str">
        <f t="shared" si="102"/>
        <v>كردستانمريوان</v>
      </c>
      <c r="B2915" t="s">
        <v>286</v>
      </c>
      <c r="C2915" t="s">
        <v>293</v>
      </c>
      <c r="D2915" t="s">
        <v>19</v>
      </c>
      <c r="E2915">
        <f t="shared" ref="E2915:E2978" ca="1" si="104">IF(D2915="AP",0.6,IF(D2915="BP",0.4,RAND()*0.02))</f>
        <v>0.6</v>
      </c>
      <c r="F2915">
        <f>IFERROR(VLOOKUP(H2915,ProfessionalRisk!A:I,9,0),0)</f>
        <v>2157</v>
      </c>
      <c r="G2915">
        <f t="shared" ca="1" si="103"/>
        <v>1294</v>
      </c>
      <c r="H2915" t="s">
        <v>905</v>
      </c>
    </row>
    <row r="2916" spans="1:8">
      <c r="A2916" t="str">
        <f t="shared" si="102"/>
        <v>كردستانمريوان</v>
      </c>
      <c r="B2916" t="s">
        <v>286</v>
      </c>
      <c r="C2916" t="s">
        <v>293</v>
      </c>
      <c r="D2916" t="s">
        <v>477</v>
      </c>
      <c r="E2916">
        <f t="shared" ca="1" si="104"/>
        <v>0.4</v>
      </c>
      <c r="F2916">
        <f>IFERROR(VLOOKUP(H2916,ProfessionalRisk!A:I,9,0),0)</f>
        <v>2157</v>
      </c>
      <c r="G2916">
        <f t="shared" ca="1" si="103"/>
        <v>863</v>
      </c>
      <c r="H2916" t="s">
        <v>905</v>
      </c>
    </row>
    <row r="2917" spans="1:8">
      <c r="A2917" t="str">
        <f t="shared" si="102"/>
        <v>كردستانمريوان</v>
      </c>
      <c r="B2917" t="s">
        <v>286</v>
      </c>
      <c r="C2917" t="s">
        <v>293</v>
      </c>
      <c r="D2917" t="s">
        <v>23</v>
      </c>
      <c r="E2917">
        <f t="shared" ca="1" si="104"/>
        <v>5.1559550572261009E-3</v>
      </c>
      <c r="F2917">
        <f>IFERROR(VLOOKUP(H2917,ProfessionalRisk!A:I,9,0),0)</f>
        <v>2157</v>
      </c>
      <c r="G2917">
        <f t="shared" ca="1" si="103"/>
        <v>11</v>
      </c>
      <c r="H2917" t="s">
        <v>905</v>
      </c>
    </row>
    <row r="2918" spans="1:8">
      <c r="A2918" t="str">
        <f t="shared" si="102"/>
        <v>كردستانديواندره</v>
      </c>
      <c r="B2918" t="s">
        <v>286</v>
      </c>
      <c r="C2918" t="s">
        <v>294</v>
      </c>
      <c r="D2918" t="s">
        <v>19</v>
      </c>
      <c r="E2918">
        <f t="shared" ca="1" si="104"/>
        <v>0.6</v>
      </c>
      <c r="F2918">
        <f>IFERROR(VLOOKUP(H2918,ProfessionalRisk!A:I,9,0),0)</f>
        <v>1373</v>
      </c>
      <c r="G2918">
        <f t="shared" ca="1" si="103"/>
        <v>824</v>
      </c>
      <c r="H2918" t="s">
        <v>899</v>
      </c>
    </row>
    <row r="2919" spans="1:8">
      <c r="A2919" t="str">
        <f t="shared" si="102"/>
        <v>كردستانديواندره</v>
      </c>
      <c r="B2919" t="s">
        <v>286</v>
      </c>
      <c r="C2919" t="s">
        <v>294</v>
      </c>
      <c r="D2919" t="s">
        <v>477</v>
      </c>
      <c r="E2919">
        <f t="shared" ca="1" si="104"/>
        <v>0.4</v>
      </c>
      <c r="F2919">
        <f>IFERROR(VLOOKUP(H2919,ProfessionalRisk!A:I,9,0),0)</f>
        <v>1373</v>
      </c>
      <c r="G2919">
        <f t="shared" ca="1" si="103"/>
        <v>549</v>
      </c>
      <c r="H2919" t="s">
        <v>899</v>
      </c>
    </row>
    <row r="2920" spans="1:8">
      <c r="A2920" t="str">
        <f t="shared" si="102"/>
        <v>كردستانديواندره</v>
      </c>
      <c r="B2920" t="s">
        <v>286</v>
      </c>
      <c r="C2920" t="s">
        <v>294</v>
      </c>
      <c r="D2920" t="s">
        <v>23</v>
      </c>
      <c r="E2920">
        <f t="shared" ca="1" si="104"/>
        <v>2.0434171732376448E-3</v>
      </c>
      <c r="F2920">
        <f>IFERROR(VLOOKUP(H2920,ProfessionalRisk!A:I,9,0),0)</f>
        <v>1373</v>
      </c>
      <c r="G2920">
        <f t="shared" ca="1" si="103"/>
        <v>3</v>
      </c>
      <c r="H2920" t="s">
        <v>899</v>
      </c>
    </row>
    <row r="2921" spans="1:8">
      <c r="A2921" t="str">
        <f t="shared" si="102"/>
        <v>كردستانكامياران</v>
      </c>
      <c r="B2921" t="s">
        <v>286</v>
      </c>
      <c r="C2921" t="s">
        <v>295</v>
      </c>
      <c r="D2921" t="s">
        <v>19</v>
      </c>
      <c r="E2921">
        <f t="shared" ca="1" si="104"/>
        <v>0.6</v>
      </c>
      <c r="F2921">
        <f>IFERROR(VLOOKUP(H2921,ProfessionalRisk!A:I,9,0),0)</f>
        <v>1300</v>
      </c>
      <c r="G2921">
        <f t="shared" ca="1" si="103"/>
        <v>780</v>
      </c>
      <c r="H2921" t="s">
        <v>907</v>
      </c>
    </row>
    <row r="2922" spans="1:8">
      <c r="A2922" t="str">
        <f t="shared" si="102"/>
        <v>كردستانكامياران</v>
      </c>
      <c r="B2922" t="s">
        <v>286</v>
      </c>
      <c r="C2922" t="s">
        <v>295</v>
      </c>
      <c r="D2922" t="s">
        <v>477</v>
      </c>
      <c r="E2922">
        <f t="shared" ca="1" si="104"/>
        <v>0.4</v>
      </c>
      <c r="F2922">
        <f>IFERROR(VLOOKUP(H2922,ProfessionalRisk!A:I,9,0),0)</f>
        <v>1300</v>
      </c>
      <c r="G2922">
        <f t="shared" ca="1" si="103"/>
        <v>520</v>
      </c>
      <c r="H2922" t="s">
        <v>907</v>
      </c>
    </row>
    <row r="2923" spans="1:8">
      <c r="A2923" t="str">
        <f t="shared" si="102"/>
        <v>كردستانكامياران</v>
      </c>
      <c r="B2923" t="s">
        <v>286</v>
      </c>
      <c r="C2923" t="s">
        <v>295</v>
      </c>
      <c r="D2923" t="s">
        <v>23</v>
      </c>
      <c r="E2923">
        <f t="shared" ca="1" si="104"/>
        <v>1.4091166224631021E-2</v>
      </c>
      <c r="F2923">
        <f>IFERROR(VLOOKUP(H2923,ProfessionalRisk!A:I,9,0),0)</f>
        <v>1300</v>
      </c>
      <c r="G2923">
        <f t="shared" ca="1" si="103"/>
        <v>18</v>
      </c>
      <c r="H2923" t="s">
        <v>907</v>
      </c>
    </row>
    <row r="2924" spans="1:8">
      <c r="A2924" t="str">
        <f t="shared" si="102"/>
        <v>كردستانسروآباد</v>
      </c>
      <c r="B2924" t="s">
        <v>286</v>
      </c>
      <c r="C2924" t="s">
        <v>296</v>
      </c>
      <c r="D2924" t="s">
        <v>19</v>
      </c>
      <c r="E2924">
        <f t="shared" ca="1" si="104"/>
        <v>0.6</v>
      </c>
      <c r="F2924">
        <f>IFERROR(VLOOKUP(H2924,ProfessionalRisk!A:I,9,0),0)</f>
        <v>637</v>
      </c>
      <c r="G2924">
        <f t="shared" ca="1" si="103"/>
        <v>382</v>
      </c>
      <c r="H2924" t="s">
        <v>906</v>
      </c>
    </row>
    <row r="2925" spans="1:8">
      <c r="A2925" t="str">
        <f t="shared" si="102"/>
        <v>كردستانسروآباد</v>
      </c>
      <c r="B2925" t="s">
        <v>286</v>
      </c>
      <c r="C2925" t="s">
        <v>296</v>
      </c>
      <c r="D2925" t="s">
        <v>477</v>
      </c>
      <c r="E2925">
        <f t="shared" ca="1" si="104"/>
        <v>0.4</v>
      </c>
      <c r="F2925">
        <f>IFERROR(VLOOKUP(H2925,ProfessionalRisk!A:I,9,0),0)</f>
        <v>637</v>
      </c>
      <c r="G2925">
        <f t="shared" ca="1" si="103"/>
        <v>255</v>
      </c>
      <c r="H2925" t="s">
        <v>906</v>
      </c>
    </row>
    <row r="2926" spans="1:8">
      <c r="A2926" t="str">
        <f t="shared" si="102"/>
        <v>كردستانسروآباد</v>
      </c>
      <c r="B2926" t="s">
        <v>286</v>
      </c>
      <c r="C2926" t="s">
        <v>296</v>
      </c>
      <c r="D2926" t="s">
        <v>23</v>
      </c>
      <c r="E2926">
        <f t="shared" ca="1" si="104"/>
        <v>1.458116805881611E-2</v>
      </c>
      <c r="F2926">
        <f>IFERROR(VLOOKUP(H2926,ProfessionalRisk!A:I,9,0),0)</f>
        <v>637</v>
      </c>
      <c r="G2926">
        <f t="shared" ca="1" si="103"/>
        <v>9</v>
      </c>
      <c r="H2926" t="s">
        <v>906</v>
      </c>
    </row>
    <row r="2927" spans="1:8">
      <c r="A2927" t="str">
        <f t="shared" si="102"/>
        <v>كردستاندهگلان</v>
      </c>
      <c r="B2927" t="s">
        <v>286</v>
      </c>
      <c r="C2927" t="s">
        <v>298</v>
      </c>
      <c r="D2927" t="s">
        <v>19</v>
      </c>
      <c r="E2927">
        <f t="shared" ca="1" si="104"/>
        <v>0.6</v>
      </c>
      <c r="F2927">
        <f>IFERROR(VLOOKUP(H2927,ProfessionalRisk!A:I,9,0),0)</f>
        <v>643</v>
      </c>
      <c r="G2927">
        <f t="shared" ca="1" si="103"/>
        <v>386</v>
      </c>
      <c r="H2927" t="s">
        <v>909</v>
      </c>
    </row>
    <row r="2928" spans="1:8">
      <c r="A2928" t="str">
        <f t="shared" si="102"/>
        <v>كردستاندهگلان</v>
      </c>
      <c r="B2928" t="s">
        <v>286</v>
      </c>
      <c r="C2928" t="s">
        <v>298</v>
      </c>
      <c r="D2928" t="s">
        <v>477</v>
      </c>
      <c r="E2928">
        <f t="shared" ca="1" si="104"/>
        <v>0.4</v>
      </c>
      <c r="F2928">
        <f>IFERROR(VLOOKUP(H2928,ProfessionalRisk!A:I,9,0),0)</f>
        <v>643</v>
      </c>
      <c r="G2928">
        <f t="shared" ca="1" si="103"/>
        <v>257</v>
      </c>
      <c r="H2928" t="s">
        <v>909</v>
      </c>
    </row>
    <row r="2929" spans="1:8">
      <c r="A2929" t="str">
        <f t="shared" si="102"/>
        <v>كردستاندهگلان</v>
      </c>
      <c r="B2929" t="s">
        <v>286</v>
      </c>
      <c r="C2929" t="s">
        <v>298</v>
      </c>
      <c r="D2929" t="s">
        <v>23</v>
      </c>
      <c r="E2929">
        <f t="shared" ca="1" si="104"/>
        <v>1.9252761558308086E-3</v>
      </c>
      <c r="F2929">
        <f>IFERROR(VLOOKUP(H2929,ProfessionalRisk!A:I,9,0),0)</f>
        <v>643</v>
      </c>
      <c r="G2929">
        <f t="shared" ca="1" si="103"/>
        <v>1</v>
      </c>
      <c r="H2929" t="s">
        <v>909</v>
      </c>
    </row>
    <row r="2930" spans="1:8">
      <c r="A2930" t="str">
        <f t="shared" si="102"/>
        <v>همدانتويسركان</v>
      </c>
      <c r="B2930" t="s">
        <v>297</v>
      </c>
      <c r="C2930" t="s">
        <v>299</v>
      </c>
      <c r="D2930" t="s">
        <v>19</v>
      </c>
      <c r="E2930">
        <f t="shared" ca="1" si="104"/>
        <v>0.6</v>
      </c>
      <c r="F2930">
        <f>IFERROR(VLOOKUP(H2930,ProfessionalRisk!A:I,9,0),0)</f>
        <v>1418</v>
      </c>
      <c r="G2930">
        <f t="shared" ca="1" si="103"/>
        <v>851</v>
      </c>
      <c r="H2930" t="s">
        <v>883</v>
      </c>
    </row>
    <row r="2931" spans="1:8">
      <c r="A2931" t="str">
        <f t="shared" si="102"/>
        <v>همدانتويسركان</v>
      </c>
      <c r="B2931" t="s">
        <v>297</v>
      </c>
      <c r="C2931" t="s">
        <v>299</v>
      </c>
      <c r="D2931" t="s">
        <v>477</v>
      </c>
      <c r="E2931">
        <f t="shared" ca="1" si="104"/>
        <v>0.4</v>
      </c>
      <c r="F2931">
        <f>IFERROR(VLOOKUP(H2931,ProfessionalRisk!A:I,9,0),0)</f>
        <v>1418</v>
      </c>
      <c r="G2931">
        <f t="shared" ca="1" si="103"/>
        <v>567</v>
      </c>
      <c r="H2931" t="s">
        <v>883</v>
      </c>
    </row>
    <row r="2932" spans="1:8">
      <c r="A2932" t="str">
        <f t="shared" si="102"/>
        <v>همدانتويسركان</v>
      </c>
      <c r="B2932" t="s">
        <v>297</v>
      </c>
      <c r="C2932" t="s">
        <v>299</v>
      </c>
      <c r="D2932" t="s">
        <v>23</v>
      </c>
      <c r="E2932">
        <f t="shared" ca="1" si="104"/>
        <v>1.139354020129516E-2</v>
      </c>
      <c r="F2932">
        <f>IFERROR(VLOOKUP(H2932,ProfessionalRisk!A:I,9,0),0)</f>
        <v>1418</v>
      </c>
      <c r="G2932">
        <f t="shared" ca="1" si="103"/>
        <v>16</v>
      </c>
      <c r="H2932" t="s">
        <v>883</v>
      </c>
    </row>
    <row r="2933" spans="1:8">
      <c r="A2933" t="str">
        <f t="shared" si="102"/>
        <v>همدانملاير</v>
      </c>
      <c r="B2933" t="s">
        <v>297</v>
      </c>
      <c r="C2933" t="s">
        <v>300</v>
      </c>
      <c r="D2933" t="s">
        <v>19</v>
      </c>
      <c r="E2933">
        <f t="shared" ca="1" si="104"/>
        <v>0.6</v>
      </c>
      <c r="F2933">
        <f>IFERROR(VLOOKUP(H2933,ProfessionalRisk!A:I,9,0),0)</f>
        <v>4164</v>
      </c>
      <c r="G2933">
        <f t="shared" ca="1" si="103"/>
        <v>2498</v>
      </c>
      <c r="H2933" t="s">
        <v>888</v>
      </c>
    </row>
    <row r="2934" spans="1:8">
      <c r="A2934" t="str">
        <f t="shared" si="102"/>
        <v>همدانملاير</v>
      </c>
      <c r="B2934" t="s">
        <v>297</v>
      </c>
      <c r="C2934" t="s">
        <v>300</v>
      </c>
      <c r="D2934" t="s">
        <v>477</v>
      </c>
      <c r="E2934">
        <f t="shared" ca="1" si="104"/>
        <v>0.4</v>
      </c>
      <c r="F2934">
        <f>IFERROR(VLOOKUP(H2934,ProfessionalRisk!A:I,9,0),0)</f>
        <v>4164</v>
      </c>
      <c r="G2934">
        <f t="shared" ca="1" si="103"/>
        <v>1666</v>
      </c>
      <c r="H2934" t="s">
        <v>888</v>
      </c>
    </row>
    <row r="2935" spans="1:8">
      <c r="A2935" t="str">
        <f t="shared" si="102"/>
        <v>همدانملاير</v>
      </c>
      <c r="B2935" t="s">
        <v>297</v>
      </c>
      <c r="C2935" t="s">
        <v>300</v>
      </c>
      <c r="D2935" t="s">
        <v>23</v>
      </c>
      <c r="E2935">
        <f t="shared" ca="1" si="104"/>
        <v>3.4143143170971379E-3</v>
      </c>
      <c r="F2935">
        <f>IFERROR(VLOOKUP(H2935,ProfessionalRisk!A:I,9,0),0)</f>
        <v>4164</v>
      </c>
      <c r="G2935">
        <f t="shared" ca="1" si="103"/>
        <v>14</v>
      </c>
      <c r="H2935" t="s">
        <v>888</v>
      </c>
    </row>
    <row r="2936" spans="1:8">
      <c r="A2936" t="str">
        <f t="shared" si="102"/>
        <v>همداننهاوند</v>
      </c>
      <c r="B2936" t="s">
        <v>297</v>
      </c>
      <c r="C2936" t="s">
        <v>301</v>
      </c>
      <c r="D2936" t="s">
        <v>19</v>
      </c>
      <c r="E2936">
        <f t="shared" ca="1" si="104"/>
        <v>0.6</v>
      </c>
      <c r="F2936">
        <f>IFERROR(VLOOKUP(H2936,ProfessionalRisk!A:I,9,0),0)</f>
        <v>2354</v>
      </c>
      <c r="G2936">
        <f t="shared" ca="1" si="103"/>
        <v>1412</v>
      </c>
      <c r="H2936" t="s">
        <v>879</v>
      </c>
    </row>
    <row r="2937" spans="1:8">
      <c r="A2937" t="str">
        <f t="shared" si="102"/>
        <v>همداننهاوند</v>
      </c>
      <c r="B2937" t="s">
        <v>297</v>
      </c>
      <c r="C2937" t="s">
        <v>301</v>
      </c>
      <c r="D2937" t="s">
        <v>477</v>
      </c>
      <c r="E2937">
        <f t="shared" ca="1" si="104"/>
        <v>0.4</v>
      </c>
      <c r="F2937">
        <f>IFERROR(VLOOKUP(H2937,ProfessionalRisk!A:I,9,0),0)</f>
        <v>2354</v>
      </c>
      <c r="G2937">
        <f t="shared" ca="1" si="103"/>
        <v>942</v>
      </c>
      <c r="H2937" t="s">
        <v>879</v>
      </c>
    </row>
    <row r="2938" spans="1:8">
      <c r="A2938" t="str">
        <f t="shared" si="102"/>
        <v>همداننهاوند</v>
      </c>
      <c r="B2938" t="s">
        <v>297</v>
      </c>
      <c r="C2938" t="s">
        <v>301</v>
      </c>
      <c r="D2938" t="s">
        <v>23</v>
      </c>
      <c r="E2938">
        <f t="shared" ca="1" si="104"/>
        <v>1.5421195816497629E-2</v>
      </c>
      <c r="F2938">
        <f>IFERROR(VLOOKUP(H2938,ProfessionalRisk!A:I,9,0),0)</f>
        <v>2354</v>
      </c>
      <c r="G2938">
        <f t="shared" ca="1" si="103"/>
        <v>36</v>
      </c>
      <c r="H2938" t="s">
        <v>879</v>
      </c>
    </row>
    <row r="2939" spans="1:8">
      <c r="A2939" t="str">
        <f t="shared" si="102"/>
        <v>همدانهمدان</v>
      </c>
      <c r="B2939" t="s">
        <v>297</v>
      </c>
      <c r="C2939" t="s">
        <v>297</v>
      </c>
      <c r="D2939" t="s">
        <v>19</v>
      </c>
      <c r="E2939">
        <f t="shared" ca="1" si="104"/>
        <v>0.6</v>
      </c>
      <c r="F2939">
        <f>IFERROR(VLOOKUP(H2939,ProfessionalRisk!A:I,9,0),0)</f>
        <v>14759</v>
      </c>
      <c r="G2939">
        <f t="shared" ca="1" si="103"/>
        <v>8855</v>
      </c>
      <c r="H2939" t="s">
        <v>882</v>
      </c>
    </row>
    <row r="2940" spans="1:8">
      <c r="A2940" t="str">
        <f t="shared" si="102"/>
        <v>همدانهمدان</v>
      </c>
      <c r="B2940" t="s">
        <v>297</v>
      </c>
      <c r="C2940" t="s">
        <v>297</v>
      </c>
      <c r="D2940" t="s">
        <v>477</v>
      </c>
      <c r="E2940">
        <f t="shared" ca="1" si="104"/>
        <v>0.4</v>
      </c>
      <c r="F2940">
        <f>IFERROR(VLOOKUP(H2940,ProfessionalRisk!A:I,9,0),0)</f>
        <v>14759</v>
      </c>
      <c r="G2940">
        <f t="shared" ca="1" si="103"/>
        <v>5904</v>
      </c>
      <c r="H2940" t="s">
        <v>882</v>
      </c>
    </row>
    <row r="2941" spans="1:8">
      <c r="A2941" t="str">
        <f t="shared" si="102"/>
        <v>همدانهمدان</v>
      </c>
      <c r="B2941" t="s">
        <v>297</v>
      </c>
      <c r="C2941" t="s">
        <v>297</v>
      </c>
      <c r="D2941" t="s">
        <v>23</v>
      </c>
      <c r="E2941">
        <f t="shared" ca="1" si="104"/>
        <v>2.79319971810313E-3</v>
      </c>
      <c r="F2941">
        <f>IFERROR(VLOOKUP(H2941,ProfessionalRisk!A:I,9,0),0)</f>
        <v>14759</v>
      </c>
      <c r="G2941">
        <f t="shared" ca="1" si="103"/>
        <v>41</v>
      </c>
      <c r="H2941" t="s">
        <v>882</v>
      </c>
    </row>
    <row r="2942" spans="1:8">
      <c r="A2942" t="str">
        <f t="shared" si="102"/>
        <v>همدانكبودرآهنگ</v>
      </c>
      <c r="B2942" t="s">
        <v>297</v>
      </c>
      <c r="C2942" t="s">
        <v>302</v>
      </c>
      <c r="D2942" t="s">
        <v>19</v>
      </c>
      <c r="E2942">
        <f t="shared" ca="1" si="104"/>
        <v>0.6</v>
      </c>
      <c r="F2942">
        <f>IFERROR(VLOOKUP(H2942,ProfessionalRisk!A:I,9,0),0)</f>
        <v>1412</v>
      </c>
      <c r="G2942">
        <f t="shared" ca="1" si="103"/>
        <v>847</v>
      </c>
      <c r="H2942" t="s">
        <v>886</v>
      </c>
    </row>
    <row r="2943" spans="1:8">
      <c r="A2943" t="str">
        <f t="shared" si="102"/>
        <v>همدانكبودرآهنگ</v>
      </c>
      <c r="B2943" t="s">
        <v>297</v>
      </c>
      <c r="C2943" t="s">
        <v>302</v>
      </c>
      <c r="D2943" t="s">
        <v>477</v>
      </c>
      <c r="E2943">
        <f t="shared" ca="1" si="104"/>
        <v>0.4</v>
      </c>
      <c r="F2943">
        <f>IFERROR(VLOOKUP(H2943,ProfessionalRisk!A:I,9,0),0)</f>
        <v>1412</v>
      </c>
      <c r="G2943">
        <f t="shared" ca="1" si="103"/>
        <v>565</v>
      </c>
      <c r="H2943" t="s">
        <v>886</v>
      </c>
    </row>
    <row r="2944" spans="1:8">
      <c r="A2944" t="str">
        <f t="shared" si="102"/>
        <v>همدانكبودرآهنگ</v>
      </c>
      <c r="B2944" t="s">
        <v>297</v>
      </c>
      <c r="C2944" t="s">
        <v>302</v>
      </c>
      <c r="D2944" t="s">
        <v>23</v>
      </c>
      <c r="E2944">
        <f t="shared" ca="1" si="104"/>
        <v>2.671202952499763E-4</v>
      </c>
      <c r="F2944">
        <f>IFERROR(VLOOKUP(H2944,ProfessionalRisk!A:I,9,0),0)</f>
        <v>1412</v>
      </c>
      <c r="G2944">
        <f t="shared" ca="1" si="103"/>
        <v>0</v>
      </c>
      <c r="H2944" t="s">
        <v>886</v>
      </c>
    </row>
    <row r="2945" spans="1:8">
      <c r="A2945" t="str">
        <f t="shared" si="102"/>
        <v>همداناسداباد</v>
      </c>
      <c r="B2945" t="s">
        <v>297</v>
      </c>
      <c r="C2945" t="s">
        <v>303</v>
      </c>
      <c r="D2945" t="s">
        <v>19</v>
      </c>
      <c r="E2945">
        <f t="shared" ca="1" si="104"/>
        <v>0.6</v>
      </c>
      <c r="F2945">
        <f>IFERROR(VLOOKUP(H2945,ProfessionalRisk!A:I,9,0),0)</f>
        <v>1192</v>
      </c>
      <c r="G2945">
        <f t="shared" ca="1" si="103"/>
        <v>715</v>
      </c>
      <c r="H2945" t="s">
        <v>880</v>
      </c>
    </row>
    <row r="2946" spans="1:8">
      <c r="A2946" t="str">
        <f t="shared" ref="A2946:A3009" si="105">B2946&amp;C2946</f>
        <v>همداناسداباد</v>
      </c>
      <c r="B2946" t="s">
        <v>297</v>
      </c>
      <c r="C2946" t="s">
        <v>303</v>
      </c>
      <c r="D2946" t="s">
        <v>477</v>
      </c>
      <c r="E2946">
        <f t="shared" ca="1" si="104"/>
        <v>0.4</v>
      </c>
      <c r="F2946">
        <f>IFERROR(VLOOKUP(H2946,ProfessionalRisk!A:I,9,0),0)</f>
        <v>1192</v>
      </c>
      <c r="G2946">
        <f t="shared" ca="1" si="103"/>
        <v>477</v>
      </c>
      <c r="H2946" t="s">
        <v>880</v>
      </c>
    </row>
    <row r="2947" spans="1:8">
      <c r="A2947" t="str">
        <f t="shared" si="105"/>
        <v>همداناسداباد</v>
      </c>
      <c r="B2947" t="s">
        <v>297</v>
      </c>
      <c r="C2947" t="s">
        <v>303</v>
      </c>
      <c r="D2947" t="s">
        <v>23</v>
      </c>
      <c r="E2947">
        <f t="shared" ca="1" si="104"/>
        <v>3.8484441688047479E-3</v>
      </c>
      <c r="F2947">
        <f>IFERROR(VLOOKUP(H2947,ProfessionalRisk!A:I,9,0),0)</f>
        <v>1192</v>
      </c>
      <c r="G2947">
        <f t="shared" ref="G2947:G3010" ca="1" si="106">IFERROR(ROUND(F2947*E2947,0),0)</f>
        <v>5</v>
      </c>
      <c r="H2947" t="s">
        <v>880</v>
      </c>
    </row>
    <row r="2948" spans="1:8">
      <c r="A2948" t="str">
        <f t="shared" si="105"/>
        <v>همدانبهار</v>
      </c>
      <c r="B2948" t="s">
        <v>297</v>
      </c>
      <c r="C2948" t="s">
        <v>304</v>
      </c>
      <c r="D2948" t="s">
        <v>19</v>
      </c>
      <c r="E2948">
        <f t="shared" ca="1" si="104"/>
        <v>0.6</v>
      </c>
      <c r="F2948">
        <f>IFERROR(VLOOKUP(H2948,ProfessionalRisk!A:I,9,0),0)</f>
        <v>1151</v>
      </c>
      <c r="G2948">
        <f t="shared" ca="1" si="106"/>
        <v>691</v>
      </c>
      <c r="H2948" t="s">
        <v>887</v>
      </c>
    </row>
    <row r="2949" spans="1:8">
      <c r="A2949" t="str">
        <f t="shared" si="105"/>
        <v>همدانبهار</v>
      </c>
      <c r="B2949" t="s">
        <v>297</v>
      </c>
      <c r="C2949" t="s">
        <v>304</v>
      </c>
      <c r="D2949" t="s">
        <v>477</v>
      </c>
      <c r="E2949">
        <f t="shared" ca="1" si="104"/>
        <v>0.4</v>
      </c>
      <c r="F2949">
        <f>IFERROR(VLOOKUP(H2949,ProfessionalRisk!A:I,9,0),0)</f>
        <v>1151</v>
      </c>
      <c r="G2949">
        <f t="shared" ca="1" si="106"/>
        <v>460</v>
      </c>
      <c r="H2949" t="s">
        <v>887</v>
      </c>
    </row>
    <row r="2950" spans="1:8">
      <c r="A2950" t="str">
        <f t="shared" si="105"/>
        <v>همدانبهار</v>
      </c>
      <c r="B2950" t="s">
        <v>297</v>
      </c>
      <c r="C2950" t="s">
        <v>304</v>
      </c>
      <c r="D2950" t="s">
        <v>23</v>
      </c>
      <c r="E2950">
        <f t="shared" ca="1" si="104"/>
        <v>1.2192155293549787E-2</v>
      </c>
      <c r="F2950">
        <f>IFERROR(VLOOKUP(H2950,ProfessionalRisk!A:I,9,0),0)</f>
        <v>1151</v>
      </c>
      <c r="G2950">
        <f t="shared" ca="1" si="106"/>
        <v>14</v>
      </c>
      <c r="H2950" t="s">
        <v>887</v>
      </c>
    </row>
    <row r="2951" spans="1:8">
      <c r="A2951" t="str">
        <f t="shared" si="105"/>
        <v>همدانرزن</v>
      </c>
      <c r="B2951" t="s">
        <v>297</v>
      </c>
      <c r="C2951" t="s">
        <v>305</v>
      </c>
      <c r="D2951" t="s">
        <v>19</v>
      </c>
      <c r="E2951">
        <f t="shared" ca="1" si="104"/>
        <v>0.6</v>
      </c>
      <c r="F2951">
        <f>IFERROR(VLOOKUP(H2951,ProfessionalRisk!A:I,9,0),0)</f>
        <v>1378</v>
      </c>
      <c r="G2951">
        <f t="shared" ca="1" si="106"/>
        <v>827</v>
      </c>
      <c r="H2951" t="s">
        <v>885</v>
      </c>
    </row>
    <row r="2952" spans="1:8">
      <c r="A2952" t="str">
        <f t="shared" si="105"/>
        <v>همدانرزن</v>
      </c>
      <c r="B2952" t="s">
        <v>297</v>
      </c>
      <c r="C2952" t="s">
        <v>305</v>
      </c>
      <c r="D2952" t="s">
        <v>477</v>
      </c>
      <c r="E2952">
        <f t="shared" ca="1" si="104"/>
        <v>0.4</v>
      </c>
      <c r="F2952">
        <f>IFERROR(VLOOKUP(H2952,ProfessionalRisk!A:I,9,0),0)</f>
        <v>1378</v>
      </c>
      <c r="G2952">
        <f t="shared" ca="1" si="106"/>
        <v>551</v>
      </c>
      <c r="H2952" t="s">
        <v>885</v>
      </c>
    </row>
    <row r="2953" spans="1:8">
      <c r="A2953" t="str">
        <f t="shared" si="105"/>
        <v>همدانرزن</v>
      </c>
      <c r="B2953" t="s">
        <v>297</v>
      </c>
      <c r="C2953" t="s">
        <v>305</v>
      </c>
      <c r="D2953" t="s">
        <v>23</v>
      </c>
      <c r="E2953">
        <f t="shared" ca="1" si="104"/>
        <v>1.9928872288730384E-2</v>
      </c>
      <c r="F2953">
        <f>IFERROR(VLOOKUP(H2953,ProfessionalRisk!A:I,9,0),0)</f>
        <v>1378</v>
      </c>
      <c r="G2953">
        <f t="shared" ca="1" si="106"/>
        <v>27</v>
      </c>
      <c r="H2953" t="s">
        <v>885</v>
      </c>
    </row>
    <row r="2954" spans="1:8">
      <c r="A2954" t="str">
        <f t="shared" si="105"/>
        <v>همدانفامنين</v>
      </c>
      <c r="B2954" t="s">
        <v>297</v>
      </c>
      <c r="C2954" t="s">
        <v>307</v>
      </c>
      <c r="D2954" t="s">
        <v>19</v>
      </c>
      <c r="E2954">
        <f t="shared" ca="1" si="104"/>
        <v>0.6</v>
      </c>
      <c r="F2954">
        <f>IFERROR(VLOOKUP(H2954,ProfessionalRisk!A:I,9,0),0)</f>
        <v>536</v>
      </c>
      <c r="G2954">
        <f t="shared" ca="1" si="106"/>
        <v>322</v>
      </c>
      <c r="H2954" t="s">
        <v>884</v>
      </c>
    </row>
    <row r="2955" spans="1:8">
      <c r="A2955" t="str">
        <f t="shared" si="105"/>
        <v>همدانفامنين</v>
      </c>
      <c r="B2955" t="s">
        <v>297</v>
      </c>
      <c r="C2955" t="s">
        <v>307</v>
      </c>
      <c r="D2955" t="s">
        <v>477</v>
      </c>
      <c r="E2955">
        <f t="shared" ca="1" si="104"/>
        <v>0.4</v>
      </c>
      <c r="F2955">
        <f>IFERROR(VLOOKUP(H2955,ProfessionalRisk!A:I,9,0),0)</f>
        <v>536</v>
      </c>
      <c r="G2955">
        <f t="shared" ca="1" si="106"/>
        <v>214</v>
      </c>
      <c r="H2955" t="s">
        <v>884</v>
      </c>
    </row>
    <row r="2956" spans="1:8">
      <c r="A2956" t="str">
        <f t="shared" si="105"/>
        <v>همدانفامنين</v>
      </c>
      <c r="B2956" t="s">
        <v>297</v>
      </c>
      <c r="C2956" t="s">
        <v>307</v>
      </c>
      <c r="D2956" t="s">
        <v>23</v>
      </c>
      <c r="E2956">
        <f t="shared" ca="1" si="104"/>
        <v>7.8401804343626123E-3</v>
      </c>
      <c r="F2956">
        <f>IFERROR(VLOOKUP(H2956,ProfessionalRisk!A:I,9,0),0)</f>
        <v>536</v>
      </c>
      <c r="G2956">
        <f t="shared" ca="1" si="106"/>
        <v>4</v>
      </c>
      <c r="H2956" t="s">
        <v>884</v>
      </c>
    </row>
    <row r="2957" spans="1:8">
      <c r="A2957" t="str">
        <f t="shared" si="105"/>
        <v>چهارمحال وبختيارئبروجن</v>
      </c>
      <c r="B2957" t="s">
        <v>306</v>
      </c>
      <c r="C2957" t="s">
        <v>308</v>
      </c>
      <c r="D2957" t="s">
        <v>19</v>
      </c>
      <c r="E2957">
        <f t="shared" ca="1" si="104"/>
        <v>0.6</v>
      </c>
      <c r="F2957">
        <f>IFERROR(VLOOKUP(H2957,ProfessionalRisk!A:I,9,0),0)</f>
        <v>2034</v>
      </c>
      <c r="G2957">
        <f t="shared" ca="1" si="106"/>
        <v>1220</v>
      </c>
      <c r="H2957" t="s">
        <v>889</v>
      </c>
    </row>
    <row r="2958" spans="1:8">
      <c r="A2958" t="str">
        <f t="shared" si="105"/>
        <v>چهارمحال وبختيارئبروجن</v>
      </c>
      <c r="B2958" t="s">
        <v>306</v>
      </c>
      <c r="C2958" t="s">
        <v>308</v>
      </c>
      <c r="D2958" t="s">
        <v>477</v>
      </c>
      <c r="E2958">
        <f t="shared" ca="1" si="104"/>
        <v>0.4</v>
      </c>
      <c r="F2958">
        <f>IFERROR(VLOOKUP(H2958,ProfessionalRisk!A:I,9,0),0)</f>
        <v>2034</v>
      </c>
      <c r="G2958">
        <f t="shared" ca="1" si="106"/>
        <v>814</v>
      </c>
      <c r="H2958" t="s">
        <v>889</v>
      </c>
    </row>
    <row r="2959" spans="1:8">
      <c r="A2959" t="str">
        <f t="shared" si="105"/>
        <v>چهارمحال وبختيارئبروجن</v>
      </c>
      <c r="B2959" t="s">
        <v>306</v>
      </c>
      <c r="C2959" t="s">
        <v>308</v>
      </c>
      <c r="D2959" t="s">
        <v>23</v>
      </c>
      <c r="E2959">
        <f t="shared" ca="1" si="104"/>
        <v>1.3249193199228878E-2</v>
      </c>
      <c r="F2959">
        <f>IFERROR(VLOOKUP(H2959,ProfessionalRisk!A:I,9,0),0)</f>
        <v>2034</v>
      </c>
      <c r="G2959">
        <f t="shared" ca="1" si="106"/>
        <v>27</v>
      </c>
      <c r="H2959" t="s">
        <v>889</v>
      </c>
    </row>
    <row r="2960" spans="1:8">
      <c r="A2960" t="str">
        <f t="shared" si="105"/>
        <v>چهارمحال وبختيارئشهركرد</v>
      </c>
      <c r="B2960" t="s">
        <v>306</v>
      </c>
      <c r="C2960" t="s">
        <v>309</v>
      </c>
      <c r="D2960" t="s">
        <v>19</v>
      </c>
      <c r="E2960">
        <f t="shared" ca="1" si="104"/>
        <v>0.6</v>
      </c>
      <c r="F2960">
        <f>IFERROR(VLOOKUP(H2960,ProfessionalRisk!A:I,9,0),0)</f>
        <v>7685</v>
      </c>
      <c r="G2960">
        <f t="shared" ca="1" si="106"/>
        <v>4611</v>
      </c>
      <c r="H2960" t="s">
        <v>892</v>
      </c>
    </row>
    <row r="2961" spans="1:8">
      <c r="A2961" t="str">
        <f t="shared" si="105"/>
        <v>چهارمحال وبختيارئشهركرد</v>
      </c>
      <c r="B2961" t="s">
        <v>306</v>
      </c>
      <c r="C2961" t="s">
        <v>309</v>
      </c>
      <c r="D2961" t="s">
        <v>477</v>
      </c>
      <c r="E2961">
        <f t="shared" ca="1" si="104"/>
        <v>0.4</v>
      </c>
      <c r="F2961">
        <f>IFERROR(VLOOKUP(H2961,ProfessionalRisk!A:I,9,0),0)</f>
        <v>7685</v>
      </c>
      <c r="G2961">
        <f t="shared" ca="1" si="106"/>
        <v>3074</v>
      </c>
      <c r="H2961" t="s">
        <v>892</v>
      </c>
    </row>
    <row r="2962" spans="1:8">
      <c r="A2962" t="str">
        <f t="shared" si="105"/>
        <v>چهارمحال وبختيارئشهركرد</v>
      </c>
      <c r="B2962" t="s">
        <v>306</v>
      </c>
      <c r="C2962" t="s">
        <v>309</v>
      </c>
      <c r="D2962" t="s">
        <v>23</v>
      </c>
      <c r="E2962">
        <f t="shared" ca="1" si="104"/>
        <v>1.4859536708598242E-2</v>
      </c>
      <c r="F2962">
        <f>IFERROR(VLOOKUP(H2962,ProfessionalRisk!A:I,9,0),0)</f>
        <v>7685</v>
      </c>
      <c r="G2962">
        <f t="shared" ca="1" si="106"/>
        <v>114</v>
      </c>
      <c r="H2962" t="s">
        <v>892</v>
      </c>
    </row>
    <row r="2963" spans="1:8">
      <c r="A2963" t="str">
        <f t="shared" si="105"/>
        <v>چهارمحال وبختيارئفارسان</v>
      </c>
      <c r="B2963" t="s">
        <v>306</v>
      </c>
      <c r="C2963" t="s">
        <v>310</v>
      </c>
      <c r="D2963" t="s">
        <v>19</v>
      </c>
      <c r="E2963">
        <f t="shared" ca="1" si="104"/>
        <v>0.6</v>
      </c>
      <c r="F2963">
        <f>IFERROR(VLOOKUP(H2963,ProfessionalRisk!A:I,9,0),0)</f>
        <v>2095</v>
      </c>
      <c r="G2963">
        <f t="shared" ca="1" si="106"/>
        <v>1257</v>
      </c>
      <c r="H2963" t="s">
        <v>897</v>
      </c>
    </row>
    <row r="2964" spans="1:8">
      <c r="A2964" t="str">
        <f t="shared" si="105"/>
        <v>چهارمحال وبختيارئفارسان</v>
      </c>
      <c r="B2964" t="s">
        <v>306</v>
      </c>
      <c r="C2964" t="s">
        <v>310</v>
      </c>
      <c r="D2964" t="s">
        <v>477</v>
      </c>
      <c r="E2964">
        <f t="shared" ca="1" si="104"/>
        <v>0.4</v>
      </c>
      <c r="F2964">
        <f>IFERROR(VLOOKUP(H2964,ProfessionalRisk!A:I,9,0),0)</f>
        <v>2095</v>
      </c>
      <c r="G2964">
        <f t="shared" ca="1" si="106"/>
        <v>838</v>
      </c>
      <c r="H2964" t="s">
        <v>897</v>
      </c>
    </row>
    <row r="2965" spans="1:8">
      <c r="A2965" t="str">
        <f t="shared" si="105"/>
        <v>چهارمحال وبختيارئفارسان</v>
      </c>
      <c r="B2965" t="s">
        <v>306</v>
      </c>
      <c r="C2965" t="s">
        <v>310</v>
      </c>
      <c r="D2965" t="s">
        <v>23</v>
      </c>
      <c r="E2965">
        <f t="shared" ca="1" si="104"/>
        <v>1.9273059264329994E-2</v>
      </c>
      <c r="F2965">
        <f>IFERROR(VLOOKUP(H2965,ProfessionalRisk!A:I,9,0),0)</f>
        <v>2095</v>
      </c>
      <c r="G2965">
        <f t="shared" ca="1" si="106"/>
        <v>40</v>
      </c>
      <c r="H2965" t="s">
        <v>897</v>
      </c>
    </row>
    <row r="2966" spans="1:8">
      <c r="A2966" t="str">
        <f t="shared" si="105"/>
        <v>چهارمحال وبختيارئلردگان</v>
      </c>
      <c r="B2966" t="s">
        <v>306</v>
      </c>
      <c r="C2966" t="s">
        <v>311</v>
      </c>
      <c r="D2966" t="s">
        <v>19</v>
      </c>
      <c r="E2966">
        <f t="shared" ca="1" si="104"/>
        <v>0.6</v>
      </c>
      <c r="F2966">
        <f>IFERROR(VLOOKUP(H2966,ProfessionalRisk!A:I,9,0),0)</f>
        <v>2508</v>
      </c>
      <c r="G2966">
        <f t="shared" ca="1" si="106"/>
        <v>1505</v>
      </c>
      <c r="H2966" t="s">
        <v>898</v>
      </c>
    </row>
    <row r="2967" spans="1:8">
      <c r="A2967" t="str">
        <f t="shared" si="105"/>
        <v>چهارمحال وبختيارئلردگان</v>
      </c>
      <c r="B2967" t="s">
        <v>306</v>
      </c>
      <c r="C2967" t="s">
        <v>311</v>
      </c>
      <c r="D2967" t="s">
        <v>477</v>
      </c>
      <c r="E2967">
        <f t="shared" ca="1" si="104"/>
        <v>0.4</v>
      </c>
      <c r="F2967">
        <f>IFERROR(VLOOKUP(H2967,ProfessionalRisk!A:I,9,0),0)</f>
        <v>2508</v>
      </c>
      <c r="G2967">
        <f t="shared" ca="1" si="106"/>
        <v>1003</v>
      </c>
      <c r="H2967" t="s">
        <v>898</v>
      </c>
    </row>
    <row r="2968" spans="1:8">
      <c r="A2968" t="str">
        <f t="shared" si="105"/>
        <v>چهارمحال وبختيارئلردگان</v>
      </c>
      <c r="B2968" t="s">
        <v>306</v>
      </c>
      <c r="C2968" t="s">
        <v>311</v>
      </c>
      <c r="D2968" t="s">
        <v>23</v>
      </c>
      <c r="E2968">
        <f t="shared" ca="1" si="104"/>
        <v>5.790351650962409E-3</v>
      </c>
      <c r="F2968">
        <f>IFERROR(VLOOKUP(H2968,ProfessionalRisk!A:I,9,0),0)</f>
        <v>2508</v>
      </c>
      <c r="G2968">
        <f t="shared" ca="1" si="106"/>
        <v>15</v>
      </c>
      <c r="H2968" t="s">
        <v>898</v>
      </c>
    </row>
    <row r="2969" spans="1:8">
      <c r="A2969" t="str">
        <f t="shared" si="105"/>
        <v>چهارمحال وبختيارئاردل</v>
      </c>
      <c r="B2969" t="s">
        <v>306</v>
      </c>
      <c r="C2969" t="s">
        <v>312</v>
      </c>
      <c r="D2969" t="s">
        <v>19</v>
      </c>
      <c r="E2969">
        <f t="shared" ca="1" si="104"/>
        <v>0.6</v>
      </c>
      <c r="F2969">
        <f>IFERROR(VLOOKUP(H2969,ProfessionalRisk!A:I,9,0),0)</f>
        <v>784</v>
      </c>
      <c r="G2969">
        <f t="shared" ca="1" si="106"/>
        <v>470</v>
      </c>
      <c r="H2969" t="s">
        <v>893</v>
      </c>
    </row>
    <row r="2970" spans="1:8">
      <c r="A2970" t="str">
        <f t="shared" si="105"/>
        <v>چهارمحال وبختيارئاردل</v>
      </c>
      <c r="B2970" t="s">
        <v>306</v>
      </c>
      <c r="C2970" t="s">
        <v>312</v>
      </c>
      <c r="D2970" t="s">
        <v>477</v>
      </c>
      <c r="E2970">
        <f t="shared" ca="1" si="104"/>
        <v>0.4</v>
      </c>
      <c r="F2970">
        <f>IFERROR(VLOOKUP(H2970,ProfessionalRisk!A:I,9,0),0)</f>
        <v>784</v>
      </c>
      <c r="G2970">
        <f t="shared" ca="1" si="106"/>
        <v>314</v>
      </c>
      <c r="H2970" t="s">
        <v>893</v>
      </c>
    </row>
    <row r="2971" spans="1:8">
      <c r="A2971" t="str">
        <f t="shared" si="105"/>
        <v>چهارمحال وبختيارئاردل</v>
      </c>
      <c r="B2971" t="s">
        <v>306</v>
      </c>
      <c r="C2971" t="s">
        <v>312</v>
      </c>
      <c r="D2971" t="s">
        <v>23</v>
      </c>
      <c r="E2971">
        <f t="shared" ca="1" si="104"/>
        <v>1.4012117590845308E-2</v>
      </c>
      <c r="F2971">
        <f>IFERROR(VLOOKUP(H2971,ProfessionalRisk!A:I,9,0),0)</f>
        <v>784</v>
      </c>
      <c r="G2971">
        <f t="shared" ca="1" si="106"/>
        <v>11</v>
      </c>
      <c r="H2971" t="s">
        <v>893</v>
      </c>
    </row>
    <row r="2972" spans="1:8">
      <c r="A2972" t="str">
        <f t="shared" si="105"/>
        <v>چهارمحال وبختيارئكوهرنگ</v>
      </c>
      <c r="B2972" t="s">
        <v>306</v>
      </c>
      <c r="C2972" t="s">
        <v>313</v>
      </c>
      <c r="D2972" t="s">
        <v>19</v>
      </c>
      <c r="E2972">
        <f t="shared" ca="1" si="104"/>
        <v>0.6</v>
      </c>
      <c r="F2972">
        <f>IFERROR(VLOOKUP(H2972,ProfessionalRisk!A:I,9,0),0)</f>
        <v>539</v>
      </c>
      <c r="G2972">
        <f t="shared" ca="1" si="106"/>
        <v>323</v>
      </c>
      <c r="H2972" t="s">
        <v>894</v>
      </c>
    </row>
    <row r="2973" spans="1:8">
      <c r="A2973" t="str">
        <f t="shared" si="105"/>
        <v>چهارمحال وبختيارئكوهرنگ</v>
      </c>
      <c r="B2973" t="s">
        <v>306</v>
      </c>
      <c r="C2973" t="s">
        <v>313</v>
      </c>
      <c r="D2973" t="s">
        <v>477</v>
      </c>
      <c r="E2973">
        <f t="shared" ca="1" si="104"/>
        <v>0.4</v>
      </c>
      <c r="F2973">
        <f>IFERROR(VLOOKUP(H2973,ProfessionalRisk!A:I,9,0),0)</f>
        <v>539</v>
      </c>
      <c r="G2973">
        <f t="shared" ca="1" si="106"/>
        <v>216</v>
      </c>
      <c r="H2973" t="s">
        <v>894</v>
      </c>
    </row>
    <row r="2974" spans="1:8">
      <c r="A2974" t="str">
        <f t="shared" si="105"/>
        <v>چهارمحال وبختيارئكوهرنگ</v>
      </c>
      <c r="B2974" t="s">
        <v>306</v>
      </c>
      <c r="C2974" t="s">
        <v>313</v>
      </c>
      <c r="D2974" t="s">
        <v>23</v>
      </c>
      <c r="E2974">
        <f t="shared" ca="1" si="104"/>
        <v>1.18985673271206E-2</v>
      </c>
      <c r="F2974">
        <f>IFERROR(VLOOKUP(H2974,ProfessionalRisk!A:I,9,0),0)</f>
        <v>539</v>
      </c>
      <c r="G2974">
        <f t="shared" ca="1" si="106"/>
        <v>6</v>
      </c>
      <c r="H2974" t="s">
        <v>894</v>
      </c>
    </row>
    <row r="2975" spans="1:8">
      <c r="A2975" t="str">
        <f t="shared" si="105"/>
        <v>چهارمحال وبختيارئكيار</v>
      </c>
      <c r="B2975" t="s">
        <v>306</v>
      </c>
      <c r="C2975" t="s">
        <v>314</v>
      </c>
      <c r="D2975" t="s">
        <v>19</v>
      </c>
      <c r="E2975">
        <f t="shared" ca="1" si="104"/>
        <v>0.6</v>
      </c>
      <c r="F2975">
        <f>IFERROR(VLOOKUP(H2975,ProfessionalRisk!A:I,9,0),0)</f>
        <v>771</v>
      </c>
      <c r="G2975">
        <f t="shared" ca="1" si="106"/>
        <v>463</v>
      </c>
      <c r="H2975" t="s">
        <v>896</v>
      </c>
    </row>
    <row r="2976" spans="1:8">
      <c r="A2976" t="str">
        <f t="shared" si="105"/>
        <v>چهارمحال وبختيارئكيار</v>
      </c>
      <c r="B2976" t="s">
        <v>306</v>
      </c>
      <c r="C2976" t="s">
        <v>314</v>
      </c>
      <c r="D2976" t="s">
        <v>477</v>
      </c>
      <c r="E2976">
        <f t="shared" ca="1" si="104"/>
        <v>0.4</v>
      </c>
      <c r="F2976">
        <f>IFERROR(VLOOKUP(H2976,ProfessionalRisk!A:I,9,0),0)</f>
        <v>771</v>
      </c>
      <c r="G2976">
        <f t="shared" ca="1" si="106"/>
        <v>308</v>
      </c>
      <c r="H2976" t="s">
        <v>896</v>
      </c>
    </row>
    <row r="2977" spans="1:8">
      <c r="A2977" t="str">
        <f t="shared" si="105"/>
        <v>چهارمحال وبختيارئكيار</v>
      </c>
      <c r="B2977" t="s">
        <v>306</v>
      </c>
      <c r="C2977" t="s">
        <v>314</v>
      </c>
      <c r="D2977" t="s">
        <v>23</v>
      </c>
      <c r="E2977">
        <f t="shared" ca="1" si="104"/>
        <v>5.9023761618966324E-3</v>
      </c>
      <c r="F2977">
        <f>IFERROR(VLOOKUP(H2977,ProfessionalRisk!A:I,9,0),0)</f>
        <v>771</v>
      </c>
      <c r="G2977">
        <f t="shared" ca="1" si="106"/>
        <v>5</v>
      </c>
      <c r="H2977" t="s">
        <v>896</v>
      </c>
    </row>
    <row r="2978" spans="1:8">
      <c r="A2978" t="str">
        <f t="shared" si="105"/>
        <v>چهارمحال وبختيارئسامان</v>
      </c>
      <c r="B2978" t="s">
        <v>306</v>
      </c>
      <c r="C2978" t="s">
        <v>315</v>
      </c>
      <c r="D2978" t="s">
        <v>19</v>
      </c>
      <c r="E2978">
        <f t="shared" ca="1" si="104"/>
        <v>0.6</v>
      </c>
      <c r="F2978">
        <f>IFERROR(VLOOKUP(H2978,ProfessionalRisk!A:I,9,0),0)</f>
        <v>612</v>
      </c>
      <c r="G2978">
        <f t="shared" ca="1" si="106"/>
        <v>367</v>
      </c>
      <c r="H2978" t="s">
        <v>891</v>
      </c>
    </row>
    <row r="2979" spans="1:8">
      <c r="A2979" t="str">
        <f t="shared" si="105"/>
        <v>چهارمحال وبختيارئسامان</v>
      </c>
      <c r="B2979" t="s">
        <v>306</v>
      </c>
      <c r="C2979" t="s">
        <v>315</v>
      </c>
      <c r="D2979" t="s">
        <v>477</v>
      </c>
      <c r="E2979">
        <f t="shared" ref="E2979:E3042" ca="1" si="107">IF(D2979="AP",0.6,IF(D2979="BP",0.4,RAND()*0.02))</f>
        <v>0.4</v>
      </c>
      <c r="F2979">
        <f>IFERROR(VLOOKUP(H2979,ProfessionalRisk!A:I,9,0),0)</f>
        <v>612</v>
      </c>
      <c r="G2979">
        <f t="shared" ca="1" si="106"/>
        <v>245</v>
      </c>
      <c r="H2979" t="s">
        <v>891</v>
      </c>
    </row>
    <row r="2980" spans="1:8">
      <c r="A2980" t="str">
        <f t="shared" si="105"/>
        <v>چهارمحال وبختيارئسامان</v>
      </c>
      <c r="B2980" t="s">
        <v>306</v>
      </c>
      <c r="C2980" t="s">
        <v>315</v>
      </c>
      <c r="D2980" t="s">
        <v>23</v>
      </c>
      <c r="E2980">
        <f t="shared" ca="1" si="107"/>
        <v>1.2863177248805991E-2</v>
      </c>
      <c r="F2980">
        <f>IFERROR(VLOOKUP(H2980,ProfessionalRisk!A:I,9,0),0)</f>
        <v>612</v>
      </c>
      <c r="G2980">
        <f t="shared" ca="1" si="106"/>
        <v>8</v>
      </c>
      <c r="H2980" t="s">
        <v>891</v>
      </c>
    </row>
    <row r="2981" spans="1:8">
      <c r="A2981" t="str">
        <f t="shared" si="105"/>
        <v>چهارمحال وبختيارئبن</v>
      </c>
      <c r="B2981" t="s">
        <v>306</v>
      </c>
      <c r="C2981" t="s">
        <v>317</v>
      </c>
      <c r="D2981" t="s">
        <v>19</v>
      </c>
      <c r="E2981">
        <f t="shared" ca="1" si="107"/>
        <v>0.6</v>
      </c>
      <c r="F2981">
        <f>IFERROR(VLOOKUP(H2981,ProfessionalRisk!A:I,9,0),0)</f>
        <v>472</v>
      </c>
      <c r="G2981">
        <f t="shared" ca="1" si="106"/>
        <v>283</v>
      </c>
      <c r="H2981" t="s">
        <v>895</v>
      </c>
    </row>
    <row r="2982" spans="1:8">
      <c r="A2982" t="str">
        <f t="shared" si="105"/>
        <v>چهارمحال وبختيارئبن</v>
      </c>
      <c r="B2982" t="s">
        <v>306</v>
      </c>
      <c r="C2982" t="s">
        <v>317</v>
      </c>
      <c r="D2982" t="s">
        <v>477</v>
      </c>
      <c r="E2982">
        <f t="shared" ca="1" si="107"/>
        <v>0.4</v>
      </c>
      <c r="F2982">
        <f>IFERROR(VLOOKUP(H2982,ProfessionalRisk!A:I,9,0),0)</f>
        <v>472</v>
      </c>
      <c r="G2982">
        <f t="shared" ca="1" si="106"/>
        <v>189</v>
      </c>
      <c r="H2982" t="s">
        <v>895</v>
      </c>
    </row>
    <row r="2983" spans="1:8">
      <c r="A2983" t="str">
        <f t="shared" si="105"/>
        <v>چهارمحال وبختيارئبن</v>
      </c>
      <c r="B2983" t="s">
        <v>306</v>
      </c>
      <c r="C2983" t="s">
        <v>317</v>
      </c>
      <c r="D2983" t="s">
        <v>23</v>
      </c>
      <c r="E2983">
        <f t="shared" ca="1" si="107"/>
        <v>1.8719784139285412E-3</v>
      </c>
      <c r="F2983">
        <f>IFERROR(VLOOKUP(H2983,ProfessionalRisk!A:I,9,0),0)</f>
        <v>472</v>
      </c>
      <c r="G2983">
        <f t="shared" ca="1" si="106"/>
        <v>1</v>
      </c>
      <c r="H2983" t="s">
        <v>895</v>
      </c>
    </row>
    <row r="2984" spans="1:8">
      <c r="A2984" t="str">
        <f t="shared" si="105"/>
        <v>لرستاناليگودرز</v>
      </c>
      <c r="B2984" t="s">
        <v>316</v>
      </c>
      <c r="C2984" t="s">
        <v>318</v>
      </c>
      <c r="D2984" t="s">
        <v>19</v>
      </c>
      <c r="E2984">
        <f t="shared" ca="1" si="107"/>
        <v>0.6</v>
      </c>
      <c r="F2984">
        <f>IFERROR(VLOOKUP(H2984,ProfessionalRisk!A:I,9,0),0)</f>
        <v>1976</v>
      </c>
      <c r="G2984">
        <f t="shared" ca="1" si="106"/>
        <v>1186</v>
      </c>
      <c r="H2984" t="s">
        <v>823</v>
      </c>
    </row>
    <row r="2985" spans="1:8">
      <c r="A2985" t="str">
        <f t="shared" si="105"/>
        <v>لرستاناليگودرز</v>
      </c>
      <c r="B2985" t="s">
        <v>316</v>
      </c>
      <c r="C2985" t="s">
        <v>318</v>
      </c>
      <c r="D2985" t="s">
        <v>477</v>
      </c>
      <c r="E2985">
        <f t="shared" ca="1" si="107"/>
        <v>0.4</v>
      </c>
      <c r="F2985">
        <f>IFERROR(VLOOKUP(H2985,ProfessionalRisk!A:I,9,0),0)</f>
        <v>1976</v>
      </c>
      <c r="G2985">
        <f t="shared" ca="1" si="106"/>
        <v>790</v>
      </c>
      <c r="H2985" t="s">
        <v>823</v>
      </c>
    </row>
    <row r="2986" spans="1:8">
      <c r="A2986" t="str">
        <f t="shared" si="105"/>
        <v>لرستاناليگودرز</v>
      </c>
      <c r="B2986" t="s">
        <v>316</v>
      </c>
      <c r="C2986" t="s">
        <v>318</v>
      </c>
      <c r="D2986" t="s">
        <v>23</v>
      </c>
      <c r="E2986">
        <f t="shared" ca="1" si="107"/>
        <v>1.6550602751633094E-2</v>
      </c>
      <c r="F2986">
        <f>IFERROR(VLOOKUP(H2986,ProfessionalRisk!A:I,9,0),0)</f>
        <v>1976</v>
      </c>
      <c r="G2986">
        <f t="shared" ca="1" si="106"/>
        <v>33</v>
      </c>
      <c r="H2986" t="s">
        <v>823</v>
      </c>
    </row>
    <row r="2987" spans="1:8">
      <c r="A2987" t="str">
        <f t="shared" si="105"/>
        <v>لرستانبروجرد</v>
      </c>
      <c r="B2987" t="s">
        <v>316</v>
      </c>
      <c r="C2987" t="s">
        <v>319</v>
      </c>
      <c r="D2987" t="s">
        <v>19</v>
      </c>
      <c r="E2987">
        <f t="shared" ca="1" si="107"/>
        <v>0.6</v>
      </c>
      <c r="F2987">
        <f>IFERROR(VLOOKUP(H2987,ProfessionalRisk!A:I,9,0),0)</f>
        <v>4034</v>
      </c>
      <c r="G2987">
        <f t="shared" ca="1" si="106"/>
        <v>2420</v>
      </c>
      <c r="H2987" t="s">
        <v>820</v>
      </c>
    </row>
    <row r="2988" spans="1:8">
      <c r="A2988" t="str">
        <f t="shared" si="105"/>
        <v>لرستانبروجرد</v>
      </c>
      <c r="B2988" t="s">
        <v>316</v>
      </c>
      <c r="C2988" t="s">
        <v>319</v>
      </c>
      <c r="D2988" t="s">
        <v>477</v>
      </c>
      <c r="E2988">
        <f t="shared" ca="1" si="107"/>
        <v>0.4</v>
      </c>
      <c r="F2988">
        <f>IFERROR(VLOOKUP(H2988,ProfessionalRisk!A:I,9,0),0)</f>
        <v>4034</v>
      </c>
      <c r="G2988">
        <f t="shared" ca="1" si="106"/>
        <v>1614</v>
      </c>
      <c r="H2988" t="s">
        <v>820</v>
      </c>
    </row>
    <row r="2989" spans="1:8">
      <c r="A2989" t="str">
        <f t="shared" si="105"/>
        <v>لرستانبروجرد</v>
      </c>
      <c r="B2989" t="s">
        <v>316</v>
      </c>
      <c r="C2989" t="s">
        <v>319</v>
      </c>
      <c r="D2989" t="s">
        <v>23</v>
      </c>
      <c r="E2989">
        <f t="shared" ca="1" si="107"/>
        <v>1.5794498401476311E-2</v>
      </c>
      <c r="F2989">
        <f>IFERROR(VLOOKUP(H2989,ProfessionalRisk!A:I,9,0),0)</f>
        <v>4034</v>
      </c>
      <c r="G2989">
        <f t="shared" ca="1" si="106"/>
        <v>64</v>
      </c>
      <c r="H2989" t="s">
        <v>820</v>
      </c>
    </row>
    <row r="2990" spans="1:8">
      <c r="A2990" t="str">
        <f t="shared" si="105"/>
        <v>لرستانخرم آباد</v>
      </c>
      <c r="B2990" t="s">
        <v>316</v>
      </c>
      <c r="C2990" t="s">
        <v>320</v>
      </c>
      <c r="D2990" t="s">
        <v>19</v>
      </c>
      <c r="E2990">
        <f t="shared" ca="1" si="107"/>
        <v>0.6</v>
      </c>
      <c r="F2990">
        <f>IFERROR(VLOOKUP(H2990,ProfessionalRisk!A:I,9,0),0)</f>
        <v>2293</v>
      </c>
      <c r="G2990">
        <f t="shared" ca="1" si="106"/>
        <v>1376</v>
      </c>
      <c r="H2990" t="s">
        <v>821</v>
      </c>
    </row>
    <row r="2991" spans="1:8">
      <c r="A2991" t="str">
        <f t="shared" si="105"/>
        <v>لرستانخرم آباد</v>
      </c>
      <c r="B2991" t="s">
        <v>316</v>
      </c>
      <c r="C2991" t="s">
        <v>320</v>
      </c>
      <c r="D2991" t="s">
        <v>477</v>
      </c>
      <c r="E2991">
        <f t="shared" ca="1" si="107"/>
        <v>0.4</v>
      </c>
      <c r="F2991">
        <f>IFERROR(VLOOKUP(H2991,ProfessionalRisk!A:I,9,0),0)</f>
        <v>2293</v>
      </c>
      <c r="G2991">
        <f t="shared" ca="1" si="106"/>
        <v>917</v>
      </c>
      <c r="H2991" t="s">
        <v>821</v>
      </c>
    </row>
    <row r="2992" spans="1:8">
      <c r="A2992" t="str">
        <f t="shared" si="105"/>
        <v>لرستانخرم آباد</v>
      </c>
      <c r="B2992" t="s">
        <v>316</v>
      </c>
      <c r="C2992" t="s">
        <v>320</v>
      </c>
      <c r="D2992" t="s">
        <v>23</v>
      </c>
      <c r="E2992">
        <f t="shared" ca="1" si="107"/>
        <v>6.1585055815167314E-3</v>
      </c>
      <c r="F2992">
        <f>IFERROR(VLOOKUP(H2992,ProfessionalRisk!A:I,9,0),0)</f>
        <v>2293</v>
      </c>
      <c r="G2992">
        <f t="shared" ca="1" si="106"/>
        <v>14</v>
      </c>
      <c r="H2992" t="s">
        <v>821</v>
      </c>
    </row>
    <row r="2993" spans="1:8">
      <c r="A2993" t="str">
        <f t="shared" si="105"/>
        <v>لرستاندلفان</v>
      </c>
      <c r="B2993" t="s">
        <v>316</v>
      </c>
      <c r="C2993" t="s">
        <v>321</v>
      </c>
      <c r="D2993" t="s">
        <v>19</v>
      </c>
      <c r="E2993">
        <f t="shared" ca="1" si="107"/>
        <v>0.6</v>
      </c>
      <c r="F2993">
        <f>IFERROR(VLOOKUP(H2993,ProfessionalRisk!A:I,9,0),0)</f>
        <v>1581</v>
      </c>
      <c r="G2993">
        <f t="shared" ca="1" si="106"/>
        <v>949</v>
      </c>
      <c r="H2993" t="s">
        <v>822</v>
      </c>
    </row>
    <row r="2994" spans="1:8">
      <c r="A2994" t="str">
        <f t="shared" si="105"/>
        <v>لرستاندلفان</v>
      </c>
      <c r="B2994" t="s">
        <v>316</v>
      </c>
      <c r="C2994" t="s">
        <v>321</v>
      </c>
      <c r="D2994" t="s">
        <v>477</v>
      </c>
      <c r="E2994">
        <f t="shared" ca="1" si="107"/>
        <v>0.4</v>
      </c>
      <c r="F2994">
        <f>IFERROR(VLOOKUP(H2994,ProfessionalRisk!A:I,9,0),0)</f>
        <v>1581</v>
      </c>
      <c r="G2994">
        <f t="shared" ca="1" si="106"/>
        <v>632</v>
      </c>
      <c r="H2994" t="s">
        <v>822</v>
      </c>
    </row>
    <row r="2995" spans="1:8">
      <c r="A2995" t="str">
        <f t="shared" si="105"/>
        <v>لرستاندلفان</v>
      </c>
      <c r="B2995" t="s">
        <v>316</v>
      </c>
      <c r="C2995" t="s">
        <v>321</v>
      </c>
      <c r="D2995" t="s">
        <v>23</v>
      </c>
      <c r="E2995">
        <f t="shared" ca="1" si="107"/>
        <v>6.0424124545390171E-3</v>
      </c>
      <c r="F2995">
        <f>IFERROR(VLOOKUP(H2995,ProfessionalRisk!A:I,9,0),0)</f>
        <v>1581</v>
      </c>
      <c r="G2995">
        <f t="shared" ca="1" si="106"/>
        <v>10</v>
      </c>
      <c r="H2995" t="s">
        <v>822</v>
      </c>
    </row>
    <row r="2996" spans="1:8">
      <c r="A2996" t="str">
        <f t="shared" si="105"/>
        <v>لرستاندورود</v>
      </c>
      <c r="B2996" t="s">
        <v>316</v>
      </c>
      <c r="C2996" t="s">
        <v>322</v>
      </c>
      <c r="D2996" t="s">
        <v>19</v>
      </c>
      <c r="E2996">
        <f t="shared" ca="1" si="107"/>
        <v>0.6</v>
      </c>
      <c r="F2996">
        <f>IFERROR(VLOOKUP(H2996,ProfessionalRisk!A:I,9,0),0)</f>
        <v>1856</v>
      </c>
      <c r="G2996">
        <f t="shared" ca="1" si="106"/>
        <v>1114</v>
      </c>
      <c r="H2996" t="s">
        <v>814</v>
      </c>
    </row>
    <row r="2997" spans="1:8">
      <c r="A2997" t="str">
        <f t="shared" si="105"/>
        <v>لرستاندورود</v>
      </c>
      <c r="B2997" t="s">
        <v>316</v>
      </c>
      <c r="C2997" t="s">
        <v>322</v>
      </c>
      <c r="D2997" t="s">
        <v>477</v>
      </c>
      <c r="E2997">
        <f t="shared" ca="1" si="107"/>
        <v>0.4</v>
      </c>
      <c r="F2997">
        <f>IFERROR(VLOOKUP(H2997,ProfessionalRisk!A:I,9,0),0)</f>
        <v>1856</v>
      </c>
      <c r="G2997">
        <f t="shared" ca="1" si="106"/>
        <v>742</v>
      </c>
      <c r="H2997" t="s">
        <v>814</v>
      </c>
    </row>
    <row r="2998" spans="1:8">
      <c r="A2998" t="str">
        <f t="shared" si="105"/>
        <v>لرستاندورود</v>
      </c>
      <c r="B2998" t="s">
        <v>316</v>
      </c>
      <c r="C2998" t="s">
        <v>322</v>
      </c>
      <c r="D2998" t="s">
        <v>23</v>
      </c>
      <c r="E2998">
        <f t="shared" ca="1" si="107"/>
        <v>3.6277060768616009E-3</v>
      </c>
      <c r="F2998">
        <f>IFERROR(VLOOKUP(H2998,ProfessionalRisk!A:I,9,0),0)</f>
        <v>1856</v>
      </c>
      <c r="G2998">
        <f t="shared" ca="1" si="106"/>
        <v>7</v>
      </c>
      <c r="H2998" t="s">
        <v>814</v>
      </c>
    </row>
    <row r="2999" spans="1:8">
      <c r="A2999" t="str">
        <f t="shared" si="105"/>
        <v>لرستانكوهدشت</v>
      </c>
      <c r="B2999" t="s">
        <v>316</v>
      </c>
      <c r="C2999" t="s">
        <v>819</v>
      </c>
      <c r="D2999" t="s">
        <v>19</v>
      </c>
      <c r="E2999">
        <f t="shared" ca="1" si="107"/>
        <v>0.6</v>
      </c>
      <c r="F2999">
        <f>IFERROR(VLOOKUP(H2999,ProfessionalRisk!A:I,9,0),0)</f>
        <v>11701</v>
      </c>
      <c r="G2999">
        <f t="shared" ca="1" si="106"/>
        <v>7021</v>
      </c>
      <c r="H2999" t="s">
        <v>855</v>
      </c>
    </row>
    <row r="3000" spans="1:8">
      <c r="A3000" t="str">
        <f t="shared" si="105"/>
        <v>لرستانكوهدشت</v>
      </c>
      <c r="B3000" t="s">
        <v>316</v>
      </c>
      <c r="C3000" t="s">
        <v>819</v>
      </c>
      <c r="D3000" t="s">
        <v>477</v>
      </c>
      <c r="E3000">
        <f t="shared" ca="1" si="107"/>
        <v>0.4</v>
      </c>
      <c r="F3000">
        <f>IFERROR(VLOOKUP(H3000,ProfessionalRisk!A:I,9,0),0)</f>
        <v>11701</v>
      </c>
      <c r="G3000">
        <f t="shared" ca="1" si="106"/>
        <v>4680</v>
      </c>
      <c r="H3000" t="s">
        <v>855</v>
      </c>
    </row>
    <row r="3001" spans="1:8">
      <c r="A3001" t="str">
        <f t="shared" si="105"/>
        <v>لرستانكوهدشت</v>
      </c>
      <c r="B3001" t="s">
        <v>316</v>
      </c>
      <c r="C3001" t="s">
        <v>819</v>
      </c>
      <c r="D3001" t="s">
        <v>23</v>
      </c>
      <c r="E3001">
        <f t="shared" ca="1" si="107"/>
        <v>7.6601662890417171E-3</v>
      </c>
      <c r="F3001">
        <f>IFERROR(VLOOKUP(H3001,ProfessionalRisk!A:I,9,0),0)</f>
        <v>11701</v>
      </c>
      <c r="G3001">
        <f t="shared" ca="1" si="106"/>
        <v>90</v>
      </c>
      <c r="H3001" t="s">
        <v>855</v>
      </c>
    </row>
    <row r="3002" spans="1:8">
      <c r="A3002" t="str">
        <f t="shared" si="105"/>
        <v>لرستانازنا</v>
      </c>
      <c r="B3002" t="s">
        <v>316</v>
      </c>
      <c r="C3002" t="s">
        <v>324</v>
      </c>
      <c r="D3002" t="s">
        <v>19</v>
      </c>
      <c r="E3002">
        <f t="shared" ca="1" si="107"/>
        <v>0.6</v>
      </c>
      <c r="F3002">
        <f>IFERROR(VLOOKUP(H3002,ProfessionalRisk!A:I,9,0),0)</f>
        <v>1018</v>
      </c>
      <c r="G3002">
        <f t="shared" ca="1" si="106"/>
        <v>611</v>
      </c>
      <c r="H3002" t="s">
        <v>825</v>
      </c>
    </row>
    <row r="3003" spans="1:8">
      <c r="A3003" t="str">
        <f t="shared" si="105"/>
        <v>لرستانازنا</v>
      </c>
      <c r="B3003" t="s">
        <v>316</v>
      </c>
      <c r="C3003" t="s">
        <v>324</v>
      </c>
      <c r="D3003" t="s">
        <v>477</v>
      </c>
      <c r="E3003">
        <f t="shared" ca="1" si="107"/>
        <v>0.4</v>
      </c>
      <c r="F3003">
        <f>IFERROR(VLOOKUP(H3003,ProfessionalRisk!A:I,9,0),0)</f>
        <v>1018</v>
      </c>
      <c r="G3003">
        <f t="shared" ca="1" si="106"/>
        <v>407</v>
      </c>
      <c r="H3003" t="s">
        <v>825</v>
      </c>
    </row>
    <row r="3004" spans="1:8">
      <c r="A3004" t="str">
        <f t="shared" si="105"/>
        <v>لرستانازنا</v>
      </c>
      <c r="B3004" t="s">
        <v>316</v>
      </c>
      <c r="C3004" t="s">
        <v>324</v>
      </c>
      <c r="D3004" t="s">
        <v>23</v>
      </c>
      <c r="E3004">
        <f t="shared" ca="1" si="107"/>
        <v>1.2683953697440728E-2</v>
      </c>
      <c r="F3004">
        <f>IFERROR(VLOOKUP(H3004,ProfessionalRisk!A:I,9,0),0)</f>
        <v>1018</v>
      </c>
      <c r="G3004">
        <f t="shared" ca="1" si="106"/>
        <v>13</v>
      </c>
      <c r="H3004" t="s">
        <v>825</v>
      </c>
    </row>
    <row r="3005" spans="1:8">
      <c r="A3005" t="str">
        <f t="shared" si="105"/>
        <v>لرستانپلدختر</v>
      </c>
      <c r="B3005" t="s">
        <v>316</v>
      </c>
      <c r="C3005" t="s">
        <v>325</v>
      </c>
      <c r="D3005" t="s">
        <v>19</v>
      </c>
      <c r="E3005">
        <f t="shared" ca="1" si="107"/>
        <v>0.6</v>
      </c>
      <c r="F3005">
        <f>IFERROR(VLOOKUP(H3005,ProfessionalRisk!A:I,9,0),0)</f>
        <v>1062</v>
      </c>
      <c r="G3005">
        <f t="shared" ca="1" si="106"/>
        <v>637</v>
      </c>
      <c r="H3005" t="s">
        <v>824</v>
      </c>
    </row>
    <row r="3006" spans="1:8">
      <c r="A3006" t="str">
        <f t="shared" si="105"/>
        <v>لرستانپلدختر</v>
      </c>
      <c r="B3006" t="s">
        <v>316</v>
      </c>
      <c r="C3006" t="s">
        <v>325</v>
      </c>
      <c r="D3006" t="s">
        <v>477</v>
      </c>
      <c r="E3006">
        <f t="shared" ca="1" si="107"/>
        <v>0.4</v>
      </c>
      <c r="F3006">
        <f>IFERROR(VLOOKUP(H3006,ProfessionalRisk!A:I,9,0),0)</f>
        <v>1062</v>
      </c>
      <c r="G3006">
        <f t="shared" ca="1" si="106"/>
        <v>425</v>
      </c>
      <c r="H3006" t="s">
        <v>824</v>
      </c>
    </row>
    <row r="3007" spans="1:8">
      <c r="A3007" t="str">
        <f t="shared" si="105"/>
        <v>لرستانپلدختر</v>
      </c>
      <c r="B3007" t="s">
        <v>316</v>
      </c>
      <c r="C3007" t="s">
        <v>325</v>
      </c>
      <c r="D3007" t="s">
        <v>23</v>
      </c>
      <c r="E3007">
        <f t="shared" ca="1" si="107"/>
        <v>6.7133100515713038E-3</v>
      </c>
      <c r="F3007">
        <f>IFERROR(VLOOKUP(H3007,ProfessionalRisk!A:I,9,0),0)</f>
        <v>1062</v>
      </c>
      <c r="G3007">
        <f t="shared" ca="1" si="106"/>
        <v>7</v>
      </c>
      <c r="H3007" t="s">
        <v>824</v>
      </c>
    </row>
    <row r="3008" spans="1:8">
      <c r="A3008" t="str">
        <f t="shared" si="105"/>
        <v>لرستانسلسله</v>
      </c>
      <c r="B3008" t="s">
        <v>316</v>
      </c>
      <c r="C3008" t="s">
        <v>326</v>
      </c>
      <c r="D3008" t="s">
        <v>19</v>
      </c>
      <c r="E3008">
        <f t="shared" ca="1" si="107"/>
        <v>0.6</v>
      </c>
      <c r="F3008">
        <f>IFERROR(VLOOKUP(H3008,ProfessionalRisk!A:I,9,0),0)</f>
        <v>1021</v>
      </c>
      <c r="G3008">
        <f t="shared" ca="1" si="106"/>
        <v>613</v>
      </c>
      <c r="H3008" t="s">
        <v>826</v>
      </c>
    </row>
    <row r="3009" spans="1:8">
      <c r="A3009" t="str">
        <f t="shared" si="105"/>
        <v>لرستانسلسله</v>
      </c>
      <c r="B3009" t="s">
        <v>316</v>
      </c>
      <c r="C3009" t="s">
        <v>326</v>
      </c>
      <c r="D3009" t="s">
        <v>477</v>
      </c>
      <c r="E3009">
        <f t="shared" ca="1" si="107"/>
        <v>0.4</v>
      </c>
      <c r="F3009">
        <f>IFERROR(VLOOKUP(H3009,ProfessionalRisk!A:I,9,0),0)</f>
        <v>1021</v>
      </c>
      <c r="G3009">
        <f t="shared" ca="1" si="106"/>
        <v>408</v>
      </c>
      <c r="H3009" t="s">
        <v>826</v>
      </c>
    </row>
    <row r="3010" spans="1:8">
      <c r="A3010" t="str">
        <f t="shared" ref="A3010:A3073" si="108">B3010&amp;C3010</f>
        <v>لرستانسلسله</v>
      </c>
      <c r="B3010" t="s">
        <v>316</v>
      </c>
      <c r="C3010" t="s">
        <v>326</v>
      </c>
      <c r="D3010" t="s">
        <v>23</v>
      </c>
      <c r="E3010">
        <f t="shared" ca="1" si="107"/>
        <v>9.1500978709123347E-3</v>
      </c>
      <c r="F3010">
        <f>IFERROR(VLOOKUP(H3010,ProfessionalRisk!A:I,9,0),0)</f>
        <v>1021</v>
      </c>
      <c r="G3010">
        <f t="shared" ca="1" si="106"/>
        <v>9</v>
      </c>
      <c r="H3010" t="s">
        <v>826</v>
      </c>
    </row>
    <row r="3011" spans="1:8">
      <c r="A3011" t="str">
        <f t="shared" si="108"/>
        <v>لرستاندوره</v>
      </c>
      <c r="B3011" t="s">
        <v>316</v>
      </c>
      <c r="C3011" t="s">
        <v>327</v>
      </c>
      <c r="D3011" t="s">
        <v>19</v>
      </c>
      <c r="E3011">
        <f t="shared" ca="1" si="107"/>
        <v>0.6</v>
      </c>
      <c r="F3011">
        <f>IFERROR(VLOOKUP(H3011,ProfessionalRisk!A:I,9,0),0)</f>
        <v>565</v>
      </c>
      <c r="G3011">
        <f t="shared" ref="G3011:G3074" ca="1" si="109">IFERROR(ROUND(F3011*E3011,0),0)</f>
        <v>339</v>
      </c>
      <c r="H3011" t="s">
        <v>815</v>
      </c>
    </row>
    <row r="3012" spans="1:8">
      <c r="A3012" t="str">
        <f t="shared" si="108"/>
        <v>لرستاندوره</v>
      </c>
      <c r="B3012" t="s">
        <v>316</v>
      </c>
      <c r="C3012" t="s">
        <v>327</v>
      </c>
      <c r="D3012" t="s">
        <v>477</v>
      </c>
      <c r="E3012">
        <f t="shared" ca="1" si="107"/>
        <v>0.4</v>
      </c>
      <c r="F3012">
        <f>IFERROR(VLOOKUP(H3012,ProfessionalRisk!A:I,9,0),0)</f>
        <v>565</v>
      </c>
      <c r="G3012">
        <f t="shared" ca="1" si="109"/>
        <v>226</v>
      </c>
      <c r="H3012" t="s">
        <v>815</v>
      </c>
    </row>
    <row r="3013" spans="1:8">
      <c r="A3013" t="str">
        <f t="shared" si="108"/>
        <v>لرستاندوره</v>
      </c>
      <c r="B3013" t="s">
        <v>316</v>
      </c>
      <c r="C3013" t="s">
        <v>327</v>
      </c>
      <c r="D3013" t="s">
        <v>23</v>
      </c>
      <c r="E3013">
        <f t="shared" ca="1" si="107"/>
        <v>3.8630335382203885E-3</v>
      </c>
      <c r="F3013">
        <f>IFERROR(VLOOKUP(H3013,ProfessionalRisk!A:I,9,0),0)</f>
        <v>565</v>
      </c>
      <c r="G3013">
        <f t="shared" ca="1" si="109"/>
        <v>2</v>
      </c>
      <c r="H3013" t="s">
        <v>815</v>
      </c>
    </row>
    <row r="3014" spans="1:8">
      <c r="A3014" t="str">
        <f t="shared" si="108"/>
        <v>لرستانرومشكان</v>
      </c>
      <c r="B3014" t="s">
        <v>316</v>
      </c>
      <c r="C3014" t="s">
        <v>817</v>
      </c>
      <c r="D3014" t="s">
        <v>19</v>
      </c>
      <c r="E3014">
        <f t="shared" ca="1" si="107"/>
        <v>0.6</v>
      </c>
      <c r="F3014">
        <f>IFERROR(VLOOKUP(H3014,ProfessionalRisk!A:I,9,0),0)</f>
        <v>11701</v>
      </c>
      <c r="G3014">
        <f t="shared" ca="1" si="109"/>
        <v>7021</v>
      </c>
      <c r="H3014" t="s">
        <v>855</v>
      </c>
    </row>
    <row r="3015" spans="1:8">
      <c r="A3015" t="str">
        <f t="shared" si="108"/>
        <v>لرستانرومشكان</v>
      </c>
      <c r="B3015" t="s">
        <v>316</v>
      </c>
      <c r="C3015" t="s">
        <v>817</v>
      </c>
      <c r="D3015" t="s">
        <v>477</v>
      </c>
      <c r="E3015">
        <f t="shared" ca="1" si="107"/>
        <v>0.4</v>
      </c>
      <c r="F3015">
        <f>IFERROR(VLOOKUP(H3015,ProfessionalRisk!A:I,9,0),0)</f>
        <v>11701</v>
      </c>
      <c r="G3015">
        <f t="shared" ca="1" si="109"/>
        <v>4680</v>
      </c>
      <c r="H3015" t="s">
        <v>855</v>
      </c>
    </row>
    <row r="3016" spans="1:8">
      <c r="A3016" t="str">
        <f t="shared" si="108"/>
        <v>لرستانرومشكان</v>
      </c>
      <c r="B3016" t="s">
        <v>316</v>
      </c>
      <c r="C3016" t="s">
        <v>817</v>
      </c>
      <c r="D3016" t="s">
        <v>23</v>
      </c>
      <c r="E3016">
        <f t="shared" ca="1" si="107"/>
        <v>6.7225158404803078E-3</v>
      </c>
      <c r="F3016">
        <f>IFERROR(VLOOKUP(H3016,ProfessionalRisk!A:I,9,0),0)</f>
        <v>11701</v>
      </c>
      <c r="G3016">
        <f t="shared" ca="1" si="109"/>
        <v>79</v>
      </c>
      <c r="H3016" t="s">
        <v>855</v>
      </c>
    </row>
    <row r="3017" spans="1:8">
      <c r="A3017" t="str">
        <f t="shared" si="108"/>
        <v>ايلامايلام</v>
      </c>
      <c r="B3017" t="s">
        <v>328</v>
      </c>
      <c r="C3017" t="s">
        <v>328</v>
      </c>
      <c r="D3017" t="s">
        <v>19</v>
      </c>
      <c r="E3017">
        <f t="shared" ca="1" si="107"/>
        <v>0.6</v>
      </c>
      <c r="F3017">
        <f>IFERROR(VLOOKUP(H3017,ProfessionalRisk!A:I,9,0),0)</f>
        <v>4799</v>
      </c>
      <c r="G3017">
        <f t="shared" ca="1" si="109"/>
        <v>2879</v>
      </c>
      <c r="H3017" t="s">
        <v>621</v>
      </c>
    </row>
    <row r="3018" spans="1:8">
      <c r="A3018" t="str">
        <f t="shared" si="108"/>
        <v>ايلامايلام</v>
      </c>
      <c r="B3018" t="s">
        <v>328</v>
      </c>
      <c r="C3018" t="s">
        <v>328</v>
      </c>
      <c r="D3018" t="s">
        <v>477</v>
      </c>
      <c r="E3018">
        <f t="shared" ca="1" si="107"/>
        <v>0.4</v>
      </c>
      <c r="F3018">
        <f>IFERROR(VLOOKUP(H3018,ProfessionalRisk!A:I,9,0),0)</f>
        <v>4799</v>
      </c>
      <c r="G3018">
        <f t="shared" ca="1" si="109"/>
        <v>1920</v>
      </c>
      <c r="H3018" t="s">
        <v>621</v>
      </c>
    </row>
    <row r="3019" spans="1:8">
      <c r="A3019" t="str">
        <f t="shared" si="108"/>
        <v>ايلامايلام</v>
      </c>
      <c r="B3019" t="s">
        <v>328</v>
      </c>
      <c r="C3019" t="s">
        <v>328</v>
      </c>
      <c r="D3019" t="s">
        <v>23</v>
      </c>
      <c r="E3019">
        <f t="shared" ca="1" si="107"/>
        <v>2.3549247393807307E-3</v>
      </c>
      <c r="F3019">
        <f>IFERROR(VLOOKUP(H3019,ProfessionalRisk!A:I,9,0),0)</f>
        <v>4799</v>
      </c>
      <c r="G3019">
        <f t="shared" ca="1" si="109"/>
        <v>11</v>
      </c>
      <c r="H3019" t="s">
        <v>621</v>
      </c>
    </row>
    <row r="3020" spans="1:8">
      <c r="A3020" t="str">
        <f t="shared" si="108"/>
        <v>ايلامدره شهر</v>
      </c>
      <c r="B3020" t="s">
        <v>328</v>
      </c>
      <c r="C3020" t="s">
        <v>330</v>
      </c>
      <c r="D3020" t="s">
        <v>19</v>
      </c>
      <c r="E3020">
        <f t="shared" ca="1" si="107"/>
        <v>0.6</v>
      </c>
      <c r="F3020">
        <f>IFERROR(VLOOKUP(H3020,ProfessionalRisk!A:I,9,0),0)</f>
        <v>292</v>
      </c>
      <c r="G3020">
        <f t="shared" ca="1" si="109"/>
        <v>175</v>
      </c>
      <c r="H3020" t="s">
        <v>613</v>
      </c>
    </row>
    <row r="3021" spans="1:8">
      <c r="A3021" t="str">
        <f t="shared" si="108"/>
        <v>ايلامدره شهر</v>
      </c>
      <c r="B3021" t="s">
        <v>328</v>
      </c>
      <c r="C3021" t="s">
        <v>330</v>
      </c>
      <c r="D3021" t="s">
        <v>477</v>
      </c>
      <c r="E3021">
        <f t="shared" ca="1" si="107"/>
        <v>0.4</v>
      </c>
      <c r="F3021">
        <f>IFERROR(VLOOKUP(H3021,ProfessionalRisk!A:I,9,0),0)</f>
        <v>292</v>
      </c>
      <c r="G3021">
        <f t="shared" ca="1" si="109"/>
        <v>117</v>
      </c>
      <c r="H3021" t="s">
        <v>613</v>
      </c>
    </row>
    <row r="3022" spans="1:8">
      <c r="A3022" t="str">
        <f t="shared" si="108"/>
        <v>ايلامدره شهر</v>
      </c>
      <c r="B3022" t="s">
        <v>328</v>
      </c>
      <c r="C3022" t="s">
        <v>330</v>
      </c>
      <c r="D3022" t="s">
        <v>23</v>
      </c>
      <c r="E3022">
        <f t="shared" ca="1" si="107"/>
        <v>2.5586235887970956E-3</v>
      </c>
      <c r="F3022">
        <f>IFERROR(VLOOKUP(H3022,ProfessionalRisk!A:I,9,0),0)</f>
        <v>292</v>
      </c>
      <c r="G3022">
        <f t="shared" ca="1" si="109"/>
        <v>1</v>
      </c>
      <c r="H3022" t="s">
        <v>613</v>
      </c>
    </row>
    <row r="3023" spans="1:8">
      <c r="A3023" t="str">
        <f t="shared" si="108"/>
        <v>ايلامدهلران</v>
      </c>
      <c r="B3023" t="s">
        <v>328</v>
      </c>
      <c r="C3023" t="s">
        <v>331</v>
      </c>
      <c r="D3023" t="s">
        <v>19</v>
      </c>
      <c r="E3023">
        <f t="shared" ca="1" si="107"/>
        <v>0.6</v>
      </c>
      <c r="F3023">
        <f>IFERROR(VLOOKUP(H3023,ProfessionalRisk!A:I,9,0),0)</f>
        <v>842</v>
      </c>
      <c r="G3023">
        <f t="shared" ca="1" si="109"/>
        <v>505</v>
      </c>
      <c r="H3023" t="s">
        <v>610</v>
      </c>
    </row>
    <row r="3024" spans="1:8">
      <c r="A3024" t="str">
        <f t="shared" si="108"/>
        <v>ايلامدهلران</v>
      </c>
      <c r="B3024" t="s">
        <v>328</v>
      </c>
      <c r="C3024" t="s">
        <v>331</v>
      </c>
      <c r="D3024" t="s">
        <v>477</v>
      </c>
      <c r="E3024">
        <f t="shared" ca="1" si="107"/>
        <v>0.4</v>
      </c>
      <c r="F3024">
        <f>IFERROR(VLOOKUP(H3024,ProfessionalRisk!A:I,9,0),0)</f>
        <v>842</v>
      </c>
      <c r="G3024">
        <f t="shared" ca="1" si="109"/>
        <v>337</v>
      </c>
      <c r="H3024" t="s">
        <v>610</v>
      </c>
    </row>
    <row r="3025" spans="1:8">
      <c r="A3025" t="str">
        <f t="shared" si="108"/>
        <v>ايلامدهلران</v>
      </c>
      <c r="B3025" t="s">
        <v>328</v>
      </c>
      <c r="C3025" t="s">
        <v>331</v>
      </c>
      <c r="D3025" t="s">
        <v>23</v>
      </c>
      <c r="E3025">
        <f t="shared" ca="1" si="107"/>
        <v>8.4863060402429419E-4</v>
      </c>
      <c r="F3025">
        <f>IFERROR(VLOOKUP(H3025,ProfessionalRisk!A:I,9,0),0)</f>
        <v>842</v>
      </c>
      <c r="G3025">
        <f t="shared" ca="1" si="109"/>
        <v>1</v>
      </c>
      <c r="H3025" t="s">
        <v>610</v>
      </c>
    </row>
    <row r="3026" spans="1:8">
      <c r="A3026" t="str">
        <f t="shared" si="108"/>
        <v>ايلامچرداول</v>
      </c>
      <c r="B3026" t="s">
        <v>328</v>
      </c>
      <c r="C3026" t="s">
        <v>332</v>
      </c>
      <c r="D3026" t="s">
        <v>19</v>
      </c>
      <c r="E3026">
        <f t="shared" ca="1" si="107"/>
        <v>0.6</v>
      </c>
      <c r="F3026">
        <f>IFERROR(VLOOKUP(H3026,ProfessionalRisk!A:I,9,0),0)</f>
        <v>869</v>
      </c>
      <c r="G3026">
        <f t="shared" ca="1" si="109"/>
        <v>521</v>
      </c>
      <c r="H3026" t="s">
        <v>612</v>
      </c>
    </row>
    <row r="3027" spans="1:8">
      <c r="A3027" t="str">
        <f t="shared" si="108"/>
        <v>ايلامچرداول</v>
      </c>
      <c r="B3027" t="s">
        <v>328</v>
      </c>
      <c r="C3027" t="s">
        <v>332</v>
      </c>
      <c r="D3027" t="s">
        <v>477</v>
      </c>
      <c r="E3027">
        <f t="shared" ca="1" si="107"/>
        <v>0.4</v>
      </c>
      <c r="F3027">
        <f>IFERROR(VLOOKUP(H3027,ProfessionalRisk!A:I,9,0),0)</f>
        <v>869</v>
      </c>
      <c r="G3027">
        <f t="shared" ca="1" si="109"/>
        <v>348</v>
      </c>
      <c r="H3027" t="s">
        <v>612</v>
      </c>
    </row>
    <row r="3028" spans="1:8">
      <c r="A3028" t="str">
        <f t="shared" si="108"/>
        <v>ايلامچرداول</v>
      </c>
      <c r="B3028" t="s">
        <v>328</v>
      </c>
      <c r="C3028" t="s">
        <v>332</v>
      </c>
      <c r="D3028" t="s">
        <v>23</v>
      </c>
      <c r="E3028">
        <f t="shared" ca="1" si="107"/>
        <v>1.1430110297763805E-2</v>
      </c>
      <c r="F3028">
        <f>IFERROR(VLOOKUP(H3028,ProfessionalRisk!A:I,9,0),0)</f>
        <v>869</v>
      </c>
      <c r="G3028">
        <f t="shared" ca="1" si="109"/>
        <v>10</v>
      </c>
      <c r="H3028" t="s">
        <v>612</v>
      </c>
    </row>
    <row r="3029" spans="1:8">
      <c r="A3029" t="str">
        <f t="shared" si="108"/>
        <v>ايلاممهران</v>
      </c>
      <c r="B3029" t="s">
        <v>328</v>
      </c>
      <c r="C3029" t="s">
        <v>333</v>
      </c>
      <c r="D3029" t="s">
        <v>19</v>
      </c>
      <c r="E3029">
        <f t="shared" ca="1" si="107"/>
        <v>0.6</v>
      </c>
      <c r="F3029">
        <f>IFERROR(VLOOKUP(H3029,ProfessionalRisk!A:I,9,0),0)</f>
        <v>522</v>
      </c>
      <c r="G3029">
        <f t="shared" ca="1" si="109"/>
        <v>313</v>
      </c>
      <c r="H3029" t="s">
        <v>620</v>
      </c>
    </row>
    <row r="3030" spans="1:8">
      <c r="A3030" t="str">
        <f t="shared" si="108"/>
        <v>ايلاممهران</v>
      </c>
      <c r="B3030" t="s">
        <v>328</v>
      </c>
      <c r="C3030" t="s">
        <v>333</v>
      </c>
      <c r="D3030" t="s">
        <v>477</v>
      </c>
      <c r="E3030">
        <f t="shared" ca="1" si="107"/>
        <v>0.4</v>
      </c>
      <c r="F3030">
        <f>IFERROR(VLOOKUP(H3030,ProfessionalRisk!A:I,9,0),0)</f>
        <v>522</v>
      </c>
      <c r="G3030">
        <f t="shared" ca="1" si="109"/>
        <v>209</v>
      </c>
      <c r="H3030" t="s">
        <v>620</v>
      </c>
    </row>
    <row r="3031" spans="1:8">
      <c r="A3031" t="str">
        <f t="shared" si="108"/>
        <v>ايلاممهران</v>
      </c>
      <c r="B3031" t="s">
        <v>328</v>
      </c>
      <c r="C3031" t="s">
        <v>333</v>
      </c>
      <c r="D3031" t="s">
        <v>23</v>
      </c>
      <c r="E3031">
        <f t="shared" ca="1" si="107"/>
        <v>9.400143059507338E-4</v>
      </c>
      <c r="F3031">
        <f>IFERROR(VLOOKUP(H3031,ProfessionalRisk!A:I,9,0),0)</f>
        <v>522</v>
      </c>
      <c r="G3031">
        <f t="shared" ca="1" si="109"/>
        <v>0</v>
      </c>
      <c r="H3031" t="s">
        <v>620</v>
      </c>
    </row>
    <row r="3032" spans="1:8">
      <c r="A3032" t="str">
        <f t="shared" si="108"/>
        <v>ايلامآبدانان</v>
      </c>
      <c r="B3032" t="s">
        <v>328</v>
      </c>
      <c r="C3032" t="s">
        <v>334</v>
      </c>
      <c r="D3032" t="s">
        <v>19</v>
      </c>
      <c r="E3032">
        <f t="shared" ca="1" si="107"/>
        <v>0.6</v>
      </c>
      <c r="F3032">
        <f>IFERROR(VLOOKUP(H3032,ProfessionalRisk!A:I,9,0),0)</f>
        <v>665</v>
      </c>
      <c r="G3032">
        <f t="shared" ca="1" si="109"/>
        <v>399</v>
      </c>
      <c r="H3032" t="s">
        <v>616</v>
      </c>
    </row>
    <row r="3033" spans="1:8">
      <c r="A3033" t="str">
        <f t="shared" si="108"/>
        <v>ايلامآبدانان</v>
      </c>
      <c r="B3033" t="s">
        <v>328</v>
      </c>
      <c r="C3033" t="s">
        <v>334</v>
      </c>
      <c r="D3033" t="s">
        <v>477</v>
      </c>
      <c r="E3033">
        <f t="shared" ca="1" si="107"/>
        <v>0.4</v>
      </c>
      <c r="F3033">
        <f>IFERROR(VLOOKUP(H3033,ProfessionalRisk!A:I,9,0),0)</f>
        <v>665</v>
      </c>
      <c r="G3033">
        <f t="shared" ca="1" si="109"/>
        <v>266</v>
      </c>
      <c r="H3033" t="s">
        <v>616</v>
      </c>
    </row>
    <row r="3034" spans="1:8">
      <c r="A3034" t="str">
        <f t="shared" si="108"/>
        <v>ايلامآبدانان</v>
      </c>
      <c r="B3034" t="s">
        <v>328</v>
      </c>
      <c r="C3034" t="s">
        <v>334</v>
      </c>
      <c r="D3034" t="s">
        <v>23</v>
      </c>
      <c r="E3034">
        <f t="shared" ca="1" si="107"/>
        <v>1.6158037889685551E-2</v>
      </c>
      <c r="F3034">
        <f>IFERROR(VLOOKUP(H3034,ProfessionalRisk!A:I,9,0),0)</f>
        <v>665</v>
      </c>
      <c r="G3034">
        <f t="shared" ca="1" si="109"/>
        <v>11</v>
      </c>
      <c r="H3034" t="s">
        <v>616</v>
      </c>
    </row>
    <row r="3035" spans="1:8">
      <c r="A3035" t="str">
        <f t="shared" si="108"/>
        <v>ايلامايوان</v>
      </c>
      <c r="B3035" t="s">
        <v>328</v>
      </c>
      <c r="C3035" t="s">
        <v>335</v>
      </c>
      <c r="D3035" t="s">
        <v>19</v>
      </c>
      <c r="E3035">
        <f t="shared" ca="1" si="107"/>
        <v>0.6</v>
      </c>
      <c r="F3035">
        <f>IFERROR(VLOOKUP(H3035,ProfessionalRisk!A:I,9,0),0)</f>
        <v>657</v>
      </c>
      <c r="G3035">
        <f t="shared" ca="1" si="109"/>
        <v>394</v>
      </c>
      <c r="H3035" t="s">
        <v>618</v>
      </c>
    </row>
    <row r="3036" spans="1:8">
      <c r="A3036" t="str">
        <f t="shared" si="108"/>
        <v>ايلامايوان</v>
      </c>
      <c r="B3036" t="s">
        <v>328</v>
      </c>
      <c r="C3036" t="s">
        <v>335</v>
      </c>
      <c r="D3036" t="s">
        <v>477</v>
      </c>
      <c r="E3036">
        <f t="shared" ca="1" si="107"/>
        <v>0.4</v>
      </c>
      <c r="F3036">
        <f>IFERROR(VLOOKUP(H3036,ProfessionalRisk!A:I,9,0),0)</f>
        <v>657</v>
      </c>
      <c r="G3036">
        <f t="shared" ca="1" si="109"/>
        <v>263</v>
      </c>
      <c r="H3036" t="s">
        <v>618</v>
      </c>
    </row>
    <row r="3037" spans="1:8">
      <c r="A3037" t="str">
        <f t="shared" si="108"/>
        <v>ايلامايوان</v>
      </c>
      <c r="B3037" t="s">
        <v>328</v>
      </c>
      <c r="C3037" t="s">
        <v>335</v>
      </c>
      <c r="D3037" t="s">
        <v>23</v>
      </c>
      <c r="E3037">
        <f t="shared" ca="1" si="107"/>
        <v>2.8756370028582799E-3</v>
      </c>
      <c r="F3037">
        <f>IFERROR(VLOOKUP(H3037,ProfessionalRisk!A:I,9,0),0)</f>
        <v>657</v>
      </c>
      <c r="G3037">
        <f t="shared" ca="1" si="109"/>
        <v>2</v>
      </c>
      <c r="H3037" t="s">
        <v>618</v>
      </c>
    </row>
    <row r="3038" spans="1:8">
      <c r="A3038" t="str">
        <f t="shared" si="108"/>
        <v>ايلامملكشاهي</v>
      </c>
      <c r="B3038" t="s">
        <v>328</v>
      </c>
      <c r="C3038" t="s">
        <v>336</v>
      </c>
      <c r="D3038" t="s">
        <v>19</v>
      </c>
      <c r="E3038">
        <f t="shared" ca="1" si="107"/>
        <v>0.6</v>
      </c>
      <c r="F3038">
        <f>IFERROR(VLOOKUP(H3038,ProfessionalRisk!A:I,9,0),0)</f>
        <v>185</v>
      </c>
      <c r="G3038">
        <f t="shared" ca="1" si="109"/>
        <v>111</v>
      </c>
      <c r="H3038" t="s">
        <v>617</v>
      </c>
    </row>
    <row r="3039" spans="1:8">
      <c r="A3039" t="str">
        <f t="shared" si="108"/>
        <v>ايلامملكشاهي</v>
      </c>
      <c r="B3039" t="s">
        <v>328</v>
      </c>
      <c r="C3039" t="s">
        <v>336</v>
      </c>
      <c r="D3039" t="s">
        <v>477</v>
      </c>
      <c r="E3039">
        <f t="shared" ca="1" si="107"/>
        <v>0.4</v>
      </c>
      <c r="F3039">
        <f>IFERROR(VLOOKUP(H3039,ProfessionalRisk!A:I,9,0),0)</f>
        <v>185</v>
      </c>
      <c r="G3039">
        <f t="shared" ca="1" si="109"/>
        <v>74</v>
      </c>
      <c r="H3039" t="s">
        <v>617</v>
      </c>
    </row>
    <row r="3040" spans="1:8">
      <c r="A3040" t="str">
        <f t="shared" si="108"/>
        <v>ايلامملكشاهي</v>
      </c>
      <c r="B3040" t="s">
        <v>328</v>
      </c>
      <c r="C3040" t="s">
        <v>336</v>
      </c>
      <c r="D3040" t="s">
        <v>23</v>
      </c>
      <c r="E3040">
        <f t="shared" ca="1" si="107"/>
        <v>1.1475888978729608E-2</v>
      </c>
      <c r="F3040">
        <f>IFERROR(VLOOKUP(H3040,ProfessionalRisk!A:I,9,0),0)</f>
        <v>185</v>
      </c>
      <c r="G3040">
        <f t="shared" ca="1" si="109"/>
        <v>2</v>
      </c>
      <c r="H3040" t="s">
        <v>617</v>
      </c>
    </row>
    <row r="3041" spans="1:8">
      <c r="A3041" t="str">
        <f t="shared" si="108"/>
        <v>ايلامسيروان</v>
      </c>
      <c r="B3041" t="s">
        <v>328</v>
      </c>
      <c r="C3041" t="s">
        <v>337</v>
      </c>
      <c r="D3041" t="s">
        <v>19</v>
      </c>
      <c r="E3041">
        <f t="shared" ca="1" si="107"/>
        <v>0.6</v>
      </c>
      <c r="F3041">
        <f>IFERROR(VLOOKUP(H3041,ProfessionalRisk!A:I,9,0),0)</f>
        <v>190</v>
      </c>
      <c r="G3041">
        <f t="shared" ca="1" si="109"/>
        <v>114</v>
      </c>
      <c r="H3041" t="s">
        <v>619</v>
      </c>
    </row>
    <row r="3042" spans="1:8">
      <c r="A3042" t="str">
        <f t="shared" si="108"/>
        <v>ايلامسيروان</v>
      </c>
      <c r="B3042" t="s">
        <v>328</v>
      </c>
      <c r="C3042" t="s">
        <v>337</v>
      </c>
      <c r="D3042" t="s">
        <v>477</v>
      </c>
      <c r="E3042">
        <f t="shared" ca="1" si="107"/>
        <v>0.4</v>
      </c>
      <c r="F3042">
        <f>IFERROR(VLOOKUP(H3042,ProfessionalRisk!A:I,9,0),0)</f>
        <v>190</v>
      </c>
      <c r="G3042">
        <f t="shared" ca="1" si="109"/>
        <v>76</v>
      </c>
      <c r="H3042" t="s">
        <v>619</v>
      </c>
    </row>
    <row r="3043" spans="1:8">
      <c r="A3043" t="str">
        <f t="shared" si="108"/>
        <v>ايلامسيروان</v>
      </c>
      <c r="B3043" t="s">
        <v>328</v>
      </c>
      <c r="C3043" t="s">
        <v>337</v>
      </c>
      <c r="D3043" t="s">
        <v>23</v>
      </c>
      <c r="E3043">
        <f t="shared" ref="E3043:E3106" ca="1" si="110">IF(D3043="AP",0.6,IF(D3043="BP",0.4,RAND()*0.02))</f>
        <v>1.2582502146178516E-2</v>
      </c>
      <c r="F3043">
        <f>IFERROR(VLOOKUP(H3043,ProfessionalRisk!A:I,9,0),0)</f>
        <v>190</v>
      </c>
      <c r="G3043">
        <f t="shared" ca="1" si="109"/>
        <v>2</v>
      </c>
      <c r="H3043" t="s">
        <v>619</v>
      </c>
    </row>
    <row r="3044" spans="1:8">
      <c r="A3044" t="str">
        <f t="shared" si="108"/>
        <v xml:space="preserve">ايلامبدره </v>
      </c>
      <c r="B3044" t="s">
        <v>328</v>
      </c>
      <c r="C3044" t="s">
        <v>339</v>
      </c>
      <c r="D3044" t="s">
        <v>19</v>
      </c>
      <c r="E3044">
        <f t="shared" ca="1" si="110"/>
        <v>0.6</v>
      </c>
      <c r="F3044">
        <f>IFERROR(VLOOKUP(H3044,ProfessionalRisk!A:I,9,0),0)</f>
        <v>147</v>
      </c>
      <c r="G3044">
        <f t="shared" ca="1" si="109"/>
        <v>88</v>
      </c>
      <c r="H3044" t="s">
        <v>614</v>
      </c>
    </row>
    <row r="3045" spans="1:8">
      <c r="A3045" t="str">
        <f t="shared" si="108"/>
        <v xml:space="preserve">ايلامبدره </v>
      </c>
      <c r="B3045" t="s">
        <v>328</v>
      </c>
      <c r="C3045" t="s">
        <v>339</v>
      </c>
      <c r="D3045" t="s">
        <v>477</v>
      </c>
      <c r="E3045">
        <f t="shared" ca="1" si="110"/>
        <v>0.4</v>
      </c>
      <c r="F3045">
        <f>IFERROR(VLOOKUP(H3045,ProfessionalRisk!A:I,9,0),0)</f>
        <v>147</v>
      </c>
      <c r="G3045">
        <f t="shared" ca="1" si="109"/>
        <v>59</v>
      </c>
      <c r="H3045" t="s">
        <v>614</v>
      </c>
    </row>
    <row r="3046" spans="1:8">
      <c r="A3046" t="str">
        <f t="shared" si="108"/>
        <v xml:space="preserve">ايلامبدره </v>
      </c>
      <c r="B3046" t="s">
        <v>328</v>
      </c>
      <c r="C3046" t="s">
        <v>339</v>
      </c>
      <c r="D3046" t="s">
        <v>23</v>
      </c>
      <c r="E3046">
        <f t="shared" ca="1" si="110"/>
        <v>1.5222116532451997E-2</v>
      </c>
      <c r="F3046">
        <f>IFERROR(VLOOKUP(H3046,ProfessionalRisk!A:I,9,0),0)</f>
        <v>147</v>
      </c>
      <c r="G3046">
        <f t="shared" ca="1" si="109"/>
        <v>2</v>
      </c>
      <c r="H3046" t="s">
        <v>614</v>
      </c>
    </row>
    <row r="3047" spans="1:8">
      <c r="A3047" t="str">
        <f t="shared" si="108"/>
        <v>كهگيلويه وبويراحمدبويراحمد</v>
      </c>
      <c r="B3047" t="s">
        <v>338</v>
      </c>
      <c r="C3047" t="s">
        <v>340</v>
      </c>
      <c r="D3047" t="s">
        <v>19</v>
      </c>
      <c r="E3047">
        <f t="shared" ca="1" si="110"/>
        <v>0.6</v>
      </c>
      <c r="F3047">
        <f>IFERROR(VLOOKUP(H3047,ProfessionalRisk!A:I,9,0),0)</f>
        <v>2586</v>
      </c>
      <c r="G3047">
        <f t="shared" ca="1" si="109"/>
        <v>1552</v>
      </c>
      <c r="H3047" t="s">
        <v>953</v>
      </c>
    </row>
    <row r="3048" spans="1:8">
      <c r="A3048" t="str">
        <f t="shared" si="108"/>
        <v>كهگيلويه وبويراحمدبويراحمد</v>
      </c>
      <c r="B3048" t="s">
        <v>338</v>
      </c>
      <c r="C3048" t="s">
        <v>340</v>
      </c>
      <c r="D3048" t="s">
        <v>477</v>
      </c>
      <c r="E3048">
        <f t="shared" ca="1" si="110"/>
        <v>0.4</v>
      </c>
      <c r="F3048">
        <f>IFERROR(VLOOKUP(H3048,ProfessionalRisk!A:I,9,0),0)</f>
        <v>2586</v>
      </c>
      <c r="G3048">
        <f t="shared" ca="1" si="109"/>
        <v>1034</v>
      </c>
      <c r="H3048" t="s">
        <v>953</v>
      </c>
    </row>
    <row r="3049" spans="1:8">
      <c r="A3049" t="str">
        <f t="shared" si="108"/>
        <v>كهگيلويه وبويراحمدبويراحمد</v>
      </c>
      <c r="B3049" t="s">
        <v>338</v>
      </c>
      <c r="C3049" t="s">
        <v>340</v>
      </c>
      <c r="D3049" t="s">
        <v>23</v>
      </c>
      <c r="E3049">
        <f t="shared" ca="1" si="110"/>
        <v>1.8822962713498866E-2</v>
      </c>
      <c r="F3049">
        <f>IFERROR(VLOOKUP(H3049,ProfessionalRisk!A:I,9,0),0)</f>
        <v>2586</v>
      </c>
      <c r="G3049">
        <f t="shared" ca="1" si="109"/>
        <v>49</v>
      </c>
      <c r="H3049" t="s">
        <v>953</v>
      </c>
    </row>
    <row r="3050" spans="1:8">
      <c r="A3050" t="str">
        <f t="shared" si="108"/>
        <v>كهگيلويه وبويراحمدكهگيلويه</v>
      </c>
      <c r="B3050" t="s">
        <v>338</v>
      </c>
      <c r="C3050" t="s">
        <v>341</v>
      </c>
      <c r="D3050" t="s">
        <v>19</v>
      </c>
      <c r="E3050">
        <f t="shared" ca="1" si="110"/>
        <v>0.6</v>
      </c>
      <c r="F3050">
        <f>IFERROR(VLOOKUP(H3050,ProfessionalRisk!A:I,9,0),0)</f>
        <v>2429</v>
      </c>
      <c r="G3050">
        <f t="shared" ca="1" si="109"/>
        <v>1457</v>
      </c>
      <c r="H3050" t="s">
        <v>954</v>
      </c>
    </row>
    <row r="3051" spans="1:8">
      <c r="A3051" t="str">
        <f t="shared" si="108"/>
        <v>كهگيلويه وبويراحمدكهگيلويه</v>
      </c>
      <c r="B3051" t="s">
        <v>338</v>
      </c>
      <c r="C3051" t="s">
        <v>341</v>
      </c>
      <c r="D3051" t="s">
        <v>477</v>
      </c>
      <c r="E3051">
        <f t="shared" ca="1" si="110"/>
        <v>0.4</v>
      </c>
      <c r="F3051">
        <f>IFERROR(VLOOKUP(H3051,ProfessionalRisk!A:I,9,0),0)</f>
        <v>2429</v>
      </c>
      <c r="G3051">
        <f t="shared" ca="1" si="109"/>
        <v>972</v>
      </c>
      <c r="H3051" t="s">
        <v>954</v>
      </c>
    </row>
    <row r="3052" spans="1:8">
      <c r="A3052" t="str">
        <f t="shared" si="108"/>
        <v>كهگيلويه وبويراحمدكهگيلويه</v>
      </c>
      <c r="B3052" t="s">
        <v>338</v>
      </c>
      <c r="C3052" t="s">
        <v>341</v>
      </c>
      <c r="D3052" t="s">
        <v>23</v>
      </c>
      <c r="E3052">
        <f t="shared" ca="1" si="110"/>
        <v>2.8723049063758932E-3</v>
      </c>
      <c r="F3052">
        <f>IFERROR(VLOOKUP(H3052,ProfessionalRisk!A:I,9,0),0)</f>
        <v>2429</v>
      </c>
      <c r="G3052">
        <f t="shared" ca="1" si="109"/>
        <v>7</v>
      </c>
      <c r="H3052" t="s">
        <v>954</v>
      </c>
    </row>
    <row r="3053" spans="1:8">
      <c r="A3053" t="str">
        <f t="shared" si="108"/>
        <v>كهگيلويه وبويراحمدگچساران</v>
      </c>
      <c r="B3053" t="s">
        <v>338</v>
      </c>
      <c r="C3053" t="s">
        <v>342</v>
      </c>
      <c r="D3053" t="s">
        <v>19</v>
      </c>
      <c r="E3053">
        <f t="shared" ca="1" si="110"/>
        <v>0.6</v>
      </c>
      <c r="F3053">
        <f>IFERROR(VLOOKUP(H3053,ProfessionalRisk!A:I,9,0),0)</f>
        <v>2342</v>
      </c>
      <c r="G3053">
        <f t="shared" ca="1" si="109"/>
        <v>1405</v>
      </c>
      <c r="H3053" t="s">
        <v>949</v>
      </c>
    </row>
    <row r="3054" spans="1:8">
      <c r="A3054" t="str">
        <f t="shared" si="108"/>
        <v>كهگيلويه وبويراحمدگچساران</v>
      </c>
      <c r="B3054" t="s">
        <v>338</v>
      </c>
      <c r="C3054" t="s">
        <v>342</v>
      </c>
      <c r="D3054" t="s">
        <v>477</v>
      </c>
      <c r="E3054">
        <f t="shared" ca="1" si="110"/>
        <v>0.4</v>
      </c>
      <c r="F3054">
        <f>IFERROR(VLOOKUP(H3054,ProfessionalRisk!A:I,9,0),0)</f>
        <v>2342</v>
      </c>
      <c r="G3054">
        <f t="shared" ca="1" si="109"/>
        <v>937</v>
      </c>
      <c r="H3054" t="s">
        <v>949</v>
      </c>
    </row>
    <row r="3055" spans="1:8">
      <c r="A3055" t="str">
        <f t="shared" si="108"/>
        <v>كهگيلويه وبويراحمدگچساران</v>
      </c>
      <c r="B3055" t="s">
        <v>338</v>
      </c>
      <c r="C3055" t="s">
        <v>342</v>
      </c>
      <c r="D3055" t="s">
        <v>23</v>
      </c>
      <c r="E3055">
        <f t="shared" ca="1" si="110"/>
        <v>1.0511531977185476E-2</v>
      </c>
      <c r="F3055">
        <f>IFERROR(VLOOKUP(H3055,ProfessionalRisk!A:I,9,0),0)</f>
        <v>2342</v>
      </c>
      <c r="G3055">
        <f t="shared" ca="1" si="109"/>
        <v>25</v>
      </c>
      <c r="H3055" t="s">
        <v>949</v>
      </c>
    </row>
    <row r="3056" spans="1:8">
      <c r="A3056" t="str">
        <f t="shared" si="108"/>
        <v>كهگيلويه وبويراحمددنا</v>
      </c>
      <c r="B3056" t="s">
        <v>338</v>
      </c>
      <c r="C3056" t="s">
        <v>343</v>
      </c>
      <c r="D3056" t="s">
        <v>19</v>
      </c>
      <c r="E3056">
        <f t="shared" ca="1" si="110"/>
        <v>0.6</v>
      </c>
      <c r="F3056">
        <f>IFERROR(VLOOKUP(H3056,ProfessionalRisk!A:I,9,0),0)</f>
        <v>480</v>
      </c>
      <c r="G3056">
        <f t="shared" ca="1" si="109"/>
        <v>288</v>
      </c>
      <c r="H3056" t="s">
        <v>952</v>
      </c>
    </row>
    <row r="3057" spans="1:8">
      <c r="A3057" t="str">
        <f t="shared" si="108"/>
        <v>كهگيلويه وبويراحمددنا</v>
      </c>
      <c r="B3057" t="s">
        <v>338</v>
      </c>
      <c r="C3057" t="s">
        <v>343</v>
      </c>
      <c r="D3057" t="s">
        <v>477</v>
      </c>
      <c r="E3057">
        <f t="shared" ca="1" si="110"/>
        <v>0.4</v>
      </c>
      <c r="F3057">
        <f>IFERROR(VLOOKUP(H3057,ProfessionalRisk!A:I,9,0),0)</f>
        <v>480</v>
      </c>
      <c r="G3057">
        <f t="shared" ca="1" si="109"/>
        <v>192</v>
      </c>
      <c r="H3057" t="s">
        <v>952</v>
      </c>
    </row>
    <row r="3058" spans="1:8">
      <c r="A3058" t="str">
        <f t="shared" si="108"/>
        <v>كهگيلويه وبويراحمددنا</v>
      </c>
      <c r="B3058" t="s">
        <v>338</v>
      </c>
      <c r="C3058" t="s">
        <v>343</v>
      </c>
      <c r="D3058" t="s">
        <v>23</v>
      </c>
      <c r="E3058">
        <f t="shared" ca="1" si="110"/>
        <v>1.2765811820073743E-2</v>
      </c>
      <c r="F3058">
        <f>IFERROR(VLOOKUP(H3058,ProfessionalRisk!A:I,9,0),0)</f>
        <v>480</v>
      </c>
      <c r="G3058">
        <f t="shared" ca="1" si="109"/>
        <v>6</v>
      </c>
      <c r="H3058" t="s">
        <v>952</v>
      </c>
    </row>
    <row r="3059" spans="1:8">
      <c r="A3059" t="str">
        <f t="shared" si="108"/>
        <v>كهگيلويه وبويراحمدبهمئي</v>
      </c>
      <c r="B3059" t="s">
        <v>338</v>
      </c>
      <c r="C3059" t="s">
        <v>344</v>
      </c>
      <c r="D3059" t="s">
        <v>19</v>
      </c>
      <c r="E3059">
        <f t="shared" ca="1" si="110"/>
        <v>0.6</v>
      </c>
      <c r="F3059">
        <f>IFERROR(VLOOKUP(H3059,ProfessionalRisk!A:I,9,0),0)</f>
        <v>466</v>
      </c>
      <c r="G3059">
        <f t="shared" ca="1" si="109"/>
        <v>280</v>
      </c>
      <c r="H3059" t="s">
        <v>958</v>
      </c>
    </row>
    <row r="3060" spans="1:8">
      <c r="A3060" t="str">
        <f t="shared" si="108"/>
        <v>كهگيلويه وبويراحمدبهمئي</v>
      </c>
      <c r="B3060" t="s">
        <v>338</v>
      </c>
      <c r="C3060" t="s">
        <v>344</v>
      </c>
      <c r="D3060" t="s">
        <v>477</v>
      </c>
      <c r="E3060">
        <f t="shared" ca="1" si="110"/>
        <v>0.4</v>
      </c>
      <c r="F3060">
        <f>IFERROR(VLOOKUP(H3060,ProfessionalRisk!A:I,9,0),0)</f>
        <v>466</v>
      </c>
      <c r="G3060">
        <f t="shared" ca="1" si="109"/>
        <v>186</v>
      </c>
      <c r="H3060" t="s">
        <v>958</v>
      </c>
    </row>
    <row r="3061" spans="1:8">
      <c r="A3061" t="str">
        <f t="shared" si="108"/>
        <v>كهگيلويه وبويراحمدبهمئي</v>
      </c>
      <c r="B3061" t="s">
        <v>338</v>
      </c>
      <c r="C3061" t="s">
        <v>344</v>
      </c>
      <c r="D3061" t="s">
        <v>23</v>
      </c>
      <c r="E3061">
        <f t="shared" ca="1" si="110"/>
        <v>1.5891202144316673E-2</v>
      </c>
      <c r="F3061">
        <f>IFERROR(VLOOKUP(H3061,ProfessionalRisk!A:I,9,0),0)</f>
        <v>466</v>
      </c>
      <c r="G3061">
        <f t="shared" ca="1" si="109"/>
        <v>7</v>
      </c>
      <c r="H3061" t="s">
        <v>958</v>
      </c>
    </row>
    <row r="3062" spans="1:8">
      <c r="A3062" t="str">
        <f t="shared" si="108"/>
        <v>كهگيلويه وبويراحمدچرام</v>
      </c>
      <c r="B3062" t="s">
        <v>338</v>
      </c>
      <c r="C3062" t="s">
        <v>345</v>
      </c>
      <c r="D3062" t="s">
        <v>19</v>
      </c>
      <c r="E3062">
        <f t="shared" ca="1" si="110"/>
        <v>0.6</v>
      </c>
      <c r="F3062">
        <f>IFERROR(VLOOKUP(H3062,ProfessionalRisk!A:I,9,0),0)</f>
        <v>293</v>
      </c>
      <c r="G3062">
        <f t="shared" ca="1" si="109"/>
        <v>176</v>
      </c>
      <c r="H3062" t="s">
        <v>951</v>
      </c>
    </row>
    <row r="3063" spans="1:8">
      <c r="A3063" t="str">
        <f t="shared" si="108"/>
        <v>كهگيلويه وبويراحمدچرام</v>
      </c>
      <c r="B3063" t="s">
        <v>338</v>
      </c>
      <c r="C3063" t="s">
        <v>345</v>
      </c>
      <c r="D3063" t="s">
        <v>477</v>
      </c>
      <c r="E3063">
        <f t="shared" ca="1" si="110"/>
        <v>0.4</v>
      </c>
      <c r="F3063">
        <f>IFERROR(VLOOKUP(H3063,ProfessionalRisk!A:I,9,0),0)</f>
        <v>293</v>
      </c>
      <c r="G3063">
        <f t="shared" ca="1" si="109"/>
        <v>117</v>
      </c>
      <c r="H3063" t="s">
        <v>951</v>
      </c>
    </row>
    <row r="3064" spans="1:8">
      <c r="A3064" t="str">
        <f t="shared" si="108"/>
        <v>كهگيلويه وبويراحمدچرام</v>
      </c>
      <c r="B3064" t="s">
        <v>338</v>
      </c>
      <c r="C3064" t="s">
        <v>345</v>
      </c>
      <c r="D3064" t="s">
        <v>23</v>
      </c>
      <c r="E3064">
        <f t="shared" ca="1" si="110"/>
        <v>6.2114613872390461E-3</v>
      </c>
      <c r="F3064">
        <f>IFERROR(VLOOKUP(H3064,ProfessionalRisk!A:I,9,0),0)</f>
        <v>293</v>
      </c>
      <c r="G3064">
        <f t="shared" ca="1" si="109"/>
        <v>2</v>
      </c>
      <c r="H3064" t="s">
        <v>951</v>
      </c>
    </row>
    <row r="3065" spans="1:8">
      <c r="A3065" t="str">
        <f t="shared" si="108"/>
        <v>كهگيلويه وبويراحمدباشت</v>
      </c>
      <c r="B3065" t="s">
        <v>338</v>
      </c>
      <c r="C3065" t="s">
        <v>346</v>
      </c>
      <c r="D3065" t="s">
        <v>19</v>
      </c>
      <c r="E3065">
        <f t="shared" ca="1" si="110"/>
        <v>0.6</v>
      </c>
      <c r="F3065">
        <f>IFERROR(VLOOKUP(H3065,ProfessionalRisk!A:I,9,0),0)</f>
        <v>266</v>
      </c>
      <c r="G3065">
        <f t="shared" ca="1" si="109"/>
        <v>160</v>
      </c>
      <c r="H3065" t="s">
        <v>955</v>
      </c>
    </row>
    <row r="3066" spans="1:8">
      <c r="A3066" t="str">
        <f t="shared" si="108"/>
        <v>كهگيلويه وبويراحمدباشت</v>
      </c>
      <c r="B3066" t="s">
        <v>338</v>
      </c>
      <c r="C3066" t="s">
        <v>346</v>
      </c>
      <c r="D3066" t="s">
        <v>477</v>
      </c>
      <c r="E3066">
        <f t="shared" ca="1" si="110"/>
        <v>0.4</v>
      </c>
      <c r="F3066">
        <f>IFERROR(VLOOKUP(H3066,ProfessionalRisk!A:I,9,0),0)</f>
        <v>266</v>
      </c>
      <c r="G3066">
        <f t="shared" ca="1" si="109"/>
        <v>106</v>
      </c>
      <c r="H3066" t="s">
        <v>955</v>
      </c>
    </row>
    <row r="3067" spans="1:8">
      <c r="A3067" t="str">
        <f t="shared" si="108"/>
        <v>كهگيلويه وبويراحمدباشت</v>
      </c>
      <c r="B3067" t="s">
        <v>338</v>
      </c>
      <c r="C3067" t="s">
        <v>346</v>
      </c>
      <c r="D3067" t="s">
        <v>23</v>
      </c>
      <c r="E3067">
        <f t="shared" ca="1" si="110"/>
        <v>1.1605408683210638E-2</v>
      </c>
      <c r="F3067">
        <f>IFERROR(VLOOKUP(H3067,ProfessionalRisk!A:I,9,0),0)</f>
        <v>266</v>
      </c>
      <c r="G3067">
        <f t="shared" ca="1" si="109"/>
        <v>3</v>
      </c>
      <c r="H3067" t="s">
        <v>955</v>
      </c>
    </row>
    <row r="3068" spans="1:8">
      <c r="A3068" t="str">
        <f t="shared" si="108"/>
        <v xml:space="preserve">كهگيلويه وبويراحمدلنده </v>
      </c>
      <c r="B3068" t="s">
        <v>338</v>
      </c>
      <c r="C3068" t="s">
        <v>348</v>
      </c>
      <c r="D3068" t="s">
        <v>19</v>
      </c>
      <c r="E3068">
        <f t="shared" ca="1" si="110"/>
        <v>0.6</v>
      </c>
      <c r="F3068">
        <f>IFERROR(VLOOKUP(H3068,ProfessionalRisk!A:I,9,0),0)</f>
        <v>303</v>
      </c>
      <c r="G3068">
        <f t="shared" ca="1" si="109"/>
        <v>182</v>
      </c>
      <c r="H3068" t="s">
        <v>956</v>
      </c>
    </row>
    <row r="3069" spans="1:8">
      <c r="A3069" t="str">
        <f t="shared" si="108"/>
        <v xml:space="preserve">كهگيلويه وبويراحمدلنده </v>
      </c>
      <c r="B3069" t="s">
        <v>338</v>
      </c>
      <c r="C3069" t="s">
        <v>348</v>
      </c>
      <c r="D3069" t="s">
        <v>477</v>
      </c>
      <c r="E3069">
        <f t="shared" ca="1" si="110"/>
        <v>0.4</v>
      </c>
      <c r="F3069">
        <f>IFERROR(VLOOKUP(H3069,ProfessionalRisk!A:I,9,0),0)</f>
        <v>303</v>
      </c>
      <c r="G3069">
        <f t="shared" ca="1" si="109"/>
        <v>121</v>
      </c>
      <c r="H3069" t="s">
        <v>956</v>
      </c>
    </row>
    <row r="3070" spans="1:8">
      <c r="A3070" t="str">
        <f t="shared" si="108"/>
        <v xml:space="preserve">كهگيلويه وبويراحمدلنده </v>
      </c>
      <c r="B3070" t="s">
        <v>338</v>
      </c>
      <c r="C3070" t="s">
        <v>348</v>
      </c>
      <c r="D3070" t="s">
        <v>23</v>
      </c>
      <c r="E3070">
        <f t="shared" ca="1" si="110"/>
        <v>1.882564192442595E-3</v>
      </c>
      <c r="F3070">
        <f>IFERROR(VLOOKUP(H3070,ProfessionalRisk!A:I,9,0),0)</f>
        <v>303</v>
      </c>
      <c r="G3070">
        <f t="shared" ca="1" si="109"/>
        <v>1</v>
      </c>
      <c r="H3070" t="s">
        <v>956</v>
      </c>
    </row>
    <row r="3071" spans="1:8">
      <c r="A3071" t="str">
        <f t="shared" si="108"/>
        <v>بوشهربوشهر</v>
      </c>
      <c r="B3071" t="s">
        <v>347</v>
      </c>
      <c r="C3071" t="s">
        <v>347</v>
      </c>
      <c r="D3071" t="s">
        <v>19</v>
      </c>
      <c r="E3071">
        <f t="shared" ca="1" si="110"/>
        <v>0.6</v>
      </c>
      <c r="F3071">
        <f>IFERROR(VLOOKUP(H3071,ProfessionalRisk!A:I,9,0),0)</f>
        <v>6150</v>
      </c>
      <c r="G3071">
        <f t="shared" ca="1" si="109"/>
        <v>3690</v>
      </c>
      <c r="H3071" t="s">
        <v>633</v>
      </c>
    </row>
    <row r="3072" spans="1:8">
      <c r="A3072" t="str">
        <f t="shared" si="108"/>
        <v>بوشهربوشهر</v>
      </c>
      <c r="B3072" t="s">
        <v>347</v>
      </c>
      <c r="C3072" t="s">
        <v>347</v>
      </c>
      <c r="D3072" t="s">
        <v>477</v>
      </c>
      <c r="E3072">
        <f t="shared" ca="1" si="110"/>
        <v>0.4</v>
      </c>
      <c r="F3072">
        <f>IFERROR(VLOOKUP(H3072,ProfessionalRisk!A:I,9,0),0)</f>
        <v>6150</v>
      </c>
      <c r="G3072">
        <f t="shared" ca="1" si="109"/>
        <v>2460</v>
      </c>
      <c r="H3072" t="s">
        <v>633</v>
      </c>
    </row>
    <row r="3073" spans="1:8">
      <c r="A3073" t="str">
        <f t="shared" si="108"/>
        <v>بوشهربوشهر</v>
      </c>
      <c r="B3073" t="s">
        <v>347</v>
      </c>
      <c r="C3073" t="s">
        <v>347</v>
      </c>
      <c r="D3073" t="s">
        <v>23</v>
      </c>
      <c r="E3073">
        <f t="shared" ca="1" si="110"/>
        <v>6.5440248615048534E-3</v>
      </c>
      <c r="F3073">
        <f>IFERROR(VLOOKUP(H3073,ProfessionalRisk!A:I,9,0),0)</f>
        <v>6150</v>
      </c>
      <c r="G3073">
        <f t="shared" ca="1" si="109"/>
        <v>40</v>
      </c>
      <c r="H3073" t="s">
        <v>633</v>
      </c>
    </row>
    <row r="3074" spans="1:8">
      <c r="A3074" t="str">
        <f t="shared" ref="A3074:A3137" si="111">B3074&amp;C3074</f>
        <v>بوشهرتنگستان</v>
      </c>
      <c r="B3074" t="s">
        <v>347</v>
      </c>
      <c r="C3074" t="s">
        <v>349</v>
      </c>
      <c r="D3074" t="s">
        <v>19</v>
      </c>
      <c r="E3074">
        <f t="shared" ca="1" si="110"/>
        <v>0.6</v>
      </c>
      <c r="F3074">
        <f>IFERROR(VLOOKUP(H3074,ProfessionalRisk!A:I,9,0),0)</f>
        <v>935</v>
      </c>
      <c r="G3074">
        <f t="shared" ca="1" si="109"/>
        <v>561</v>
      </c>
      <c r="H3074" t="s">
        <v>625</v>
      </c>
    </row>
    <row r="3075" spans="1:8">
      <c r="A3075" t="str">
        <f t="shared" si="111"/>
        <v>بوشهرتنگستان</v>
      </c>
      <c r="B3075" t="s">
        <v>347</v>
      </c>
      <c r="C3075" t="s">
        <v>349</v>
      </c>
      <c r="D3075" t="s">
        <v>477</v>
      </c>
      <c r="E3075">
        <f t="shared" ca="1" si="110"/>
        <v>0.4</v>
      </c>
      <c r="F3075">
        <f>IFERROR(VLOOKUP(H3075,ProfessionalRisk!A:I,9,0),0)</f>
        <v>935</v>
      </c>
      <c r="G3075">
        <f t="shared" ref="G3075:G3138" ca="1" si="112">IFERROR(ROUND(F3075*E3075,0),0)</f>
        <v>374</v>
      </c>
      <c r="H3075" t="s">
        <v>625</v>
      </c>
    </row>
    <row r="3076" spans="1:8">
      <c r="A3076" t="str">
        <f t="shared" si="111"/>
        <v>بوشهرتنگستان</v>
      </c>
      <c r="B3076" t="s">
        <v>347</v>
      </c>
      <c r="C3076" t="s">
        <v>349</v>
      </c>
      <c r="D3076" t="s">
        <v>23</v>
      </c>
      <c r="E3076">
        <f t="shared" ca="1" si="110"/>
        <v>6.7840422286927727E-3</v>
      </c>
      <c r="F3076">
        <f>IFERROR(VLOOKUP(H3076,ProfessionalRisk!A:I,9,0),0)</f>
        <v>935</v>
      </c>
      <c r="G3076">
        <f t="shared" ca="1" si="112"/>
        <v>6</v>
      </c>
      <c r="H3076" t="s">
        <v>625</v>
      </c>
    </row>
    <row r="3077" spans="1:8">
      <c r="A3077" t="str">
        <f t="shared" si="111"/>
        <v>بوشهردشتستان</v>
      </c>
      <c r="B3077" t="s">
        <v>347</v>
      </c>
      <c r="C3077" t="s">
        <v>350</v>
      </c>
      <c r="D3077" t="s">
        <v>19</v>
      </c>
      <c r="E3077">
        <f t="shared" ca="1" si="110"/>
        <v>0.6</v>
      </c>
      <c r="F3077">
        <f>IFERROR(VLOOKUP(H3077,ProfessionalRisk!A:I,9,0),0)</f>
        <v>2962</v>
      </c>
      <c r="G3077">
        <f t="shared" ca="1" si="112"/>
        <v>1777</v>
      </c>
      <c r="H3077" t="s">
        <v>629</v>
      </c>
    </row>
    <row r="3078" spans="1:8">
      <c r="A3078" t="str">
        <f t="shared" si="111"/>
        <v>بوشهردشتستان</v>
      </c>
      <c r="B3078" t="s">
        <v>347</v>
      </c>
      <c r="C3078" t="s">
        <v>350</v>
      </c>
      <c r="D3078" t="s">
        <v>477</v>
      </c>
      <c r="E3078">
        <f t="shared" ca="1" si="110"/>
        <v>0.4</v>
      </c>
      <c r="F3078">
        <f>IFERROR(VLOOKUP(H3078,ProfessionalRisk!A:I,9,0),0)</f>
        <v>2962</v>
      </c>
      <c r="G3078">
        <f t="shared" ca="1" si="112"/>
        <v>1185</v>
      </c>
      <c r="H3078" t="s">
        <v>629</v>
      </c>
    </row>
    <row r="3079" spans="1:8">
      <c r="A3079" t="str">
        <f t="shared" si="111"/>
        <v>بوشهردشتستان</v>
      </c>
      <c r="B3079" t="s">
        <v>347</v>
      </c>
      <c r="C3079" t="s">
        <v>350</v>
      </c>
      <c r="D3079" t="s">
        <v>23</v>
      </c>
      <c r="E3079">
        <f t="shared" ca="1" si="110"/>
        <v>1.2882810451055418E-2</v>
      </c>
      <c r="F3079">
        <f>IFERROR(VLOOKUP(H3079,ProfessionalRisk!A:I,9,0),0)</f>
        <v>2962</v>
      </c>
      <c r="G3079">
        <f t="shared" ca="1" si="112"/>
        <v>38</v>
      </c>
      <c r="H3079" t="s">
        <v>629</v>
      </c>
    </row>
    <row r="3080" spans="1:8">
      <c r="A3080" t="str">
        <f t="shared" si="111"/>
        <v>بوشهردشتي</v>
      </c>
      <c r="B3080" t="s">
        <v>347</v>
      </c>
      <c r="C3080" t="s">
        <v>351</v>
      </c>
      <c r="D3080" t="s">
        <v>19</v>
      </c>
      <c r="E3080">
        <f t="shared" ca="1" si="110"/>
        <v>0.6</v>
      </c>
      <c r="F3080">
        <f>IFERROR(VLOOKUP(H3080,ProfessionalRisk!A:I,9,0),0)</f>
        <v>1191</v>
      </c>
      <c r="G3080">
        <f t="shared" ca="1" si="112"/>
        <v>715</v>
      </c>
      <c r="H3080" t="s">
        <v>624</v>
      </c>
    </row>
    <row r="3081" spans="1:8">
      <c r="A3081" t="str">
        <f t="shared" si="111"/>
        <v>بوشهردشتي</v>
      </c>
      <c r="B3081" t="s">
        <v>347</v>
      </c>
      <c r="C3081" t="s">
        <v>351</v>
      </c>
      <c r="D3081" t="s">
        <v>477</v>
      </c>
      <c r="E3081">
        <f t="shared" ca="1" si="110"/>
        <v>0.4</v>
      </c>
      <c r="F3081">
        <f>IFERROR(VLOOKUP(H3081,ProfessionalRisk!A:I,9,0),0)</f>
        <v>1191</v>
      </c>
      <c r="G3081">
        <f t="shared" ca="1" si="112"/>
        <v>476</v>
      </c>
      <c r="H3081" t="s">
        <v>624</v>
      </c>
    </row>
    <row r="3082" spans="1:8">
      <c r="A3082" t="str">
        <f t="shared" si="111"/>
        <v>بوشهردشتي</v>
      </c>
      <c r="B3082" t="s">
        <v>347</v>
      </c>
      <c r="C3082" t="s">
        <v>351</v>
      </c>
      <c r="D3082" t="s">
        <v>23</v>
      </c>
      <c r="E3082">
        <f t="shared" ca="1" si="110"/>
        <v>5.6531860439562286E-3</v>
      </c>
      <c r="F3082">
        <f>IFERROR(VLOOKUP(H3082,ProfessionalRisk!A:I,9,0),0)</f>
        <v>1191</v>
      </c>
      <c r="G3082">
        <f t="shared" ca="1" si="112"/>
        <v>7</v>
      </c>
      <c r="H3082" t="s">
        <v>624</v>
      </c>
    </row>
    <row r="3083" spans="1:8">
      <c r="A3083" t="str">
        <f t="shared" si="111"/>
        <v>بوشهردير</v>
      </c>
      <c r="B3083" t="s">
        <v>347</v>
      </c>
      <c r="C3083" t="s">
        <v>352</v>
      </c>
      <c r="D3083" t="s">
        <v>19</v>
      </c>
      <c r="E3083">
        <f t="shared" ca="1" si="110"/>
        <v>0.6</v>
      </c>
      <c r="F3083">
        <f>IFERROR(VLOOKUP(H3083,ProfessionalRisk!A:I,9,0),0)</f>
        <v>359</v>
      </c>
      <c r="G3083">
        <f t="shared" ca="1" si="112"/>
        <v>215</v>
      </c>
      <c r="H3083" t="s">
        <v>632</v>
      </c>
    </row>
    <row r="3084" spans="1:8">
      <c r="A3084" t="str">
        <f t="shared" si="111"/>
        <v>بوشهردير</v>
      </c>
      <c r="B3084" t="s">
        <v>347</v>
      </c>
      <c r="C3084" t="s">
        <v>352</v>
      </c>
      <c r="D3084" t="s">
        <v>477</v>
      </c>
      <c r="E3084">
        <f t="shared" ca="1" si="110"/>
        <v>0.4</v>
      </c>
      <c r="F3084">
        <f>IFERROR(VLOOKUP(H3084,ProfessionalRisk!A:I,9,0),0)</f>
        <v>359</v>
      </c>
      <c r="G3084">
        <f t="shared" ca="1" si="112"/>
        <v>144</v>
      </c>
      <c r="H3084" t="s">
        <v>632</v>
      </c>
    </row>
    <row r="3085" spans="1:8">
      <c r="A3085" t="str">
        <f t="shared" si="111"/>
        <v>بوشهردير</v>
      </c>
      <c r="B3085" t="s">
        <v>347</v>
      </c>
      <c r="C3085" t="s">
        <v>352</v>
      </c>
      <c r="D3085" t="s">
        <v>23</v>
      </c>
      <c r="E3085">
        <f t="shared" ca="1" si="110"/>
        <v>4.6246470981644713E-3</v>
      </c>
      <c r="F3085">
        <f>IFERROR(VLOOKUP(H3085,ProfessionalRisk!A:I,9,0),0)</f>
        <v>359</v>
      </c>
      <c r="G3085">
        <f t="shared" ca="1" si="112"/>
        <v>2</v>
      </c>
      <c r="H3085" t="s">
        <v>632</v>
      </c>
    </row>
    <row r="3086" spans="1:8">
      <c r="A3086" t="str">
        <f t="shared" si="111"/>
        <v>بوشهركنگان</v>
      </c>
      <c r="B3086" t="s">
        <v>347</v>
      </c>
      <c r="C3086" t="s">
        <v>353</v>
      </c>
      <c r="D3086" t="s">
        <v>19</v>
      </c>
      <c r="E3086">
        <f t="shared" ca="1" si="110"/>
        <v>0.6</v>
      </c>
      <c r="F3086">
        <f>IFERROR(VLOOKUP(H3086,ProfessionalRisk!A:I,9,0),0)</f>
        <v>1292</v>
      </c>
      <c r="G3086">
        <f t="shared" ca="1" si="112"/>
        <v>775</v>
      </c>
      <c r="H3086" t="s">
        <v>622</v>
      </c>
    </row>
    <row r="3087" spans="1:8">
      <c r="A3087" t="str">
        <f t="shared" si="111"/>
        <v>بوشهركنگان</v>
      </c>
      <c r="B3087" t="s">
        <v>347</v>
      </c>
      <c r="C3087" t="s">
        <v>353</v>
      </c>
      <c r="D3087" t="s">
        <v>477</v>
      </c>
      <c r="E3087">
        <f t="shared" ca="1" si="110"/>
        <v>0.4</v>
      </c>
      <c r="F3087">
        <f>IFERROR(VLOOKUP(H3087,ProfessionalRisk!A:I,9,0),0)</f>
        <v>1292</v>
      </c>
      <c r="G3087">
        <f t="shared" ca="1" si="112"/>
        <v>517</v>
      </c>
      <c r="H3087" t="s">
        <v>622</v>
      </c>
    </row>
    <row r="3088" spans="1:8">
      <c r="A3088" t="str">
        <f t="shared" si="111"/>
        <v>بوشهركنگان</v>
      </c>
      <c r="B3088" t="s">
        <v>347</v>
      </c>
      <c r="C3088" t="s">
        <v>353</v>
      </c>
      <c r="D3088" t="s">
        <v>23</v>
      </c>
      <c r="E3088">
        <f t="shared" ca="1" si="110"/>
        <v>1.3791739635504679E-2</v>
      </c>
      <c r="F3088">
        <f>IFERROR(VLOOKUP(H3088,ProfessionalRisk!A:I,9,0),0)</f>
        <v>1292</v>
      </c>
      <c r="G3088">
        <f t="shared" ca="1" si="112"/>
        <v>18</v>
      </c>
      <c r="H3088" t="s">
        <v>622</v>
      </c>
    </row>
    <row r="3089" spans="1:8">
      <c r="A3089" t="str">
        <f t="shared" si="111"/>
        <v>بوشهرگناوه</v>
      </c>
      <c r="B3089" t="s">
        <v>347</v>
      </c>
      <c r="C3089" t="s">
        <v>354</v>
      </c>
      <c r="D3089" t="s">
        <v>19</v>
      </c>
      <c r="E3089">
        <f t="shared" ca="1" si="110"/>
        <v>0.6</v>
      </c>
      <c r="F3089">
        <f>IFERROR(VLOOKUP(H3089,ProfessionalRisk!A:I,9,0),0)</f>
        <v>1393</v>
      </c>
      <c r="G3089">
        <f t="shared" ca="1" si="112"/>
        <v>836</v>
      </c>
      <c r="H3089" t="s">
        <v>631</v>
      </c>
    </row>
    <row r="3090" spans="1:8">
      <c r="A3090" t="str">
        <f t="shared" si="111"/>
        <v>بوشهرگناوه</v>
      </c>
      <c r="B3090" t="s">
        <v>347</v>
      </c>
      <c r="C3090" t="s">
        <v>354</v>
      </c>
      <c r="D3090" t="s">
        <v>477</v>
      </c>
      <c r="E3090">
        <f t="shared" ca="1" si="110"/>
        <v>0.4</v>
      </c>
      <c r="F3090">
        <f>IFERROR(VLOOKUP(H3090,ProfessionalRisk!A:I,9,0),0)</f>
        <v>1393</v>
      </c>
      <c r="G3090">
        <f t="shared" ca="1" si="112"/>
        <v>557</v>
      </c>
      <c r="H3090" t="s">
        <v>631</v>
      </c>
    </row>
    <row r="3091" spans="1:8">
      <c r="A3091" t="str">
        <f t="shared" si="111"/>
        <v>بوشهرگناوه</v>
      </c>
      <c r="B3091" t="s">
        <v>347</v>
      </c>
      <c r="C3091" t="s">
        <v>354</v>
      </c>
      <c r="D3091" t="s">
        <v>23</v>
      </c>
      <c r="E3091">
        <f t="shared" ca="1" si="110"/>
        <v>9.1296037655136091E-3</v>
      </c>
      <c r="F3091">
        <f>IFERROR(VLOOKUP(H3091,ProfessionalRisk!A:I,9,0),0)</f>
        <v>1393</v>
      </c>
      <c r="G3091">
        <f t="shared" ca="1" si="112"/>
        <v>13</v>
      </c>
      <c r="H3091" t="s">
        <v>631</v>
      </c>
    </row>
    <row r="3092" spans="1:8">
      <c r="A3092" t="str">
        <f t="shared" si="111"/>
        <v>بوشهرديلم</v>
      </c>
      <c r="B3092" t="s">
        <v>347</v>
      </c>
      <c r="C3092" t="s">
        <v>355</v>
      </c>
      <c r="D3092" t="s">
        <v>19</v>
      </c>
      <c r="E3092">
        <f t="shared" ca="1" si="110"/>
        <v>0.6</v>
      </c>
      <c r="F3092">
        <f>IFERROR(VLOOKUP(H3092,ProfessionalRisk!A:I,9,0),0)</f>
        <v>487</v>
      </c>
      <c r="G3092">
        <f t="shared" ca="1" si="112"/>
        <v>292</v>
      </c>
      <c r="H3092" t="s">
        <v>626</v>
      </c>
    </row>
    <row r="3093" spans="1:8">
      <c r="A3093" t="str">
        <f t="shared" si="111"/>
        <v>بوشهرديلم</v>
      </c>
      <c r="B3093" t="s">
        <v>347</v>
      </c>
      <c r="C3093" t="s">
        <v>355</v>
      </c>
      <c r="D3093" t="s">
        <v>477</v>
      </c>
      <c r="E3093">
        <f t="shared" ca="1" si="110"/>
        <v>0.4</v>
      </c>
      <c r="F3093">
        <f>IFERROR(VLOOKUP(H3093,ProfessionalRisk!A:I,9,0),0)</f>
        <v>487</v>
      </c>
      <c r="G3093">
        <f t="shared" ca="1" si="112"/>
        <v>195</v>
      </c>
      <c r="H3093" t="s">
        <v>626</v>
      </c>
    </row>
    <row r="3094" spans="1:8">
      <c r="A3094" t="str">
        <f t="shared" si="111"/>
        <v>بوشهرديلم</v>
      </c>
      <c r="B3094" t="s">
        <v>347</v>
      </c>
      <c r="C3094" t="s">
        <v>355</v>
      </c>
      <c r="D3094" t="s">
        <v>23</v>
      </c>
      <c r="E3094">
        <f t="shared" ca="1" si="110"/>
        <v>1.9782951147330339E-2</v>
      </c>
      <c r="F3094">
        <f>IFERROR(VLOOKUP(H3094,ProfessionalRisk!A:I,9,0),0)</f>
        <v>487</v>
      </c>
      <c r="G3094">
        <f t="shared" ca="1" si="112"/>
        <v>10</v>
      </c>
      <c r="H3094" t="s">
        <v>626</v>
      </c>
    </row>
    <row r="3095" spans="1:8">
      <c r="A3095" t="str">
        <f t="shared" si="111"/>
        <v>بوشهرجم</v>
      </c>
      <c r="B3095" t="s">
        <v>347</v>
      </c>
      <c r="C3095" t="s">
        <v>356</v>
      </c>
      <c r="D3095" t="s">
        <v>19</v>
      </c>
      <c r="E3095">
        <f t="shared" ca="1" si="110"/>
        <v>0.6</v>
      </c>
      <c r="F3095">
        <f>IFERROR(VLOOKUP(H3095,ProfessionalRisk!A:I,9,0),0)</f>
        <v>679</v>
      </c>
      <c r="G3095">
        <f t="shared" ca="1" si="112"/>
        <v>407</v>
      </c>
      <c r="H3095" t="s">
        <v>630</v>
      </c>
    </row>
    <row r="3096" spans="1:8">
      <c r="A3096" t="str">
        <f t="shared" si="111"/>
        <v>بوشهرجم</v>
      </c>
      <c r="B3096" t="s">
        <v>347</v>
      </c>
      <c r="C3096" t="s">
        <v>356</v>
      </c>
      <c r="D3096" t="s">
        <v>477</v>
      </c>
      <c r="E3096">
        <f t="shared" ca="1" si="110"/>
        <v>0.4</v>
      </c>
      <c r="F3096">
        <f>IFERROR(VLOOKUP(H3096,ProfessionalRisk!A:I,9,0),0)</f>
        <v>679</v>
      </c>
      <c r="G3096">
        <f t="shared" ca="1" si="112"/>
        <v>272</v>
      </c>
      <c r="H3096" t="s">
        <v>630</v>
      </c>
    </row>
    <row r="3097" spans="1:8">
      <c r="A3097" t="str">
        <f t="shared" si="111"/>
        <v>بوشهرجم</v>
      </c>
      <c r="B3097" t="s">
        <v>347</v>
      </c>
      <c r="C3097" t="s">
        <v>356</v>
      </c>
      <c r="D3097" t="s">
        <v>23</v>
      </c>
      <c r="E3097">
        <f t="shared" ca="1" si="110"/>
        <v>1.9330487745302986E-2</v>
      </c>
      <c r="F3097">
        <f>IFERROR(VLOOKUP(H3097,ProfessionalRisk!A:I,9,0),0)</f>
        <v>679</v>
      </c>
      <c r="G3097">
        <f t="shared" ca="1" si="112"/>
        <v>13</v>
      </c>
      <c r="H3097" t="s">
        <v>630</v>
      </c>
    </row>
    <row r="3098" spans="1:8">
      <c r="A3098" t="str">
        <f t="shared" si="111"/>
        <v xml:space="preserve">بوشهرعسلویه </v>
      </c>
      <c r="B3098" t="s">
        <v>347</v>
      </c>
      <c r="C3098" t="s">
        <v>358</v>
      </c>
      <c r="D3098" t="s">
        <v>19</v>
      </c>
      <c r="E3098">
        <f t="shared" ca="1" si="110"/>
        <v>0.6</v>
      </c>
      <c r="F3098">
        <f>IFERROR(VLOOKUP(H3098,ProfessionalRisk!A:I,9,0),0)</f>
        <v>594</v>
      </c>
      <c r="G3098">
        <f t="shared" ca="1" si="112"/>
        <v>356</v>
      </c>
      <c r="H3098" t="s">
        <v>627</v>
      </c>
    </row>
    <row r="3099" spans="1:8">
      <c r="A3099" t="str">
        <f t="shared" si="111"/>
        <v xml:space="preserve">بوشهرعسلویه </v>
      </c>
      <c r="B3099" t="s">
        <v>347</v>
      </c>
      <c r="C3099" t="s">
        <v>358</v>
      </c>
      <c r="D3099" t="s">
        <v>477</v>
      </c>
      <c r="E3099">
        <f t="shared" ca="1" si="110"/>
        <v>0.4</v>
      </c>
      <c r="F3099">
        <f>IFERROR(VLOOKUP(H3099,ProfessionalRisk!A:I,9,0),0)</f>
        <v>594</v>
      </c>
      <c r="G3099">
        <f t="shared" ca="1" si="112"/>
        <v>238</v>
      </c>
      <c r="H3099" t="s">
        <v>627</v>
      </c>
    </row>
    <row r="3100" spans="1:8">
      <c r="A3100" t="str">
        <f t="shared" si="111"/>
        <v xml:space="preserve">بوشهرعسلویه </v>
      </c>
      <c r="B3100" t="s">
        <v>347</v>
      </c>
      <c r="C3100" t="s">
        <v>358</v>
      </c>
      <c r="D3100" t="s">
        <v>23</v>
      </c>
      <c r="E3100">
        <f t="shared" ca="1" si="110"/>
        <v>8.6804734725193285E-3</v>
      </c>
      <c r="F3100">
        <f>IFERROR(VLOOKUP(H3100,ProfessionalRisk!A:I,9,0),0)</f>
        <v>594</v>
      </c>
      <c r="G3100">
        <f t="shared" ca="1" si="112"/>
        <v>5</v>
      </c>
      <c r="H3100" t="s">
        <v>627</v>
      </c>
    </row>
    <row r="3101" spans="1:8">
      <c r="A3101" t="str">
        <f t="shared" si="111"/>
        <v>زنجانابهر</v>
      </c>
      <c r="B3101" t="s">
        <v>357</v>
      </c>
      <c r="C3101" t="s">
        <v>359</v>
      </c>
      <c r="D3101" t="s">
        <v>19</v>
      </c>
      <c r="E3101">
        <f t="shared" ca="1" si="110"/>
        <v>0.6</v>
      </c>
      <c r="F3101">
        <f>IFERROR(VLOOKUP(H3101,ProfessionalRisk!A:I,9,0),0)</f>
        <v>3124</v>
      </c>
      <c r="G3101">
        <f t="shared" ca="1" si="112"/>
        <v>1874</v>
      </c>
      <c r="H3101" t="s">
        <v>740</v>
      </c>
    </row>
    <row r="3102" spans="1:8">
      <c r="A3102" t="str">
        <f t="shared" si="111"/>
        <v>زنجانابهر</v>
      </c>
      <c r="B3102" t="s">
        <v>357</v>
      </c>
      <c r="C3102" t="s">
        <v>359</v>
      </c>
      <c r="D3102" t="s">
        <v>477</v>
      </c>
      <c r="E3102">
        <f t="shared" ca="1" si="110"/>
        <v>0.4</v>
      </c>
      <c r="F3102">
        <f>IFERROR(VLOOKUP(H3102,ProfessionalRisk!A:I,9,0),0)</f>
        <v>3124</v>
      </c>
      <c r="G3102">
        <f t="shared" ca="1" si="112"/>
        <v>1250</v>
      </c>
      <c r="H3102" t="s">
        <v>740</v>
      </c>
    </row>
    <row r="3103" spans="1:8">
      <c r="A3103" t="str">
        <f t="shared" si="111"/>
        <v>زنجانابهر</v>
      </c>
      <c r="B3103" t="s">
        <v>357</v>
      </c>
      <c r="C3103" t="s">
        <v>359</v>
      </c>
      <c r="D3103" t="s">
        <v>23</v>
      </c>
      <c r="E3103">
        <f t="shared" ca="1" si="110"/>
        <v>1.9934688905256137E-3</v>
      </c>
      <c r="F3103">
        <f>IFERROR(VLOOKUP(H3103,ProfessionalRisk!A:I,9,0),0)</f>
        <v>3124</v>
      </c>
      <c r="G3103">
        <f t="shared" ca="1" si="112"/>
        <v>6</v>
      </c>
      <c r="H3103" t="s">
        <v>740</v>
      </c>
    </row>
    <row r="3104" spans="1:8">
      <c r="A3104" t="str">
        <f t="shared" si="111"/>
        <v>زنجانخدابنده</v>
      </c>
      <c r="B3104" t="s">
        <v>357</v>
      </c>
      <c r="C3104" t="s">
        <v>360</v>
      </c>
      <c r="D3104" t="s">
        <v>19</v>
      </c>
      <c r="E3104">
        <f t="shared" ca="1" si="110"/>
        <v>0.6</v>
      </c>
      <c r="F3104">
        <f>IFERROR(VLOOKUP(H3104,ProfessionalRisk!A:I,9,0),0)</f>
        <v>1960</v>
      </c>
      <c r="G3104">
        <f t="shared" ca="1" si="112"/>
        <v>1176</v>
      </c>
      <c r="H3104" t="s">
        <v>746</v>
      </c>
    </row>
    <row r="3105" spans="1:8">
      <c r="A3105" t="str">
        <f t="shared" si="111"/>
        <v>زنجانخدابنده</v>
      </c>
      <c r="B3105" t="s">
        <v>357</v>
      </c>
      <c r="C3105" t="s">
        <v>360</v>
      </c>
      <c r="D3105" t="s">
        <v>477</v>
      </c>
      <c r="E3105">
        <f t="shared" ca="1" si="110"/>
        <v>0.4</v>
      </c>
      <c r="F3105">
        <f>IFERROR(VLOOKUP(H3105,ProfessionalRisk!A:I,9,0),0)</f>
        <v>1960</v>
      </c>
      <c r="G3105">
        <f t="shared" ca="1" si="112"/>
        <v>784</v>
      </c>
      <c r="H3105" t="s">
        <v>746</v>
      </c>
    </row>
    <row r="3106" spans="1:8">
      <c r="A3106" t="str">
        <f t="shared" si="111"/>
        <v>زنجانخدابنده</v>
      </c>
      <c r="B3106" t="s">
        <v>357</v>
      </c>
      <c r="C3106" t="s">
        <v>360</v>
      </c>
      <c r="D3106" t="s">
        <v>23</v>
      </c>
      <c r="E3106">
        <f t="shared" ca="1" si="110"/>
        <v>4.0529553418755708E-3</v>
      </c>
      <c r="F3106">
        <f>IFERROR(VLOOKUP(H3106,ProfessionalRisk!A:I,9,0),0)</f>
        <v>1960</v>
      </c>
      <c r="G3106">
        <f t="shared" ca="1" si="112"/>
        <v>8</v>
      </c>
      <c r="H3106" t="s">
        <v>746</v>
      </c>
    </row>
    <row r="3107" spans="1:8">
      <c r="A3107" t="str">
        <f t="shared" si="111"/>
        <v>زنجانزنجان</v>
      </c>
      <c r="B3107" t="s">
        <v>357</v>
      </c>
      <c r="C3107" t="s">
        <v>357</v>
      </c>
      <c r="D3107" t="s">
        <v>19</v>
      </c>
      <c r="E3107">
        <f t="shared" ref="E3107:E3170" ca="1" si="113">IF(D3107="AP",0.6,IF(D3107="BP",0.4,RAND()*0.02))</f>
        <v>0.6</v>
      </c>
      <c r="F3107">
        <f>IFERROR(VLOOKUP(H3107,ProfessionalRisk!A:I,9,0),0)</f>
        <v>10264</v>
      </c>
      <c r="G3107">
        <f t="shared" ca="1" si="112"/>
        <v>6158</v>
      </c>
      <c r="H3107" t="s">
        <v>739</v>
      </c>
    </row>
    <row r="3108" spans="1:8">
      <c r="A3108" t="str">
        <f t="shared" si="111"/>
        <v>زنجانزنجان</v>
      </c>
      <c r="B3108" t="s">
        <v>357</v>
      </c>
      <c r="C3108" t="s">
        <v>357</v>
      </c>
      <c r="D3108" t="s">
        <v>477</v>
      </c>
      <c r="E3108">
        <f t="shared" ca="1" si="113"/>
        <v>0.4</v>
      </c>
      <c r="F3108">
        <f>IFERROR(VLOOKUP(H3108,ProfessionalRisk!A:I,9,0),0)</f>
        <v>10264</v>
      </c>
      <c r="G3108">
        <f t="shared" ca="1" si="112"/>
        <v>4106</v>
      </c>
      <c r="H3108" t="s">
        <v>739</v>
      </c>
    </row>
    <row r="3109" spans="1:8">
      <c r="A3109" t="str">
        <f t="shared" si="111"/>
        <v>زنجانزنجان</v>
      </c>
      <c r="B3109" t="s">
        <v>357</v>
      </c>
      <c r="C3109" t="s">
        <v>357</v>
      </c>
      <c r="D3109" t="s">
        <v>23</v>
      </c>
      <c r="E3109">
        <f t="shared" ca="1" si="113"/>
        <v>1.739799044566314E-2</v>
      </c>
      <c r="F3109">
        <f>IFERROR(VLOOKUP(H3109,ProfessionalRisk!A:I,9,0),0)</f>
        <v>10264</v>
      </c>
      <c r="G3109">
        <f t="shared" ca="1" si="112"/>
        <v>179</v>
      </c>
      <c r="H3109" t="s">
        <v>739</v>
      </c>
    </row>
    <row r="3110" spans="1:8">
      <c r="A3110" t="str">
        <f t="shared" si="111"/>
        <v>زنجانايجرود</v>
      </c>
      <c r="B3110" t="s">
        <v>357</v>
      </c>
      <c r="C3110" t="s">
        <v>361</v>
      </c>
      <c r="D3110" t="s">
        <v>19</v>
      </c>
      <c r="E3110">
        <f t="shared" ca="1" si="113"/>
        <v>0.6</v>
      </c>
      <c r="F3110">
        <f>IFERROR(VLOOKUP(H3110,ProfessionalRisk!A:I,9,0),0)</f>
        <v>416</v>
      </c>
      <c r="G3110">
        <f t="shared" ca="1" si="112"/>
        <v>250</v>
      </c>
      <c r="H3110" t="s">
        <v>744</v>
      </c>
    </row>
    <row r="3111" spans="1:8">
      <c r="A3111" t="str">
        <f t="shared" si="111"/>
        <v>زنجانايجرود</v>
      </c>
      <c r="B3111" t="s">
        <v>357</v>
      </c>
      <c r="C3111" t="s">
        <v>361</v>
      </c>
      <c r="D3111" t="s">
        <v>477</v>
      </c>
      <c r="E3111">
        <f t="shared" ca="1" si="113"/>
        <v>0.4</v>
      </c>
      <c r="F3111">
        <f>IFERROR(VLOOKUP(H3111,ProfessionalRisk!A:I,9,0),0)</f>
        <v>416</v>
      </c>
      <c r="G3111">
        <f t="shared" ca="1" si="112"/>
        <v>166</v>
      </c>
      <c r="H3111" t="s">
        <v>744</v>
      </c>
    </row>
    <row r="3112" spans="1:8">
      <c r="A3112" t="str">
        <f t="shared" si="111"/>
        <v>زنجانايجرود</v>
      </c>
      <c r="B3112" t="s">
        <v>357</v>
      </c>
      <c r="C3112" t="s">
        <v>361</v>
      </c>
      <c r="D3112" t="s">
        <v>23</v>
      </c>
      <c r="E3112">
        <f t="shared" ca="1" si="113"/>
        <v>1.0005003539511636E-3</v>
      </c>
      <c r="F3112">
        <f>IFERROR(VLOOKUP(H3112,ProfessionalRisk!A:I,9,0),0)</f>
        <v>416</v>
      </c>
      <c r="G3112">
        <f t="shared" ca="1" si="112"/>
        <v>0</v>
      </c>
      <c r="H3112" t="s">
        <v>744</v>
      </c>
    </row>
    <row r="3113" spans="1:8">
      <c r="A3113" t="str">
        <f t="shared" si="111"/>
        <v>زنجانخرمدره</v>
      </c>
      <c r="B3113" t="s">
        <v>357</v>
      </c>
      <c r="C3113" t="s">
        <v>362</v>
      </c>
      <c r="D3113" t="s">
        <v>19</v>
      </c>
      <c r="E3113">
        <f t="shared" ca="1" si="113"/>
        <v>0.6</v>
      </c>
      <c r="F3113">
        <f>IFERROR(VLOOKUP(H3113,ProfessionalRisk!A:I,9,0),0)</f>
        <v>962</v>
      </c>
      <c r="G3113">
        <f t="shared" ca="1" si="112"/>
        <v>577</v>
      </c>
      <c r="H3113" t="s">
        <v>747</v>
      </c>
    </row>
    <row r="3114" spans="1:8">
      <c r="A3114" t="str">
        <f t="shared" si="111"/>
        <v>زنجانخرمدره</v>
      </c>
      <c r="B3114" t="s">
        <v>357</v>
      </c>
      <c r="C3114" t="s">
        <v>362</v>
      </c>
      <c r="D3114" t="s">
        <v>477</v>
      </c>
      <c r="E3114">
        <f t="shared" ca="1" si="113"/>
        <v>0.4</v>
      </c>
      <c r="F3114">
        <f>IFERROR(VLOOKUP(H3114,ProfessionalRisk!A:I,9,0),0)</f>
        <v>962</v>
      </c>
      <c r="G3114">
        <f t="shared" ca="1" si="112"/>
        <v>385</v>
      </c>
      <c r="H3114" t="s">
        <v>747</v>
      </c>
    </row>
    <row r="3115" spans="1:8">
      <c r="A3115" t="str">
        <f t="shared" si="111"/>
        <v>زنجانخرمدره</v>
      </c>
      <c r="B3115" t="s">
        <v>357</v>
      </c>
      <c r="C3115" t="s">
        <v>362</v>
      </c>
      <c r="D3115" t="s">
        <v>23</v>
      </c>
      <c r="E3115">
        <f t="shared" ca="1" si="113"/>
        <v>2.2829505326902224E-3</v>
      </c>
      <c r="F3115">
        <f>IFERROR(VLOOKUP(H3115,ProfessionalRisk!A:I,9,0),0)</f>
        <v>962</v>
      </c>
      <c r="G3115">
        <f t="shared" ca="1" si="112"/>
        <v>2</v>
      </c>
      <c r="H3115" t="s">
        <v>747</v>
      </c>
    </row>
    <row r="3116" spans="1:8">
      <c r="A3116" t="str">
        <f t="shared" si="111"/>
        <v>زنجانطارم</v>
      </c>
      <c r="B3116" t="s">
        <v>357</v>
      </c>
      <c r="C3116" t="s">
        <v>363</v>
      </c>
      <c r="D3116" t="s">
        <v>19</v>
      </c>
      <c r="E3116">
        <f t="shared" ca="1" si="113"/>
        <v>0.6</v>
      </c>
      <c r="F3116">
        <f>IFERROR(VLOOKUP(H3116,ProfessionalRisk!A:I,9,0),0)</f>
        <v>597</v>
      </c>
      <c r="G3116">
        <f t="shared" ca="1" si="112"/>
        <v>358</v>
      </c>
      <c r="H3116" t="s">
        <v>745</v>
      </c>
    </row>
    <row r="3117" spans="1:8">
      <c r="A3117" t="str">
        <f t="shared" si="111"/>
        <v>زنجانطارم</v>
      </c>
      <c r="B3117" t="s">
        <v>357</v>
      </c>
      <c r="C3117" t="s">
        <v>363</v>
      </c>
      <c r="D3117" t="s">
        <v>477</v>
      </c>
      <c r="E3117">
        <f t="shared" ca="1" si="113"/>
        <v>0.4</v>
      </c>
      <c r="F3117">
        <f>IFERROR(VLOOKUP(H3117,ProfessionalRisk!A:I,9,0),0)</f>
        <v>597</v>
      </c>
      <c r="G3117">
        <f t="shared" ca="1" si="112"/>
        <v>239</v>
      </c>
      <c r="H3117" t="s">
        <v>745</v>
      </c>
    </row>
    <row r="3118" spans="1:8">
      <c r="A3118" t="str">
        <f t="shared" si="111"/>
        <v>زنجانطارم</v>
      </c>
      <c r="B3118" t="s">
        <v>357</v>
      </c>
      <c r="C3118" t="s">
        <v>363</v>
      </c>
      <c r="D3118" t="s">
        <v>23</v>
      </c>
      <c r="E3118">
        <f t="shared" ca="1" si="113"/>
        <v>1.1855096321849832E-2</v>
      </c>
      <c r="F3118">
        <f>IFERROR(VLOOKUP(H3118,ProfessionalRisk!A:I,9,0),0)</f>
        <v>597</v>
      </c>
      <c r="G3118">
        <f t="shared" ca="1" si="112"/>
        <v>7</v>
      </c>
      <c r="H3118" t="s">
        <v>745</v>
      </c>
    </row>
    <row r="3119" spans="1:8">
      <c r="A3119" t="str">
        <f t="shared" si="111"/>
        <v>زنجانماهنشان</v>
      </c>
      <c r="B3119" t="s">
        <v>357</v>
      </c>
      <c r="C3119" t="s">
        <v>364</v>
      </c>
      <c r="D3119" t="s">
        <v>19</v>
      </c>
      <c r="E3119">
        <f t="shared" ca="1" si="113"/>
        <v>0.6</v>
      </c>
      <c r="F3119">
        <f>IFERROR(VLOOKUP(H3119,ProfessionalRisk!A:I,9,0),0)</f>
        <v>539</v>
      </c>
      <c r="G3119">
        <f t="shared" ca="1" si="112"/>
        <v>323</v>
      </c>
      <c r="H3119" t="s">
        <v>743</v>
      </c>
    </row>
    <row r="3120" spans="1:8">
      <c r="A3120" t="str">
        <f t="shared" si="111"/>
        <v>زنجانماهنشان</v>
      </c>
      <c r="B3120" t="s">
        <v>357</v>
      </c>
      <c r="C3120" t="s">
        <v>364</v>
      </c>
      <c r="D3120" t="s">
        <v>477</v>
      </c>
      <c r="E3120">
        <f t="shared" ca="1" si="113"/>
        <v>0.4</v>
      </c>
      <c r="F3120">
        <f>IFERROR(VLOOKUP(H3120,ProfessionalRisk!A:I,9,0),0)</f>
        <v>539</v>
      </c>
      <c r="G3120">
        <f t="shared" ca="1" si="112"/>
        <v>216</v>
      </c>
      <c r="H3120" t="s">
        <v>743</v>
      </c>
    </row>
    <row r="3121" spans="1:8">
      <c r="A3121" t="str">
        <f t="shared" si="111"/>
        <v>زنجانماهنشان</v>
      </c>
      <c r="B3121" t="s">
        <v>357</v>
      </c>
      <c r="C3121" t="s">
        <v>364</v>
      </c>
      <c r="D3121" t="s">
        <v>23</v>
      </c>
      <c r="E3121">
        <f t="shared" ca="1" si="113"/>
        <v>6.0869001829725721E-3</v>
      </c>
      <c r="F3121">
        <f>IFERROR(VLOOKUP(H3121,ProfessionalRisk!A:I,9,0),0)</f>
        <v>539</v>
      </c>
      <c r="G3121">
        <f t="shared" ca="1" si="112"/>
        <v>3</v>
      </c>
      <c r="H3121" t="s">
        <v>743</v>
      </c>
    </row>
    <row r="3122" spans="1:8">
      <c r="A3122" t="str">
        <f t="shared" si="111"/>
        <v>زنجانسلطانیه</v>
      </c>
      <c r="B3122" t="s">
        <v>357</v>
      </c>
      <c r="C3122" t="s">
        <v>366</v>
      </c>
      <c r="D3122" t="s">
        <v>19</v>
      </c>
      <c r="E3122">
        <f t="shared" ca="1" si="113"/>
        <v>0.6</v>
      </c>
      <c r="F3122">
        <f>IFERROR(VLOOKUP(H3122,ProfessionalRisk!A:I,9,0),0)</f>
        <v>278</v>
      </c>
      <c r="G3122">
        <f t="shared" ca="1" si="112"/>
        <v>167</v>
      </c>
      <c r="H3122" t="s">
        <v>741</v>
      </c>
    </row>
    <row r="3123" spans="1:8">
      <c r="A3123" t="str">
        <f t="shared" si="111"/>
        <v>زنجانسلطانیه</v>
      </c>
      <c r="B3123" t="s">
        <v>357</v>
      </c>
      <c r="C3123" t="s">
        <v>366</v>
      </c>
      <c r="D3123" t="s">
        <v>477</v>
      </c>
      <c r="E3123">
        <f t="shared" ca="1" si="113"/>
        <v>0.4</v>
      </c>
      <c r="F3123">
        <f>IFERROR(VLOOKUP(H3123,ProfessionalRisk!A:I,9,0),0)</f>
        <v>278</v>
      </c>
      <c r="G3123">
        <f t="shared" ca="1" si="112"/>
        <v>111</v>
      </c>
      <c r="H3123" t="s">
        <v>741</v>
      </c>
    </row>
    <row r="3124" spans="1:8">
      <c r="A3124" t="str">
        <f t="shared" si="111"/>
        <v>زنجانسلطانیه</v>
      </c>
      <c r="B3124" t="s">
        <v>357</v>
      </c>
      <c r="C3124" t="s">
        <v>366</v>
      </c>
      <c r="D3124" t="s">
        <v>23</v>
      </c>
      <c r="E3124">
        <f t="shared" ca="1" si="113"/>
        <v>1.9755026744376961E-2</v>
      </c>
      <c r="F3124">
        <f>IFERROR(VLOOKUP(H3124,ProfessionalRisk!A:I,9,0),0)</f>
        <v>278</v>
      </c>
      <c r="G3124">
        <f t="shared" ca="1" si="112"/>
        <v>5</v>
      </c>
      <c r="H3124" t="s">
        <v>741</v>
      </c>
    </row>
    <row r="3125" spans="1:8">
      <c r="A3125" t="str">
        <f t="shared" si="111"/>
        <v>سمناندامغان</v>
      </c>
      <c r="B3125" t="s">
        <v>365</v>
      </c>
      <c r="C3125" t="s">
        <v>367</v>
      </c>
      <c r="D3125" t="s">
        <v>19</v>
      </c>
      <c r="E3125">
        <f t="shared" ca="1" si="113"/>
        <v>0.6</v>
      </c>
      <c r="F3125">
        <f>IFERROR(VLOOKUP(H3125,ProfessionalRisk!A:I,9,0),0)</f>
        <v>1600</v>
      </c>
      <c r="G3125">
        <f t="shared" ca="1" si="112"/>
        <v>960</v>
      </c>
      <c r="H3125" t="s">
        <v>752</v>
      </c>
    </row>
    <row r="3126" spans="1:8">
      <c r="A3126" t="str">
        <f t="shared" si="111"/>
        <v>سمناندامغان</v>
      </c>
      <c r="B3126" t="s">
        <v>365</v>
      </c>
      <c r="C3126" t="s">
        <v>367</v>
      </c>
      <c r="D3126" t="s">
        <v>477</v>
      </c>
      <c r="E3126">
        <f t="shared" ca="1" si="113"/>
        <v>0.4</v>
      </c>
      <c r="F3126">
        <f>IFERROR(VLOOKUP(H3126,ProfessionalRisk!A:I,9,0),0)</f>
        <v>1600</v>
      </c>
      <c r="G3126">
        <f t="shared" ca="1" si="112"/>
        <v>640</v>
      </c>
      <c r="H3126" t="s">
        <v>752</v>
      </c>
    </row>
    <row r="3127" spans="1:8">
      <c r="A3127" t="str">
        <f t="shared" si="111"/>
        <v>سمناندامغان</v>
      </c>
      <c r="B3127" t="s">
        <v>365</v>
      </c>
      <c r="C3127" t="s">
        <v>367</v>
      </c>
      <c r="D3127" t="s">
        <v>23</v>
      </c>
      <c r="E3127">
        <f t="shared" ca="1" si="113"/>
        <v>3.1155281619344444E-3</v>
      </c>
      <c r="F3127">
        <f>IFERROR(VLOOKUP(H3127,ProfessionalRisk!A:I,9,0),0)</f>
        <v>1600</v>
      </c>
      <c r="G3127">
        <f t="shared" ca="1" si="112"/>
        <v>5</v>
      </c>
      <c r="H3127" t="s">
        <v>752</v>
      </c>
    </row>
    <row r="3128" spans="1:8">
      <c r="A3128" t="str">
        <f t="shared" si="111"/>
        <v>سمنانسمنان</v>
      </c>
      <c r="B3128" t="s">
        <v>365</v>
      </c>
      <c r="C3128" t="s">
        <v>365</v>
      </c>
      <c r="D3128" t="s">
        <v>19</v>
      </c>
      <c r="E3128">
        <f t="shared" ca="1" si="113"/>
        <v>0.6</v>
      </c>
      <c r="F3128">
        <f>IFERROR(VLOOKUP(H3128,ProfessionalRisk!A:I,9,0),0)</f>
        <v>4529</v>
      </c>
      <c r="G3128">
        <f t="shared" ca="1" si="112"/>
        <v>2717</v>
      </c>
      <c r="H3128" t="s">
        <v>748</v>
      </c>
    </row>
    <row r="3129" spans="1:8">
      <c r="A3129" t="str">
        <f t="shared" si="111"/>
        <v>سمنانسمنان</v>
      </c>
      <c r="B3129" t="s">
        <v>365</v>
      </c>
      <c r="C3129" t="s">
        <v>365</v>
      </c>
      <c r="D3129" t="s">
        <v>477</v>
      </c>
      <c r="E3129">
        <f t="shared" ca="1" si="113"/>
        <v>0.4</v>
      </c>
      <c r="F3129">
        <f>IFERROR(VLOOKUP(H3129,ProfessionalRisk!A:I,9,0),0)</f>
        <v>4529</v>
      </c>
      <c r="G3129">
        <f t="shared" ca="1" si="112"/>
        <v>1812</v>
      </c>
      <c r="H3129" t="s">
        <v>748</v>
      </c>
    </row>
    <row r="3130" spans="1:8">
      <c r="A3130" t="str">
        <f t="shared" si="111"/>
        <v>سمنانسمنان</v>
      </c>
      <c r="B3130" t="s">
        <v>365</v>
      </c>
      <c r="C3130" t="s">
        <v>365</v>
      </c>
      <c r="D3130" t="s">
        <v>23</v>
      </c>
      <c r="E3130">
        <f t="shared" ca="1" si="113"/>
        <v>1.267775626812111E-3</v>
      </c>
      <c r="F3130">
        <f>IFERROR(VLOOKUP(H3130,ProfessionalRisk!A:I,9,0),0)</f>
        <v>4529</v>
      </c>
      <c r="G3130">
        <f t="shared" ca="1" si="112"/>
        <v>6</v>
      </c>
      <c r="H3130" t="s">
        <v>748</v>
      </c>
    </row>
    <row r="3131" spans="1:8">
      <c r="A3131" t="str">
        <f t="shared" si="111"/>
        <v>سمنانشاهرود</v>
      </c>
      <c r="B3131" t="s">
        <v>365</v>
      </c>
      <c r="C3131" t="s">
        <v>368</v>
      </c>
      <c r="D3131" t="s">
        <v>19</v>
      </c>
      <c r="E3131">
        <f t="shared" ca="1" si="113"/>
        <v>0.6</v>
      </c>
      <c r="F3131">
        <f>IFERROR(VLOOKUP(H3131,ProfessionalRisk!A:I,9,0),0)</f>
        <v>5812</v>
      </c>
      <c r="G3131">
        <f t="shared" ca="1" si="112"/>
        <v>3487</v>
      </c>
      <c r="H3131" t="s">
        <v>753</v>
      </c>
    </row>
    <row r="3132" spans="1:8">
      <c r="A3132" t="str">
        <f t="shared" si="111"/>
        <v>سمنانشاهرود</v>
      </c>
      <c r="B3132" t="s">
        <v>365</v>
      </c>
      <c r="C3132" t="s">
        <v>368</v>
      </c>
      <c r="D3132" t="s">
        <v>477</v>
      </c>
      <c r="E3132">
        <f t="shared" ca="1" si="113"/>
        <v>0.4</v>
      </c>
      <c r="F3132">
        <f>IFERROR(VLOOKUP(H3132,ProfessionalRisk!A:I,9,0),0)</f>
        <v>5812</v>
      </c>
      <c r="G3132">
        <f t="shared" ca="1" si="112"/>
        <v>2325</v>
      </c>
      <c r="H3132" t="s">
        <v>753</v>
      </c>
    </row>
    <row r="3133" spans="1:8">
      <c r="A3133" t="str">
        <f t="shared" si="111"/>
        <v>سمنانشاهرود</v>
      </c>
      <c r="B3133" t="s">
        <v>365</v>
      </c>
      <c r="C3133" t="s">
        <v>368</v>
      </c>
      <c r="D3133" t="s">
        <v>23</v>
      </c>
      <c r="E3133">
        <f t="shared" ca="1" si="113"/>
        <v>1.9931748612928953E-2</v>
      </c>
      <c r="F3133">
        <f>IFERROR(VLOOKUP(H3133,ProfessionalRisk!A:I,9,0),0)</f>
        <v>5812</v>
      </c>
      <c r="G3133">
        <f t="shared" ca="1" si="112"/>
        <v>116</v>
      </c>
      <c r="H3133" t="s">
        <v>753</v>
      </c>
    </row>
    <row r="3134" spans="1:8">
      <c r="A3134" t="str">
        <f t="shared" si="111"/>
        <v>سمنانگرمسار</v>
      </c>
      <c r="B3134" t="s">
        <v>365</v>
      </c>
      <c r="C3134" t="s">
        <v>369</v>
      </c>
      <c r="D3134" t="s">
        <v>19</v>
      </c>
      <c r="E3134">
        <f t="shared" ca="1" si="113"/>
        <v>0.6</v>
      </c>
      <c r="F3134">
        <f>IFERROR(VLOOKUP(H3134,ProfessionalRisk!A:I,9,0),0)</f>
        <v>1290</v>
      </c>
      <c r="G3134">
        <f t="shared" ca="1" si="112"/>
        <v>774</v>
      </c>
      <c r="H3134" t="s">
        <v>755</v>
      </c>
    </row>
    <row r="3135" spans="1:8">
      <c r="A3135" t="str">
        <f t="shared" si="111"/>
        <v>سمنانگرمسار</v>
      </c>
      <c r="B3135" t="s">
        <v>365</v>
      </c>
      <c r="C3135" t="s">
        <v>369</v>
      </c>
      <c r="D3135" t="s">
        <v>477</v>
      </c>
      <c r="E3135">
        <f t="shared" ca="1" si="113"/>
        <v>0.4</v>
      </c>
      <c r="F3135">
        <f>IFERROR(VLOOKUP(H3135,ProfessionalRisk!A:I,9,0),0)</f>
        <v>1290</v>
      </c>
      <c r="G3135">
        <f t="shared" ca="1" si="112"/>
        <v>516</v>
      </c>
      <c r="H3135" t="s">
        <v>755</v>
      </c>
    </row>
    <row r="3136" spans="1:8">
      <c r="A3136" t="str">
        <f t="shared" si="111"/>
        <v>سمنانگرمسار</v>
      </c>
      <c r="B3136" t="s">
        <v>365</v>
      </c>
      <c r="C3136" t="s">
        <v>369</v>
      </c>
      <c r="D3136" t="s">
        <v>23</v>
      </c>
      <c r="E3136">
        <f t="shared" ca="1" si="113"/>
        <v>3.8570577268380048E-3</v>
      </c>
      <c r="F3136">
        <f>IFERROR(VLOOKUP(H3136,ProfessionalRisk!A:I,9,0),0)</f>
        <v>1290</v>
      </c>
      <c r="G3136">
        <f t="shared" ca="1" si="112"/>
        <v>5</v>
      </c>
      <c r="H3136" t="s">
        <v>755</v>
      </c>
    </row>
    <row r="3137" spans="1:8">
      <c r="A3137" t="str">
        <f t="shared" si="111"/>
        <v>سمنانمهدئ شهر</v>
      </c>
      <c r="B3137" t="s">
        <v>365</v>
      </c>
      <c r="C3137" t="s">
        <v>370</v>
      </c>
      <c r="D3137" t="s">
        <v>19</v>
      </c>
      <c r="E3137">
        <f t="shared" ca="1" si="113"/>
        <v>0.6</v>
      </c>
      <c r="F3137">
        <f>IFERROR(VLOOKUP(H3137,ProfessionalRisk!A:I,9,0),0)</f>
        <v>361</v>
      </c>
      <c r="G3137">
        <f t="shared" ca="1" si="112"/>
        <v>217</v>
      </c>
      <c r="H3137" t="s">
        <v>751</v>
      </c>
    </row>
    <row r="3138" spans="1:8">
      <c r="A3138" t="str">
        <f t="shared" ref="A3138:A3201" si="114">B3138&amp;C3138</f>
        <v>سمنانمهدئ شهر</v>
      </c>
      <c r="B3138" t="s">
        <v>365</v>
      </c>
      <c r="C3138" t="s">
        <v>370</v>
      </c>
      <c r="D3138" t="s">
        <v>477</v>
      </c>
      <c r="E3138">
        <f t="shared" ca="1" si="113"/>
        <v>0.4</v>
      </c>
      <c r="F3138">
        <f>IFERROR(VLOOKUP(H3138,ProfessionalRisk!A:I,9,0),0)</f>
        <v>361</v>
      </c>
      <c r="G3138">
        <f t="shared" ca="1" si="112"/>
        <v>144</v>
      </c>
      <c r="H3138" t="s">
        <v>751</v>
      </c>
    </row>
    <row r="3139" spans="1:8">
      <c r="A3139" t="str">
        <f t="shared" si="114"/>
        <v>سمنانمهدئ شهر</v>
      </c>
      <c r="B3139" t="s">
        <v>365</v>
      </c>
      <c r="C3139" t="s">
        <v>370</v>
      </c>
      <c r="D3139" t="s">
        <v>23</v>
      </c>
      <c r="E3139">
        <f t="shared" ca="1" si="113"/>
        <v>1.8471211371309283E-2</v>
      </c>
      <c r="F3139">
        <f>IFERROR(VLOOKUP(H3139,ProfessionalRisk!A:I,9,0),0)</f>
        <v>361</v>
      </c>
      <c r="G3139">
        <f t="shared" ref="G3139:G3202" ca="1" si="115">IFERROR(ROUND(F3139*E3139,0),0)</f>
        <v>7</v>
      </c>
      <c r="H3139" t="s">
        <v>751</v>
      </c>
    </row>
    <row r="3140" spans="1:8">
      <c r="A3140" t="str">
        <f t="shared" si="114"/>
        <v>سمنانآرادان</v>
      </c>
      <c r="B3140" t="s">
        <v>365</v>
      </c>
      <c r="C3140" t="s">
        <v>371</v>
      </c>
      <c r="D3140" t="s">
        <v>19</v>
      </c>
      <c r="E3140">
        <f t="shared" ca="1" si="113"/>
        <v>0.6</v>
      </c>
      <c r="F3140">
        <f>IFERROR(VLOOKUP(H3140,ProfessionalRisk!A:I,9,0),0)</f>
        <v>292</v>
      </c>
      <c r="G3140">
        <f t="shared" ca="1" si="115"/>
        <v>175</v>
      </c>
      <c r="H3140" t="s">
        <v>750</v>
      </c>
    </row>
    <row r="3141" spans="1:8">
      <c r="A3141" t="str">
        <f t="shared" si="114"/>
        <v>سمنانآرادان</v>
      </c>
      <c r="B3141" t="s">
        <v>365</v>
      </c>
      <c r="C3141" t="s">
        <v>371</v>
      </c>
      <c r="D3141" t="s">
        <v>477</v>
      </c>
      <c r="E3141">
        <f t="shared" ca="1" si="113"/>
        <v>0.4</v>
      </c>
      <c r="F3141">
        <f>IFERROR(VLOOKUP(H3141,ProfessionalRisk!A:I,9,0),0)</f>
        <v>292</v>
      </c>
      <c r="G3141">
        <f t="shared" ca="1" si="115"/>
        <v>117</v>
      </c>
      <c r="H3141" t="s">
        <v>750</v>
      </c>
    </row>
    <row r="3142" spans="1:8">
      <c r="A3142" t="str">
        <f t="shared" si="114"/>
        <v>سمنانآرادان</v>
      </c>
      <c r="B3142" t="s">
        <v>365</v>
      </c>
      <c r="C3142" t="s">
        <v>371</v>
      </c>
      <c r="D3142" t="s">
        <v>23</v>
      </c>
      <c r="E3142">
        <f t="shared" ca="1" si="113"/>
        <v>1.8499729456123506E-2</v>
      </c>
      <c r="F3142">
        <f>IFERROR(VLOOKUP(H3142,ProfessionalRisk!A:I,9,0),0)</f>
        <v>292</v>
      </c>
      <c r="G3142">
        <f t="shared" ca="1" si="115"/>
        <v>5</v>
      </c>
      <c r="H3142" t="s">
        <v>750</v>
      </c>
    </row>
    <row r="3143" spans="1:8">
      <c r="A3143" t="str">
        <f t="shared" si="114"/>
        <v>سمنانميامي</v>
      </c>
      <c r="B3143" t="s">
        <v>365</v>
      </c>
      <c r="C3143" t="s">
        <v>372</v>
      </c>
      <c r="D3143" t="s">
        <v>19</v>
      </c>
      <c r="E3143">
        <f t="shared" ca="1" si="113"/>
        <v>0.6</v>
      </c>
      <c r="F3143">
        <f>IFERROR(VLOOKUP(H3143,ProfessionalRisk!A:I,9,0),0)</f>
        <v>671</v>
      </c>
      <c r="G3143">
        <f t="shared" ca="1" si="115"/>
        <v>403</v>
      </c>
      <c r="H3143" t="s">
        <v>754</v>
      </c>
    </row>
    <row r="3144" spans="1:8">
      <c r="A3144" t="str">
        <f t="shared" si="114"/>
        <v>سمنانميامي</v>
      </c>
      <c r="B3144" t="s">
        <v>365</v>
      </c>
      <c r="C3144" t="s">
        <v>372</v>
      </c>
      <c r="D3144" t="s">
        <v>477</v>
      </c>
      <c r="E3144">
        <f t="shared" ca="1" si="113"/>
        <v>0.4</v>
      </c>
      <c r="F3144">
        <f>IFERROR(VLOOKUP(H3144,ProfessionalRisk!A:I,9,0),0)</f>
        <v>671</v>
      </c>
      <c r="G3144">
        <f t="shared" ca="1" si="115"/>
        <v>268</v>
      </c>
      <c r="H3144" t="s">
        <v>754</v>
      </c>
    </row>
    <row r="3145" spans="1:8">
      <c r="A3145" t="str">
        <f t="shared" si="114"/>
        <v>سمنانميامي</v>
      </c>
      <c r="B3145" t="s">
        <v>365</v>
      </c>
      <c r="C3145" t="s">
        <v>372</v>
      </c>
      <c r="D3145" t="s">
        <v>23</v>
      </c>
      <c r="E3145">
        <f t="shared" ca="1" si="113"/>
        <v>7.7539767850213197E-3</v>
      </c>
      <c r="F3145">
        <f>IFERROR(VLOOKUP(H3145,ProfessionalRisk!A:I,9,0),0)</f>
        <v>671</v>
      </c>
      <c r="G3145">
        <f t="shared" ca="1" si="115"/>
        <v>5</v>
      </c>
      <c r="H3145" t="s">
        <v>754</v>
      </c>
    </row>
    <row r="3146" spans="1:8">
      <c r="A3146" t="str">
        <f t="shared" si="114"/>
        <v>سمنانسرخه</v>
      </c>
      <c r="B3146" t="s">
        <v>365</v>
      </c>
      <c r="C3146" t="s">
        <v>374</v>
      </c>
      <c r="D3146" t="s">
        <v>19</v>
      </c>
      <c r="E3146">
        <f t="shared" ca="1" si="113"/>
        <v>0.6</v>
      </c>
      <c r="F3146">
        <f>IFERROR(VLOOKUP(H3146,ProfessionalRisk!A:I,9,0),0)</f>
        <v>145</v>
      </c>
      <c r="G3146">
        <f t="shared" ca="1" si="115"/>
        <v>87</v>
      </c>
      <c r="H3146" t="s">
        <v>749</v>
      </c>
    </row>
    <row r="3147" spans="1:8">
      <c r="A3147" t="str">
        <f t="shared" si="114"/>
        <v>سمنانسرخه</v>
      </c>
      <c r="B3147" t="s">
        <v>365</v>
      </c>
      <c r="C3147" t="s">
        <v>374</v>
      </c>
      <c r="D3147" t="s">
        <v>477</v>
      </c>
      <c r="E3147">
        <f t="shared" ca="1" si="113"/>
        <v>0.4</v>
      </c>
      <c r="F3147">
        <f>IFERROR(VLOOKUP(H3147,ProfessionalRisk!A:I,9,0),0)</f>
        <v>145</v>
      </c>
      <c r="G3147">
        <f t="shared" ca="1" si="115"/>
        <v>58</v>
      </c>
      <c r="H3147" t="s">
        <v>749</v>
      </c>
    </row>
    <row r="3148" spans="1:8">
      <c r="A3148" t="str">
        <f t="shared" si="114"/>
        <v>سمنانسرخه</v>
      </c>
      <c r="B3148" t="s">
        <v>365</v>
      </c>
      <c r="C3148" t="s">
        <v>374</v>
      </c>
      <c r="D3148" t="s">
        <v>23</v>
      </c>
      <c r="E3148">
        <f t="shared" ca="1" si="113"/>
        <v>6.9711041775590314E-3</v>
      </c>
      <c r="F3148">
        <f>IFERROR(VLOOKUP(H3148,ProfessionalRisk!A:I,9,0),0)</f>
        <v>145</v>
      </c>
      <c r="G3148">
        <f t="shared" ca="1" si="115"/>
        <v>1</v>
      </c>
      <c r="H3148" t="s">
        <v>749</v>
      </c>
    </row>
    <row r="3149" spans="1:8">
      <c r="A3149" t="str">
        <f t="shared" si="114"/>
        <v>يزداردكان</v>
      </c>
      <c r="B3149" t="s">
        <v>373</v>
      </c>
      <c r="C3149" t="s">
        <v>375</v>
      </c>
      <c r="D3149" t="s">
        <v>19</v>
      </c>
      <c r="E3149">
        <f t="shared" ca="1" si="113"/>
        <v>0.6</v>
      </c>
      <c r="F3149">
        <f>IFERROR(VLOOKUP(H3149,ProfessionalRisk!A:I,9,0),0)</f>
        <v>1598</v>
      </c>
      <c r="G3149">
        <f t="shared" ca="1" si="115"/>
        <v>959</v>
      </c>
      <c r="H3149" t="s">
        <v>996</v>
      </c>
    </row>
    <row r="3150" spans="1:8">
      <c r="A3150" t="str">
        <f t="shared" si="114"/>
        <v>يزداردكان</v>
      </c>
      <c r="B3150" t="s">
        <v>373</v>
      </c>
      <c r="C3150" t="s">
        <v>375</v>
      </c>
      <c r="D3150" t="s">
        <v>477</v>
      </c>
      <c r="E3150">
        <f t="shared" ca="1" si="113"/>
        <v>0.4</v>
      </c>
      <c r="F3150">
        <f>IFERROR(VLOOKUP(H3150,ProfessionalRisk!A:I,9,0),0)</f>
        <v>1598</v>
      </c>
      <c r="G3150">
        <f t="shared" ca="1" si="115"/>
        <v>639</v>
      </c>
      <c r="H3150" t="s">
        <v>996</v>
      </c>
    </row>
    <row r="3151" spans="1:8">
      <c r="A3151" t="str">
        <f t="shared" si="114"/>
        <v>يزداردكان</v>
      </c>
      <c r="B3151" t="s">
        <v>373</v>
      </c>
      <c r="C3151" t="s">
        <v>375</v>
      </c>
      <c r="D3151" t="s">
        <v>23</v>
      </c>
      <c r="E3151">
        <f t="shared" ca="1" si="113"/>
        <v>8.045668377780273E-3</v>
      </c>
      <c r="F3151">
        <f>IFERROR(VLOOKUP(H3151,ProfessionalRisk!A:I,9,0),0)</f>
        <v>1598</v>
      </c>
      <c r="G3151">
        <f t="shared" ca="1" si="115"/>
        <v>13</v>
      </c>
      <c r="H3151" t="s">
        <v>996</v>
      </c>
    </row>
    <row r="3152" spans="1:8">
      <c r="A3152" t="str">
        <f t="shared" si="114"/>
        <v>يزدبافق</v>
      </c>
      <c r="B3152" t="s">
        <v>373</v>
      </c>
      <c r="C3152" t="s">
        <v>376</v>
      </c>
      <c r="D3152" t="s">
        <v>19</v>
      </c>
      <c r="E3152">
        <f t="shared" ca="1" si="113"/>
        <v>0.6</v>
      </c>
      <c r="F3152">
        <f>IFERROR(VLOOKUP(H3152,ProfessionalRisk!A:I,9,0),0)</f>
        <v>822</v>
      </c>
      <c r="G3152">
        <f t="shared" ca="1" si="115"/>
        <v>493</v>
      </c>
      <c r="H3152" t="s">
        <v>991</v>
      </c>
    </row>
    <row r="3153" spans="1:8">
      <c r="A3153" t="str">
        <f t="shared" si="114"/>
        <v>يزدبافق</v>
      </c>
      <c r="B3153" t="s">
        <v>373</v>
      </c>
      <c r="C3153" t="s">
        <v>376</v>
      </c>
      <c r="D3153" t="s">
        <v>477</v>
      </c>
      <c r="E3153">
        <f t="shared" ca="1" si="113"/>
        <v>0.4</v>
      </c>
      <c r="F3153">
        <f>IFERROR(VLOOKUP(H3153,ProfessionalRisk!A:I,9,0),0)</f>
        <v>822</v>
      </c>
      <c r="G3153">
        <f t="shared" ca="1" si="115"/>
        <v>329</v>
      </c>
      <c r="H3153" t="s">
        <v>991</v>
      </c>
    </row>
    <row r="3154" spans="1:8">
      <c r="A3154" t="str">
        <f t="shared" si="114"/>
        <v>يزدبافق</v>
      </c>
      <c r="B3154" t="s">
        <v>373</v>
      </c>
      <c r="C3154" t="s">
        <v>376</v>
      </c>
      <c r="D3154" t="s">
        <v>23</v>
      </c>
      <c r="E3154">
        <f t="shared" ca="1" si="113"/>
        <v>1.6553452438336214E-2</v>
      </c>
      <c r="F3154">
        <f>IFERROR(VLOOKUP(H3154,ProfessionalRisk!A:I,9,0),0)</f>
        <v>822</v>
      </c>
      <c r="G3154">
        <f t="shared" ca="1" si="115"/>
        <v>14</v>
      </c>
      <c r="H3154" t="s">
        <v>991</v>
      </c>
    </row>
    <row r="3155" spans="1:8">
      <c r="A3155" t="str">
        <f t="shared" si="114"/>
        <v>يزدتفت</v>
      </c>
      <c r="B3155" t="s">
        <v>373</v>
      </c>
      <c r="C3155" t="s">
        <v>377</v>
      </c>
      <c r="D3155" t="s">
        <v>19</v>
      </c>
      <c r="E3155">
        <f t="shared" ca="1" si="113"/>
        <v>0.6</v>
      </c>
      <c r="F3155">
        <f>IFERROR(VLOOKUP(H3155,ProfessionalRisk!A:I,9,0),0)</f>
        <v>2023</v>
      </c>
      <c r="G3155">
        <f t="shared" ca="1" si="115"/>
        <v>1214</v>
      </c>
      <c r="H3155" t="s">
        <v>1002</v>
      </c>
    </row>
    <row r="3156" spans="1:8">
      <c r="A3156" t="str">
        <f t="shared" si="114"/>
        <v>يزدتفت</v>
      </c>
      <c r="B3156" t="s">
        <v>373</v>
      </c>
      <c r="C3156" t="s">
        <v>377</v>
      </c>
      <c r="D3156" t="s">
        <v>477</v>
      </c>
      <c r="E3156">
        <f t="shared" ca="1" si="113"/>
        <v>0.4</v>
      </c>
      <c r="F3156">
        <f>IFERROR(VLOOKUP(H3156,ProfessionalRisk!A:I,9,0),0)</f>
        <v>2023</v>
      </c>
      <c r="G3156">
        <f t="shared" ca="1" si="115"/>
        <v>809</v>
      </c>
      <c r="H3156" t="s">
        <v>1002</v>
      </c>
    </row>
    <row r="3157" spans="1:8">
      <c r="A3157" t="str">
        <f t="shared" si="114"/>
        <v>يزدتفت</v>
      </c>
      <c r="B3157" t="s">
        <v>373</v>
      </c>
      <c r="C3157" t="s">
        <v>377</v>
      </c>
      <c r="D3157" t="s">
        <v>23</v>
      </c>
      <c r="E3157">
        <f t="shared" ca="1" si="113"/>
        <v>1.4520835842589494E-2</v>
      </c>
      <c r="F3157">
        <f>IFERROR(VLOOKUP(H3157,ProfessionalRisk!A:I,9,0),0)</f>
        <v>2023</v>
      </c>
      <c r="G3157">
        <f t="shared" ca="1" si="115"/>
        <v>29</v>
      </c>
      <c r="H3157" t="s">
        <v>1002</v>
      </c>
    </row>
    <row r="3158" spans="1:8">
      <c r="A3158" t="str">
        <f t="shared" si="114"/>
        <v>يزدمهريز</v>
      </c>
      <c r="B3158" t="s">
        <v>373</v>
      </c>
      <c r="C3158" t="s">
        <v>378</v>
      </c>
      <c r="D3158" t="s">
        <v>19</v>
      </c>
      <c r="E3158">
        <f t="shared" ca="1" si="113"/>
        <v>0.6</v>
      </c>
      <c r="F3158">
        <f>IFERROR(VLOOKUP(H3158,ProfessionalRisk!A:I,9,0),0)</f>
        <v>1475</v>
      </c>
      <c r="G3158">
        <f t="shared" ca="1" si="115"/>
        <v>885</v>
      </c>
      <c r="H3158" t="s">
        <v>995</v>
      </c>
    </row>
    <row r="3159" spans="1:8">
      <c r="A3159" t="str">
        <f t="shared" si="114"/>
        <v>يزدمهريز</v>
      </c>
      <c r="B3159" t="s">
        <v>373</v>
      </c>
      <c r="C3159" t="s">
        <v>378</v>
      </c>
      <c r="D3159" t="s">
        <v>477</v>
      </c>
      <c r="E3159">
        <f t="shared" ca="1" si="113"/>
        <v>0.4</v>
      </c>
      <c r="F3159">
        <f>IFERROR(VLOOKUP(H3159,ProfessionalRisk!A:I,9,0),0)</f>
        <v>1475</v>
      </c>
      <c r="G3159">
        <f t="shared" ca="1" si="115"/>
        <v>590</v>
      </c>
      <c r="H3159" t="s">
        <v>995</v>
      </c>
    </row>
    <row r="3160" spans="1:8">
      <c r="A3160" t="str">
        <f t="shared" si="114"/>
        <v>يزدمهريز</v>
      </c>
      <c r="B3160" t="s">
        <v>373</v>
      </c>
      <c r="C3160" t="s">
        <v>378</v>
      </c>
      <c r="D3160" t="s">
        <v>23</v>
      </c>
      <c r="E3160">
        <f t="shared" ca="1" si="113"/>
        <v>3.9392571611836288E-3</v>
      </c>
      <c r="F3160">
        <f>IFERROR(VLOOKUP(H3160,ProfessionalRisk!A:I,9,0),0)</f>
        <v>1475</v>
      </c>
      <c r="G3160">
        <f t="shared" ca="1" si="115"/>
        <v>6</v>
      </c>
      <c r="H3160" t="s">
        <v>995</v>
      </c>
    </row>
    <row r="3161" spans="1:8">
      <c r="A3161" t="str">
        <f t="shared" si="114"/>
        <v>يزديزد</v>
      </c>
      <c r="B3161" t="s">
        <v>373</v>
      </c>
      <c r="C3161" t="s">
        <v>373</v>
      </c>
      <c r="D3161" t="s">
        <v>19</v>
      </c>
      <c r="E3161">
        <f t="shared" ca="1" si="113"/>
        <v>0.6</v>
      </c>
      <c r="F3161">
        <f>IFERROR(VLOOKUP(H3161,ProfessionalRisk!A:I,9,0),0)</f>
        <v>18070</v>
      </c>
      <c r="G3161">
        <f t="shared" ca="1" si="115"/>
        <v>10842</v>
      </c>
      <c r="H3161" t="s">
        <v>1001</v>
      </c>
    </row>
    <row r="3162" spans="1:8">
      <c r="A3162" t="str">
        <f t="shared" si="114"/>
        <v>يزديزد</v>
      </c>
      <c r="B3162" t="s">
        <v>373</v>
      </c>
      <c r="C3162" t="s">
        <v>373</v>
      </c>
      <c r="D3162" t="s">
        <v>477</v>
      </c>
      <c r="E3162">
        <f t="shared" ca="1" si="113"/>
        <v>0.4</v>
      </c>
      <c r="F3162">
        <f>IFERROR(VLOOKUP(H3162,ProfessionalRisk!A:I,9,0),0)</f>
        <v>18070</v>
      </c>
      <c r="G3162">
        <f t="shared" ca="1" si="115"/>
        <v>7228</v>
      </c>
      <c r="H3162" t="s">
        <v>1001</v>
      </c>
    </row>
    <row r="3163" spans="1:8">
      <c r="A3163" t="str">
        <f t="shared" si="114"/>
        <v>يزديزد</v>
      </c>
      <c r="B3163" t="s">
        <v>373</v>
      </c>
      <c r="C3163" t="s">
        <v>373</v>
      </c>
      <c r="D3163" t="s">
        <v>23</v>
      </c>
      <c r="E3163">
        <f t="shared" ca="1" si="113"/>
        <v>1.4738884769928257E-2</v>
      </c>
      <c r="F3163">
        <f>IFERROR(VLOOKUP(H3163,ProfessionalRisk!A:I,9,0),0)</f>
        <v>18070</v>
      </c>
      <c r="G3163">
        <f t="shared" ca="1" si="115"/>
        <v>266</v>
      </c>
      <c r="H3163" t="s">
        <v>1001</v>
      </c>
    </row>
    <row r="3164" spans="1:8">
      <c r="A3164" t="str">
        <f t="shared" si="114"/>
        <v>يزدميبد</v>
      </c>
      <c r="B3164" t="s">
        <v>373</v>
      </c>
      <c r="C3164" t="s">
        <v>379</v>
      </c>
      <c r="D3164" t="s">
        <v>19</v>
      </c>
      <c r="E3164">
        <f t="shared" ca="1" si="113"/>
        <v>0.6</v>
      </c>
      <c r="F3164">
        <f>IFERROR(VLOOKUP(H3164,ProfessionalRisk!A:I,9,0),0)</f>
        <v>1734</v>
      </c>
      <c r="G3164">
        <f t="shared" ca="1" si="115"/>
        <v>1040</v>
      </c>
      <c r="H3164" t="s">
        <v>997</v>
      </c>
    </row>
    <row r="3165" spans="1:8">
      <c r="A3165" t="str">
        <f t="shared" si="114"/>
        <v>يزدميبد</v>
      </c>
      <c r="B3165" t="s">
        <v>373</v>
      </c>
      <c r="C3165" t="s">
        <v>379</v>
      </c>
      <c r="D3165" t="s">
        <v>477</v>
      </c>
      <c r="E3165">
        <f t="shared" ca="1" si="113"/>
        <v>0.4</v>
      </c>
      <c r="F3165">
        <f>IFERROR(VLOOKUP(H3165,ProfessionalRisk!A:I,9,0),0)</f>
        <v>1734</v>
      </c>
      <c r="G3165">
        <f t="shared" ca="1" si="115"/>
        <v>694</v>
      </c>
      <c r="H3165" t="s">
        <v>997</v>
      </c>
    </row>
    <row r="3166" spans="1:8">
      <c r="A3166" t="str">
        <f t="shared" si="114"/>
        <v>يزدميبد</v>
      </c>
      <c r="B3166" t="s">
        <v>373</v>
      </c>
      <c r="C3166" t="s">
        <v>379</v>
      </c>
      <c r="D3166" t="s">
        <v>23</v>
      </c>
      <c r="E3166">
        <f t="shared" ca="1" si="113"/>
        <v>1.4339145923047778E-2</v>
      </c>
      <c r="F3166">
        <f>IFERROR(VLOOKUP(H3166,ProfessionalRisk!A:I,9,0),0)</f>
        <v>1734</v>
      </c>
      <c r="G3166">
        <f t="shared" ca="1" si="115"/>
        <v>25</v>
      </c>
      <c r="H3166" t="s">
        <v>997</v>
      </c>
    </row>
    <row r="3167" spans="1:8">
      <c r="A3167" t="str">
        <f t="shared" si="114"/>
        <v>يزدابركوه</v>
      </c>
      <c r="B3167" t="s">
        <v>373</v>
      </c>
      <c r="C3167" t="s">
        <v>380</v>
      </c>
      <c r="D3167" t="s">
        <v>19</v>
      </c>
      <c r="E3167">
        <f t="shared" ca="1" si="113"/>
        <v>0.6</v>
      </c>
      <c r="F3167">
        <f>IFERROR(VLOOKUP(H3167,ProfessionalRisk!A:I,9,0),0)</f>
        <v>948</v>
      </c>
      <c r="G3167">
        <f t="shared" ca="1" si="115"/>
        <v>569</v>
      </c>
      <c r="H3167" t="s">
        <v>1000</v>
      </c>
    </row>
    <row r="3168" spans="1:8">
      <c r="A3168" t="str">
        <f t="shared" si="114"/>
        <v>يزدابركوه</v>
      </c>
      <c r="B3168" t="s">
        <v>373</v>
      </c>
      <c r="C3168" t="s">
        <v>380</v>
      </c>
      <c r="D3168" t="s">
        <v>477</v>
      </c>
      <c r="E3168">
        <f t="shared" ca="1" si="113"/>
        <v>0.4</v>
      </c>
      <c r="F3168">
        <f>IFERROR(VLOOKUP(H3168,ProfessionalRisk!A:I,9,0),0)</f>
        <v>948</v>
      </c>
      <c r="G3168">
        <f t="shared" ca="1" si="115"/>
        <v>379</v>
      </c>
      <c r="H3168" t="s">
        <v>1000</v>
      </c>
    </row>
    <row r="3169" spans="1:8">
      <c r="A3169" t="str">
        <f t="shared" si="114"/>
        <v>يزدابركوه</v>
      </c>
      <c r="B3169" t="s">
        <v>373</v>
      </c>
      <c r="C3169" t="s">
        <v>380</v>
      </c>
      <c r="D3169" t="s">
        <v>23</v>
      </c>
      <c r="E3169">
        <f t="shared" ca="1" si="113"/>
        <v>2.3747836996977356E-3</v>
      </c>
      <c r="F3169">
        <f>IFERROR(VLOOKUP(H3169,ProfessionalRisk!A:I,9,0),0)</f>
        <v>948</v>
      </c>
      <c r="G3169">
        <f t="shared" ca="1" si="115"/>
        <v>2</v>
      </c>
      <c r="H3169" t="s">
        <v>1000</v>
      </c>
    </row>
    <row r="3170" spans="1:8">
      <c r="A3170" t="str">
        <f t="shared" si="114"/>
        <v>يزداشكذر</v>
      </c>
      <c r="B3170" t="s">
        <v>373</v>
      </c>
      <c r="C3170" t="s">
        <v>999</v>
      </c>
      <c r="D3170" t="s">
        <v>19</v>
      </c>
      <c r="E3170">
        <f t="shared" ca="1" si="113"/>
        <v>0.6</v>
      </c>
      <c r="F3170">
        <f>IFERROR(VLOOKUP(H3170,ProfessionalRisk!A:I,9,0),0)</f>
        <v>11701</v>
      </c>
      <c r="G3170">
        <f t="shared" ca="1" si="115"/>
        <v>7021</v>
      </c>
      <c r="H3170" t="s">
        <v>855</v>
      </c>
    </row>
    <row r="3171" spans="1:8">
      <c r="A3171" t="str">
        <f t="shared" si="114"/>
        <v>يزداشكذر</v>
      </c>
      <c r="B3171" t="s">
        <v>373</v>
      </c>
      <c r="C3171" t="s">
        <v>999</v>
      </c>
      <c r="D3171" t="s">
        <v>477</v>
      </c>
      <c r="E3171">
        <f t="shared" ref="E3171:E3234" ca="1" si="116">IF(D3171="AP",0.6,IF(D3171="BP",0.4,RAND()*0.02))</f>
        <v>0.4</v>
      </c>
      <c r="F3171">
        <f>IFERROR(VLOOKUP(H3171,ProfessionalRisk!A:I,9,0),0)</f>
        <v>11701</v>
      </c>
      <c r="G3171">
        <f t="shared" ca="1" si="115"/>
        <v>4680</v>
      </c>
      <c r="H3171" t="s">
        <v>855</v>
      </c>
    </row>
    <row r="3172" spans="1:8">
      <c r="A3172" t="str">
        <f t="shared" si="114"/>
        <v>يزداشكذر</v>
      </c>
      <c r="B3172" t="s">
        <v>373</v>
      </c>
      <c r="C3172" t="s">
        <v>999</v>
      </c>
      <c r="D3172" t="s">
        <v>23</v>
      </c>
      <c r="E3172">
        <f t="shared" ca="1" si="116"/>
        <v>1.2580720674375963E-2</v>
      </c>
      <c r="F3172">
        <f>IFERROR(VLOOKUP(H3172,ProfessionalRisk!A:I,9,0),0)</f>
        <v>11701</v>
      </c>
      <c r="G3172">
        <f t="shared" ca="1" si="115"/>
        <v>147</v>
      </c>
      <c r="H3172" t="s">
        <v>855</v>
      </c>
    </row>
    <row r="3173" spans="1:8">
      <c r="A3173" t="str">
        <f t="shared" si="114"/>
        <v>يزدخاتم</v>
      </c>
      <c r="B3173" t="s">
        <v>373</v>
      </c>
      <c r="C3173" t="s">
        <v>382</v>
      </c>
      <c r="D3173" t="s">
        <v>19</v>
      </c>
      <c r="E3173">
        <f t="shared" ca="1" si="116"/>
        <v>0.6</v>
      </c>
      <c r="F3173">
        <f>IFERROR(VLOOKUP(H3173,ProfessionalRisk!A:I,9,0),0)</f>
        <v>860</v>
      </c>
      <c r="G3173">
        <f t="shared" ca="1" si="115"/>
        <v>516</v>
      </c>
      <c r="H3173" t="s">
        <v>993</v>
      </c>
    </row>
    <row r="3174" spans="1:8">
      <c r="A3174" t="str">
        <f t="shared" si="114"/>
        <v>يزدخاتم</v>
      </c>
      <c r="B3174" t="s">
        <v>373</v>
      </c>
      <c r="C3174" t="s">
        <v>382</v>
      </c>
      <c r="D3174" t="s">
        <v>477</v>
      </c>
      <c r="E3174">
        <f t="shared" ca="1" si="116"/>
        <v>0.4</v>
      </c>
      <c r="F3174">
        <f>IFERROR(VLOOKUP(H3174,ProfessionalRisk!A:I,9,0),0)</f>
        <v>860</v>
      </c>
      <c r="G3174">
        <f t="shared" ca="1" si="115"/>
        <v>344</v>
      </c>
      <c r="H3174" t="s">
        <v>993</v>
      </c>
    </row>
    <row r="3175" spans="1:8">
      <c r="A3175" t="str">
        <f t="shared" si="114"/>
        <v>يزدخاتم</v>
      </c>
      <c r="B3175" t="s">
        <v>373</v>
      </c>
      <c r="C3175" t="s">
        <v>382</v>
      </c>
      <c r="D3175" t="s">
        <v>23</v>
      </c>
      <c r="E3175">
        <f t="shared" ca="1" si="116"/>
        <v>2.2657107249111209E-3</v>
      </c>
      <c r="F3175">
        <f>IFERROR(VLOOKUP(H3175,ProfessionalRisk!A:I,9,0),0)</f>
        <v>860</v>
      </c>
      <c r="G3175">
        <f t="shared" ca="1" si="115"/>
        <v>2</v>
      </c>
      <c r="H3175" t="s">
        <v>993</v>
      </c>
    </row>
    <row r="3176" spans="1:8">
      <c r="A3176" t="e">
        <f t="shared" si="114"/>
        <v>#N/A</v>
      </c>
      <c r="B3176" t="e">
        <v>#N/A</v>
      </c>
      <c r="D3176" t="s">
        <v>19</v>
      </c>
      <c r="E3176">
        <f t="shared" ca="1" si="116"/>
        <v>0.6</v>
      </c>
      <c r="F3176">
        <f>IFERROR(VLOOKUP(H3176,ProfessionalRisk!A:I,9,0),0)</f>
        <v>0</v>
      </c>
      <c r="G3176">
        <f t="shared" ca="1" si="115"/>
        <v>0</v>
      </c>
      <c r="H3176" t="e">
        <v>#N/A</v>
      </c>
    </row>
    <row r="3177" spans="1:8">
      <c r="A3177" t="e">
        <f t="shared" si="114"/>
        <v>#N/A</v>
      </c>
      <c r="B3177" t="e">
        <v>#N/A</v>
      </c>
      <c r="D3177" t="s">
        <v>477</v>
      </c>
      <c r="E3177">
        <f t="shared" ca="1" si="116"/>
        <v>0.4</v>
      </c>
      <c r="F3177">
        <f>IFERROR(VLOOKUP(H3177,ProfessionalRisk!A:I,9,0),0)</f>
        <v>0</v>
      </c>
      <c r="G3177">
        <f t="shared" ca="1" si="115"/>
        <v>0</v>
      </c>
      <c r="H3177" t="e">
        <v>#N/A</v>
      </c>
    </row>
    <row r="3178" spans="1:8">
      <c r="A3178" t="e">
        <f t="shared" si="114"/>
        <v>#N/A</v>
      </c>
      <c r="B3178" t="e">
        <v>#N/A</v>
      </c>
      <c r="D3178" t="s">
        <v>23</v>
      </c>
      <c r="E3178">
        <f t="shared" ca="1" si="116"/>
        <v>1.7577281279283225E-2</v>
      </c>
      <c r="F3178">
        <f>IFERROR(VLOOKUP(H3178,ProfessionalRisk!A:I,9,0),0)</f>
        <v>0</v>
      </c>
      <c r="G3178">
        <f t="shared" ca="1" si="115"/>
        <v>0</v>
      </c>
      <c r="H3178" t="e">
        <v>#N/A</v>
      </c>
    </row>
    <row r="3179" spans="1:8">
      <c r="A3179" t="str">
        <f t="shared" si="114"/>
        <v>هرمزگانابوموسي</v>
      </c>
      <c r="B3179" t="s">
        <v>383</v>
      </c>
      <c r="C3179" t="s">
        <v>385</v>
      </c>
      <c r="D3179" t="s">
        <v>19</v>
      </c>
      <c r="E3179">
        <f t="shared" ca="1" si="116"/>
        <v>0.6</v>
      </c>
      <c r="F3179">
        <f>IFERROR(VLOOKUP(H3179,ProfessionalRisk!A:I,9,0),0)</f>
        <v>112</v>
      </c>
      <c r="G3179">
        <f t="shared" ca="1" si="115"/>
        <v>67</v>
      </c>
      <c r="H3179" t="s">
        <v>872</v>
      </c>
    </row>
    <row r="3180" spans="1:8">
      <c r="A3180" t="str">
        <f t="shared" si="114"/>
        <v>هرمزگانابوموسي</v>
      </c>
      <c r="B3180" t="s">
        <v>383</v>
      </c>
      <c r="C3180" t="s">
        <v>385</v>
      </c>
      <c r="D3180" t="s">
        <v>477</v>
      </c>
      <c r="E3180">
        <f t="shared" ca="1" si="116"/>
        <v>0.4</v>
      </c>
      <c r="F3180">
        <f>IFERROR(VLOOKUP(H3180,ProfessionalRisk!A:I,9,0),0)</f>
        <v>112</v>
      </c>
      <c r="G3180">
        <f t="shared" ca="1" si="115"/>
        <v>45</v>
      </c>
      <c r="H3180" t="s">
        <v>872</v>
      </c>
    </row>
    <row r="3181" spans="1:8">
      <c r="A3181" t="str">
        <f t="shared" si="114"/>
        <v>هرمزگانابوموسي</v>
      </c>
      <c r="B3181" t="s">
        <v>383</v>
      </c>
      <c r="C3181" t="s">
        <v>385</v>
      </c>
      <c r="D3181" t="s">
        <v>23</v>
      </c>
      <c r="E3181">
        <f t="shared" ca="1" si="116"/>
        <v>5.0789730823799029E-3</v>
      </c>
      <c r="F3181">
        <f>IFERROR(VLOOKUP(H3181,ProfessionalRisk!A:I,9,0),0)</f>
        <v>112</v>
      </c>
      <c r="G3181">
        <f t="shared" ca="1" si="115"/>
        <v>1</v>
      </c>
      <c r="H3181" t="s">
        <v>872</v>
      </c>
    </row>
    <row r="3182" spans="1:8">
      <c r="A3182" t="str">
        <f t="shared" si="114"/>
        <v>هرمزگانبندرعباس</v>
      </c>
      <c r="B3182" t="s">
        <v>383</v>
      </c>
      <c r="C3182" t="s">
        <v>386</v>
      </c>
      <c r="D3182" t="s">
        <v>19</v>
      </c>
      <c r="E3182">
        <f t="shared" ca="1" si="116"/>
        <v>0.6</v>
      </c>
      <c r="F3182">
        <f>IFERROR(VLOOKUP(H3182,ProfessionalRisk!A:I,9,0),0)</f>
        <v>11488</v>
      </c>
      <c r="G3182">
        <f t="shared" ca="1" si="115"/>
        <v>6893</v>
      </c>
      <c r="H3182" t="s">
        <v>876</v>
      </c>
    </row>
    <row r="3183" spans="1:8">
      <c r="A3183" t="str">
        <f t="shared" si="114"/>
        <v>هرمزگانبندرعباس</v>
      </c>
      <c r="B3183" t="s">
        <v>383</v>
      </c>
      <c r="C3183" t="s">
        <v>386</v>
      </c>
      <c r="D3183" t="s">
        <v>477</v>
      </c>
      <c r="E3183">
        <f t="shared" ca="1" si="116"/>
        <v>0.4</v>
      </c>
      <c r="F3183">
        <f>IFERROR(VLOOKUP(H3183,ProfessionalRisk!A:I,9,0),0)</f>
        <v>11488</v>
      </c>
      <c r="G3183">
        <f t="shared" ca="1" si="115"/>
        <v>4595</v>
      </c>
      <c r="H3183" t="s">
        <v>876</v>
      </c>
    </row>
    <row r="3184" spans="1:8">
      <c r="A3184" t="str">
        <f t="shared" si="114"/>
        <v>هرمزگانبندرعباس</v>
      </c>
      <c r="B3184" t="s">
        <v>383</v>
      </c>
      <c r="C3184" t="s">
        <v>386</v>
      </c>
      <c r="D3184" t="s">
        <v>23</v>
      </c>
      <c r="E3184">
        <f t="shared" ca="1" si="116"/>
        <v>1.0662264564976676E-2</v>
      </c>
      <c r="F3184">
        <f>IFERROR(VLOOKUP(H3184,ProfessionalRisk!A:I,9,0),0)</f>
        <v>11488</v>
      </c>
      <c r="G3184">
        <f t="shared" ca="1" si="115"/>
        <v>122</v>
      </c>
      <c r="H3184" t="s">
        <v>876</v>
      </c>
    </row>
    <row r="3185" spans="1:8">
      <c r="A3185" t="str">
        <f t="shared" si="114"/>
        <v>هرمزگانبندرلنگه</v>
      </c>
      <c r="B3185" t="s">
        <v>383</v>
      </c>
      <c r="C3185" t="s">
        <v>387</v>
      </c>
      <c r="D3185" t="s">
        <v>19</v>
      </c>
      <c r="E3185">
        <f t="shared" ca="1" si="116"/>
        <v>0.6</v>
      </c>
      <c r="F3185">
        <f>IFERROR(VLOOKUP(H3185,ProfessionalRisk!A:I,9,0),0)</f>
        <v>2193</v>
      </c>
      <c r="G3185">
        <f t="shared" ca="1" si="115"/>
        <v>1316</v>
      </c>
      <c r="H3185" t="s">
        <v>868</v>
      </c>
    </row>
    <row r="3186" spans="1:8">
      <c r="A3186" t="str">
        <f t="shared" si="114"/>
        <v>هرمزگانبندرلنگه</v>
      </c>
      <c r="B3186" t="s">
        <v>383</v>
      </c>
      <c r="C3186" t="s">
        <v>387</v>
      </c>
      <c r="D3186" t="s">
        <v>477</v>
      </c>
      <c r="E3186">
        <f t="shared" ca="1" si="116"/>
        <v>0.4</v>
      </c>
      <c r="F3186">
        <f>IFERROR(VLOOKUP(H3186,ProfessionalRisk!A:I,9,0),0)</f>
        <v>2193</v>
      </c>
      <c r="G3186">
        <f t="shared" ca="1" si="115"/>
        <v>877</v>
      </c>
      <c r="H3186" t="s">
        <v>868</v>
      </c>
    </row>
    <row r="3187" spans="1:8">
      <c r="A3187" t="str">
        <f t="shared" si="114"/>
        <v>هرمزگانبندرلنگه</v>
      </c>
      <c r="B3187" t="s">
        <v>383</v>
      </c>
      <c r="C3187" t="s">
        <v>387</v>
      </c>
      <c r="D3187" t="s">
        <v>23</v>
      </c>
      <c r="E3187">
        <f t="shared" ca="1" si="116"/>
        <v>8.233111556421922E-3</v>
      </c>
      <c r="F3187">
        <f>IFERROR(VLOOKUP(H3187,ProfessionalRisk!A:I,9,0),0)</f>
        <v>2193</v>
      </c>
      <c r="G3187">
        <f t="shared" ca="1" si="115"/>
        <v>18</v>
      </c>
      <c r="H3187" t="s">
        <v>868</v>
      </c>
    </row>
    <row r="3188" spans="1:8">
      <c r="A3188" t="str">
        <f t="shared" si="114"/>
        <v>هرمزگانقشم</v>
      </c>
      <c r="B3188" t="s">
        <v>383</v>
      </c>
      <c r="C3188" t="s">
        <v>388</v>
      </c>
      <c r="D3188" t="s">
        <v>19</v>
      </c>
      <c r="E3188">
        <f t="shared" ca="1" si="116"/>
        <v>0.6</v>
      </c>
      <c r="F3188">
        <f>IFERROR(VLOOKUP(H3188,ProfessionalRisk!A:I,9,0),0)</f>
        <v>1216</v>
      </c>
      <c r="G3188">
        <f t="shared" ca="1" si="115"/>
        <v>730</v>
      </c>
      <c r="H3188" t="s">
        <v>878</v>
      </c>
    </row>
    <row r="3189" spans="1:8">
      <c r="A3189" t="str">
        <f t="shared" si="114"/>
        <v>هرمزگانقشم</v>
      </c>
      <c r="B3189" t="s">
        <v>383</v>
      </c>
      <c r="C3189" t="s">
        <v>388</v>
      </c>
      <c r="D3189" t="s">
        <v>477</v>
      </c>
      <c r="E3189">
        <f t="shared" ca="1" si="116"/>
        <v>0.4</v>
      </c>
      <c r="F3189">
        <f>IFERROR(VLOOKUP(H3189,ProfessionalRisk!A:I,9,0),0)</f>
        <v>1216</v>
      </c>
      <c r="G3189">
        <f t="shared" ca="1" si="115"/>
        <v>486</v>
      </c>
      <c r="H3189" t="s">
        <v>878</v>
      </c>
    </row>
    <row r="3190" spans="1:8">
      <c r="A3190" t="str">
        <f t="shared" si="114"/>
        <v>هرمزگانقشم</v>
      </c>
      <c r="B3190" t="s">
        <v>383</v>
      </c>
      <c r="C3190" t="s">
        <v>388</v>
      </c>
      <c r="D3190" t="s">
        <v>23</v>
      </c>
      <c r="E3190">
        <f t="shared" ca="1" si="116"/>
        <v>1.8426641969153624E-3</v>
      </c>
      <c r="F3190">
        <f>IFERROR(VLOOKUP(H3190,ProfessionalRisk!A:I,9,0),0)</f>
        <v>1216</v>
      </c>
      <c r="G3190">
        <f t="shared" ca="1" si="115"/>
        <v>2</v>
      </c>
      <c r="H3190" t="s">
        <v>878</v>
      </c>
    </row>
    <row r="3191" spans="1:8">
      <c r="A3191" t="str">
        <f t="shared" si="114"/>
        <v>هرمزگانميناب</v>
      </c>
      <c r="B3191" t="s">
        <v>383</v>
      </c>
      <c r="C3191" t="s">
        <v>389</v>
      </c>
      <c r="D3191" t="s">
        <v>19</v>
      </c>
      <c r="E3191">
        <f t="shared" ca="1" si="116"/>
        <v>0.6</v>
      </c>
      <c r="F3191">
        <f>IFERROR(VLOOKUP(H3191,ProfessionalRisk!A:I,9,0),0)</f>
        <v>2644</v>
      </c>
      <c r="G3191">
        <f t="shared" ca="1" si="115"/>
        <v>1586</v>
      </c>
      <c r="H3191" t="s">
        <v>870</v>
      </c>
    </row>
    <row r="3192" spans="1:8">
      <c r="A3192" t="str">
        <f t="shared" si="114"/>
        <v>هرمزگانميناب</v>
      </c>
      <c r="B3192" t="s">
        <v>383</v>
      </c>
      <c r="C3192" t="s">
        <v>389</v>
      </c>
      <c r="D3192" t="s">
        <v>477</v>
      </c>
      <c r="E3192">
        <f t="shared" ca="1" si="116"/>
        <v>0.4</v>
      </c>
      <c r="F3192">
        <f>IFERROR(VLOOKUP(H3192,ProfessionalRisk!A:I,9,0),0)</f>
        <v>2644</v>
      </c>
      <c r="G3192">
        <f t="shared" ca="1" si="115"/>
        <v>1058</v>
      </c>
      <c r="H3192" t="s">
        <v>870</v>
      </c>
    </row>
    <row r="3193" spans="1:8">
      <c r="A3193" t="str">
        <f t="shared" si="114"/>
        <v>هرمزگانميناب</v>
      </c>
      <c r="B3193" t="s">
        <v>383</v>
      </c>
      <c r="C3193" t="s">
        <v>389</v>
      </c>
      <c r="D3193" t="s">
        <v>23</v>
      </c>
      <c r="E3193">
        <f t="shared" ca="1" si="116"/>
        <v>3.5785167726744295E-3</v>
      </c>
      <c r="F3193">
        <f>IFERROR(VLOOKUP(H3193,ProfessionalRisk!A:I,9,0),0)</f>
        <v>2644</v>
      </c>
      <c r="G3193">
        <f t="shared" ca="1" si="115"/>
        <v>9</v>
      </c>
      <c r="H3193" t="s">
        <v>870</v>
      </c>
    </row>
    <row r="3194" spans="1:8">
      <c r="A3194" t="str">
        <f t="shared" si="114"/>
        <v>هرمزگانجاسك</v>
      </c>
      <c r="B3194" t="s">
        <v>383</v>
      </c>
      <c r="C3194" t="s">
        <v>390</v>
      </c>
      <c r="D3194" t="s">
        <v>19</v>
      </c>
      <c r="E3194">
        <f t="shared" ca="1" si="116"/>
        <v>0.6</v>
      </c>
      <c r="F3194">
        <f>IFERROR(VLOOKUP(H3194,ProfessionalRisk!A:I,9,0),0)</f>
        <v>477</v>
      </c>
      <c r="G3194">
        <f t="shared" ca="1" si="115"/>
        <v>286</v>
      </c>
      <c r="H3194" t="s">
        <v>866</v>
      </c>
    </row>
    <row r="3195" spans="1:8">
      <c r="A3195" t="str">
        <f t="shared" si="114"/>
        <v>هرمزگانجاسك</v>
      </c>
      <c r="B3195" t="s">
        <v>383</v>
      </c>
      <c r="C3195" t="s">
        <v>390</v>
      </c>
      <c r="D3195" t="s">
        <v>477</v>
      </c>
      <c r="E3195">
        <f t="shared" ca="1" si="116"/>
        <v>0.4</v>
      </c>
      <c r="F3195">
        <f>IFERROR(VLOOKUP(H3195,ProfessionalRisk!A:I,9,0),0)</f>
        <v>477</v>
      </c>
      <c r="G3195">
        <f t="shared" ca="1" si="115"/>
        <v>191</v>
      </c>
      <c r="H3195" t="s">
        <v>866</v>
      </c>
    </row>
    <row r="3196" spans="1:8">
      <c r="A3196" t="str">
        <f t="shared" si="114"/>
        <v>هرمزگانجاسك</v>
      </c>
      <c r="B3196" t="s">
        <v>383</v>
      </c>
      <c r="C3196" t="s">
        <v>390</v>
      </c>
      <c r="D3196" t="s">
        <v>23</v>
      </c>
      <c r="E3196">
        <f t="shared" ca="1" si="116"/>
        <v>1.2448103538722054E-4</v>
      </c>
      <c r="F3196">
        <f>IFERROR(VLOOKUP(H3196,ProfessionalRisk!A:I,9,0),0)</f>
        <v>477</v>
      </c>
      <c r="G3196">
        <f t="shared" ca="1" si="115"/>
        <v>0</v>
      </c>
      <c r="H3196" t="s">
        <v>866</v>
      </c>
    </row>
    <row r="3197" spans="1:8">
      <c r="A3197" t="str">
        <f t="shared" si="114"/>
        <v>هرمزگانرودان</v>
      </c>
      <c r="B3197" t="s">
        <v>383</v>
      </c>
      <c r="C3197" t="s">
        <v>391</v>
      </c>
      <c r="D3197" t="s">
        <v>19</v>
      </c>
      <c r="E3197">
        <f t="shared" ca="1" si="116"/>
        <v>0.6</v>
      </c>
      <c r="F3197">
        <f>IFERROR(VLOOKUP(H3197,ProfessionalRisk!A:I,9,0),0)</f>
        <v>1670</v>
      </c>
      <c r="G3197">
        <f t="shared" ca="1" si="115"/>
        <v>1002</v>
      </c>
      <c r="H3197" t="s">
        <v>875</v>
      </c>
    </row>
    <row r="3198" spans="1:8">
      <c r="A3198" t="str">
        <f t="shared" si="114"/>
        <v>هرمزگانرودان</v>
      </c>
      <c r="B3198" t="s">
        <v>383</v>
      </c>
      <c r="C3198" t="s">
        <v>391</v>
      </c>
      <c r="D3198" t="s">
        <v>477</v>
      </c>
      <c r="E3198">
        <f t="shared" ca="1" si="116"/>
        <v>0.4</v>
      </c>
      <c r="F3198">
        <f>IFERROR(VLOOKUP(H3198,ProfessionalRisk!A:I,9,0),0)</f>
        <v>1670</v>
      </c>
      <c r="G3198">
        <f t="shared" ca="1" si="115"/>
        <v>668</v>
      </c>
      <c r="H3198" t="s">
        <v>875</v>
      </c>
    </row>
    <row r="3199" spans="1:8">
      <c r="A3199" t="str">
        <f t="shared" si="114"/>
        <v>هرمزگانرودان</v>
      </c>
      <c r="B3199" t="s">
        <v>383</v>
      </c>
      <c r="C3199" t="s">
        <v>391</v>
      </c>
      <c r="D3199" t="s">
        <v>23</v>
      </c>
      <c r="E3199">
        <f t="shared" ca="1" si="116"/>
        <v>1.2927278824016033E-2</v>
      </c>
      <c r="F3199">
        <f>IFERROR(VLOOKUP(H3199,ProfessionalRisk!A:I,9,0),0)</f>
        <v>1670</v>
      </c>
      <c r="G3199">
        <f t="shared" ca="1" si="115"/>
        <v>22</v>
      </c>
      <c r="H3199" t="s">
        <v>875</v>
      </c>
    </row>
    <row r="3200" spans="1:8">
      <c r="A3200" t="str">
        <f t="shared" si="114"/>
        <v>هرمزگانحاجي اباد</v>
      </c>
      <c r="B3200" t="s">
        <v>383</v>
      </c>
      <c r="C3200" t="s">
        <v>392</v>
      </c>
      <c r="D3200" t="s">
        <v>19</v>
      </c>
      <c r="E3200">
        <f t="shared" ca="1" si="116"/>
        <v>0.6</v>
      </c>
      <c r="F3200">
        <f>IFERROR(VLOOKUP(H3200,ProfessionalRisk!A:I,9,0),0)</f>
        <v>682</v>
      </c>
      <c r="G3200">
        <f t="shared" ca="1" si="115"/>
        <v>409</v>
      </c>
      <c r="H3200" t="s">
        <v>877</v>
      </c>
    </row>
    <row r="3201" spans="1:8">
      <c r="A3201" t="str">
        <f t="shared" si="114"/>
        <v>هرمزگانحاجي اباد</v>
      </c>
      <c r="B3201" t="s">
        <v>383</v>
      </c>
      <c r="C3201" t="s">
        <v>392</v>
      </c>
      <c r="D3201" t="s">
        <v>477</v>
      </c>
      <c r="E3201">
        <f t="shared" ca="1" si="116"/>
        <v>0.4</v>
      </c>
      <c r="F3201">
        <f>IFERROR(VLOOKUP(H3201,ProfessionalRisk!A:I,9,0),0)</f>
        <v>682</v>
      </c>
      <c r="G3201">
        <f t="shared" ca="1" si="115"/>
        <v>273</v>
      </c>
      <c r="H3201" t="s">
        <v>877</v>
      </c>
    </row>
    <row r="3202" spans="1:8">
      <c r="A3202" t="str">
        <f t="shared" ref="A3202:A3265" si="117">B3202&amp;C3202</f>
        <v>هرمزگانحاجي اباد</v>
      </c>
      <c r="B3202" t="s">
        <v>383</v>
      </c>
      <c r="C3202" t="s">
        <v>392</v>
      </c>
      <c r="D3202" t="s">
        <v>23</v>
      </c>
      <c r="E3202">
        <f t="shared" ca="1" si="116"/>
        <v>1.8607999516286181E-2</v>
      </c>
      <c r="F3202">
        <f>IFERROR(VLOOKUP(H3202,ProfessionalRisk!A:I,9,0),0)</f>
        <v>682</v>
      </c>
      <c r="G3202">
        <f t="shared" ca="1" si="115"/>
        <v>13</v>
      </c>
      <c r="H3202" t="s">
        <v>877</v>
      </c>
    </row>
    <row r="3203" spans="1:8">
      <c r="A3203" t="str">
        <f t="shared" si="117"/>
        <v>هرمزگانبستك</v>
      </c>
      <c r="B3203" t="s">
        <v>383</v>
      </c>
      <c r="C3203" t="s">
        <v>393</v>
      </c>
      <c r="D3203" t="s">
        <v>19</v>
      </c>
      <c r="E3203">
        <f t="shared" ca="1" si="116"/>
        <v>0.6</v>
      </c>
      <c r="F3203">
        <f>IFERROR(VLOOKUP(H3203,ProfessionalRisk!A:I,9,0),0)</f>
        <v>2127</v>
      </c>
      <c r="G3203">
        <f t="shared" ref="G3203:G3266" ca="1" si="118">IFERROR(ROUND(F3203*E3203,0),0)</f>
        <v>1276</v>
      </c>
      <c r="H3203" t="s">
        <v>867</v>
      </c>
    </row>
    <row r="3204" spans="1:8">
      <c r="A3204" t="str">
        <f t="shared" si="117"/>
        <v>هرمزگانبستك</v>
      </c>
      <c r="B3204" t="s">
        <v>383</v>
      </c>
      <c r="C3204" t="s">
        <v>393</v>
      </c>
      <c r="D3204" t="s">
        <v>477</v>
      </c>
      <c r="E3204">
        <f t="shared" ca="1" si="116"/>
        <v>0.4</v>
      </c>
      <c r="F3204">
        <f>IFERROR(VLOOKUP(H3204,ProfessionalRisk!A:I,9,0),0)</f>
        <v>2127</v>
      </c>
      <c r="G3204">
        <f t="shared" ca="1" si="118"/>
        <v>851</v>
      </c>
      <c r="H3204" t="s">
        <v>867</v>
      </c>
    </row>
    <row r="3205" spans="1:8">
      <c r="A3205" t="str">
        <f t="shared" si="117"/>
        <v>هرمزگانبستك</v>
      </c>
      <c r="B3205" t="s">
        <v>383</v>
      </c>
      <c r="C3205" t="s">
        <v>393</v>
      </c>
      <c r="D3205" t="s">
        <v>23</v>
      </c>
      <c r="E3205">
        <f t="shared" ca="1" si="116"/>
        <v>9.046623953752185E-3</v>
      </c>
      <c r="F3205">
        <f>IFERROR(VLOOKUP(H3205,ProfessionalRisk!A:I,9,0),0)</f>
        <v>2127</v>
      </c>
      <c r="G3205">
        <f t="shared" ca="1" si="118"/>
        <v>19</v>
      </c>
      <c r="H3205" t="s">
        <v>867</v>
      </c>
    </row>
    <row r="3206" spans="1:8">
      <c r="A3206" t="str">
        <f t="shared" si="117"/>
        <v>هرمزگانخمير</v>
      </c>
      <c r="B3206" t="s">
        <v>383</v>
      </c>
      <c r="C3206" t="s">
        <v>394</v>
      </c>
      <c r="D3206" t="s">
        <v>19</v>
      </c>
      <c r="E3206">
        <f t="shared" ca="1" si="116"/>
        <v>0.6</v>
      </c>
      <c r="F3206">
        <f>IFERROR(VLOOKUP(H3206,ProfessionalRisk!A:I,9,0),0)</f>
        <v>756</v>
      </c>
      <c r="G3206">
        <f t="shared" ca="1" si="118"/>
        <v>454</v>
      </c>
      <c r="H3206" t="s">
        <v>865</v>
      </c>
    </row>
    <row r="3207" spans="1:8">
      <c r="A3207" t="str">
        <f t="shared" si="117"/>
        <v>هرمزگانخمير</v>
      </c>
      <c r="B3207" t="s">
        <v>383</v>
      </c>
      <c r="C3207" t="s">
        <v>394</v>
      </c>
      <c r="D3207" t="s">
        <v>477</v>
      </c>
      <c r="E3207">
        <f t="shared" ca="1" si="116"/>
        <v>0.4</v>
      </c>
      <c r="F3207">
        <f>IFERROR(VLOOKUP(H3207,ProfessionalRisk!A:I,9,0),0)</f>
        <v>756</v>
      </c>
      <c r="G3207">
        <f t="shared" ca="1" si="118"/>
        <v>302</v>
      </c>
      <c r="H3207" t="s">
        <v>865</v>
      </c>
    </row>
    <row r="3208" spans="1:8">
      <c r="A3208" t="str">
        <f t="shared" si="117"/>
        <v>هرمزگانخمير</v>
      </c>
      <c r="B3208" t="s">
        <v>383</v>
      </c>
      <c r="C3208" t="s">
        <v>394</v>
      </c>
      <c r="D3208" t="s">
        <v>23</v>
      </c>
      <c r="E3208">
        <f t="shared" ca="1" si="116"/>
        <v>9.2184242815140389E-3</v>
      </c>
      <c r="F3208">
        <f>IFERROR(VLOOKUP(H3208,ProfessionalRisk!A:I,9,0),0)</f>
        <v>756</v>
      </c>
      <c r="G3208">
        <f t="shared" ca="1" si="118"/>
        <v>7</v>
      </c>
      <c r="H3208" t="s">
        <v>865</v>
      </c>
    </row>
    <row r="3209" spans="1:8">
      <c r="A3209" t="str">
        <f t="shared" si="117"/>
        <v>هرمزگانگاوبندئ</v>
      </c>
      <c r="B3209" t="s">
        <v>383</v>
      </c>
      <c r="C3209" t="s">
        <v>395</v>
      </c>
      <c r="D3209" t="s">
        <v>19</v>
      </c>
      <c r="E3209">
        <f t="shared" ca="1" si="116"/>
        <v>0.6</v>
      </c>
      <c r="F3209">
        <f>IFERROR(VLOOKUP(H3209,ProfessionalRisk!A:I,9,0),0)</f>
        <v>1674</v>
      </c>
      <c r="G3209">
        <f t="shared" ca="1" si="118"/>
        <v>1004</v>
      </c>
      <c r="H3209" t="s">
        <v>873</v>
      </c>
    </row>
    <row r="3210" spans="1:8">
      <c r="A3210" t="str">
        <f t="shared" si="117"/>
        <v>هرمزگانگاوبندئ</v>
      </c>
      <c r="B3210" t="s">
        <v>383</v>
      </c>
      <c r="C3210" t="s">
        <v>395</v>
      </c>
      <c r="D3210" t="s">
        <v>477</v>
      </c>
      <c r="E3210">
        <f t="shared" ca="1" si="116"/>
        <v>0.4</v>
      </c>
      <c r="F3210">
        <f>IFERROR(VLOOKUP(H3210,ProfessionalRisk!A:I,9,0),0)</f>
        <v>1674</v>
      </c>
      <c r="G3210">
        <f t="shared" ca="1" si="118"/>
        <v>670</v>
      </c>
      <c r="H3210" t="s">
        <v>873</v>
      </c>
    </row>
    <row r="3211" spans="1:8">
      <c r="A3211" t="str">
        <f t="shared" si="117"/>
        <v>هرمزگانگاوبندئ</v>
      </c>
      <c r="B3211" t="s">
        <v>383</v>
      </c>
      <c r="C3211" t="s">
        <v>395</v>
      </c>
      <c r="D3211" t="s">
        <v>23</v>
      </c>
      <c r="E3211">
        <f t="shared" ca="1" si="116"/>
        <v>1.5328890761466508E-3</v>
      </c>
      <c r="F3211">
        <f>IFERROR(VLOOKUP(H3211,ProfessionalRisk!A:I,9,0),0)</f>
        <v>1674</v>
      </c>
      <c r="G3211">
        <f t="shared" ca="1" si="118"/>
        <v>3</v>
      </c>
      <c r="H3211" t="s">
        <v>873</v>
      </c>
    </row>
    <row r="3212" spans="1:8">
      <c r="A3212" t="str">
        <f t="shared" si="117"/>
        <v>هرمزگانسيريك</v>
      </c>
      <c r="B3212" t="s">
        <v>383</v>
      </c>
      <c r="C3212" t="s">
        <v>396</v>
      </c>
      <c r="D3212" t="s">
        <v>19</v>
      </c>
      <c r="E3212">
        <f t="shared" ca="1" si="116"/>
        <v>0.6</v>
      </c>
      <c r="F3212">
        <f>IFERROR(VLOOKUP(H3212,ProfessionalRisk!A:I,9,0),0)</f>
        <v>499</v>
      </c>
      <c r="G3212">
        <f t="shared" ca="1" si="118"/>
        <v>299</v>
      </c>
      <c r="H3212" t="s">
        <v>869</v>
      </c>
    </row>
    <row r="3213" spans="1:8">
      <c r="A3213" t="str">
        <f t="shared" si="117"/>
        <v>هرمزگانسيريك</v>
      </c>
      <c r="B3213" t="s">
        <v>383</v>
      </c>
      <c r="C3213" t="s">
        <v>396</v>
      </c>
      <c r="D3213" t="s">
        <v>477</v>
      </c>
      <c r="E3213">
        <f t="shared" ca="1" si="116"/>
        <v>0.4</v>
      </c>
      <c r="F3213">
        <f>IFERROR(VLOOKUP(H3213,ProfessionalRisk!A:I,9,0),0)</f>
        <v>499</v>
      </c>
      <c r="G3213">
        <f t="shared" ca="1" si="118"/>
        <v>200</v>
      </c>
      <c r="H3213" t="s">
        <v>869</v>
      </c>
    </row>
    <row r="3214" spans="1:8">
      <c r="A3214" t="str">
        <f t="shared" si="117"/>
        <v>هرمزگانسيريك</v>
      </c>
      <c r="B3214" t="s">
        <v>383</v>
      </c>
      <c r="C3214" t="s">
        <v>396</v>
      </c>
      <c r="D3214" t="s">
        <v>23</v>
      </c>
      <c r="E3214">
        <f t="shared" ca="1" si="116"/>
        <v>1.7625358717252054E-2</v>
      </c>
      <c r="F3214">
        <f>IFERROR(VLOOKUP(H3214,ProfessionalRisk!A:I,9,0),0)</f>
        <v>499</v>
      </c>
      <c r="G3214">
        <f t="shared" ca="1" si="118"/>
        <v>9</v>
      </c>
      <c r="H3214" t="s">
        <v>869</v>
      </c>
    </row>
    <row r="3215" spans="1:8">
      <c r="A3215" t="str">
        <f t="shared" si="117"/>
        <v>هرمزگانبشاگرد</v>
      </c>
      <c r="B3215" t="s">
        <v>383</v>
      </c>
      <c r="C3215" t="s">
        <v>398</v>
      </c>
      <c r="D3215" t="s">
        <v>19</v>
      </c>
      <c r="E3215">
        <f t="shared" ca="1" si="116"/>
        <v>0.6</v>
      </c>
      <c r="F3215">
        <f>IFERROR(VLOOKUP(H3215,ProfessionalRisk!A:I,9,0),0)</f>
        <v>440</v>
      </c>
      <c r="G3215">
        <f t="shared" ca="1" si="118"/>
        <v>264</v>
      </c>
      <c r="H3215" t="s">
        <v>871</v>
      </c>
    </row>
    <row r="3216" spans="1:8">
      <c r="A3216" t="str">
        <f t="shared" si="117"/>
        <v>هرمزگانبشاگرد</v>
      </c>
      <c r="B3216" t="s">
        <v>383</v>
      </c>
      <c r="C3216" t="s">
        <v>398</v>
      </c>
      <c r="D3216" t="s">
        <v>477</v>
      </c>
      <c r="E3216">
        <f t="shared" ca="1" si="116"/>
        <v>0.4</v>
      </c>
      <c r="F3216">
        <f>IFERROR(VLOOKUP(H3216,ProfessionalRisk!A:I,9,0),0)</f>
        <v>440</v>
      </c>
      <c r="G3216">
        <f t="shared" ca="1" si="118"/>
        <v>176</v>
      </c>
      <c r="H3216" t="s">
        <v>871</v>
      </c>
    </row>
    <row r="3217" spans="1:8">
      <c r="A3217" t="str">
        <f t="shared" si="117"/>
        <v>هرمزگانبشاگرد</v>
      </c>
      <c r="B3217" t="s">
        <v>383</v>
      </c>
      <c r="C3217" t="s">
        <v>398</v>
      </c>
      <c r="D3217" t="s">
        <v>23</v>
      </c>
      <c r="E3217">
        <f t="shared" ca="1" si="116"/>
        <v>1.0067405917722672E-2</v>
      </c>
      <c r="F3217">
        <f>IFERROR(VLOOKUP(H3217,ProfessionalRisk!A:I,9,0),0)</f>
        <v>440</v>
      </c>
      <c r="G3217">
        <f t="shared" ca="1" si="118"/>
        <v>4</v>
      </c>
      <c r="H3217" t="s">
        <v>871</v>
      </c>
    </row>
    <row r="3218" spans="1:8">
      <c r="A3218" t="str">
        <f t="shared" si="117"/>
        <v>تهرانتهران</v>
      </c>
      <c r="B3218" t="s">
        <v>397</v>
      </c>
      <c r="C3218" t="s">
        <v>397</v>
      </c>
      <c r="D3218" t="s">
        <v>19</v>
      </c>
      <c r="E3218">
        <f t="shared" ca="1" si="116"/>
        <v>0.6</v>
      </c>
      <c r="F3218">
        <f>IFERROR(VLOOKUP(H3218,ProfessionalRisk!A:I,9,0),0)</f>
        <v>144933</v>
      </c>
      <c r="G3218">
        <f t="shared" ca="1" si="118"/>
        <v>86960</v>
      </c>
      <c r="H3218" t="s">
        <v>641</v>
      </c>
    </row>
    <row r="3219" spans="1:8">
      <c r="A3219" t="str">
        <f t="shared" si="117"/>
        <v>تهرانتهران</v>
      </c>
      <c r="B3219" t="s">
        <v>397</v>
      </c>
      <c r="C3219" t="s">
        <v>397</v>
      </c>
      <c r="D3219" t="s">
        <v>477</v>
      </c>
      <c r="E3219">
        <f t="shared" ca="1" si="116"/>
        <v>0.4</v>
      </c>
      <c r="F3219">
        <f>IFERROR(VLOOKUP(H3219,ProfessionalRisk!A:I,9,0),0)</f>
        <v>144933</v>
      </c>
      <c r="G3219">
        <f t="shared" ca="1" si="118"/>
        <v>57973</v>
      </c>
      <c r="H3219" t="s">
        <v>641</v>
      </c>
    </row>
    <row r="3220" spans="1:8">
      <c r="A3220" t="str">
        <f t="shared" si="117"/>
        <v>تهرانتهران</v>
      </c>
      <c r="B3220" t="s">
        <v>397</v>
      </c>
      <c r="C3220" t="s">
        <v>397</v>
      </c>
      <c r="D3220" t="s">
        <v>23</v>
      </c>
      <c r="E3220">
        <f t="shared" ca="1" si="116"/>
        <v>1.2378298856890404E-2</v>
      </c>
      <c r="F3220">
        <f>IFERROR(VLOOKUP(H3220,ProfessionalRisk!A:I,9,0),0)</f>
        <v>144933</v>
      </c>
      <c r="G3220">
        <f t="shared" ca="1" si="118"/>
        <v>1794</v>
      </c>
      <c r="H3220" t="s">
        <v>641</v>
      </c>
    </row>
    <row r="3221" spans="1:8">
      <c r="A3221" t="str">
        <f t="shared" si="117"/>
        <v>تهراندماوند</v>
      </c>
      <c r="B3221" t="s">
        <v>397</v>
      </c>
      <c r="C3221" t="s">
        <v>399</v>
      </c>
      <c r="D3221" t="s">
        <v>19</v>
      </c>
      <c r="E3221">
        <f t="shared" ca="1" si="116"/>
        <v>0.6</v>
      </c>
      <c r="F3221">
        <f>IFERROR(VLOOKUP(H3221,ProfessionalRisk!A:I,9,0),0)</f>
        <v>1366</v>
      </c>
      <c r="G3221">
        <f t="shared" ca="1" si="118"/>
        <v>820</v>
      </c>
      <c r="H3221" t="s">
        <v>643</v>
      </c>
    </row>
    <row r="3222" spans="1:8">
      <c r="A3222" t="str">
        <f t="shared" si="117"/>
        <v>تهراندماوند</v>
      </c>
      <c r="B3222" t="s">
        <v>397</v>
      </c>
      <c r="C3222" t="s">
        <v>399</v>
      </c>
      <c r="D3222" t="s">
        <v>477</v>
      </c>
      <c r="E3222">
        <f t="shared" ca="1" si="116"/>
        <v>0.4</v>
      </c>
      <c r="F3222">
        <f>IFERROR(VLOOKUP(H3222,ProfessionalRisk!A:I,9,0),0)</f>
        <v>1366</v>
      </c>
      <c r="G3222">
        <f t="shared" ca="1" si="118"/>
        <v>546</v>
      </c>
      <c r="H3222" t="s">
        <v>643</v>
      </c>
    </row>
    <row r="3223" spans="1:8">
      <c r="A3223" t="str">
        <f t="shared" si="117"/>
        <v>تهراندماوند</v>
      </c>
      <c r="B3223" t="s">
        <v>397</v>
      </c>
      <c r="C3223" t="s">
        <v>399</v>
      </c>
      <c r="D3223" t="s">
        <v>23</v>
      </c>
      <c r="E3223">
        <f t="shared" ca="1" si="116"/>
        <v>1.7905398227386505E-3</v>
      </c>
      <c r="F3223">
        <f>IFERROR(VLOOKUP(H3223,ProfessionalRisk!A:I,9,0),0)</f>
        <v>1366</v>
      </c>
      <c r="G3223">
        <f t="shared" ca="1" si="118"/>
        <v>2</v>
      </c>
      <c r="H3223" t="s">
        <v>643</v>
      </c>
    </row>
    <row r="3224" spans="1:8">
      <c r="A3224" t="str">
        <f t="shared" si="117"/>
        <v>تهرانرئ</v>
      </c>
      <c r="B3224" t="s">
        <v>397</v>
      </c>
      <c r="C3224" t="s">
        <v>400</v>
      </c>
      <c r="D3224" t="s">
        <v>19</v>
      </c>
      <c r="E3224">
        <f t="shared" ca="1" si="116"/>
        <v>0.6</v>
      </c>
      <c r="F3224">
        <f>IFERROR(VLOOKUP(H3224,ProfessionalRisk!A:I,9,0),0)</f>
        <v>5999</v>
      </c>
      <c r="G3224">
        <f t="shared" ca="1" si="118"/>
        <v>3599</v>
      </c>
      <c r="H3224" t="s">
        <v>639</v>
      </c>
    </row>
    <row r="3225" spans="1:8">
      <c r="A3225" t="str">
        <f t="shared" si="117"/>
        <v>تهرانرئ</v>
      </c>
      <c r="B3225" t="s">
        <v>397</v>
      </c>
      <c r="C3225" t="s">
        <v>400</v>
      </c>
      <c r="D3225" t="s">
        <v>477</v>
      </c>
      <c r="E3225">
        <f t="shared" ca="1" si="116"/>
        <v>0.4</v>
      </c>
      <c r="F3225">
        <f>IFERROR(VLOOKUP(H3225,ProfessionalRisk!A:I,9,0),0)</f>
        <v>5999</v>
      </c>
      <c r="G3225">
        <f t="shared" ca="1" si="118"/>
        <v>2400</v>
      </c>
      <c r="H3225" t="s">
        <v>639</v>
      </c>
    </row>
    <row r="3226" spans="1:8">
      <c r="A3226" t="str">
        <f t="shared" si="117"/>
        <v>تهرانرئ</v>
      </c>
      <c r="B3226" t="s">
        <v>397</v>
      </c>
      <c r="C3226" t="s">
        <v>400</v>
      </c>
      <c r="D3226" t="s">
        <v>23</v>
      </c>
      <c r="E3226">
        <f t="shared" ca="1" si="116"/>
        <v>5.7493724177690745E-3</v>
      </c>
      <c r="F3226">
        <f>IFERROR(VLOOKUP(H3226,ProfessionalRisk!A:I,9,0),0)</f>
        <v>5999</v>
      </c>
      <c r="G3226">
        <f t="shared" ca="1" si="118"/>
        <v>34</v>
      </c>
      <c r="H3226" t="s">
        <v>639</v>
      </c>
    </row>
    <row r="3227" spans="1:8">
      <c r="A3227" t="str">
        <f t="shared" si="117"/>
        <v>تهرانشميرانات</v>
      </c>
      <c r="B3227" t="s">
        <v>397</v>
      </c>
      <c r="C3227" t="s">
        <v>401</v>
      </c>
      <c r="D3227" t="s">
        <v>19</v>
      </c>
      <c r="E3227">
        <f t="shared" ca="1" si="116"/>
        <v>0.6</v>
      </c>
      <c r="F3227">
        <f>IFERROR(VLOOKUP(H3227,ProfessionalRisk!A:I,9,0),0)</f>
        <v>1040</v>
      </c>
      <c r="G3227">
        <f t="shared" ca="1" si="118"/>
        <v>624</v>
      </c>
      <c r="H3227" t="s">
        <v>635</v>
      </c>
    </row>
    <row r="3228" spans="1:8">
      <c r="A3228" t="str">
        <f t="shared" si="117"/>
        <v>تهرانشميرانات</v>
      </c>
      <c r="B3228" t="s">
        <v>397</v>
      </c>
      <c r="C3228" t="s">
        <v>401</v>
      </c>
      <c r="D3228" t="s">
        <v>477</v>
      </c>
      <c r="E3228">
        <f t="shared" ca="1" si="116"/>
        <v>0.4</v>
      </c>
      <c r="F3228">
        <f>IFERROR(VLOOKUP(H3228,ProfessionalRisk!A:I,9,0),0)</f>
        <v>1040</v>
      </c>
      <c r="G3228">
        <f t="shared" ca="1" si="118"/>
        <v>416</v>
      </c>
      <c r="H3228" t="s">
        <v>635</v>
      </c>
    </row>
    <row r="3229" spans="1:8">
      <c r="A3229" t="str">
        <f t="shared" si="117"/>
        <v>تهرانشميرانات</v>
      </c>
      <c r="B3229" t="s">
        <v>397</v>
      </c>
      <c r="C3229" t="s">
        <v>401</v>
      </c>
      <c r="D3229" t="s">
        <v>23</v>
      </c>
      <c r="E3229">
        <f t="shared" ca="1" si="116"/>
        <v>9.7653747729847563E-3</v>
      </c>
      <c r="F3229">
        <f>IFERROR(VLOOKUP(H3229,ProfessionalRisk!A:I,9,0),0)</f>
        <v>1040</v>
      </c>
      <c r="G3229">
        <f t="shared" ca="1" si="118"/>
        <v>10</v>
      </c>
      <c r="H3229" t="s">
        <v>635</v>
      </c>
    </row>
    <row r="3230" spans="1:8">
      <c r="A3230" t="str">
        <f t="shared" si="117"/>
        <v>تهرانورامين</v>
      </c>
      <c r="B3230" t="s">
        <v>397</v>
      </c>
      <c r="C3230" t="s">
        <v>402</v>
      </c>
      <c r="D3230" t="s">
        <v>19</v>
      </c>
      <c r="E3230">
        <f t="shared" ca="1" si="116"/>
        <v>0.6</v>
      </c>
      <c r="F3230">
        <f>IFERROR(VLOOKUP(H3230,ProfessionalRisk!A:I,9,0),0)</f>
        <v>3472</v>
      </c>
      <c r="G3230">
        <f t="shared" ca="1" si="118"/>
        <v>2083</v>
      </c>
      <c r="H3230" t="s">
        <v>645</v>
      </c>
    </row>
    <row r="3231" spans="1:8">
      <c r="A3231" t="str">
        <f t="shared" si="117"/>
        <v>تهرانورامين</v>
      </c>
      <c r="B3231" t="s">
        <v>397</v>
      </c>
      <c r="C3231" t="s">
        <v>402</v>
      </c>
      <c r="D3231" t="s">
        <v>477</v>
      </c>
      <c r="E3231">
        <f t="shared" ca="1" si="116"/>
        <v>0.4</v>
      </c>
      <c r="F3231">
        <f>IFERROR(VLOOKUP(H3231,ProfessionalRisk!A:I,9,0),0)</f>
        <v>3472</v>
      </c>
      <c r="G3231">
        <f t="shared" ca="1" si="118"/>
        <v>1389</v>
      </c>
      <c r="H3231" t="s">
        <v>645</v>
      </c>
    </row>
    <row r="3232" spans="1:8">
      <c r="A3232" t="str">
        <f t="shared" si="117"/>
        <v>تهرانورامين</v>
      </c>
      <c r="B3232" t="s">
        <v>397</v>
      </c>
      <c r="C3232" t="s">
        <v>402</v>
      </c>
      <c r="D3232" t="s">
        <v>23</v>
      </c>
      <c r="E3232">
        <f t="shared" ca="1" si="116"/>
        <v>3.1367585399151967E-4</v>
      </c>
      <c r="F3232">
        <f>IFERROR(VLOOKUP(H3232,ProfessionalRisk!A:I,9,0),0)</f>
        <v>3472</v>
      </c>
      <c r="G3232">
        <f t="shared" ca="1" si="118"/>
        <v>1</v>
      </c>
      <c r="H3232" t="s">
        <v>645</v>
      </c>
    </row>
    <row r="3233" spans="1:8">
      <c r="A3233" t="str">
        <f t="shared" si="117"/>
        <v>تهرانشهريار</v>
      </c>
      <c r="B3233" t="s">
        <v>397</v>
      </c>
      <c r="C3233" t="s">
        <v>403</v>
      </c>
      <c r="D3233" t="s">
        <v>19</v>
      </c>
      <c r="E3233">
        <f t="shared" ca="1" si="116"/>
        <v>0.6</v>
      </c>
      <c r="F3233">
        <f>IFERROR(VLOOKUP(H3233,ProfessionalRisk!A:I,9,0),0)</f>
        <v>5281</v>
      </c>
      <c r="G3233">
        <f t="shared" ca="1" si="118"/>
        <v>3169</v>
      </c>
      <c r="H3233" t="s">
        <v>646</v>
      </c>
    </row>
    <row r="3234" spans="1:8">
      <c r="A3234" t="str">
        <f t="shared" si="117"/>
        <v>تهرانشهريار</v>
      </c>
      <c r="B3234" t="s">
        <v>397</v>
      </c>
      <c r="C3234" t="s">
        <v>403</v>
      </c>
      <c r="D3234" t="s">
        <v>477</v>
      </c>
      <c r="E3234">
        <f t="shared" ca="1" si="116"/>
        <v>0.4</v>
      </c>
      <c r="F3234">
        <f>IFERROR(VLOOKUP(H3234,ProfessionalRisk!A:I,9,0),0)</f>
        <v>5281</v>
      </c>
      <c r="G3234">
        <f t="shared" ca="1" si="118"/>
        <v>2112</v>
      </c>
      <c r="H3234" t="s">
        <v>646</v>
      </c>
    </row>
    <row r="3235" spans="1:8">
      <c r="A3235" t="str">
        <f t="shared" si="117"/>
        <v>تهرانشهريار</v>
      </c>
      <c r="B3235" t="s">
        <v>397</v>
      </c>
      <c r="C3235" t="s">
        <v>403</v>
      </c>
      <c r="D3235" t="s">
        <v>23</v>
      </c>
      <c r="E3235">
        <f t="shared" ref="E3235:E3298" ca="1" si="119">IF(D3235="AP",0.6,IF(D3235="BP",0.4,RAND()*0.02))</f>
        <v>1.6008186669030242E-2</v>
      </c>
      <c r="F3235">
        <f>IFERROR(VLOOKUP(H3235,ProfessionalRisk!A:I,9,0),0)</f>
        <v>5281</v>
      </c>
      <c r="G3235">
        <f t="shared" ca="1" si="118"/>
        <v>85</v>
      </c>
      <c r="H3235" t="s">
        <v>646</v>
      </c>
    </row>
    <row r="3236" spans="1:8">
      <c r="A3236" t="str">
        <f t="shared" si="117"/>
        <v>تهراناسلامشهر</v>
      </c>
      <c r="B3236" t="s">
        <v>397</v>
      </c>
      <c r="C3236" t="s">
        <v>404</v>
      </c>
      <c r="D3236" t="s">
        <v>19</v>
      </c>
      <c r="E3236">
        <f t="shared" ca="1" si="119"/>
        <v>0.6</v>
      </c>
      <c r="F3236">
        <f>IFERROR(VLOOKUP(H3236,ProfessionalRisk!A:I,9,0),0)</f>
        <v>3188</v>
      </c>
      <c r="G3236">
        <f t="shared" ca="1" si="118"/>
        <v>1913</v>
      </c>
      <c r="H3236" t="s">
        <v>648</v>
      </c>
    </row>
    <row r="3237" spans="1:8">
      <c r="A3237" t="str">
        <f t="shared" si="117"/>
        <v>تهراناسلامشهر</v>
      </c>
      <c r="B3237" t="s">
        <v>397</v>
      </c>
      <c r="C3237" t="s">
        <v>404</v>
      </c>
      <c r="D3237" t="s">
        <v>477</v>
      </c>
      <c r="E3237">
        <f t="shared" ca="1" si="119"/>
        <v>0.4</v>
      </c>
      <c r="F3237">
        <f>IFERROR(VLOOKUP(H3237,ProfessionalRisk!A:I,9,0),0)</f>
        <v>3188</v>
      </c>
      <c r="G3237">
        <f t="shared" ca="1" si="118"/>
        <v>1275</v>
      </c>
      <c r="H3237" t="s">
        <v>648</v>
      </c>
    </row>
    <row r="3238" spans="1:8">
      <c r="A3238" t="str">
        <f t="shared" si="117"/>
        <v>تهراناسلامشهر</v>
      </c>
      <c r="B3238" t="s">
        <v>397</v>
      </c>
      <c r="C3238" t="s">
        <v>404</v>
      </c>
      <c r="D3238" t="s">
        <v>23</v>
      </c>
      <c r="E3238">
        <f t="shared" ca="1" si="119"/>
        <v>1.122264861929302E-2</v>
      </c>
      <c r="F3238">
        <f>IFERROR(VLOOKUP(H3238,ProfessionalRisk!A:I,9,0),0)</f>
        <v>3188</v>
      </c>
      <c r="G3238">
        <f t="shared" ca="1" si="118"/>
        <v>36</v>
      </c>
      <c r="H3238" t="s">
        <v>648</v>
      </c>
    </row>
    <row r="3239" spans="1:8">
      <c r="A3239" t="str">
        <f t="shared" si="117"/>
        <v>تهرانرباطكريم</v>
      </c>
      <c r="B3239" t="s">
        <v>397</v>
      </c>
      <c r="C3239" t="s">
        <v>405</v>
      </c>
      <c r="D3239" t="s">
        <v>19</v>
      </c>
      <c r="E3239">
        <f t="shared" ca="1" si="119"/>
        <v>0.6</v>
      </c>
      <c r="F3239">
        <f>IFERROR(VLOOKUP(H3239,ProfessionalRisk!A:I,9,0),0)</f>
        <v>968</v>
      </c>
      <c r="G3239">
        <f t="shared" ca="1" si="118"/>
        <v>581</v>
      </c>
      <c r="H3239" t="s">
        <v>634</v>
      </c>
    </row>
    <row r="3240" spans="1:8">
      <c r="A3240" t="str">
        <f t="shared" si="117"/>
        <v>تهرانرباطكريم</v>
      </c>
      <c r="B3240" t="s">
        <v>397</v>
      </c>
      <c r="C3240" t="s">
        <v>405</v>
      </c>
      <c r="D3240" t="s">
        <v>477</v>
      </c>
      <c r="E3240">
        <f t="shared" ca="1" si="119"/>
        <v>0.4</v>
      </c>
      <c r="F3240">
        <f>IFERROR(VLOOKUP(H3240,ProfessionalRisk!A:I,9,0),0)</f>
        <v>968</v>
      </c>
      <c r="G3240">
        <f t="shared" ca="1" si="118"/>
        <v>387</v>
      </c>
      <c r="H3240" t="s">
        <v>634</v>
      </c>
    </row>
    <row r="3241" spans="1:8">
      <c r="A3241" t="str">
        <f t="shared" si="117"/>
        <v>تهرانرباطكريم</v>
      </c>
      <c r="B3241" t="s">
        <v>397</v>
      </c>
      <c r="C3241" t="s">
        <v>405</v>
      </c>
      <c r="D3241" t="s">
        <v>23</v>
      </c>
      <c r="E3241">
        <f t="shared" ca="1" si="119"/>
        <v>2.3260741839875587E-3</v>
      </c>
      <c r="F3241">
        <f>IFERROR(VLOOKUP(H3241,ProfessionalRisk!A:I,9,0),0)</f>
        <v>968</v>
      </c>
      <c r="G3241">
        <f t="shared" ca="1" si="118"/>
        <v>2</v>
      </c>
      <c r="H3241" t="s">
        <v>634</v>
      </c>
    </row>
    <row r="3242" spans="1:8">
      <c r="A3242" t="str">
        <f t="shared" si="117"/>
        <v>تهرانپاكدشت</v>
      </c>
      <c r="B3242" t="s">
        <v>397</v>
      </c>
      <c r="C3242" t="s">
        <v>406</v>
      </c>
      <c r="D3242" t="s">
        <v>19</v>
      </c>
      <c r="E3242">
        <f t="shared" ca="1" si="119"/>
        <v>0.6</v>
      </c>
      <c r="F3242">
        <f>IFERROR(VLOOKUP(H3242,ProfessionalRisk!A:I,9,0),0)</f>
        <v>2206</v>
      </c>
      <c r="G3242">
        <f t="shared" ca="1" si="118"/>
        <v>1324</v>
      </c>
      <c r="H3242" t="s">
        <v>642</v>
      </c>
    </row>
    <row r="3243" spans="1:8">
      <c r="A3243" t="str">
        <f t="shared" si="117"/>
        <v>تهرانپاكدشت</v>
      </c>
      <c r="B3243" t="s">
        <v>397</v>
      </c>
      <c r="C3243" t="s">
        <v>406</v>
      </c>
      <c r="D3243" t="s">
        <v>477</v>
      </c>
      <c r="E3243">
        <f t="shared" ca="1" si="119"/>
        <v>0.4</v>
      </c>
      <c r="F3243">
        <f>IFERROR(VLOOKUP(H3243,ProfessionalRisk!A:I,9,0),0)</f>
        <v>2206</v>
      </c>
      <c r="G3243">
        <f t="shared" ca="1" si="118"/>
        <v>882</v>
      </c>
      <c r="H3243" t="s">
        <v>642</v>
      </c>
    </row>
    <row r="3244" spans="1:8">
      <c r="A3244" t="str">
        <f t="shared" si="117"/>
        <v>تهرانپاكدشت</v>
      </c>
      <c r="B3244" t="s">
        <v>397</v>
      </c>
      <c r="C3244" t="s">
        <v>406</v>
      </c>
      <c r="D3244" t="s">
        <v>23</v>
      </c>
      <c r="E3244">
        <f t="shared" ca="1" si="119"/>
        <v>1.3096834106038201E-2</v>
      </c>
      <c r="F3244">
        <f>IFERROR(VLOOKUP(H3244,ProfessionalRisk!A:I,9,0),0)</f>
        <v>2206</v>
      </c>
      <c r="G3244">
        <f t="shared" ca="1" si="118"/>
        <v>29</v>
      </c>
      <c r="H3244" t="s">
        <v>642</v>
      </c>
    </row>
    <row r="3245" spans="1:8">
      <c r="A3245" t="str">
        <f t="shared" si="117"/>
        <v>تهرانفيروزكوه</v>
      </c>
      <c r="B3245" t="s">
        <v>397</v>
      </c>
      <c r="C3245" t="s">
        <v>407</v>
      </c>
      <c r="D3245" t="s">
        <v>19</v>
      </c>
      <c r="E3245">
        <f t="shared" ca="1" si="119"/>
        <v>0.6</v>
      </c>
      <c r="F3245">
        <f>IFERROR(VLOOKUP(H3245,ProfessionalRisk!A:I,9,0),0)</f>
        <v>496</v>
      </c>
      <c r="G3245">
        <f t="shared" ca="1" si="118"/>
        <v>298</v>
      </c>
      <c r="H3245" t="s">
        <v>638</v>
      </c>
    </row>
    <row r="3246" spans="1:8">
      <c r="A3246" t="str">
        <f t="shared" si="117"/>
        <v>تهرانفيروزكوه</v>
      </c>
      <c r="B3246" t="s">
        <v>397</v>
      </c>
      <c r="C3246" t="s">
        <v>407</v>
      </c>
      <c r="D3246" t="s">
        <v>477</v>
      </c>
      <c r="E3246">
        <f t="shared" ca="1" si="119"/>
        <v>0.4</v>
      </c>
      <c r="F3246">
        <f>IFERROR(VLOOKUP(H3246,ProfessionalRisk!A:I,9,0),0)</f>
        <v>496</v>
      </c>
      <c r="G3246">
        <f t="shared" ca="1" si="118"/>
        <v>198</v>
      </c>
      <c r="H3246" t="s">
        <v>638</v>
      </c>
    </row>
    <row r="3247" spans="1:8">
      <c r="A3247" t="str">
        <f t="shared" si="117"/>
        <v>تهرانفيروزكوه</v>
      </c>
      <c r="B3247" t="s">
        <v>397</v>
      </c>
      <c r="C3247" t="s">
        <v>407</v>
      </c>
      <c r="D3247" t="s">
        <v>23</v>
      </c>
      <c r="E3247">
        <f t="shared" ca="1" si="119"/>
        <v>8.81372934902124E-3</v>
      </c>
      <c r="F3247">
        <f>IFERROR(VLOOKUP(H3247,ProfessionalRisk!A:I,9,0),0)</f>
        <v>496</v>
      </c>
      <c r="G3247">
        <f t="shared" ca="1" si="118"/>
        <v>4</v>
      </c>
      <c r="H3247" t="s">
        <v>638</v>
      </c>
    </row>
    <row r="3248" spans="1:8">
      <c r="A3248" t="str">
        <f t="shared" si="117"/>
        <v>تهرانقدس</v>
      </c>
      <c r="B3248" t="s">
        <v>397</v>
      </c>
      <c r="C3248" t="s">
        <v>408</v>
      </c>
      <c r="D3248" t="s">
        <v>19</v>
      </c>
      <c r="E3248">
        <f t="shared" ca="1" si="119"/>
        <v>0.6</v>
      </c>
      <c r="F3248">
        <f>IFERROR(VLOOKUP(H3248,ProfessionalRisk!A:I,9,0),0)</f>
        <v>955</v>
      </c>
      <c r="G3248">
        <f t="shared" ca="1" si="118"/>
        <v>573</v>
      </c>
      <c r="H3248" t="s">
        <v>637</v>
      </c>
    </row>
    <row r="3249" spans="1:8">
      <c r="A3249" t="str">
        <f t="shared" si="117"/>
        <v>تهرانقدس</v>
      </c>
      <c r="B3249" t="s">
        <v>397</v>
      </c>
      <c r="C3249" t="s">
        <v>408</v>
      </c>
      <c r="D3249" t="s">
        <v>477</v>
      </c>
      <c r="E3249">
        <f t="shared" ca="1" si="119"/>
        <v>0.4</v>
      </c>
      <c r="F3249">
        <f>IFERROR(VLOOKUP(H3249,ProfessionalRisk!A:I,9,0),0)</f>
        <v>955</v>
      </c>
      <c r="G3249">
        <f t="shared" ca="1" si="118"/>
        <v>382</v>
      </c>
      <c r="H3249" t="s">
        <v>637</v>
      </c>
    </row>
    <row r="3250" spans="1:8">
      <c r="A3250" t="str">
        <f t="shared" si="117"/>
        <v>تهرانقدس</v>
      </c>
      <c r="B3250" t="s">
        <v>397</v>
      </c>
      <c r="C3250" t="s">
        <v>408</v>
      </c>
      <c r="D3250" t="s">
        <v>23</v>
      </c>
      <c r="E3250">
        <f t="shared" ca="1" si="119"/>
        <v>1.4292433178609213E-2</v>
      </c>
      <c r="F3250">
        <f>IFERROR(VLOOKUP(H3250,ProfessionalRisk!A:I,9,0),0)</f>
        <v>955</v>
      </c>
      <c r="G3250">
        <f t="shared" ca="1" si="118"/>
        <v>14</v>
      </c>
      <c r="H3250" t="s">
        <v>637</v>
      </c>
    </row>
    <row r="3251" spans="1:8">
      <c r="A3251" t="str">
        <f t="shared" si="117"/>
        <v>تهرانملارد</v>
      </c>
      <c r="B3251" t="s">
        <v>397</v>
      </c>
      <c r="C3251" t="s">
        <v>409</v>
      </c>
      <c r="D3251" t="s">
        <v>19</v>
      </c>
      <c r="E3251">
        <f t="shared" ca="1" si="119"/>
        <v>0.6</v>
      </c>
      <c r="F3251">
        <f>IFERROR(VLOOKUP(H3251,ProfessionalRisk!A:I,9,0),0)</f>
        <v>1311</v>
      </c>
      <c r="G3251">
        <f t="shared" ca="1" si="118"/>
        <v>787</v>
      </c>
      <c r="H3251" t="s">
        <v>647</v>
      </c>
    </row>
    <row r="3252" spans="1:8">
      <c r="A3252" t="str">
        <f t="shared" si="117"/>
        <v>تهرانملارد</v>
      </c>
      <c r="B3252" t="s">
        <v>397</v>
      </c>
      <c r="C3252" t="s">
        <v>409</v>
      </c>
      <c r="D3252" t="s">
        <v>477</v>
      </c>
      <c r="E3252">
        <f t="shared" ca="1" si="119"/>
        <v>0.4</v>
      </c>
      <c r="F3252">
        <f>IFERROR(VLOOKUP(H3252,ProfessionalRisk!A:I,9,0),0)</f>
        <v>1311</v>
      </c>
      <c r="G3252">
        <f t="shared" ca="1" si="118"/>
        <v>524</v>
      </c>
      <c r="H3252" t="s">
        <v>647</v>
      </c>
    </row>
    <row r="3253" spans="1:8">
      <c r="A3253" t="str">
        <f t="shared" si="117"/>
        <v>تهرانملارد</v>
      </c>
      <c r="B3253" t="s">
        <v>397</v>
      </c>
      <c r="C3253" t="s">
        <v>409</v>
      </c>
      <c r="D3253" t="s">
        <v>23</v>
      </c>
      <c r="E3253">
        <f t="shared" ca="1" si="119"/>
        <v>8.955503425246529E-3</v>
      </c>
      <c r="F3253">
        <f>IFERROR(VLOOKUP(H3253,ProfessionalRisk!A:I,9,0),0)</f>
        <v>1311</v>
      </c>
      <c r="G3253">
        <f t="shared" ca="1" si="118"/>
        <v>12</v>
      </c>
      <c r="H3253" t="s">
        <v>647</v>
      </c>
    </row>
    <row r="3254" spans="1:8">
      <c r="A3254" t="str">
        <f t="shared" si="117"/>
        <v>تهرانپيشوا</v>
      </c>
      <c r="B3254" t="s">
        <v>397</v>
      </c>
      <c r="C3254" t="s">
        <v>410</v>
      </c>
      <c r="D3254" t="s">
        <v>19</v>
      </c>
      <c r="E3254">
        <f t="shared" ca="1" si="119"/>
        <v>0.6</v>
      </c>
      <c r="F3254">
        <f>IFERROR(VLOOKUP(H3254,ProfessionalRisk!A:I,9,0),0)</f>
        <v>540</v>
      </c>
      <c r="G3254">
        <f t="shared" ca="1" si="118"/>
        <v>324</v>
      </c>
      <c r="H3254" t="s">
        <v>640</v>
      </c>
    </row>
    <row r="3255" spans="1:8">
      <c r="A3255" t="str">
        <f t="shared" si="117"/>
        <v>تهرانپيشوا</v>
      </c>
      <c r="B3255" t="s">
        <v>397</v>
      </c>
      <c r="C3255" t="s">
        <v>410</v>
      </c>
      <c r="D3255" t="s">
        <v>477</v>
      </c>
      <c r="E3255">
        <f t="shared" ca="1" si="119"/>
        <v>0.4</v>
      </c>
      <c r="F3255">
        <f>IFERROR(VLOOKUP(H3255,ProfessionalRisk!A:I,9,0),0)</f>
        <v>540</v>
      </c>
      <c r="G3255">
        <f t="shared" ca="1" si="118"/>
        <v>216</v>
      </c>
      <c r="H3255" t="s">
        <v>640</v>
      </c>
    </row>
    <row r="3256" spans="1:8">
      <c r="A3256" t="str">
        <f t="shared" si="117"/>
        <v>تهرانپيشوا</v>
      </c>
      <c r="B3256" t="s">
        <v>397</v>
      </c>
      <c r="C3256" t="s">
        <v>410</v>
      </c>
      <c r="D3256" t="s">
        <v>23</v>
      </c>
      <c r="E3256">
        <f t="shared" ca="1" si="119"/>
        <v>1.2503771421902815E-2</v>
      </c>
      <c r="F3256">
        <f>IFERROR(VLOOKUP(H3256,ProfessionalRisk!A:I,9,0),0)</f>
        <v>540</v>
      </c>
      <c r="G3256">
        <f t="shared" ca="1" si="118"/>
        <v>7</v>
      </c>
      <c r="H3256" t="s">
        <v>640</v>
      </c>
    </row>
    <row r="3257" spans="1:8">
      <c r="A3257" t="str">
        <f t="shared" si="117"/>
        <v>تهرانبهارستان</v>
      </c>
      <c r="B3257" t="s">
        <v>397</v>
      </c>
      <c r="C3257" t="s">
        <v>411</v>
      </c>
      <c r="D3257" t="s">
        <v>19</v>
      </c>
      <c r="E3257">
        <f t="shared" ca="1" si="119"/>
        <v>0.6</v>
      </c>
      <c r="F3257">
        <f>IFERROR(VLOOKUP(H3257,ProfessionalRisk!A:I,9,0),0)</f>
        <v>1870</v>
      </c>
      <c r="G3257">
        <f t="shared" ca="1" si="118"/>
        <v>1122</v>
      </c>
      <c r="H3257" t="s">
        <v>644</v>
      </c>
    </row>
    <row r="3258" spans="1:8">
      <c r="A3258" t="str">
        <f t="shared" si="117"/>
        <v>تهرانبهارستان</v>
      </c>
      <c r="B3258" t="s">
        <v>397</v>
      </c>
      <c r="C3258" t="s">
        <v>411</v>
      </c>
      <c r="D3258" t="s">
        <v>477</v>
      </c>
      <c r="E3258">
        <f t="shared" ca="1" si="119"/>
        <v>0.4</v>
      </c>
      <c r="F3258">
        <f>IFERROR(VLOOKUP(H3258,ProfessionalRisk!A:I,9,0),0)</f>
        <v>1870</v>
      </c>
      <c r="G3258">
        <f t="shared" ca="1" si="118"/>
        <v>748</v>
      </c>
      <c r="H3258" t="s">
        <v>644</v>
      </c>
    </row>
    <row r="3259" spans="1:8">
      <c r="A3259" t="str">
        <f t="shared" si="117"/>
        <v>تهرانبهارستان</v>
      </c>
      <c r="B3259" t="s">
        <v>397</v>
      </c>
      <c r="C3259" t="s">
        <v>411</v>
      </c>
      <c r="D3259" t="s">
        <v>23</v>
      </c>
      <c r="E3259">
        <f t="shared" ca="1" si="119"/>
        <v>2.1722729742019876E-3</v>
      </c>
      <c r="F3259">
        <f>IFERROR(VLOOKUP(H3259,ProfessionalRisk!A:I,9,0),0)</f>
        <v>1870</v>
      </c>
      <c r="G3259">
        <f t="shared" ca="1" si="118"/>
        <v>4</v>
      </c>
      <c r="H3259" t="s">
        <v>644</v>
      </c>
    </row>
    <row r="3260" spans="1:8">
      <c r="A3260" t="str">
        <f t="shared" si="117"/>
        <v>تهرانپرديس</v>
      </c>
      <c r="B3260" t="s">
        <v>397</v>
      </c>
      <c r="C3260" t="s">
        <v>412</v>
      </c>
      <c r="D3260" t="s">
        <v>19</v>
      </c>
      <c r="E3260">
        <f t="shared" ca="1" si="119"/>
        <v>0.6</v>
      </c>
      <c r="F3260">
        <f>IFERROR(VLOOKUP(H3260,ProfessionalRisk!A:I,9,0),0)</f>
        <v>2046</v>
      </c>
      <c r="G3260">
        <f t="shared" ca="1" si="118"/>
        <v>1228</v>
      </c>
      <c r="H3260" t="s">
        <v>636</v>
      </c>
    </row>
    <row r="3261" spans="1:8">
      <c r="A3261" t="str">
        <f t="shared" si="117"/>
        <v>تهرانپرديس</v>
      </c>
      <c r="B3261" t="s">
        <v>397</v>
      </c>
      <c r="C3261" t="s">
        <v>412</v>
      </c>
      <c r="D3261" t="s">
        <v>477</v>
      </c>
      <c r="E3261">
        <f t="shared" ca="1" si="119"/>
        <v>0.4</v>
      </c>
      <c r="F3261">
        <f>IFERROR(VLOOKUP(H3261,ProfessionalRisk!A:I,9,0),0)</f>
        <v>2046</v>
      </c>
      <c r="G3261">
        <f t="shared" ca="1" si="118"/>
        <v>818</v>
      </c>
      <c r="H3261" t="s">
        <v>636</v>
      </c>
    </row>
    <row r="3262" spans="1:8">
      <c r="A3262" t="str">
        <f t="shared" si="117"/>
        <v>تهرانپرديس</v>
      </c>
      <c r="B3262" t="s">
        <v>397</v>
      </c>
      <c r="C3262" t="s">
        <v>412</v>
      </c>
      <c r="D3262" t="s">
        <v>23</v>
      </c>
      <c r="E3262">
        <f t="shared" ca="1" si="119"/>
        <v>9.9475500386131156E-3</v>
      </c>
      <c r="F3262">
        <f>IFERROR(VLOOKUP(H3262,ProfessionalRisk!A:I,9,0),0)</f>
        <v>2046</v>
      </c>
      <c r="G3262">
        <f t="shared" ca="1" si="118"/>
        <v>20</v>
      </c>
      <c r="H3262" t="s">
        <v>636</v>
      </c>
    </row>
    <row r="3263" spans="1:8">
      <c r="A3263" t="str">
        <f t="shared" si="117"/>
        <v>تهرانقرچك</v>
      </c>
      <c r="B3263" t="s">
        <v>397</v>
      </c>
      <c r="C3263" t="s">
        <v>650</v>
      </c>
      <c r="D3263" t="s">
        <v>19</v>
      </c>
      <c r="E3263">
        <f t="shared" ca="1" si="119"/>
        <v>0.6</v>
      </c>
      <c r="F3263">
        <f>IFERROR(VLOOKUP(H3263,ProfessionalRisk!A:I,9,0),0)</f>
        <v>11701</v>
      </c>
      <c r="G3263">
        <f t="shared" ca="1" si="118"/>
        <v>7021</v>
      </c>
      <c r="H3263" t="s">
        <v>855</v>
      </c>
    </row>
    <row r="3264" spans="1:8">
      <c r="A3264" t="str">
        <f t="shared" si="117"/>
        <v>تهرانقرچك</v>
      </c>
      <c r="B3264" t="s">
        <v>397</v>
      </c>
      <c r="C3264" t="s">
        <v>650</v>
      </c>
      <c r="D3264" t="s">
        <v>477</v>
      </c>
      <c r="E3264">
        <f t="shared" ca="1" si="119"/>
        <v>0.4</v>
      </c>
      <c r="F3264">
        <f>IFERROR(VLOOKUP(H3264,ProfessionalRisk!A:I,9,0),0)</f>
        <v>11701</v>
      </c>
      <c r="G3264">
        <f t="shared" ca="1" si="118"/>
        <v>4680</v>
      </c>
      <c r="H3264" t="s">
        <v>855</v>
      </c>
    </row>
    <row r="3265" spans="1:8">
      <c r="A3265" t="str">
        <f t="shared" si="117"/>
        <v>تهرانقرچك</v>
      </c>
      <c r="B3265" t="s">
        <v>397</v>
      </c>
      <c r="C3265" t="s">
        <v>650</v>
      </c>
      <c r="D3265" t="s">
        <v>23</v>
      </c>
      <c r="E3265">
        <f t="shared" ca="1" si="119"/>
        <v>1.8366269597972452E-3</v>
      </c>
      <c r="F3265">
        <f>IFERROR(VLOOKUP(H3265,ProfessionalRisk!A:I,9,0),0)</f>
        <v>11701</v>
      </c>
      <c r="G3265">
        <f t="shared" ca="1" si="118"/>
        <v>21</v>
      </c>
      <c r="H3265" t="s">
        <v>855</v>
      </c>
    </row>
    <row r="3266" spans="1:8">
      <c r="A3266" t="str">
        <f t="shared" ref="A3266:A3329" si="120">B3266&amp;C3266</f>
        <v>اردبيلاردبيل</v>
      </c>
      <c r="B3266" t="s">
        <v>413</v>
      </c>
      <c r="C3266" t="s">
        <v>413</v>
      </c>
      <c r="D3266" t="s">
        <v>19</v>
      </c>
      <c r="E3266">
        <f t="shared" ca="1" si="119"/>
        <v>0.6</v>
      </c>
      <c r="F3266">
        <f>IFERROR(VLOOKUP(H3266,ProfessionalRisk!A:I,9,0),0)</f>
        <v>12494</v>
      </c>
      <c r="G3266">
        <f t="shared" ca="1" si="118"/>
        <v>7496</v>
      </c>
      <c r="H3266" t="s">
        <v>563</v>
      </c>
    </row>
    <row r="3267" spans="1:8">
      <c r="A3267" t="str">
        <f t="shared" si="120"/>
        <v>اردبيلاردبيل</v>
      </c>
      <c r="B3267" t="s">
        <v>413</v>
      </c>
      <c r="C3267" t="s">
        <v>413</v>
      </c>
      <c r="D3267" t="s">
        <v>477</v>
      </c>
      <c r="E3267">
        <f t="shared" ca="1" si="119"/>
        <v>0.4</v>
      </c>
      <c r="F3267">
        <f>IFERROR(VLOOKUP(H3267,ProfessionalRisk!A:I,9,0),0)</f>
        <v>12494</v>
      </c>
      <c r="G3267">
        <f t="shared" ref="G3267:G3330" ca="1" si="121">IFERROR(ROUND(F3267*E3267,0),0)</f>
        <v>4998</v>
      </c>
      <c r="H3267" t="s">
        <v>563</v>
      </c>
    </row>
    <row r="3268" spans="1:8">
      <c r="A3268" t="str">
        <f t="shared" si="120"/>
        <v>اردبيلاردبيل</v>
      </c>
      <c r="B3268" t="s">
        <v>413</v>
      </c>
      <c r="C3268" t="s">
        <v>413</v>
      </c>
      <c r="D3268" t="s">
        <v>23</v>
      </c>
      <c r="E3268">
        <f t="shared" ca="1" si="119"/>
        <v>4.6927923733697919E-4</v>
      </c>
      <c r="F3268">
        <f>IFERROR(VLOOKUP(H3268,ProfessionalRisk!A:I,9,0),0)</f>
        <v>12494</v>
      </c>
      <c r="G3268">
        <f t="shared" ca="1" si="121"/>
        <v>6</v>
      </c>
      <c r="H3268" t="s">
        <v>563</v>
      </c>
    </row>
    <row r="3269" spans="1:8">
      <c r="A3269" t="str">
        <f t="shared" si="120"/>
        <v>اردبيلبيله سوار</v>
      </c>
      <c r="B3269" t="s">
        <v>413</v>
      </c>
      <c r="C3269" t="s">
        <v>415</v>
      </c>
      <c r="D3269" t="s">
        <v>19</v>
      </c>
      <c r="E3269">
        <f t="shared" ca="1" si="119"/>
        <v>0.6</v>
      </c>
      <c r="F3269">
        <f>IFERROR(VLOOKUP(H3269,ProfessionalRisk!A:I,9,0),0)</f>
        <v>356</v>
      </c>
      <c r="G3269">
        <f t="shared" ca="1" si="121"/>
        <v>214</v>
      </c>
      <c r="H3269" t="s">
        <v>560</v>
      </c>
    </row>
    <row r="3270" spans="1:8">
      <c r="A3270" t="str">
        <f t="shared" si="120"/>
        <v>اردبيلبيله سوار</v>
      </c>
      <c r="B3270" t="s">
        <v>413</v>
      </c>
      <c r="C3270" t="s">
        <v>415</v>
      </c>
      <c r="D3270" t="s">
        <v>477</v>
      </c>
      <c r="E3270">
        <f t="shared" ca="1" si="119"/>
        <v>0.4</v>
      </c>
      <c r="F3270">
        <f>IFERROR(VLOOKUP(H3270,ProfessionalRisk!A:I,9,0),0)</f>
        <v>356</v>
      </c>
      <c r="G3270">
        <f t="shared" ca="1" si="121"/>
        <v>142</v>
      </c>
      <c r="H3270" t="s">
        <v>560</v>
      </c>
    </row>
    <row r="3271" spans="1:8">
      <c r="A3271" t="str">
        <f t="shared" si="120"/>
        <v>اردبيلبيله سوار</v>
      </c>
      <c r="B3271" t="s">
        <v>413</v>
      </c>
      <c r="C3271" t="s">
        <v>415</v>
      </c>
      <c r="D3271" t="s">
        <v>23</v>
      </c>
      <c r="E3271">
        <f t="shared" ca="1" si="119"/>
        <v>1.1996869890834904E-3</v>
      </c>
      <c r="F3271">
        <f>IFERROR(VLOOKUP(H3271,ProfessionalRisk!A:I,9,0),0)</f>
        <v>356</v>
      </c>
      <c r="G3271">
        <f t="shared" ca="1" si="121"/>
        <v>0</v>
      </c>
      <c r="H3271" t="s">
        <v>560</v>
      </c>
    </row>
    <row r="3272" spans="1:8">
      <c r="A3272" t="str">
        <f t="shared" si="120"/>
        <v>اردبيلخلخال</v>
      </c>
      <c r="B3272" t="s">
        <v>413</v>
      </c>
      <c r="C3272" t="s">
        <v>416</v>
      </c>
      <c r="D3272" t="s">
        <v>19</v>
      </c>
      <c r="E3272">
        <f t="shared" ca="1" si="119"/>
        <v>0.6</v>
      </c>
      <c r="F3272">
        <f>IFERROR(VLOOKUP(H3272,ProfessionalRisk!A:I,9,0),0)</f>
        <v>1370</v>
      </c>
      <c r="G3272">
        <f t="shared" ca="1" si="121"/>
        <v>822</v>
      </c>
      <c r="H3272" t="s">
        <v>564</v>
      </c>
    </row>
    <row r="3273" spans="1:8">
      <c r="A3273" t="str">
        <f t="shared" si="120"/>
        <v>اردبيلخلخال</v>
      </c>
      <c r="B3273" t="s">
        <v>413</v>
      </c>
      <c r="C3273" t="s">
        <v>416</v>
      </c>
      <c r="D3273" t="s">
        <v>477</v>
      </c>
      <c r="E3273">
        <f t="shared" ca="1" si="119"/>
        <v>0.4</v>
      </c>
      <c r="F3273">
        <f>IFERROR(VLOOKUP(H3273,ProfessionalRisk!A:I,9,0),0)</f>
        <v>1370</v>
      </c>
      <c r="G3273">
        <f t="shared" ca="1" si="121"/>
        <v>548</v>
      </c>
      <c r="H3273" t="s">
        <v>564</v>
      </c>
    </row>
    <row r="3274" spans="1:8">
      <c r="A3274" t="str">
        <f t="shared" si="120"/>
        <v>اردبيلخلخال</v>
      </c>
      <c r="B3274" t="s">
        <v>413</v>
      </c>
      <c r="C3274" t="s">
        <v>416</v>
      </c>
      <c r="D3274" t="s">
        <v>23</v>
      </c>
      <c r="E3274">
        <f t="shared" ca="1" si="119"/>
        <v>2.4986823932548474E-3</v>
      </c>
      <c r="F3274">
        <f>IFERROR(VLOOKUP(H3274,ProfessionalRisk!A:I,9,0),0)</f>
        <v>1370</v>
      </c>
      <c r="G3274">
        <f t="shared" ca="1" si="121"/>
        <v>3</v>
      </c>
      <c r="H3274" t="s">
        <v>564</v>
      </c>
    </row>
    <row r="3275" spans="1:8">
      <c r="A3275" t="str">
        <f t="shared" si="120"/>
        <v>اردبيلمشگين شهر</v>
      </c>
      <c r="B3275" t="s">
        <v>413</v>
      </c>
      <c r="C3275" t="s">
        <v>417</v>
      </c>
      <c r="D3275" t="s">
        <v>19</v>
      </c>
      <c r="E3275">
        <f t="shared" ca="1" si="119"/>
        <v>0.6</v>
      </c>
      <c r="F3275">
        <f>IFERROR(VLOOKUP(H3275,ProfessionalRisk!A:I,9,0),0)</f>
        <v>1172</v>
      </c>
      <c r="G3275">
        <f t="shared" ca="1" si="121"/>
        <v>703</v>
      </c>
      <c r="H3275" t="s">
        <v>565</v>
      </c>
    </row>
    <row r="3276" spans="1:8">
      <c r="A3276" t="str">
        <f t="shared" si="120"/>
        <v>اردبيلمشگين شهر</v>
      </c>
      <c r="B3276" t="s">
        <v>413</v>
      </c>
      <c r="C3276" t="s">
        <v>417</v>
      </c>
      <c r="D3276" t="s">
        <v>477</v>
      </c>
      <c r="E3276">
        <f t="shared" ca="1" si="119"/>
        <v>0.4</v>
      </c>
      <c r="F3276">
        <f>IFERROR(VLOOKUP(H3276,ProfessionalRisk!A:I,9,0),0)</f>
        <v>1172</v>
      </c>
      <c r="G3276">
        <f t="shared" ca="1" si="121"/>
        <v>469</v>
      </c>
      <c r="H3276" t="s">
        <v>565</v>
      </c>
    </row>
    <row r="3277" spans="1:8">
      <c r="A3277" t="str">
        <f t="shared" si="120"/>
        <v>اردبيلمشگين شهر</v>
      </c>
      <c r="B3277" t="s">
        <v>413</v>
      </c>
      <c r="C3277" t="s">
        <v>417</v>
      </c>
      <c r="D3277" t="s">
        <v>23</v>
      </c>
      <c r="E3277">
        <f t="shared" ca="1" si="119"/>
        <v>1.3122569507502259E-3</v>
      </c>
      <c r="F3277">
        <f>IFERROR(VLOOKUP(H3277,ProfessionalRisk!A:I,9,0),0)</f>
        <v>1172</v>
      </c>
      <c r="G3277">
        <f t="shared" ca="1" si="121"/>
        <v>2</v>
      </c>
      <c r="H3277" t="s">
        <v>565</v>
      </c>
    </row>
    <row r="3278" spans="1:8">
      <c r="A3278" t="str">
        <f t="shared" si="120"/>
        <v>اردبيلگرمي</v>
      </c>
      <c r="B3278" t="s">
        <v>413</v>
      </c>
      <c r="C3278" t="s">
        <v>418</v>
      </c>
      <c r="D3278" t="s">
        <v>19</v>
      </c>
      <c r="E3278">
        <f t="shared" ca="1" si="119"/>
        <v>0.6</v>
      </c>
      <c r="F3278">
        <f>IFERROR(VLOOKUP(H3278,ProfessionalRisk!A:I,9,0),0)</f>
        <v>1166</v>
      </c>
      <c r="G3278">
        <f t="shared" ca="1" si="121"/>
        <v>700</v>
      </c>
      <c r="H3278" t="s">
        <v>567</v>
      </c>
    </row>
    <row r="3279" spans="1:8">
      <c r="A3279" t="str">
        <f t="shared" si="120"/>
        <v>اردبيلگرمي</v>
      </c>
      <c r="B3279" t="s">
        <v>413</v>
      </c>
      <c r="C3279" t="s">
        <v>418</v>
      </c>
      <c r="D3279" t="s">
        <v>477</v>
      </c>
      <c r="E3279">
        <f t="shared" ca="1" si="119"/>
        <v>0.4</v>
      </c>
      <c r="F3279">
        <f>IFERROR(VLOOKUP(H3279,ProfessionalRisk!A:I,9,0),0)</f>
        <v>1166</v>
      </c>
      <c r="G3279">
        <f t="shared" ca="1" si="121"/>
        <v>466</v>
      </c>
      <c r="H3279" t="s">
        <v>567</v>
      </c>
    </row>
    <row r="3280" spans="1:8">
      <c r="A3280" t="str">
        <f t="shared" si="120"/>
        <v>اردبيلگرمي</v>
      </c>
      <c r="B3280" t="s">
        <v>413</v>
      </c>
      <c r="C3280" t="s">
        <v>418</v>
      </c>
      <c r="D3280" t="s">
        <v>23</v>
      </c>
      <c r="E3280">
        <f t="shared" ca="1" si="119"/>
        <v>5.3019454374234323E-3</v>
      </c>
      <c r="F3280">
        <f>IFERROR(VLOOKUP(H3280,ProfessionalRisk!A:I,9,0),0)</f>
        <v>1166</v>
      </c>
      <c r="G3280">
        <f t="shared" ca="1" si="121"/>
        <v>6</v>
      </c>
      <c r="H3280" t="s">
        <v>567</v>
      </c>
    </row>
    <row r="3281" spans="1:8">
      <c r="A3281" t="str">
        <f t="shared" si="120"/>
        <v>اردبيلپارس آباد</v>
      </c>
      <c r="B3281" t="s">
        <v>413</v>
      </c>
      <c r="C3281" t="s">
        <v>419</v>
      </c>
      <c r="D3281" t="s">
        <v>19</v>
      </c>
      <c r="E3281">
        <f t="shared" ca="1" si="119"/>
        <v>0.6</v>
      </c>
      <c r="F3281">
        <f>IFERROR(VLOOKUP(H3281,ProfessionalRisk!A:I,9,0),0)</f>
        <v>864</v>
      </c>
      <c r="G3281">
        <f t="shared" ca="1" si="121"/>
        <v>518</v>
      </c>
      <c r="H3281" t="s">
        <v>568</v>
      </c>
    </row>
    <row r="3282" spans="1:8">
      <c r="A3282" t="str">
        <f t="shared" si="120"/>
        <v>اردبيلپارس آباد</v>
      </c>
      <c r="B3282" t="s">
        <v>413</v>
      </c>
      <c r="C3282" t="s">
        <v>419</v>
      </c>
      <c r="D3282" t="s">
        <v>477</v>
      </c>
      <c r="E3282">
        <f t="shared" ca="1" si="119"/>
        <v>0.4</v>
      </c>
      <c r="F3282">
        <f>IFERROR(VLOOKUP(H3282,ProfessionalRisk!A:I,9,0),0)</f>
        <v>864</v>
      </c>
      <c r="G3282">
        <f t="shared" ca="1" si="121"/>
        <v>346</v>
      </c>
      <c r="H3282" t="s">
        <v>568</v>
      </c>
    </row>
    <row r="3283" spans="1:8">
      <c r="A3283" t="str">
        <f t="shared" si="120"/>
        <v>اردبيلپارس آباد</v>
      </c>
      <c r="B3283" t="s">
        <v>413</v>
      </c>
      <c r="C3283" t="s">
        <v>419</v>
      </c>
      <c r="D3283" t="s">
        <v>23</v>
      </c>
      <c r="E3283">
        <f t="shared" ca="1" si="119"/>
        <v>1.932026196200689E-3</v>
      </c>
      <c r="F3283">
        <f>IFERROR(VLOOKUP(H3283,ProfessionalRisk!A:I,9,0),0)</f>
        <v>864</v>
      </c>
      <c r="G3283">
        <f t="shared" ca="1" si="121"/>
        <v>2</v>
      </c>
      <c r="H3283" t="s">
        <v>568</v>
      </c>
    </row>
    <row r="3284" spans="1:8">
      <c r="A3284" t="str">
        <f t="shared" si="120"/>
        <v>اردبيلكوثر</v>
      </c>
      <c r="B3284" t="s">
        <v>413</v>
      </c>
      <c r="C3284" t="s">
        <v>420</v>
      </c>
      <c r="D3284" t="s">
        <v>19</v>
      </c>
      <c r="E3284">
        <f t="shared" ca="1" si="119"/>
        <v>0.6</v>
      </c>
      <c r="F3284">
        <f>IFERROR(VLOOKUP(H3284,ProfessionalRisk!A:I,9,0),0)</f>
        <v>358</v>
      </c>
      <c r="G3284">
        <f t="shared" ca="1" si="121"/>
        <v>215</v>
      </c>
      <c r="H3284" t="s">
        <v>570</v>
      </c>
    </row>
    <row r="3285" spans="1:8">
      <c r="A3285" t="str">
        <f t="shared" si="120"/>
        <v>اردبيلكوثر</v>
      </c>
      <c r="B3285" t="s">
        <v>413</v>
      </c>
      <c r="C3285" t="s">
        <v>420</v>
      </c>
      <c r="D3285" t="s">
        <v>477</v>
      </c>
      <c r="E3285">
        <f t="shared" ca="1" si="119"/>
        <v>0.4</v>
      </c>
      <c r="F3285">
        <f>IFERROR(VLOOKUP(H3285,ProfessionalRisk!A:I,9,0),0)</f>
        <v>358</v>
      </c>
      <c r="G3285">
        <f t="shared" ca="1" si="121"/>
        <v>143</v>
      </c>
      <c r="H3285" t="s">
        <v>570</v>
      </c>
    </row>
    <row r="3286" spans="1:8">
      <c r="A3286" t="str">
        <f t="shared" si="120"/>
        <v>اردبيلكوثر</v>
      </c>
      <c r="B3286" t="s">
        <v>413</v>
      </c>
      <c r="C3286" t="s">
        <v>420</v>
      </c>
      <c r="D3286" t="s">
        <v>23</v>
      </c>
      <c r="E3286">
        <f t="shared" ca="1" si="119"/>
        <v>1.270341877595001E-2</v>
      </c>
      <c r="F3286">
        <f>IFERROR(VLOOKUP(H3286,ProfessionalRisk!A:I,9,0),0)</f>
        <v>358</v>
      </c>
      <c r="G3286">
        <f t="shared" ca="1" si="121"/>
        <v>5</v>
      </c>
      <c r="H3286" t="s">
        <v>570</v>
      </c>
    </row>
    <row r="3287" spans="1:8">
      <c r="A3287" t="str">
        <f t="shared" si="120"/>
        <v>اردبيلنمين</v>
      </c>
      <c r="B3287" t="s">
        <v>413</v>
      </c>
      <c r="C3287" t="s">
        <v>421</v>
      </c>
      <c r="D3287" t="s">
        <v>19</v>
      </c>
      <c r="E3287">
        <f t="shared" ca="1" si="119"/>
        <v>0.6</v>
      </c>
      <c r="F3287">
        <f>IFERROR(VLOOKUP(H3287,ProfessionalRisk!A:I,9,0),0)</f>
        <v>798</v>
      </c>
      <c r="G3287">
        <f t="shared" ca="1" si="121"/>
        <v>479</v>
      </c>
      <c r="H3287" t="s">
        <v>562</v>
      </c>
    </row>
    <row r="3288" spans="1:8">
      <c r="A3288" t="str">
        <f t="shared" si="120"/>
        <v>اردبيلنمين</v>
      </c>
      <c r="B3288" t="s">
        <v>413</v>
      </c>
      <c r="C3288" t="s">
        <v>421</v>
      </c>
      <c r="D3288" t="s">
        <v>477</v>
      </c>
      <c r="E3288">
        <f t="shared" ca="1" si="119"/>
        <v>0.4</v>
      </c>
      <c r="F3288">
        <f>IFERROR(VLOOKUP(H3288,ProfessionalRisk!A:I,9,0),0)</f>
        <v>798</v>
      </c>
      <c r="G3288">
        <f t="shared" ca="1" si="121"/>
        <v>319</v>
      </c>
      <c r="H3288" t="s">
        <v>562</v>
      </c>
    </row>
    <row r="3289" spans="1:8">
      <c r="A3289" t="str">
        <f t="shared" si="120"/>
        <v>اردبيلنمين</v>
      </c>
      <c r="B3289" t="s">
        <v>413</v>
      </c>
      <c r="C3289" t="s">
        <v>421</v>
      </c>
      <c r="D3289" t="s">
        <v>23</v>
      </c>
      <c r="E3289">
        <f t="shared" ca="1" si="119"/>
        <v>1.177980459325359E-2</v>
      </c>
      <c r="F3289">
        <f>IFERROR(VLOOKUP(H3289,ProfessionalRisk!A:I,9,0),0)</f>
        <v>798</v>
      </c>
      <c r="G3289">
        <f t="shared" ca="1" si="121"/>
        <v>9</v>
      </c>
      <c r="H3289" t="s">
        <v>562</v>
      </c>
    </row>
    <row r="3290" spans="1:8">
      <c r="A3290" t="str">
        <f t="shared" si="120"/>
        <v>اردبيلنير</v>
      </c>
      <c r="B3290" t="s">
        <v>413</v>
      </c>
      <c r="C3290" t="s">
        <v>422</v>
      </c>
      <c r="D3290" t="s">
        <v>19</v>
      </c>
      <c r="E3290">
        <f t="shared" ca="1" si="119"/>
        <v>0.6</v>
      </c>
      <c r="F3290">
        <f>IFERROR(VLOOKUP(H3290,ProfessionalRisk!A:I,9,0),0)</f>
        <v>265</v>
      </c>
      <c r="G3290">
        <f t="shared" ca="1" si="121"/>
        <v>159</v>
      </c>
      <c r="H3290" t="s">
        <v>569</v>
      </c>
    </row>
    <row r="3291" spans="1:8">
      <c r="A3291" t="str">
        <f t="shared" si="120"/>
        <v>اردبيلنير</v>
      </c>
      <c r="B3291" t="s">
        <v>413</v>
      </c>
      <c r="C3291" t="s">
        <v>422</v>
      </c>
      <c r="D3291" t="s">
        <v>477</v>
      </c>
      <c r="E3291">
        <f t="shared" ca="1" si="119"/>
        <v>0.4</v>
      </c>
      <c r="F3291">
        <f>IFERROR(VLOOKUP(H3291,ProfessionalRisk!A:I,9,0),0)</f>
        <v>265</v>
      </c>
      <c r="G3291">
        <f t="shared" ca="1" si="121"/>
        <v>106</v>
      </c>
      <c r="H3291" t="s">
        <v>569</v>
      </c>
    </row>
    <row r="3292" spans="1:8">
      <c r="A3292" t="str">
        <f t="shared" si="120"/>
        <v>اردبيلنير</v>
      </c>
      <c r="B3292" t="s">
        <v>413</v>
      </c>
      <c r="C3292" t="s">
        <v>422</v>
      </c>
      <c r="D3292" t="s">
        <v>23</v>
      </c>
      <c r="E3292">
        <f t="shared" ca="1" si="119"/>
        <v>5.1311075053801502E-5</v>
      </c>
      <c r="F3292">
        <f>IFERROR(VLOOKUP(H3292,ProfessionalRisk!A:I,9,0),0)</f>
        <v>265</v>
      </c>
      <c r="G3292">
        <f t="shared" ca="1" si="121"/>
        <v>0</v>
      </c>
      <c r="H3292" t="s">
        <v>569</v>
      </c>
    </row>
    <row r="3293" spans="1:8">
      <c r="A3293" t="str">
        <f t="shared" si="120"/>
        <v>اردبيلسرعين</v>
      </c>
      <c r="B3293" t="s">
        <v>413</v>
      </c>
      <c r="C3293" t="s">
        <v>424</v>
      </c>
      <c r="D3293" t="s">
        <v>19</v>
      </c>
      <c r="E3293">
        <f t="shared" ca="1" si="119"/>
        <v>0.6</v>
      </c>
      <c r="F3293">
        <f>IFERROR(VLOOKUP(H3293,ProfessionalRisk!A:I,9,0),0)</f>
        <v>204</v>
      </c>
      <c r="G3293">
        <f t="shared" ca="1" si="121"/>
        <v>122</v>
      </c>
      <c r="H3293" t="s">
        <v>566</v>
      </c>
    </row>
    <row r="3294" spans="1:8">
      <c r="A3294" t="str">
        <f t="shared" si="120"/>
        <v>اردبيلسرعين</v>
      </c>
      <c r="B3294" t="s">
        <v>413</v>
      </c>
      <c r="C3294" t="s">
        <v>424</v>
      </c>
      <c r="D3294" t="s">
        <v>477</v>
      </c>
      <c r="E3294">
        <f t="shared" ca="1" si="119"/>
        <v>0.4</v>
      </c>
      <c r="F3294">
        <f>IFERROR(VLOOKUP(H3294,ProfessionalRisk!A:I,9,0),0)</f>
        <v>204</v>
      </c>
      <c r="G3294">
        <f t="shared" ca="1" si="121"/>
        <v>82</v>
      </c>
      <c r="H3294" t="s">
        <v>566</v>
      </c>
    </row>
    <row r="3295" spans="1:8">
      <c r="A3295" t="str">
        <f t="shared" si="120"/>
        <v>اردبيلسرعين</v>
      </c>
      <c r="B3295" t="s">
        <v>413</v>
      </c>
      <c r="C3295" t="s">
        <v>424</v>
      </c>
      <c r="D3295" t="s">
        <v>23</v>
      </c>
      <c r="E3295">
        <f t="shared" ca="1" si="119"/>
        <v>5.594361205950182E-4</v>
      </c>
      <c r="F3295">
        <f>IFERROR(VLOOKUP(H3295,ProfessionalRisk!A:I,9,0),0)</f>
        <v>204</v>
      </c>
      <c r="G3295">
        <f t="shared" ca="1" si="121"/>
        <v>0</v>
      </c>
      <c r="H3295" t="s">
        <v>566</v>
      </c>
    </row>
    <row r="3296" spans="1:8">
      <c r="A3296" t="str">
        <f t="shared" si="120"/>
        <v>قمقم</v>
      </c>
      <c r="B3296" t="s">
        <v>423</v>
      </c>
      <c r="C3296" t="s">
        <v>423</v>
      </c>
      <c r="D3296" t="s">
        <v>19</v>
      </c>
      <c r="E3296">
        <f t="shared" ca="1" si="119"/>
        <v>0.6</v>
      </c>
      <c r="F3296">
        <f>IFERROR(VLOOKUP(H3296,ProfessionalRisk!A:I,9,0),0)</f>
        <v>19334</v>
      </c>
      <c r="G3296">
        <f t="shared" ca="1" si="121"/>
        <v>11600</v>
      </c>
      <c r="H3296" t="s">
        <v>813</v>
      </c>
    </row>
    <row r="3297" spans="1:8">
      <c r="A3297" t="str">
        <f t="shared" si="120"/>
        <v>قمقم</v>
      </c>
      <c r="B3297" t="s">
        <v>423</v>
      </c>
      <c r="C3297" t="s">
        <v>423</v>
      </c>
      <c r="D3297" t="s">
        <v>477</v>
      </c>
      <c r="E3297">
        <f t="shared" ca="1" si="119"/>
        <v>0.4</v>
      </c>
      <c r="F3297">
        <f>IFERROR(VLOOKUP(H3297,ProfessionalRisk!A:I,9,0),0)</f>
        <v>19334</v>
      </c>
      <c r="G3297">
        <f t="shared" ca="1" si="121"/>
        <v>7734</v>
      </c>
      <c r="H3297" t="s">
        <v>813</v>
      </c>
    </row>
    <row r="3298" spans="1:8">
      <c r="A3298" t="str">
        <f t="shared" si="120"/>
        <v>قمقم</v>
      </c>
      <c r="B3298" t="s">
        <v>423</v>
      </c>
      <c r="C3298" t="s">
        <v>423</v>
      </c>
      <c r="D3298" t="s">
        <v>23</v>
      </c>
      <c r="E3298">
        <f t="shared" ca="1" si="119"/>
        <v>9.0008672997017886E-3</v>
      </c>
      <c r="F3298">
        <f>IFERROR(VLOOKUP(H3298,ProfessionalRisk!A:I,9,0),0)</f>
        <v>19334</v>
      </c>
      <c r="G3298">
        <f t="shared" ca="1" si="121"/>
        <v>174</v>
      </c>
      <c r="H3298" t="s">
        <v>813</v>
      </c>
    </row>
    <row r="3299" spans="1:8">
      <c r="A3299" t="str">
        <f t="shared" si="120"/>
        <v>قزوينبوئين زهرا</v>
      </c>
      <c r="B3299" t="s">
        <v>425</v>
      </c>
      <c r="C3299" t="s">
        <v>426</v>
      </c>
      <c r="D3299" t="s">
        <v>19</v>
      </c>
      <c r="E3299">
        <f t="shared" ref="E3299:E3362" ca="1" si="122">IF(D3299="AP",0.6,IF(D3299="BP",0.4,RAND()*0.02))</f>
        <v>0.6</v>
      </c>
      <c r="F3299">
        <f>IFERROR(VLOOKUP(H3299,ProfessionalRisk!A:I,9,0),0)</f>
        <v>1156</v>
      </c>
      <c r="G3299">
        <f t="shared" ca="1" si="121"/>
        <v>694</v>
      </c>
      <c r="H3299" t="s">
        <v>806</v>
      </c>
    </row>
    <row r="3300" spans="1:8">
      <c r="A3300" t="str">
        <f t="shared" si="120"/>
        <v>قزوينبوئين زهرا</v>
      </c>
      <c r="B3300" t="s">
        <v>425</v>
      </c>
      <c r="C3300" t="s">
        <v>426</v>
      </c>
      <c r="D3300" t="s">
        <v>477</v>
      </c>
      <c r="E3300">
        <f t="shared" ca="1" si="122"/>
        <v>0.4</v>
      </c>
      <c r="F3300">
        <f>IFERROR(VLOOKUP(H3300,ProfessionalRisk!A:I,9,0),0)</f>
        <v>1156</v>
      </c>
      <c r="G3300">
        <f t="shared" ca="1" si="121"/>
        <v>462</v>
      </c>
      <c r="H3300" t="s">
        <v>806</v>
      </c>
    </row>
    <row r="3301" spans="1:8">
      <c r="A3301" t="str">
        <f t="shared" si="120"/>
        <v>قزوينبوئين زهرا</v>
      </c>
      <c r="B3301" t="s">
        <v>425</v>
      </c>
      <c r="C3301" t="s">
        <v>426</v>
      </c>
      <c r="D3301" t="s">
        <v>23</v>
      </c>
      <c r="E3301">
        <f t="shared" ca="1" si="122"/>
        <v>1.4843370726859374E-4</v>
      </c>
      <c r="F3301">
        <f>IFERROR(VLOOKUP(H3301,ProfessionalRisk!A:I,9,0),0)</f>
        <v>1156</v>
      </c>
      <c r="G3301">
        <f t="shared" ca="1" si="121"/>
        <v>0</v>
      </c>
      <c r="H3301" t="s">
        <v>806</v>
      </c>
    </row>
    <row r="3302" spans="1:8">
      <c r="A3302" t="str">
        <f t="shared" si="120"/>
        <v>قزوينتاكستان</v>
      </c>
      <c r="B3302" t="s">
        <v>425</v>
      </c>
      <c r="C3302" t="s">
        <v>427</v>
      </c>
      <c r="D3302" t="s">
        <v>19</v>
      </c>
      <c r="E3302">
        <f t="shared" ca="1" si="122"/>
        <v>0.6</v>
      </c>
      <c r="F3302">
        <f>IFERROR(VLOOKUP(H3302,ProfessionalRisk!A:I,9,0),0)</f>
        <v>2446</v>
      </c>
      <c r="G3302">
        <f t="shared" ca="1" si="121"/>
        <v>1468</v>
      </c>
      <c r="H3302" t="s">
        <v>810</v>
      </c>
    </row>
    <row r="3303" spans="1:8">
      <c r="A3303" t="str">
        <f t="shared" si="120"/>
        <v>قزوينتاكستان</v>
      </c>
      <c r="B3303" t="s">
        <v>425</v>
      </c>
      <c r="C3303" t="s">
        <v>427</v>
      </c>
      <c r="D3303" t="s">
        <v>477</v>
      </c>
      <c r="E3303">
        <f t="shared" ca="1" si="122"/>
        <v>0.4</v>
      </c>
      <c r="F3303">
        <f>IFERROR(VLOOKUP(H3303,ProfessionalRisk!A:I,9,0),0)</f>
        <v>2446</v>
      </c>
      <c r="G3303">
        <f t="shared" ca="1" si="121"/>
        <v>978</v>
      </c>
      <c r="H3303" t="s">
        <v>810</v>
      </c>
    </row>
    <row r="3304" spans="1:8">
      <c r="A3304" t="str">
        <f t="shared" si="120"/>
        <v>قزوينتاكستان</v>
      </c>
      <c r="B3304" t="s">
        <v>425</v>
      </c>
      <c r="C3304" t="s">
        <v>427</v>
      </c>
      <c r="D3304" t="s">
        <v>23</v>
      </c>
      <c r="E3304">
        <f t="shared" ca="1" si="122"/>
        <v>7.3980264916153147E-3</v>
      </c>
      <c r="F3304">
        <f>IFERROR(VLOOKUP(H3304,ProfessionalRisk!A:I,9,0),0)</f>
        <v>2446</v>
      </c>
      <c r="G3304">
        <f t="shared" ca="1" si="121"/>
        <v>18</v>
      </c>
      <c r="H3304" t="s">
        <v>810</v>
      </c>
    </row>
    <row r="3305" spans="1:8">
      <c r="A3305" t="str">
        <f t="shared" si="120"/>
        <v>قزوينقزوين</v>
      </c>
      <c r="B3305" t="s">
        <v>425</v>
      </c>
      <c r="C3305" t="s">
        <v>425</v>
      </c>
      <c r="D3305" t="s">
        <v>19</v>
      </c>
      <c r="E3305">
        <f t="shared" ca="1" si="122"/>
        <v>0.6</v>
      </c>
      <c r="F3305">
        <f>IFERROR(VLOOKUP(H3305,ProfessionalRisk!A:I,9,0),0)</f>
        <v>14272</v>
      </c>
      <c r="G3305">
        <f t="shared" ca="1" si="121"/>
        <v>8563</v>
      </c>
      <c r="H3305" t="s">
        <v>812</v>
      </c>
    </row>
    <row r="3306" spans="1:8">
      <c r="A3306" t="str">
        <f t="shared" si="120"/>
        <v>قزوينقزوين</v>
      </c>
      <c r="B3306" t="s">
        <v>425</v>
      </c>
      <c r="C3306" t="s">
        <v>425</v>
      </c>
      <c r="D3306" t="s">
        <v>477</v>
      </c>
      <c r="E3306">
        <f t="shared" ca="1" si="122"/>
        <v>0.4</v>
      </c>
      <c r="F3306">
        <f>IFERROR(VLOOKUP(H3306,ProfessionalRisk!A:I,9,0),0)</f>
        <v>14272</v>
      </c>
      <c r="G3306">
        <f t="shared" ca="1" si="121"/>
        <v>5709</v>
      </c>
      <c r="H3306" t="s">
        <v>812</v>
      </c>
    </row>
    <row r="3307" spans="1:8">
      <c r="A3307" t="str">
        <f t="shared" si="120"/>
        <v>قزوينقزوين</v>
      </c>
      <c r="B3307" t="s">
        <v>425</v>
      </c>
      <c r="C3307" t="s">
        <v>425</v>
      </c>
      <c r="D3307" t="s">
        <v>23</v>
      </c>
      <c r="E3307">
        <f t="shared" ca="1" si="122"/>
        <v>1.460666904989193E-2</v>
      </c>
      <c r="F3307">
        <f>IFERROR(VLOOKUP(H3307,ProfessionalRisk!A:I,9,0),0)</f>
        <v>14272</v>
      </c>
      <c r="G3307">
        <f t="shared" ca="1" si="121"/>
        <v>208</v>
      </c>
      <c r="H3307" t="s">
        <v>812</v>
      </c>
    </row>
    <row r="3308" spans="1:8">
      <c r="A3308" t="str">
        <f t="shared" si="120"/>
        <v>قزوينآبيك</v>
      </c>
      <c r="B3308" t="s">
        <v>425</v>
      </c>
      <c r="C3308" t="s">
        <v>428</v>
      </c>
      <c r="D3308" t="s">
        <v>19</v>
      </c>
      <c r="E3308">
        <f t="shared" ca="1" si="122"/>
        <v>0.6</v>
      </c>
      <c r="F3308">
        <f>IFERROR(VLOOKUP(H3308,ProfessionalRisk!A:I,9,0),0)</f>
        <v>730</v>
      </c>
      <c r="G3308">
        <f t="shared" ca="1" si="121"/>
        <v>438</v>
      </c>
      <c r="H3308" t="s">
        <v>808</v>
      </c>
    </row>
    <row r="3309" spans="1:8">
      <c r="A3309" t="str">
        <f t="shared" si="120"/>
        <v>قزوينآبيك</v>
      </c>
      <c r="B3309" t="s">
        <v>425</v>
      </c>
      <c r="C3309" t="s">
        <v>428</v>
      </c>
      <c r="D3309" t="s">
        <v>477</v>
      </c>
      <c r="E3309">
        <f t="shared" ca="1" si="122"/>
        <v>0.4</v>
      </c>
      <c r="F3309">
        <f>IFERROR(VLOOKUP(H3309,ProfessionalRisk!A:I,9,0),0)</f>
        <v>730</v>
      </c>
      <c r="G3309">
        <f t="shared" ca="1" si="121"/>
        <v>292</v>
      </c>
      <c r="H3309" t="s">
        <v>808</v>
      </c>
    </row>
    <row r="3310" spans="1:8">
      <c r="A3310" t="str">
        <f t="shared" si="120"/>
        <v>قزوينآبيك</v>
      </c>
      <c r="B3310" t="s">
        <v>425</v>
      </c>
      <c r="C3310" t="s">
        <v>428</v>
      </c>
      <c r="D3310" t="s">
        <v>23</v>
      </c>
      <c r="E3310">
        <f t="shared" ca="1" si="122"/>
        <v>1.7457841317775575E-2</v>
      </c>
      <c r="F3310">
        <f>IFERROR(VLOOKUP(H3310,ProfessionalRisk!A:I,9,0),0)</f>
        <v>730</v>
      </c>
      <c r="G3310">
        <f t="shared" ca="1" si="121"/>
        <v>13</v>
      </c>
      <c r="H3310" t="s">
        <v>808</v>
      </c>
    </row>
    <row r="3311" spans="1:8">
      <c r="A3311" t="str">
        <f t="shared" si="120"/>
        <v>قزوينالبرز</v>
      </c>
      <c r="B3311" t="s">
        <v>425</v>
      </c>
      <c r="C3311" t="s">
        <v>429</v>
      </c>
      <c r="D3311" t="s">
        <v>19</v>
      </c>
      <c r="E3311">
        <f t="shared" ca="1" si="122"/>
        <v>0.6</v>
      </c>
      <c r="F3311">
        <f>IFERROR(VLOOKUP(H3311,ProfessionalRisk!A:I,9,0),0)</f>
        <v>820</v>
      </c>
      <c r="G3311">
        <f t="shared" ca="1" si="121"/>
        <v>492</v>
      </c>
      <c r="H3311" t="s">
        <v>811</v>
      </c>
    </row>
    <row r="3312" spans="1:8">
      <c r="A3312" t="str">
        <f t="shared" si="120"/>
        <v>قزوينالبرز</v>
      </c>
      <c r="B3312" t="s">
        <v>425</v>
      </c>
      <c r="C3312" t="s">
        <v>429</v>
      </c>
      <c r="D3312" t="s">
        <v>477</v>
      </c>
      <c r="E3312">
        <f t="shared" ca="1" si="122"/>
        <v>0.4</v>
      </c>
      <c r="F3312">
        <f>IFERROR(VLOOKUP(H3312,ProfessionalRisk!A:I,9,0),0)</f>
        <v>820</v>
      </c>
      <c r="G3312">
        <f t="shared" ca="1" si="121"/>
        <v>328</v>
      </c>
      <c r="H3312" t="s">
        <v>811</v>
      </c>
    </row>
    <row r="3313" spans="1:8">
      <c r="A3313" t="str">
        <f t="shared" si="120"/>
        <v>قزوينالبرز</v>
      </c>
      <c r="B3313" t="s">
        <v>425</v>
      </c>
      <c r="C3313" t="s">
        <v>429</v>
      </c>
      <c r="D3313" t="s">
        <v>23</v>
      </c>
      <c r="E3313">
        <f t="shared" ca="1" si="122"/>
        <v>2.8216101859091934E-3</v>
      </c>
      <c r="F3313">
        <f>IFERROR(VLOOKUP(H3313,ProfessionalRisk!A:I,9,0),0)</f>
        <v>820</v>
      </c>
      <c r="G3313">
        <f t="shared" ca="1" si="121"/>
        <v>2</v>
      </c>
      <c r="H3313" t="s">
        <v>811</v>
      </c>
    </row>
    <row r="3314" spans="1:8">
      <c r="A3314" t="str">
        <f t="shared" si="120"/>
        <v>قزوينآوج</v>
      </c>
      <c r="B3314" t="s">
        <v>425</v>
      </c>
      <c r="C3314" t="s">
        <v>431</v>
      </c>
      <c r="D3314" t="s">
        <v>19</v>
      </c>
      <c r="E3314">
        <f t="shared" ca="1" si="122"/>
        <v>0.6</v>
      </c>
      <c r="F3314">
        <f>IFERROR(VLOOKUP(H3314,ProfessionalRisk!A:I,9,0),0)</f>
        <v>486</v>
      </c>
      <c r="G3314">
        <f t="shared" ca="1" si="121"/>
        <v>292</v>
      </c>
      <c r="H3314" t="s">
        <v>809</v>
      </c>
    </row>
    <row r="3315" spans="1:8">
      <c r="A3315" t="str">
        <f t="shared" si="120"/>
        <v>قزوينآوج</v>
      </c>
      <c r="B3315" t="s">
        <v>425</v>
      </c>
      <c r="C3315" t="s">
        <v>431</v>
      </c>
      <c r="D3315" t="s">
        <v>477</v>
      </c>
      <c r="E3315">
        <f t="shared" ca="1" si="122"/>
        <v>0.4</v>
      </c>
      <c r="F3315">
        <f>IFERROR(VLOOKUP(H3315,ProfessionalRisk!A:I,9,0),0)</f>
        <v>486</v>
      </c>
      <c r="G3315">
        <f t="shared" ca="1" si="121"/>
        <v>194</v>
      </c>
      <c r="H3315" t="s">
        <v>809</v>
      </c>
    </row>
    <row r="3316" spans="1:8">
      <c r="A3316" t="str">
        <f t="shared" si="120"/>
        <v>قزوينآوج</v>
      </c>
      <c r="B3316" t="s">
        <v>425</v>
      </c>
      <c r="C3316" t="s">
        <v>431</v>
      </c>
      <c r="D3316" t="s">
        <v>23</v>
      </c>
      <c r="E3316">
        <f t="shared" ca="1" si="122"/>
        <v>7.1047941469457986E-3</v>
      </c>
      <c r="F3316">
        <f>IFERROR(VLOOKUP(H3316,ProfessionalRisk!A:I,9,0),0)</f>
        <v>486</v>
      </c>
      <c r="G3316">
        <f t="shared" ca="1" si="121"/>
        <v>3</v>
      </c>
      <c r="H3316" t="s">
        <v>809</v>
      </c>
    </row>
    <row r="3317" spans="1:8">
      <c r="A3317" t="str">
        <f t="shared" si="120"/>
        <v>گلستانبندرگز</v>
      </c>
      <c r="B3317" t="s">
        <v>430</v>
      </c>
      <c r="C3317" t="s">
        <v>432</v>
      </c>
      <c r="D3317" t="s">
        <v>19</v>
      </c>
      <c r="E3317">
        <f t="shared" ca="1" si="122"/>
        <v>0.6</v>
      </c>
      <c r="F3317">
        <f>IFERROR(VLOOKUP(H3317,ProfessionalRisk!A:I,9,0),0)</f>
        <v>948</v>
      </c>
      <c r="G3317">
        <f t="shared" ca="1" si="121"/>
        <v>569</v>
      </c>
      <c r="H3317" t="s">
        <v>965</v>
      </c>
    </row>
    <row r="3318" spans="1:8">
      <c r="A3318" t="str">
        <f t="shared" si="120"/>
        <v>گلستانبندرگز</v>
      </c>
      <c r="B3318" t="s">
        <v>430</v>
      </c>
      <c r="C3318" t="s">
        <v>432</v>
      </c>
      <c r="D3318" t="s">
        <v>477</v>
      </c>
      <c r="E3318">
        <f t="shared" ca="1" si="122"/>
        <v>0.4</v>
      </c>
      <c r="F3318">
        <f>IFERROR(VLOOKUP(H3318,ProfessionalRisk!A:I,9,0),0)</f>
        <v>948</v>
      </c>
      <c r="G3318">
        <f t="shared" ca="1" si="121"/>
        <v>379</v>
      </c>
      <c r="H3318" t="s">
        <v>965</v>
      </c>
    </row>
    <row r="3319" spans="1:8">
      <c r="A3319" t="str">
        <f t="shared" si="120"/>
        <v>گلستانبندرگز</v>
      </c>
      <c r="B3319" t="s">
        <v>430</v>
      </c>
      <c r="C3319" t="s">
        <v>432</v>
      </c>
      <c r="D3319" t="s">
        <v>23</v>
      </c>
      <c r="E3319">
        <f t="shared" ca="1" si="122"/>
        <v>1.7344910562710366E-2</v>
      </c>
      <c r="F3319">
        <f>IFERROR(VLOOKUP(H3319,ProfessionalRisk!A:I,9,0),0)</f>
        <v>948</v>
      </c>
      <c r="G3319">
        <f t="shared" ca="1" si="121"/>
        <v>16</v>
      </c>
      <c r="H3319" t="s">
        <v>965</v>
      </c>
    </row>
    <row r="3320" spans="1:8">
      <c r="A3320" t="str">
        <f t="shared" si="120"/>
        <v>گلستانتركمن</v>
      </c>
      <c r="B3320" t="s">
        <v>430</v>
      </c>
      <c r="C3320" t="s">
        <v>433</v>
      </c>
      <c r="D3320" t="s">
        <v>19</v>
      </c>
      <c r="E3320">
        <f t="shared" ca="1" si="122"/>
        <v>0.6</v>
      </c>
      <c r="F3320">
        <f>IFERROR(VLOOKUP(H3320,ProfessionalRisk!A:I,9,0),0)</f>
        <v>362</v>
      </c>
      <c r="G3320">
        <f t="shared" ca="1" si="121"/>
        <v>217</v>
      </c>
      <c r="H3320" t="s">
        <v>960</v>
      </c>
    </row>
    <row r="3321" spans="1:8">
      <c r="A3321" t="str">
        <f t="shared" si="120"/>
        <v>گلستانتركمن</v>
      </c>
      <c r="B3321" t="s">
        <v>430</v>
      </c>
      <c r="C3321" t="s">
        <v>433</v>
      </c>
      <c r="D3321" t="s">
        <v>477</v>
      </c>
      <c r="E3321">
        <f t="shared" ca="1" si="122"/>
        <v>0.4</v>
      </c>
      <c r="F3321">
        <f>IFERROR(VLOOKUP(H3321,ProfessionalRisk!A:I,9,0),0)</f>
        <v>362</v>
      </c>
      <c r="G3321">
        <f t="shared" ca="1" si="121"/>
        <v>145</v>
      </c>
      <c r="H3321" t="s">
        <v>960</v>
      </c>
    </row>
    <row r="3322" spans="1:8">
      <c r="A3322" t="str">
        <f t="shared" si="120"/>
        <v>گلستانتركمن</v>
      </c>
      <c r="B3322" t="s">
        <v>430</v>
      </c>
      <c r="C3322" t="s">
        <v>433</v>
      </c>
      <c r="D3322" t="s">
        <v>23</v>
      </c>
      <c r="E3322">
        <f t="shared" ca="1" si="122"/>
        <v>1.844159002519238E-2</v>
      </c>
      <c r="F3322">
        <f>IFERROR(VLOOKUP(H3322,ProfessionalRisk!A:I,9,0),0)</f>
        <v>362</v>
      </c>
      <c r="G3322">
        <f t="shared" ca="1" si="121"/>
        <v>7</v>
      </c>
      <c r="H3322" t="s">
        <v>960</v>
      </c>
    </row>
    <row r="3323" spans="1:8">
      <c r="A3323" t="str">
        <f t="shared" si="120"/>
        <v>گلستانعلي آباد</v>
      </c>
      <c r="B3323" t="s">
        <v>430</v>
      </c>
      <c r="C3323" t="s">
        <v>434</v>
      </c>
      <c r="D3323" t="s">
        <v>19</v>
      </c>
      <c r="E3323">
        <f t="shared" ca="1" si="122"/>
        <v>0.6</v>
      </c>
      <c r="F3323">
        <f>IFERROR(VLOOKUP(H3323,ProfessionalRisk!A:I,9,0),0)</f>
        <v>944</v>
      </c>
      <c r="G3323">
        <f t="shared" ca="1" si="121"/>
        <v>566</v>
      </c>
      <c r="H3323" t="s">
        <v>969</v>
      </c>
    </row>
    <row r="3324" spans="1:8">
      <c r="A3324" t="str">
        <f t="shared" si="120"/>
        <v>گلستانعلي آباد</v>
      </c>
      <c r="B3324" t="s">
        <v>430</v>
      </c>
      <c r="C3324" t="s">
        <v>434</v>
      </c>
      <c r="D3324" t="s">
        <v>477</v>
      </c>
      <c r="E3324">
        <f t="shared" ca="1" si="122"/>
        <v>0.4</v>
      </c>
      <c r="F3324">
        <f>IFERROR(VLOOKUP(H3324,ProfessionalRisk!A:I,9,0),0)</f>
        <v>944</v>
      </c>
      <c r="G3324">
        <f t="shared" ca="1" si="121"/>
        <v>378</v>
      </c>
      <c r="H3324" t="s">
        <v>969</v>
      </c>
    </row>
    <row r="3325" spans="1:8">
      <c r="A3325" t="str">
        <f t="shared" si="120"/>
        <v>گلستانعلي آباد</v>
      </c>
      <c r="B3325" t="s">
        <v>430</v>
      </c>
      <c r="C3325" t="s">
        <v>434</v>
      </c>
      <c r="D3325" t="s">
        <v>23</v>
      </c>
      <c r="E3325">
        <f t="shared" ca="1" si="122"/>
        <v>1.5833697140258413E-2</v>
      </c>
      <c r="F3325">
        <f>IFERROR(VLOOKUP(H3325,ProfessionalRisk!A:I,9,0),0)</f>
        <v>944</v>
      </c>
      <c r="G3325">
        <f t="shared" ca="1" si="121"/>
        <v>15</v>
      </c>
      <c r="H3325" t="s">
        <v>969</v>
      </c>
    </row>
    <row r="3326" spans="1:8">
      <c r="A3326" t="str">
        <f t="shared" si="120"/>
        <v>گلستانكردكوئ</v>
      </c>
      <c r="B3326" t="s">
        <v>430</v>
      </c>
      <c r="C3326" t="s">
        <v>435</v>
      </c>
      <c r="D3326" t="s">
        <v>19</v>
      </c>
      <c r="E3326">
        <f t="shared" ca="1" si="122"/>
        <v>0.6</v>
      </c>
      <c r="F3326">
        <f>IFERROR(VLOOKUP(H3326,ProfessionalRisk!A:I,9,0),0)</f>
        <v>460</v>
      </c>
      <c r="G3326">
        <f t="shared" ca="1" si="121"/>
        <v>276</v>
      </c>
      <c r="H3326" t="s">
        <v>961</v>
      </c>
    </row>
    <row r="3327" spans="1:8">
      <c r="A3327" t="str">
        <f t="shared" si="120"/>
        <v>گلستانكردكوئ</v>
      </c>
      <c r="B3327" t="s">
        <v>430</v>
      </c>
      <c r="C3327" t="s">
        <v>435</v>
      </c>
      <c r="D3327" t="s">
        <v>477</v>
      </c>
      <c r="E3327">
        <f t="shared" ca="1" si="122"/>
        <v>0.4</v>
      </c>
      <c r="F3327">
        <f>IFERROR(VLOOKUP(H3327,ProfessionalRisk!A:I,9,0),0)</f>
        <v>460</v>
      </c>
      <c r="G3327">
        <f t="shared" ca="1" si="121"/>
        <v>184</v>
      </c>
      <c r="H3327" t="s">
        <v>961</v>
      </c>
    </row>
    <row r="3328" spans="1:8">
      <c r="A3328" t="str">
        <f t="shared" si="120"/>
        <v>گلستانكردكوئ</v>
      </c>
      <c r="B3328" t="s">
        <v>430</v>
      </c>
      <c r="C3328" t="s">
        <v>435</v>
      </c>
      <c r="D3328" t="s">
        <v>23</v>
      </c>
      <c r="E3328">
        <f t="shared" ca="1" si="122"/>
        <v>1.7048328543464386E-2</v>
      </c>
      <c r="F3328">
        <f>IFERROR(VLOOKUP(H3328,ProfessionalRisk!A:I,9,0),0)</f>
        <v>460</v>
      </c>
      <c r="G3328">
        <f t="shared" ca="1" si="121"/>
        <v>8</v>
      </c>
      <c r="H3328" t="s">
        <v>961</v>
      </c>
    </row>
    <row r="3329" spans="1:8">
      <c r="A3329" t="str">
        <f t="shared" si="120"/>
        <v>گلستانگرگان</v>
      </c>
      <c r="B3329" t="s">
        <v>430</v>
      </c>
      <c r="C3329" t="s">
        <v>436</v>
      </c>
      <c r="D3329" t="s">
        <v>19</v>
      </c>
      <c r="E3329">
        <f t="shared" ca="1" si="122"/>
        <v>0.6</v>
      </c>
      <c r="F3329">
        <f>IFERROR(VLOOKUP(H3329,ProfessionalRisk!A:I,9,0),0)</f>
        <v>11530</v>
      </c>
      <c r="G3329">
        <f t="shared" ca="1" si="121"/>
        <v>6918</v>
      </c>
      <c r="H3329" t="s">
        <v>964</v>
      </c>
    </row>
    <row r="3330" spans="1:8">
      <c r="A3330" t="str">
        <f t="shared" ref="A3330:A3393" si="123">B3330&amp;C3330</f>
        <v>گلستانگرگان</v>
      </c>
      <c r="B3330" t="s">
        <v>430</v>
      </c>
      <c r="C3330" t="s">
        <v>436</v>
      </c>
      <c r="D3330" t="s">
        <v>477</v>
      </c>
      <c r="E3330">
        <f t="shared" ca="1" si="122"/>
        <v>0.4</v>
      </c>
      <c r="F3330">
        <f>IFERROR(VLOOKUP(H3330,ProfessionalRisk!A:I,9,0),0)</f>
        <v>11530</v>
      </c>
      <c r="G3330">
        <f t="shared" ca="1" si="121"/>
        <v>4612</v>
      </c>
      <c r="H3330" t="s">
        <v>964</v>
      </c>
    </row>
    <row r="3331" spans="1:8">
      <c r="A3331" t="str">
        <f t="shared" si="123"/>
        <v>گلستانگرگان</v>
      </c>
      <c r="B3331" t="s">
        <v>430</v>
      </c>
      <c r="C3331" t="s">
        <v>436</v>
      </c>
      <c r="D3331" t="s">
        <v>23</v>
      </c>
      <c r="E3331">
        <f t="shared" ca="1" si="122"/>
        <v>7.5839982414045444E-4</v>
      </c>
      <c r="F3331">
        <f>IFERROR(VLOOKUP(H3331,ProfessionalRisk!A:I,9,0),0)</f>
        <v>11530</v>
      </c>
      <c r="G3331">
        <f t="shared" ref="G3331:G3394" ca="1" si="124">IFERROR(ROUND(F3331*E3331,0),0)</f>
        <v>9</v>
      </c>
      <c r="H3331" t="s">
        <v>964</v>
      </c>
    </row>
    <row r="3332" spans="1:8">
      <c r="A3332" t="str">
        <f t="shared" si="123"/>
        <v>گلستانگنبدكاووس</v>
      </c>
      <c r="B3332" t="s">
        <v>430</v>
      </c>
      <c r="C3332" t="s">
        <v>437</v>
      </c>
      <c r="D3332" t="s">
        <v>19</v>
      </c>
      <c r="E3332">
        <f t="shared" ca="1" si="122"/>
        <v>0.6</v>
      </c>
      <c r="F3332">
        <f>IFERROR(VLOOKUP(H3332,ProfessionalRisk!A:I,9,0),0)</f>
        <v>2181</v>
      </c>
      <c r="G3332">
        <f t="shared" ca="1" si="124"/>
        <v>1309</v>
      </c>
      <c r="H3332" t="s">
        <v>966</v>
      </c>
    </row>
    <row r="3333" spans="1:8">
      <c r="A3333" t="str">
        <f t="shared" si="123"/>
        <v>گلستانگنبدكاووس</v>
      </c>
      <c r="B3333" t="s">
        <v>430</v>
      </c>
      <c r="C3333" t="s">
        <v>437</v>
      </c>
      <c r="D3333" t="s">
        <v>477</v>
      </c>
      <c r="E3333">
        <f t="shared" ca="1" si="122"/>
        <v>0.4</v>
      </c>
      <c r="F3333">
        <f>IFERROR(VLOOKUP(H3333,ProfessionalRisk!A:I,9,0),0)</f>
        <v>2181</v>
      </c>
      <c r="G3333">
        <f t="shared" ca="1" si="124"/>
        <v>872</v>
      </c>
      <c r="H3333" t="s">
        <v>966</v>
      </c>
    </row>
    <row r="3334" spans="1:8">
      <c r="A3334" t="str">
        <f t="shared" si="123"/>
        <v>گلستانگنبدكاووس</v>
      </c>
      <c r="B3334" t="s">
        <v>430</v>
      </c>
      <c r="C3334" t="s">
        <v>437</v>
      </c>
      <c r="D3334" t="s">
        <v>23</v>
      </c>
      <c r="E3334">
        <f t="shared" ca="1" si="122"/>
        <v>1.8626746868001699E-4</v>
      </c>
      <c r="F3334">
        <f>IFERROR(VLOOKUP(H3334,ProfessionalRisk!A:I,9,0),0)</f>
        <v>2181</v>
      </c>
      <c r="G3334">
        <f t="shared" ca="1" si="124"/>
        <v>0</v>
      </c>
      <c r="H3334" t="s">
        <v>966</v>
      </c>
    </row>
    <row r="3335" spans="1:8">
      <c r="A3335" t="str">
        <f t="shared" si="123"/>
        <v>گلستانمينودشت</v>
      </c>
      <c r="B3335" t="s">
        <v>430</v>
      </c>
      <c r="C3335" t="s">
        <v>438</v>
      </c>
      <c r="D3335" t="s">
        <v>19</v>
      </c>
      <c r="E3335">
        <f t="shared" ca="1" si="122"/>
        <v>0.6</v>
      </c>
      <c r="F3335">
        <f>IFERROR(VLOOKUP(H3335,ProfessionalRisk!A:I,9,0),0)</f>
        <v>1464</v>
      </c>
      <c r="G3335">
        <f t="shared" ca="1" si="124"/>
        <v>878</v>
      </c>
      <c r="H3335" t="s">
        <v>971</v>
      </c>
    </row>
    <row r="3336" spans="1:8">
      <c r="A3336" t="str">
        <f t="shared" si="123"/>
        <v>گلستانمينودشت</v>
      </c>
      <c r="B3336" t="s">
        <v>430</v>
      </c>
      <c r="C3336" t="s">
        <v>438</v>
      </c>
      <c r="D3336" t="s">
        <v>477</v>
      </c>
      <c r="E3336">
        <f t="shared" ca="1" si="122"/>
        <v>0.4</v>
      </c>
      <c r="F3336">
        <f>IFERROR(VLOOKUP(H3336,ProfessionalRisk!A:I,9,0),0)</f>
        <v>1464</v>
      </c>
      <c r="G3336">
        <f t="shared" ca="1" si="124"/>
        <v>586</v>
      </c>
      <c r="H3336" t="s">
        <v>971</v>
      </c>
    </row>
    <row r="3337" spans="1:8">
      <c r="A3337" t="str">
        <f t="shared" si="123"/>
        <v>گلستانمينودشت</v>
      </c>
      <c r="B3337" t="s">
        <v>430</v>
      </c>
      <c r="C3337" t="s">
        <v>438</v>
      </c>
      <c r="D3337" t="s">
        <v>23</v>
      </c>
      <c r="E3337">
        <f t="shared" ca="1" si="122"/>
        <v>6.5334485377083352E-3</v>
      </c>
      <c r="F3337">
        <f>IFERROR(VLOOKUP(H3337,ProfessionalRisk!A:I,9,0),0)</f>
        <v>1464</v>
      </c>
      <c r="G3337">
        <f t="shared" ca="1" si="124"/>
        <v>10</v>
      </c>
      <c r="H3337" t="s">
        <v>971</v>
      </c>
    </row>
    <row r="3338" spans="1:8">
      <c r="A3338" t="str">
        <f t="shared" si="123"/>
        <v>گلستانآق قلا</v>
      </c>
      <c r="B3338" t="s">
        <v>430</v>
      </c>
      <c r="C3338" t="s">
        <v>439</v>
      </c>
      <c r="D3338" t="s">
        <v>19</v>
      </c>
      <c r="E3338">
        <f t="shared" ca="1" si="122"/>
        <v>0.6</v>
      </c>
      <c r="F3338">
        <f>IFERROR(VLOOKUP(H3338,ProfessionalRisk!A:I,9,0),0)</f>
        <v>2182</v>
      </c>
      <c r="G3338">
        <f t="shared" ca="1" si="124"/>
        <v>1309</v>
      </c>
      <c r="H3338" t="s">
        <v>962</v>
      </c>
    </row>
    <row r="3339" spans="1:8">
      <c r="A3339" t="str">
        <f t="shared" si="123"/>
        <v>گلستانآق قلا</v>
      </c>
      <c r="B3339" t="s">
        <v>430</v>
      </c>
      <c r="C3339" t="s">
        <v>439</v>
      </c>
      <c r="D3339" t="s">
        <v>477</v>
      </c>
      <c r="E3339">
        <f t="shared" ca="1" si="122"/>
        <v>0.4</v>
      </c>
      <c r="F3339">
        <f>IFERROR(VLOOKUP(H3339,ProfessionalRisk!A:I,9,0),0)</f>
        <v>2182</v>
      </c>
      <c r="G3339">
        <f t="shared" ca="1" si="124"/>
        <v>873</v>
      </c>
      <c r="H3339" t="s">
        <v>962</v>
      </c>
    </row>
    <row r="3340" spans="1:8">
      <c r="A3340" t="str">
        <f t="shared" si="123"/>
        <v>گلستانآق قلا</v>
      </c>
      <c r="B3340" t="s">
        <v>430</v>
      </c>
      <c r="C3340" t="s">
        <v>439</v>
      </c>
      <c r="D3340" t="s">
        <v>23</v>
      </c>
      <c r="E3340">
        <f t="shared" ca="1" si="122"/>
        <v>5.673119848501895E-4</v>
      </c>
      <c r="F3340">
        <f>IFERROR(VLOOKUP(H3340,ProfessionalRisk!A:I,9,0),0)</f>
        <v>2182</v>
      </c>
      <c r="G3340">
        <f t="shared" ca="1" si="124"/>
        <v>1</v>
      </c>
      <c r="H3340" t="s">
        <v>962</v>
      </c>
    </row>
    <row r="3341" spans="1:8">
      <c r="A3341" t="str">
        <f t="shared" si="123"/>
        <v>گلستانكلاله</v>
      </c>
      <c r="B3341" t="s">
        <v>430</v>
      </c>
      <c r="C3341" t="s">
        <v>440</v>
      </c>
      <c r="D3341" t="s">
        <v>19</v>
      </c>
      <c r="E3341">
        <f t="shared" ca="1" si="122"/>
        <v>0.6</v>
      </c>
      <c r="F3341">
        <f>IFERROR(VLOOKUP(H3341,ProfessionalRisk!A:I,9,0),0)</f>
        <v>2989</v>
      </c>
      <c r="G3341">
        <f t="shared" ca="1" si="124"/>
        <v>1793</v>
      </c>
      <c r="H3341" t="s">
        <v>967</v>
      </c>
    </row>
    <row r="3342" spans="1:8">
      <c r="A3342" t="str">
        <f t="shared" si="123"/>
        <v>گلستانكلاله</v>
      </c>
      <c r="B3342" t="s">
        <v>430</v>
      </c>
      <c r="C3342" t="s">
        <v>440</v>
      </c>
      <c r="D3342" t="s">
        <v>477</v>
      </c>
      <c r="E3342">
        <f t="shared" ca="1" si="122"/>
        <v>0.4</v>
      </c>
      <c r="F3342">
        <f>IFERROR(VLOOKUP(H3342,ProfessionalRisk!A:I,9,0),0)</f>
        <v>2989</v>
      </c>
      <c r="G3342">
        <f t="shared" ca="1" si="124"/>
        <v>1196</v>
      </c>
      <c r="H3342" t="s">
        <v>967</v>
      </c>
    </row>
    <row r="3343" spans="1:8">
      <c r="A3343" t="str">
        <f t="shared" si="123"/>
        <v>گلستانكلاله</v>
      </c>
      <c r="B3343" t="s">
        <v>430</v>
      </c>
      <c r="C3343" t="s">
        <v>440</v>
      </c>
      <c r="D3343" t="s">
        <v>23</v>
      </c>
      <c r="E3343">
        <f t="shared" ca="1" si="122"/>
        <v>1.2016090714678403E-2</v>
      </c>
      <c r="F3343">
        <f>IFERROR(VLOOKUP(H3343,ProfessionalRisk!A:I,9,0),0)</f>
        <v>2989</v>
      </c>
      <c r="G3343">
        <f t="shared" ca="1" si="124"/>
        <v>36</v>
      </c>
      <c r="H3343" t="s">
        <v>967</v>
      </c>
    </row>
    <row r="3344" spans="1:8">
      <c r="A3344" t="str">
        <f t="shared" si="123"/>
        <v>گلستانآزادشهر</v>
      </c>
      <c r="B3344" t="s">
        <v>430</v>
      </c>
      <c r="C3344" t="s">
        <v>441</v>
      </c>
      <c r="D3344" t="s">
        <v>19</v>
      </c>
      <c r="E3344">
        <f t="shared" ca="1" si="122"/>
        <v>0.6</v>
      </c>
      <c r="F3344">
        <f>IFERROR(VLOOKUP(H3344,ProfessionalRisk!A:I,9,0),0)</f>
        <v>978</v>
      </c>
      <c r="G3344">
        <f t="shared" ca="1" si="124"/>
        <v>587</v>
      </c>
      <c r="H3344" t="s">
        <v>970</v>
      </c>
    </row>
    <row r="3345" spans="1:8">
      <c r="A3345" t="str">
        <f t="shared" si="123"/>
        <v>گلستانآزادشهر</v>
      </c>
      <c r="B3345" t="s">
        <v>430</v>
      </c>
      <c r="C3345" t="s">
        <v>441</v>
      </c>
      <c r="D3345" t="s">
        <v>477</v>
      </c>
      <c r="E3345">
        <f t="shared" ca="1" si="122"/>
        <v>0.4</v>
      </c>
      <c r="F3345">
        <f>IFERROR(VLOOKUP(H3345,ProfessionalRisk!A:I,9,0),0)</f>
        <v>978</v>
      </c>
      <c r="G3345">
        <f t="shared" ca="1" si="124"/>
        <v>391</v>
      </c>
      <c r="H3345" t="s">
        <v>970</v>
      </c>
    </row>
    <row r="3346" spans="1:8">
      <c r="A3346" t="str">
        <f t="shared" si="123"/>
        <v>گلستانآزادشهر</v>
      </c>
      <c r="B3346" t="s">
        <v>430</v>
      </c>
      <c r="C3346" t="s">
        <v>441</v>
      </c>
      <c r="D3346" t="s">
        <v>23</v>
      </c>
      <c r="E3346">
        <f t="shared" ca="1" si="122"/>
        <v>6.5580629313536521E-3</v>
      </c>
      <c r="F3346">
        <f>IFERROR(VLOOKUP(H3346,ProfessionalRisk!A:I,9,0),0)</f>
        <v>978</v>
      </c>
      <c r="G3346">
        <f t="shared" ca="1" si="124"/>
        <v>6</v>
      </c>
      <c r="H3346" t="s">
        <v>970</v>
      </c>
    </row>
    <row r="3347" spans="1:8">
      <c r="A3347" t="str">
        <f t="shared" si="123"/>
        <v>گلستانراميان</v>
      </c>
      <c r="B3347" t="s">
        <v>430</v>
      </c>
      <c r="C3347" t="s">
        <v>442</v>
      </c>
      <c r="D3347" t="s">
        <v>19</v>
      </c>
      <c r="E3347">
        <f t="shared" ca="1" si="122"/>
        <v>0.6</v>
      </c>
      <c r="F3347">
        <f>IFERROR(VLOOKUP(H3347,ProfessionalRisk!A:I,9,0),0)</f>
        <v>897</v>
      </c>
      <c r="G3347">
        <f t="shared" ca="1" si="124"/>
        <v>538</v>
      </c>
      <c r="H3347" t="s">
        <v>963</v>
      </c>
    </row>
    <row r="3348" spans="1:8">
      <c r="A3348" t="str">
        <f t="shared" si="123"/>
        <v>گلستانراميان</v>
      </c>
      <c r="B3348" t="s">
        <v>430</v>
      </c>
      <c r="C3348" t="s">
        <v>442</v>
      </c>
      <c r="D3348" t="s">
        <v>477</v>
      </c>
      <c r="E3348">
        <f t="shared" ca="1" si="122"/>
        <v>0.4</v>
      </c>
      <c r="F3348">
        <f>IFERROR(VLOOKUP(H3348,ProfessionalRisk!A:I,9,0),0)</f>
        <v>897</v>
      </c>
      <c r="G3348">
        <f t="shared" ca="1" si="124"/>
        <v>359</v>
      </c>
      <c r="H3348" t="s">
        <v>963</v>
      </c>
    </row>
    <row r="3349" spans="1:8">
      <c r="A3349" t="str">
        <f t="shared" si="123"/>
        <v>گلستانراميان</v>
      </c>
      <c r="B3349" t="s">
        <v>430</v>
      </c>
      <c r="C3349" t="s">
        <v>442</v>
      </c>
      <c r="D3349" t="s">
        <v>23</v>
      </c>
      <c r="E3349">
        <f t="shared" ca="1" si="122"/>
        <v>2.7972320183669262E-3</v>
      </c>
      <c r="F3349">
        <f>IFERROR(VLOOKUP(H3349,ProfessionalRisk!A:I,9,0),0)</f>
        <v>897</v>
      </c>
      <c r="G3349">
        <f t="shared" ca="1" si="124"/>
        <v>3</v>
      </c>
      <c r="H3349" t="s">
        <v>963</v>
      </c>
    </row>
    <row r="3350" spans="1:8">
      <c r="A3350" t="str">
        <f t="shared" si="123"/>
        <v>گلستانمراوه تپه</v>
      </c>
      <c r="B3350" t="s">
        <v>430</v>
      </c>
      <c r="C3350" t="s">
        <v>443</v>
      </c>
      <c r="D3350" t="s">
        <v>19</v>
      </c>
      <c r="E3350">
        <f t="shared" ca="1" si="122"/>
        <v>0.6</v>
      </c>
      <c r="F3350">
        <f>IFERROR(VLOOKUP(H3350,ProfessionalRisk!A:I,9,0),0)</f>
        <v>1608</v>
      </c>
      <c r="G3350">
        <f t="shared" ca="1" si="124"/>
        <v>965</v>
      </c>
      <c r="H3350" t="s">
        <v>959</v>
      </c>
    </row>
    <row r="3351" spans="1:8">
      <c r="A3351" t="str">
        <f t="shared" si="123"/>
        <v>گلستانمراوه تپه</v>
      </c>
      <c r="B3351" t="s">
        <v>430</v>
      </c>
      <c r="C3351" t="s">
        <v>443</v>
      </c>
      <c r="D3351" t="s">
        <v>477</v>
      </c>
      <c r="E3351">
        <f t="shared" ca="1" si="122"/>
        <v>0.4</v>
      </c>
      <c r="F3351">
        <f>IFERROR(VLOOKUP(H3351,ProfessionalRisk!A:I,9,0),0)</f>
        <v>1608</v>
      </c>
      <c r="G3351">
        <f t="shared" ca="1" si="124"/>
        <v>643</v>
      </c>
      <c r="H3351" t="s">
        <v>959</v>
      </c>
    </row>
    <row r="3352" spans="1:8">
      <c r="A3352" t="str">
        <f t="shared" si="123"/>
        <v>گلستانمراوه تپه</v>
      </c>
      <c r="B3352" t="s">
        <v>430</v>
      </c>
      <c r="C3352" t="s">
        <v>443</v>
      </c>
      <c r="D3352" t="s">
        <v>23</v>
      </c>
      <c r="E3352">
        <f t="shared" ca="1" si="122"/>
        <v>1.456996476695867E-2</v>
      </c>
      <c r="F3352">
        <f>IFERROR(VLOOKUP(H3352,ProfessionalRisk!A:I,9,0),0)</f>
        <v>1608</v>
      </c>
      <c r="G3352">
        <f t="shared" ca="1" si="124"/>
        <v>23</v>
      </c>
      <c r="H3352" t="s">
        <v>959</v>
      </c>
    </row>
    <row r="3353" spans="1:8">
      <c r="A3353" t="str">
        <f t="shared" si="123"/>
        <v>گلستانگميشان</v>
      </c>
      <c r="B3353" t="s">
        <v>430</v>
      </c>
      <c r="C3353" t="s">
        <v>444</v>
      </c>
      <c r="D3353" t="s">
        <v>19</v>
      </c>
      <c r="E3353">
        <f t="shared" ca="1" si="122"/>
        <v>0.6</v>
      </c>
      <c r="F3353">
        <f>IFERROR(VLOOKUP(H3353,ProfessionalRisk!A:I,9,0),0)</f>
        <v>402</v>
      </c>
      <c r="G3353">
        <f t="shared" ca="1" si="124"/>
        <v>241</v>
      </c>
      <c r="H3353" t="s">
        <v>968</v>
      </c>
    </row>
    <row r="3354" spans="1:8">
      <c r="A3354" t="str">
        <f t="shared" si="123"/>
        <v>گلستانگميشان</v>
      </c>
      <c r="B3354" t="s">
        <v>430</v>
      </c>
      <c r="C3354" t="s">
        <v>444</v>
      </c>
      <c r="D3354" t="s">
        <v>477</v>
      </c>
      <c r="E3354">
        <f t="shared" ca="1" si="122"/>
        <v>0.4</v>
      </c>
      <c r="F3354">
        <f>IFERROR(VLOOKUP(H3354,ProfessionalRisk!A:I,9,0),0)</f>
        <v>402</v>
      </c>
      <c r="G3354">
        <f t="shared" ca="1" si="124"/>
        <v>161</v>
      </c>
      <c r="H3354" t="s">
        <v>968</v>
      </c>
    </row>
    <row r="3355" spans="1:8">
      <c r="A3355" t="str">
        <f t="shared" si="123"/>
        <v>گلستانگميشان</v>
      </c>
      <c r="B3355" t="s">
        <v>430</v>
      </c>
      <c r="C3355" t="s">
        <v>444</v>
      </c>
      <c r="D3355" t="s">
        <v>23</v>
      </c>
      <c r="E3355">
        <f t="shared" ca="1" si="122"/>
        <v>8.0489201900979419E-3</v>
      </c>
      <c r="F3355">
        <f>IFERROR(VLOOKUP(H3355,ProfessionalRisk!A:I,9,0),0)</f>
        <v>402</v>
      </c>
      <c r="G3355">
        <f t="shared" ca="1" si="124"/>
        <v>3</v>
      </c>
      <c r="H3355" t="s">
        <v>968</v>
      </c>
    </row>
    <row r="3356" spans="1:8">
      <c r="A3356" t="str">
        <f t="shared" si="123"/>
        <v>گلستانگاليكش</v>
      </c>
      <c r="B3356" t="s">
        <v>430</v>
      </c>
      <c r="C3356" t="s">
        <v>446</v>
      </c>
      <c r="D3356" t="s">
        <v>19</v>
      </c>
      <c r="E3356">
        <f t="shared" ca="1" si="122"/>
        <v>0.6</v>
      </c>
      <c r="F3356">
        <f>IFERROR(VLOOKUP(H3356,ProfessionalRisk!A:I,9,0),0)</f>
        <v>564</v>
      </c>
      <c r="G3356">
        <f t="shared" ca="1" si="124"/>
        <v>338</v>
      </c>
      <c r="H3356" t="s">
        <v>972</v>
      </c>
    </row>
    <row r="3357" spans="1:8">
      <c r="A3357" t="str">
        <f t="shared" si="123"/>
        <v>گلستانگاليكش</v>
      </c>
      <c r="B3357" t="s">
        <v>430</v>
      </c>
      <c r="C3357" t="s">
        <v>446</v>
      </c>
      <c r="D3357" t="s">
        <v>477</v>
      </c>
      <c r="E3357">
        <f t="shared" ca="1" si="122"/>
        <v>0.4</v>
      </c>
      <c r="F3357">
        <f>IFERROR(VLOOKUP(H3357,ProfessionalRisk!A:I,9,0),0)</f>
        <v>564</v>
      </c>
      <c r="G3357">
        <f t="shared" ca="1" si="124"/>
        <v>226</v>
      </c>
      <c r="H3357" t="s">
        <v>972</v>
      </c>
    </row>
    <row r="3358" spans="1:8">
      <c r="A3358" t="str">
        <f t="shared" si="123"/>
        <v>گلستانگاليكش</v>
      </c>
      <c r="B3358" t="s">
        <v>430</v>
      </c>
      <c r="C3358" t="s">
        <v>446</v>
      </c>
      <c r="D3358" t="s">
        <v>23</v>
      </c>
      <c r="E3358">
        <f t="shared" ca="1" si="122"/>
        <v>1.6952778675899283E-3</v>
      </c>
      <c r="F3358">
        <f>IFERROR(VLOOKUP(H3358,ProfessionalRisk!A:I,9,0),0)</f>
        <v>564</v>
      </c>
      <c r="G3358">
        <f t="shared" ca="1" si="124"/>
        <v>1</v>
      </c>
      <c r="H3358" t="s">
        <v>972</v>
      </c>
    </row>
    <row r="3359" spans="1:8">
      <c r="A3359" t="str">
        <f t="shared" si="123"/>
        <v>خراسان شمالياسفراين</v>
      </c>
      <c r="B3359" t="s">
        <v>445</v>
      </c>
      <c r="C3359" t="s">
        <v>447</v>
      </c>
      <c r="D3359" t="s">
        <v>19</v>
      </c>
      <c r="E3359">
        <f t="shared" ca="1" si="122"/>
        <v>0.6</v>
      </c>
      <c r="F3359">
        <f>IFERROR(VLOOKUP(H3359,ProfessionalRisk!A:I,9,0),0)</f>
        <v>1538</v>
      </c>
      <c r="G3359">
        <f t="shared" ca="1" si="124"/>
        <v>923</v>
      </c>
      <c r="H3359" t="s">
        <v>701</v>
      </c>
    </row>
    <row r="3360" spans="1:8">
      <c r="A3360" t="str">
        <f t="shared" si="123"/>
        <v>خراسان شمالياسفراين</v>
      </c>
      <c r="B3360" t="s">
        <v>445</v>
      </c>
      <c r="C3360" t="s">
        <v>447</v>
      </c>
      <c r="D3360" t="s">
        <v>477</v>
      </c>
      <c r="E3360">
        <f t="shared" ca="1" si="122"/>
        <v>0.4</v>
      </c>
      <c r="F3360">
        <f>IFERROR(VLOOKUP(H3360,ProfessionalRisk!A:I,9,0),0)</f>
        <v>1538</v>
      </c>
      <c r="G3360">
        <f t="shared" ca="1" si="124"/>
        <v>615</v>
      </c>
      <c r="H3360" t="s">
        <v>701</v>
      </c>
    </row>
    <row r="3361" spans="1:8">
      <c r="A3361" t="str">
        <f t="shared" si="123"/>
        <v>خراسان شمالياسفراين</v>
      </c>
      <c r="B3361" t="s">
        <v>445</v>
      </c>
      <c r="C3361" t="s">
        <v>447</v>
      </c>
      <c r="D3361" t="s">
        <v>23</v>
      </c>
      <c r="E3361">
        <f t="shared" ca="1" si="122"/>
        <v>1.2528823758259526E-2</v>
      </c>
      <c r="F3361">
        <f>IFERROR(VLOOKUP(H3361,ProfessionalRisk!A:I,9,0),0)</f>
        <v>1538</v>
      </c>
      <c r="G3361">
        <f t="shared" ca="1" si="124"/>
        <v>19</v>
      </c>
      <c r="H3361" t="s">
        <v>701</v>
      </c>
    </row>
    <row r="3362" spans="1:8">
      <c r="A3362" t="str">
        <f t="shared" si="123"/>
        <v>خراسان شماليبجنورد</v>
      </c>
      <c r="B3362" t="s">
        <v>445</v>
      </c>
      <c r="C3362" t="s">
        <v>448</v>
      </c>
      <c r="D3362" t="s">
        <v>19</v>
      </c>
      <c r="E3362">
        <f t="shared" ca="1" si="122"/>
        <v>0.6</v>
      </c>
      <c r="F3362">
        <f>IFERROR(VLOOKUP(H3362,ProfessionalRisk!A:I,9,0),0)</f>
        <v>6329</v>
      </c>
      <c r="G3362">
        <f t="shared" ca="1" si="124"/>
        <v>3797</v>
      </c>
      <c r="H3362" t="s">
        <v>703</v>
      </c>
    </row>
    <row r="3363" spans="1:8">
      <c r="A3363" t="str">
        <f t="shared" si="123"/>
        <v>خراسان شماليبجنورد</v>
      </c>
      <c r="B3363" t="s">
        <v>445</v>
      </c>
      <c r="C3363" t="s">
        <v>448</v>
      </c>
      <c r="D3363" t="s">
        <v>477</v>
      </c>
      <c r="E3363">
        <f t="shared" ref="E3363:E3426" ca="1" si="125">IF(D3363="AP",0.6,IF(D3363="BP",0.4,RAND()*0.02))</f>
        <v>0.4</v>
      </c>
      <c r="F3363">
        <f>IFERROR(VLOOKUP(H3363,ProfessionalRisk!A:I,9,0),0)</f>
        <v>6329</v>
      </c>
      <c r="G3363">
        <f t="shared" ca="1" si="124"/>
        <v>2532</v>
      </c>
      <c r="H3363" t="s">
        <v>703</v>
      </c>
    </row>
    <row r="3364" spans="1:8">
      <c r="A3364" t="str">
        <f t="shared" si="123"/>
        <v>خراسان شماليبجنورد</v>
      </c>
      <c r="B3364" t="s">
        <v>445</v>
      </c>
      <c r="C3364" t="s">
        <v>448</v>
      </c>
      <c r="D3364" t="s">
        <v>23</v>
      </c>
      <c r="E3364">
        <f t="shared" ca="1" si="125"/>
        <v>1.3866910882291706E-2</v>
      </c>
      <c r="F3364">
        <f>IFERROR(VLOOKUP(H3364,ProfessionalRisk!A:I,9,0),0)</f>
        <v>6329</v>
      </c>
      <c r="G3364">
        <f t="shared" ca="1" si="124"/>
        <v>88</v>
      </c>
      <c r="H3364" t="s">
        <v>703</v>
      </c>
    </row>
    <row r="3365" spans="1:8">
      <c r="A3365" t="str">
        <f t="shared" si="123"/>
        <v>خراسان شماليجاجرم</v>
      </c>
      <c r="B3365" t="s">
        <v>445</v>
      </c>
      <c r="C3365" t="s">
        <v>449</v>
      </c>
      <c r="D3365" t="s">
        <v>19</v>
      </c>
      <c r="E3365">
        <f t="shared" ca="1" si="125"/>
        <v>0.6</v>
      </c>
      <c r="F3365">
        <f>IFERROR(VLOOKUP(H3365,ProfessionalRisk!A:I,9,0),0)</f>
        <v>509</v>
      </c>
      <c r="G3365">
        <f t="shared" ca="1" si="124"/>
        <v>305</v>
      </c>
      <c r="H3365" t="s">
        <v>702</v>
      </c>
    </row>
    <row r="3366" spans="1:8">
      <c r="A3366" t="str">
        <f t="shared" si="123"/>
        <v>خراسان شماليجاجرم</v>
      </c>
      <c r="B3366" t="s">
        <v>445</v>
      </c>
      <c r="C3366" t="s">
        <v>449</v>
      </c>
      <c r="D3366" t="s">
        <v>477</v>
      </c>
      <c r="E3366">
        <f t="shared" ca="1" si="125"/>
        <v>0.4</v>
      </c>
      <c r="F3366">
        <f>IFERROR(VLOOKUP(H3366,ProfessionalRisk!A:I,9,0),0)</f>
        <v>509</v>
      </c>
      <c r="G3366">
        <f t="shared" ca="1" si="124"/>
        <v>204</v>
      </c>
      <c r="H3366" t="s">
        <v>702</v>
      </c>
    </row>
    <row r="3367" spans="1:8">
      <c r="A3367" t="str">
        <f t="shared" si="123"/>
        <v>خراسان شماليجاجرم</v>
      </c>
      <c r="B3367" t="s">
        <v>445</v>
      </c>
      <c r="C3367" t="s">
        <v>449</v>
      </c>
      <c r="D3367" t="s">
        <v>23</v>
      </c>
      <c r="E3367">
        <f t="shared" ca="1" si="125"/>
        <v>5.656643547000231E-3</v>
      </c>
      <c r="F3367">
        <f>IFERROR(VLOOKUP(H3367,ProfessionalRisk!A:I,9,0),0)</f>
        <v>509</v>
      </c>
      <c r="G3367">
        <f t="shared" ca="1" si="124"/>
        <v>3</v>
      </c>
      <c r="H3367" t="s">
        <v>702</v>
      </c>
    </row>
    <row r="3368" spans="1:8">
      <c r="A3368" t="str">
        <f t="shared" si="123"/>
        <v>خراسان شماليشيروان</v>
      </c>
      <c r="B3368" t="s">
        <v>445</v>
      </c>
      <c r="C3368" t="s">
        <v>450</v>
      </c>
      <c r="D3368" t="s">
        <v>19</v>
      </c>
      <c r="E3368">
        <f t="shared" ca="1" si="125"/>
        <v>0.6</v>
      </c>
      <c r="F3368">
        <f>IFERROR(VLOOKUP(H3368,ProfessionalRisk!A:I,9,0),0)</f>
        <v>2203</v>
      </c>
      <c r="G3368">
        <f t="shared" ca="1" si="124"/>
        <v>1322</v>
      </c>
      <c r="H3368" t="s">
        <v>697</v>
      </c>
    </row>
    <row r="3369" spans="1:8">
      <c r="A3369" t="str">
        <f t="shared" si="123"/>
        <v>خراسان شماليشيروان</v>
      </c>
      <c r="B3369" t="s">
        <v>445</v>
      </c>
      <c r="C3369" t="s">
        <v>450</v>
      </c>
      <c r="D3369" t="s">
        <v>477</v>
      </c>
      <c r="E3369">
        <f t="shared" ca="1" si="125"/>
        <v>0.4</v>
      </c>
      <c r="F3369">
        <f>IFERROR(VLOOKUP(H3369,ProfessionalRisk!A:I,9,0),0)</f>
        <v>2203</v>
      </c>
      <c r="G3369">
        <f t="shared" ca="1" si="124"/>
        <v>881</v>
      </c>
      <c r="H3369" t="s">
        <v>697</v>
      </c>
    </row>
    <row r="3370" spans="1:8">
      <c r="A3370" t="str">
        <f t="shared" si="123"/>
        <v>خراسان شماليشيروان</v>
      </c>
      <c r="B3370" t="s">
        <v>445</v>
      </c>
      <c r="C3370" t="s">
        <v>450</v>
      </c>
      <c r="D3370" t="s">
        <v>23</v>
      </c>
      <c r="E3370">
        <f t="shared" ca="1" si="125"/>
        <v>1.5952026291040991E-2</v>
      </c>
      <c r="F3370">
        <f>IFERROR(VLOOKUP(H3370,ProfessionalRisk!A:I,9,0),0)</f>
        <v>2203</v>
      </c>
      <c r="G3370">
        <f t="shared" ca="1" si="124"/>
        <v>35</v>
      </c>
      <c r="H3370" t="s">
        <v>697</v>
      </c>
    </row>
    <row r="3371" spans="1:8">
      <c r="A3371" t="str">
        <f t="shared" si="123"/>
        <v>خراسان شماليفاروج</v>
      </c>
      <c r="B3371" t="s">
        <v>445</v>
      </c>
      <c r="C3371" t="s">
        <v>451</v>
      </c>
      <c r="D3371" t="s">
        <v>19</v>
      </c>
      <c r="E3371">
        <f t="shared" ca="1" si="125"/>
        <v>0.6</v>
      </c>
      <c r="F3371">
        <f>IFERROR(VLOOKUP(H3371,ProfessionalRisk!A:I,9,0),0)</f>
        <v>539</v>
      </c>
      <c r="G3371">
        <f t="shared" ca="1" si="124"/>
        <v>323</v>
      </c>
      <c r="H3371" t="s">
        <v>704</v>
      </c>
    </row>
    <row r="3372" spans="1:8">
      <c r="A3372" t="str">
        <f t="shared" si="123"/>
        <v>خراسان شماليفاروج</v>
      </c>
      <c r="B3372" t="s">
        <v>445</v>
      </c>
      <c r="C3372" t="s">
        <v>451</v>
      </c>
      <c r="D3372" t="s">
        <v>477</v>
      </c>
      <c r="E3372">
        <f t="shared" ca="1" si="125"/>
        <v>0.4</v>
      </c>
      <c r="F3372">
        <f>IFERROR(VLOOKUP(H3372,ProfessionalRisk!A:I,9,0),0)</f>
        <v>539</v>
      </c>
      <c r="G3372">
        <f t="shared" ca="1" si="124"/>
        <v>216</v>
      </c>
      <c r="H3372" t="s">
        <v>704</v>
      </c>
    </row>
    <row r="3373" spans="1:8">
      <c r="A3373" t="str">
        <f t="shared" si="123"/>
        <v>خراسان شماليفاروج</v>
      </c>
      <c r="B3373" t="s">
        <v>445</v>
      </c>
      <c r="C3373" t="s">
        <v>451</v>
      </c>
      <c r="D3373" t="s">
        <v>23</v>
      </c>
      <c r="E3373">
        <f t="shared" ca="1" si="125"/>
        <v>1.4946450311723604E-2</v>
      </c>
      <c r="F3373">
        <f>IFERROR(VLOOKUP(H3373,ProfessionalRisk!A:I,9,0),0)</f>
        <v>539</v>
      </c>
      <c r="G3373">
        <f t="shared" ca="1" si="124"/>
        <v>8</v>
      </c>
      <c r="H3373" t="s">
        <v>704</v>
      </c>
    </row>
    <row r="3374" spans="1:8">
      <c r="A3374" t="str">
        <f t="shared" si="123"/>
        <v>خراسان شماليمانه و سملقان</v>
      </c>
      <c r="B3374" t="s">
        <v>445</v>
      </c>
      <c r="C3374" t="s">
        <v>452</v>
      </c>
      <c r="D3374" t="s">
        <v>19</v>
      </c>
      <c r="E3374">
        <f t="shared" ca="1" si="125"/>
        <v>0.6</v>
      </c>
      <c r="F3374">
        <f>IFERROR(VLOOKUP(H3374,ProfessionalRisk!A:I,9,0),0)</f>
        <v>692</v>
      </c>
      <c r="G3374">
        <f t="shared" ca="1" si="124"/>
        <v>415</v>
      </c>
      <c r="H3374" t="s">
        <v>705</v>
      </c>
    </row>
    <row r="3375" spans="1:8">
      <c r="A3375" t="str">
        <f t="shared" si="123"/>
        <v>خراسان شماليمانه و سملقان</v>
      </c>
      <c r="B3375" t="s">
        <v>445</v>
      </c>
      <c r="C3375" t="s">
        <v>452</v>
      </c>
      <c r="D3375" t="s">
        <v>477</v>
      </c>
      <c r="E3375">
        <f t="shared" ca="1" si="125"/>
        <v>0.4</v>
      </c>
      <c r="F3375">
        <f>IFERROR(VLOOKUP(H3375,ProfessionalRisk!A:I,9,0),0)</f>
        <v>692</v>
      </c>
      <c r="G3375">
        <f t="shared" ca="1" si="124"/>
        <v>277</v>
      </c>
      <c r="H3375" t="s">
        <v>705</v>
      </c>
    </row>
    <row r="3376" spans="1:8">
      <c r="A3376" t="str">
        <f t="shared" si="123"/>
        <v>خراسان شماليمانه و سملقان</v>
      </c>
      <c r="B3376" t="s">
        <v>445</v>
      </c>
      <c r="C3376" t="s">
        <v>452</v>
      </c>
      <c r="D3376" t="s">
        <v>23</v>
      </c>
      <c r="E3376">
        <f t="shared" ca="1" si="125"/>
        <v>1.2778162473377245E-2</v>
      </c>
      <c r="F3376">
        <f>IFERROR(VLOOKUP(H3376,ProfessionalRisk!A:I,9,0),0)</f>
        <v>692</v>
      </c>
      <c r="G3376">
        <f t="shared" ca="1" si="124"/>
        <v>9</v>
      </c>
      <c r="H3376" t="s">
        <v>705</v>
      </c>
    </row>
    <row r="3377" spans="1:8">
      <c r="A3377" t="str">
        <f t="shared" si="123"/>
        <v>خراسان شماليگرمه</v>
      </c>
      <c r="B3377" t="s">
        <v>445</v>
      </c>
      <c r="C3377" t="s">
        <v>453</v>
      </c>
      <c r="D3377" t="s">
        <v>19</v>
      </c>
      <c r="E3377">
        <f t="shared" ca="1" si="125"/>
        <v>0.6</v>
      </c>
      <c r="F3377">
        <f>IFERROR(VLOOKUP(H3377,ProfessionalRisk!A:I,9,0),0)</f>
        <v>156</v>
      </c>
      <c r="G3377">
        <f t="shared" ca="1" si="124"/>
        <v>94</v>
      </c>
      <c r="H3377" t="s">
        <v>700</v>
      </c>
    </row>
    <row r="3378" spans="1:8">
      <c r="A3378" t="str">
        <f t="shared" si="123"/>
        <v>خراسان شماليگرمه</v>
      </c>
      <c r="B3378" t="s">
        <v>445</v>
      </c>
      <c r="C3378" t="s">
        <v>453</v>
      </c>
      <c r="D3378" t="s">
        <v>477</v>
      </c>
      <c r="E3378">
        <f t="shared" ca="1" si="125"/>
        <v>0.4</v>
      </c>
      <c r="F3378">
        <f>IFERROR(VLOOKUP(H3378,ProfessionalRisk!A:I,9,0),0)</f>
        <v>156</v>
      </c>
      <c r="G3378">
        <f t="shared" ca="1" si="124"/>
        <v>62</v>
      </c>
      <c r="H3378" t="s">
        <v>700</v>
      </c>
    </row>
    <row r="3379" spans="1:8">
      <c r="A3379" t="str">
        <f t="shared" si="123"/>
        <v>خراسان شماليگرمه</v>
      </c>
      <c r="B3379" t="s">
        <v>445</v>
      </c>
      <c r="C3379" t="s">
        <v>453</v>
      </c>
      <c r="D3379" t="s">
        <v>23</v>
      </c>
      <c r="E3379">
        <f t="shared" ca="1" si="125"/>
        <v>6.7973358694698432E-3</v>
      </c>
      <c r="F3379">
        <f>IFERROR(VLOOKUP(H3379,ProfessionalRisk!A:I,9,0),0)</f>
        <v>156</v>
      </c>
      <c r="G3379">
        <f t="shared" ca="1" si="124"/>
        <v>1</v>
      </c>
      <c r="H3379" t="s">
        <v>700</v>
      </c>
    </row>
    <row r="3380" spans="1:8">
      <c r="A3380" t="str">
        <f t="shared" si="123"/>
        <v>خراسان شماليراز و جرگلان</v>
      </c>
      <c r="B3380" t="s">
        <v>445</v>
      </c>
      <c r="C3380" t="s">
        <v>455</v>
      </c>
      <c r="D3380" t="s">
        <v>19</v>
      </c>
      <c r="E3380">
        <f t="shared" ca="1" si="125"/>
        <v>0.6</v>
      </c>
      <c r="F3380">
        <f>IFERROR(VLOOKUP(H3380,ProfessionalRisk!A:I,9,0),0)</f>
        <v>553</v>
      </c>
      <c r="G3380">
        <f t="shared" ca="1" si="124"/>
        <v>332</v>
      </c>
      <c r="H3380" t="s">
        <v>699</v>
      </c>
    </row>
    <row r="3381" spans="1:8">
      <c r="A3381" t="str">
        <f t="shared" si="123"/>
        <v>خراسان شماليراز و جرگلان</v>
      </c>
      <c r="B3381" t="s">
        <v>445</v>
      </c>
      <c r="C3381" t="s">
        <v>455</v>
      </c>
      <c r="D3381" t="s">
        <v>477</v>
      </c>
      <c r="E3381">
        <f t="shared" ca="1" si="125"/>
        <v>0.4</v>
      </c>
      <c r="F3381">
        <f>IFERROR(VLOOKUP(H3381,ProfessionalRisk!A:I,9,0),0)</f>
        <v>553</v>
      </c>
      <c r="G3381">
        <f t="shared" ca="1" si="124"/>
        <v>221</v>
      </c>
      <c r="H3381" t="s">
        <v>699</v>
      </c>
    </row>
    <row r="3382" spans="1:8">
      <c r="A3382" t="str">
        <f t="shared" si="123"/>
        <v>خراسان شماليراز و جرگلان</v>
      </c>
      <c r="B3382" t="s">
        <v>445</v>
      </c>
      <c r="C3382" t="s">
        <v>455</v>
      </c>
      <c r="D3382" t="s">
        <v>23</v>
      </c>
      <c r="E3382">
        <f t="shared" ca="1" si="125"/>
        <v>2.3993309771630322E-3</v>
      </c>
      <c r="F3382">
        <f>IFERROR(VLOOKUP(H3382,ProfessionalRisk!A:I,9,0),0)</f>
        <v>553</v>
      </c>
      <c r="G3382">
        <f t="shared" ca="1" si="124"/>
        <v>1</v>
      </c>
      <c r="H3382" t="s">
        <v>699</v>
      </c>
    </row>
    <row r="3383" spans="1:8">
      <c r="A3383" t="str">
        <f t="shared" si="123"/>
        <v>خراسان جنوبيبيرجند</v>
      </c>
      <c r="B3383" t="s">
        <v>454</v>
      </c>
      <c r="C3383" t="s">
        <v>456</v>
      </c>
      <c r="D3383" t="s">
        <v>19</v>
      </c>
      <c r="E3383">
        <f t="shared" ca="1" si="125"/>
        <v>0.6</v>
      </c>
      <c r="F3383">
        <f>IFERROR(VLOOKUP(H3383,ProfessionalRisk!A:I,9,0),0)</f>
        <v>6420</v>
      </c>
      <c r="G3383">
        <f t="shared" ca="1" si="124"/>
        <v>3852</v>
      </c>
      <c r="H3383" t="s">
        <v>656</v>
      </c>
    </row>
    <row r="3384" spans="1:8">
      <c r="A3384" t="str">
        <f t="shared" si="123"/>
        <v>خراسان جنوبيبيرجند</v>
      </c>
      <c r="B3384" t="s">
        <v>454</v>
      </c>
      <c r="C3384" t="s">
        <v>456</v>
      </c>
      <c r="D3384" t="s">
        <v>477</v>
      </c>
      <c r="E3384">
        <f t="shared" ca="1" si="125"/>
        <v>0.4</v>
      </c>
      <c r="F3384">
        <f>IFERROR(VLOOKUP(H3384,ProfessionalRisk!A:I,9,0),0)</f>
        <v>6420</v>
      </c>
      <c r="G3384">
        <f t="shared" ca="1" si="124"/>
        <v>2568</v>
      </c>
      <c r="H3384" t="s">
        <v>656</v>
      </c>
    </row>
    <row r="3385" spans="1:8">
      <c r="A3385" t="str">
        <f t="shared" si="123"/>
        <v>خراسان جنوبيبيرجند</v>
      </c>
      <c r="B3385" t="s">
        <v>454</v>
      </c>
      <c r="C3385" t="s">
        <v>456</v>
      </c>
      <c r="D3385" t="s">
        <v>23</v>
      </c>
      <c r="E3385">
        <f t="shared" ca="1" si="125"/>
        <v>1.5471922416703303E-2</v>
      </c>
      <c r="F3385">
        <f>IFERROR(VLOOKUP(H3385,ProfessionalRisk!A:I,9,0),0)</f>
        <v>6420</v>
      </c>
      <c r="G3385">
        <f t="shared" ca="1" si="124"/>
        <v>99</v>
      </c>
      <c r="H3385" t="s">
        <v>656</v>
      </c>
    </row>
    <row r="3386" spans="1:8">
      <c r="A3386" t="str">
        <f t="shared" si="123"/>
        <v>خراسان جنوبيدرميان</v>
      </c>
      <c r="B3386" t="s">
        <v>454</v>
      </c>
      <c r="C3386" t="s">
        <v>457</v>
      </c>
      <c r="D3386" t="s">
        <v>19</v>
      </c>
      <c r="E3386">
        <f t="shared" ca="1" si="125"/>
        <v>0.6</v>
      </c>
      <c r="F3386">
        <f>IFERROR(VLOOKUP(H3386,ProfessionalRisk!A:I,9,0),0)</f>
        <v>632</v>
      </c>
      <c r="G3386">
        <f t="shared" ca="1" si="124"/>
        <v>379</v>
      </c>
      <c r="H3386" t="s">
        <v>664</v>
      </c>
    </row>
    <row r="3387" spans="1:8">
      <c r="A3387" t="str">
        <f t="shared" si="123"/>
        <v>خراسان جنوبيدرميان</v>
      </c>
      <c r="B3387" t="s">
        <v>454</v>
      </c>
      <c r="C3387" t="s">
        <v>457</v>
      </c>
      <c r="D3387" t="s">
        <v>477</v>
      </c>
      <c r="E3387">
        <f t="shared" ca="1" si="125"/>
        <v>0.4</v>
      </c>
      <c r="F3387">
        <f>IFERROR(VLOOKUP(H3387,ProfessionalRisk!A:I,9,0),0)</f>
        <v>632</v>
      </c>
      <c r="G3387">
        <f t="shared" ca="1" si="124"/>
        <v>253</v>
      </c>
      <c r="H3387" t="s">
        <v>664</v>
      </c>
    </row>
    <row r="3388" spans="1:8">
      <c r="A3388" t="str">
        <f t="shared" si="123"/>
        <v>خراسان جنوبيدرميان</v>
      </c>
      <c r="B3388" t="s">
        <v>454</v>
      </c>
      <c r="C3388" t="s">
        <v>457</v>
      </c>
      <c r="D3388" t="s">
        <v>23</v>
      </c>
      <c r="E3388">
        <f t="shared" ca="1" si="125"/>
        <v>1.8795698331071201E-2</v>
      </c>
      <c r="F3388">
        <f>IFERROR(VLOOKUP(H3388,ProfessionalRisk!A:I,9,0),0)</f>
        <v>632</v>
      </c>
      <c r="G3388">
        <f t="shared" ca="1" si="124"/>
        <v>12</v>
      </c>
      <c r="H3388" t="s">
        <v>664</v>
      </c>
    </row>
    <row r="3389" spans="1:8">
      <c r="A3389" t="str">
        <f t="shared" si="123"/>
        <v>خراسان جنوبيسربيشه</v>
      </c>
      <c r="B3389" t="s">
        <v>454</v>
      </c>
      <c r="C3389" t="s">
        <v>458</v>
      </c>
      <c r="D3389" t="s">
        <v>19</v>
      </c>
      <c r="E3389">
        <f t="shared" ca="1" si="125"/>
        <v>0.6</v>
      </c>
      <c r="F3389">
        <f>IFERROR(VLOOKUP(H3389,ProfessionalRisk!A:I,9,0),0)</f>
        <v>469</v>
      </c>
      <c r="G3389">
        <f t="shared" ca="1" si="124"/>
        <v>281</v>
      </c>
      <c r="H3389" t="s">
        <v>659</v>
      </c>
    </row>
    <row r="3390" spans="1:8">
      <c r="A3390" t="str">
        <f t="shared" si="123"/>
        <v>خراسان جنوبيسربيشه</v>
      </c>
      <c r="B3390" t="s">
        <v>454</v>
      </c>
      <c r="C3390" t="s">
        <v>458</v>
      </c>
      <c r="D3390" t="s">
        <v>477</v>
      </c>
      <c r="E3390">
        <f t="shared" ca="1" si="125"/>
        <v>0.4</v>
      </c>
      <c r="F3390">
        <f>IFERROR(VLOOKUP(H3390,ProfessionalRisk!A:I,9,0),0)</f>
        <v>469</v>
      </c>
      <c r="G3390">
        <f t="shared" ca="1" si="124"/>
        <v>188</v>
      </c>
      <c r="H3390" t="s">
        <v>659</v>
      </c>
    </row>
    <row r="3391" spans="1:8">
      <c r="A3391" t="str">
        <f t="shared" si="123"/>
        <v>خراسان جنوبيسربيشه</v>
      </c>
      <c r="B3391" t="s">
        <v>454</v>
      </c>
      <c r="C3391" t="s">
        <v>458</v>
      </c>
      <c r="D3391" t="s">
        <v>23</v>
      </c>
      <c r="E3391">
        <f t="shared" ca="1" si="125"/>
        <v>1.0488997799188575E-2</v>
      </c>
      <c r="F3391">
        <f>IFERROR(VLOOKUP(H3391,ProfessionalRisk!A:I,9,0),0)</f>
        <v>469</v>
      </c>
      <c r="G3391">
        <f t="shared" ca="1" si="124"/>
        <v>5</v>
      </c>
      <c r="H3391" t="s">
        <v>659</v>
      </c>
    </row>
    <row r="3392" spans="1:8">
      <c r="A3392" t="str">
        <f t="shared" si="123"/>
        <v>خراسان جنوبيقائنات</v>
      </c>
      <c r="B3392" t="s">
        <v>454</v>
      </c>
      <c r="C3392" t="s">
        <v>459</v>
      </c>
      <c r="D3392" t="s">
        <v>19</v>
      </c>
      <c r="E3392">
        <f t="shared" ca="1" si="125"/>
        <v>0.6</v>
      </c>
      <c r="F3392">
        <f>IFERROR(VLOOKUP(H3392,ProfessionalRisk!A:I,9,0),0)</f>
        <v>1615</v>
      </c>
      <c r="G3392">
        <f t="shared" ca="1" si="124"/>
        <v>969</v>
      </c>
      <c r="H3392" t="s">
        <v>658</v>
      </c>
    </row>
    <row r="3393" spans="1:8">
      <c r="A3393" t="str">
        <f t="shared" si="123"/>
        <v>خراسان جنوبيقائنات</v>
      </c>
      <c r="B3393" t="s">
        <v>454</v>
      </c>
      <c r="C3393" t="s">
        <v>459</v>
      </c>
      <c r="D3393" t="s">
        <v>477</v>
      </c>
      <c r="E3393">
        <f t="shared" ca="1" si="125"/>
        <v>0.4</v>
      </c>
      <c r="F3393">
        <f>IFERROR(VLOOKUP(H3393,ProfessionalRisk!A:I,9,0),0)</f>
        <v>1615</v>
      </c>
      <c r="G3393">
        <f t="shared" ca="1" si="124"/>
        <v>646</v>
      </c>
      <c r="H3393" t="s">
        <v>658</v>
      </c>
    </row>
    <row r="3394" spans="1:8">
      <c r="A3394" t="str">
        <f t="shared" ref="A3394:A3433" si="126">B3394&amp;C3394</f>
        <v>خراسان جنوبيقائنات</v>
      </c>
      <c r="B3394" t="s">
        <v>454</v>
      </c>
      <c r="C3394" t="s">
        <v>459</v>
      </c>
      <c r="D3394" t="s">
        <v>23</v>
      </c>
      <c r="E3394">
        <f t="shared" ca="1" si="125"/>
        <v>5.0441434424465027E-4</v>
      </c>
      <c r="F3394">
        <f>IFERROR(VLOOKUP(H3394,ProfessionalRisk!A:I,9,0),0)</f>
        <v>1615</v>
      </c>
      <c r="G3394">
        <f t="shared" ca="1" si="124"/>
        <v>1</v>
      </c>
      <c r="H3394" t="s">
        <v>658</v>
      </c>
    </row>
    <row r="3395" spans="1:8">
      <c r="A3395" t="str">
        <f t="shared" si="126"/>
        <v>خراسان جنوبينهبندان</v>
      </c>
      <c r="B3395" t="s">
        <v>454</v>
      </c>
      <c r="C3395" t="s">
        <v>460</v>
      </c>
      <c r="D3395" t="s">
        <v>19</v>
      </c>
      <c r="E3395">
        <f t="shared" ca="1" si="125"/>
        <v>0.6</v>
      </c>
      <c r="F3395">
        <f>IFERROR(VLOOKUP(H3395,ProfessionalRisk!A:I,9,0),0)</f>
        <v>659</v>
      </c>
      <c r="G3395">
        <f t="shared" ref="G3395:G3458" ca="1" si="127">IFERROR(ROUND(F3395*E3395,0),0)</f>
        <v>395</v>
      </c>
      <c r="H3395" t="s">
        <v>654</v>
      </c>
    </row>
    <row r="3396" spans="1:8">
      <c r="A3396" t="str">
        <f t="shared" si="126"/>
        <v>خراسان جنوبينهبندان</v>
      </c>
      <c r="B3396" t="s">
        <v>454</v>
      </c>
      <c r="C3396" t="s">
        <v>460</v>
      </c>
      <c r="D3396" t="s">
        <v>477</v>
      </c>
      <c r="E3396">
        <f t="shared" ca="1" si="125"/>
        <v>0.4</v>
      </c>
      <c r="F3396">
        <f>IFERROR(VLOOKUP(H3396,ProfessionalRisk!A:I,9,0),0)</f>
        <v>659</v>
      </c>
      <c r="G3396">
        <f t="shared" ca="1" si="127"/>
        <v>264</v>
      </c>
      <c r="H3396" t="s">
        <v>654</v>
      </c>
    </row>
    <row r="3397" spans="1:8">
      <c r="A3397" t="str">
        <f t="shared" si="126"/>
        <v>خراسان جنوبينهبندان</v>
      </c>
      <c r="B3397" t="s">
        <v>454</v>
      </c>
      <c r="C3397" t="s">
        <v>460</v>
      </c>
      <c r="D3397" t="s">
        <v>23</v>
      </c>
      <c r="E3397">
        <f t="shared" ca="1" si="125"/>
        <v>2.1754429264312968E-3</v>
      </c>
      <c r="F3397">
        <f>IFERROR(VLOOKUP(H3397,ProfessionalRisk!A:I,9,0),0)</f>
        <v>659</v>
      </c>
      <c r="G3397">
        <f t="shared" ca="1" si="127"/>
        <v>1</v>
      </c>
      <c r="H3397" t="s">
        <v>654</v>
      </c>
    </row>
    <row r="3398" spans="1:8">
      <c r="A3398" t="str">
        <f t="shared" si="126"/>
        <v>خراسان جنوبيسرايان</v>
      </c>
      <c r="B3398" t="s">
        <v>454</v>
      </c>
      <c r="C3398" t="s">
        <v>461</v>
      </c>
      <c r="D3398" t="s">
        <v>19</v>
      </c>
      <c r="E3398">
        <f t="shared" ca="1" si="125"/>
        <v>0.6</v>
      </c>
      <c r="F3398">
        <f>IFERROR(VLOOKUP(H3398,ProfessionalRisk!A:I,9,0),0)</f>
        <v>398</v>
      </c>
      <c r="G3398">
        <f t="shared" ca="1" si="127"/>
        <v>239</v>
      </c>
      <c r="H3398" t="s">
        <v>661</v>
      </c>
    </row>
    <row r="3399" spans="1:8">
      <c r="A3399" t="str">
        <f t="shared" si="126"/>
        <v>خراسان جنوبيسرايان</v>
      </c>
      <c r="B3399" t="s">
        <v>454</v>
      </c>
      <c r="C3399" t="s">
        <v>461</v>
      </c>
      <c r="D3399" t="s">
        <v>477</v>
      </c>
      <c r="E3399">
        <f t="shared" ca="1" si="125"/>
        <v>0.4</v>
      </c>
      <c r="F3399">
        <f>IFERROR(VLOOKUP(H3399,ProfessionalRisk!A:I,9,0),0)</f>
        <v>398</v>
      </c>
      <c r="G3399">
        <f t="shared" ca="1" si="127"/>
        <v>159</v>
      </c>
      <c r="H3399" t="s">
        <v>661</v>
      </c>
    </row>
    <row r="3400" spans="1:8">
      <c r="A3400" t="str">
        <f t="shared" si="126"/>
        <v>خراسان جنوبيسرايان</v>
      </c>
      <c r="B3400" t="s">
        <v>454</v>
      </c>
      <c r="C3400" t="s">
        <v>461</v>
      </c>
      <c r="D3400" t="s">
        <v>23</v>
      </c>
      <c r="E3400">
        <f t="shared" ca="1" si="125"/>
        <v>1.5060472633301101E-2</v>
      </c>
      <c r="F3400">
        <f>IFERROR(VLOOKUP(H3400,ProfessionalRisk!A:I,9,0),0)</f>
        <v>398</v>
      </c>
      <c r="G3400">
        <f t="shared" ca="1" si="127"/>
        <v>6</v>
      </c>
      <c r="H3400" t="s">
        <v>661</v>
      </c>
    </row>
    <row r="3401" spans="1:8">
      <c r="A3401" t="str">
        <f t="shared" si="126"/>
        <v>خراسان جنوبيفردوس</v>
      </c>
      <c r="B3401" t="s">
        <v>454</v>
      </c>
      <c r="C3401" t="s">
        <v>462</v>
      </c>
      <c r="D3401" t="s">
        <v>19</v>
      </c>
      <c r="E3401">
        <f t="shared" ca="1" si="125"/>
        <v>0.6</v>
      </c>
      <c r="F3401">
        <f>IFERROR(VLOOKUP(H3401,ProfessionalRisk!A:I,9,0),0)</f>
        <v>1251</v>
      </c>
      <c r="G3401">
        <f t="shared" ca="1" si="127"/>
        <v>751</v>
      </c>
      <c r="H3401" t="s">
        <v>657</v>
      </c>
    </row>
    <row r="3402" spans="1:8">
      <c r="A3402" t="str">
        <f t="shared" si="126"/>
        <v>خراسان جنوبيفردوس</v>
      </c>
      <c r="B3402" t="s">
        <v>454</v>
      </c>
      <c r="C3402" t="s">
        <v>462</v>
      </c>
      <c r="D3402" t="s">
        <v>477</v>
      </c>
      <c r="E3402">
        <f t="shared" ca="1" si="125"/>
        <v>0.4</v>
      </c>
      <c r="F3402">
        <f>IFERROR(VLOOKUP(H3402,ProfessionalRisk!A:I,9,0),0)</f>
        <v>1251</v>
      </c>
      <c r="G3402">
        <f t="shared" ca="1" si="127"/>
        <v>500</v>
      </c>
      <c r="H3402" t="s">
        <v>657</v>
      </c>
    </row>
    <row r="3403" spans="1:8">
      <c r="A3403" t="str">
        <f t="shared" si="126"/>
        <v>خراسان جنوبيفردوس</v>
      </c>
      <c r="B3403" t="s">
        <v>454</v>
      </c>
      <c r="C3403" t="s">
        <v>462</v>
      </c>
      <c r="D3403" t="s">
        <v>23</v>
      </c>
      <c r="E3403">
        <f t="shared" ca="1" si="125"/>
        <v>5.229628466691243E-3</v>
      </c>
      <c r="F3403">
        <f>IFERROR(VLOOKUP(H3403,ProfessionalRisk!A:I,9,0),0)</f>
        <v>1251</v>
      </c>
      <c r="G3403">
        <f t="shared" ca="1" si="127"/>
        <v>7</v>
      </c>
      <c r="H3403" t="s">
        <v>657</v>
      </c>
    </row>
    <row r="3404" spans="1:8">
      <c r="A3404" t="str">
        <f t="shared" si="126"/>
        <v>خراسان جنوبيبشرويه</v>
      </c>
      <c r="B3404" t="s">
        <v>454</v>
      </c>
      <c r="C3404" t="s">
        <v>463</v>
      </c>
      <c r="D3404" t="s">
        <v>19</v>
      </c>
      <c r="E3404">
        <f t="shared" ca="1" si="125"/>
        <v>0.6</v>
      </c>
      <c r="F3404">
        <f>IFERROR(VLOOKUP(H3404,ProfessionalRisk!A:I,9,0),0)</f>
        <v>362</v>
      </c>
      <c r="G3404">
        <f t="shared" ca="1" si="127"/>
        <v>217</v>
      </c>
      <c r="H3404" t="s">
        <v>660</v>
      </c>
    </row>
    <row r="3405" spans="1:8">
      <c r="A3405" t="str">
        <f t="shared" si="126"/>
        <v>خراسان جنوبيبشرويه</v>
      </c>
      <c r="B3405" t="s">
        <v>454</v>
      </c>
      <c r="C3405" t="s">
        <v>463</v>
      </c>
      <c r="D3405" t="s">
        <v>477</v>
      </c>
      <c r="E3405">
        <f t="shared" ca="1" si="125"/>
        <v>0.4</v>
      </c>
      <c r="F3405">
        <f>IFERROR(VLOOKUP(H3405,ProfessionalRisk!A:I,9,0),0)</f>
        <v>362</v>
      </c>
      <c r="G3405">
        <f t="shared" ca="1" si="127"/>
        <v>145</v>
      </c>
      <c r="H3405" t="s">
        <v>660</v>
      </c>
    </row>
    <row r="3406" spans="1:8">
      <c r="A3406" t="str">
        <f t="shared" si="126"/>
        <v>خراسان جنوبيبشرويه</v>
      </c>
      <c r="B3406" t="s">
        <v>454</v>
      </c>
      <c r="C3406" t="s">
        <v>463</v>
      </c>
      <c r="D3406" t="s">
        <v>23</v>
      </c>
      <c r="E3406">
        <f t="shared" ca="1" si="125"/>
        <v>3.0860949409936556E-3</v>
      </c>
      <c r="F3406">
        <f>IFERROR(VLOOKUP(H3406,ProfessionalRisk!A:I,9,0),0)</f>
        <v>362</v>
      </c>
      <c r="G3406">
        <f t="shared" ca="1" si="127"/>
        <v>1</v>
      </c>
      <c r="H3406" t="s">
        <v>660</v>
      </c>
    </row>
    <row r="3407" spans="1:8">
      <c r="A3407" t="str">
        <f t="shared" si="126"/>
        <v>خراسان جنوبيزيرکوه</v>
      </c>
      <c r="B3407" t="s">
        <v>454</v>
      </c>
      <c r="C3407" t="s">
        <v>464</v>
      </c>
      <c r="D3407" t="s">
        <v>19</v>
      </c>
      <c r="E3407">
        <f t="shared" ca="1" si="125"/>
        <v>0.6</v>
      </c>
      <c r="F3407">
        <f>IFERROR(VLOOKUP(H3407,ProfessionalRisk!A:I,9,0),0)</f>
        <v>575</v>
      </c>
      <c r="G3407">
        <f t="shared" ca="1" si="127"/>
        <v>345</v>
      </c>
      <c r="H3407" t="s">
        <v>651</v>
      </c>
    </row>
    <row r="3408" spans="1:8">
      <c r="A3408" t="str">
        <f t="shared" si="126"/>
        <v>خراسان جنوبيزيرکوه</v>
      </c>
      <c r="B3408" t="s">
        <v>454</v>
      </c>
      <c r="C3408" t="s">
        <v>464</v>
      </c>
      <c r="D3408" t="s">
        <v>477</v>
      </c>
      <c r="E3408">
        <f t="shared" ca="1" si="125"/>
        <v>0.4</v>
      </c>
      <c r="F3408">
        <f>IFERROR(VLOOKUP(H3408,ProfessionalRisk!A:I,9,0),0)</f>
        <v>575</v>
      </c>
      <c r="G3408">
        <f t="shared" ca="1" si="127"/>
        <v>230</v>
      </c>
      <c r="H3408" t="s">
        <v>651</v>
      </c>
    </row>
    <row r="3409" spans="1:8">
      <c r="A3409" t="str">
        <f t="shared" si="126"/>
        <v>خراسان جنوبيزيرکوه</v>
      </c>
      <c r="B3409" t="s">
        <v>454</v>
      </c>
      <c r="C3409" t="s">
        <v>464</v>
      </c>
      <c r="D3409" t="s">
        <v>23</v>
      </c>
      <c r="E3409">
        <f t="shared" ca="1" si="125"/>
        <v>1.7101732904385075E-2</v>
      </c>
      <c r="F3409">
        <f>IFERROR(VLOOKUP(H3409,ProfessionalRisk!A:I,9,0),0)</f>
        <v>575</v>
      </c>
      <c r="G3409">
        <f t="shared" ca="1" si="127"/>
        <v>10</v>
      </c>
      <c r="H3409" t="s">
        <v>651</v>
      </c>
    </row>
    <row r="3410" spans="1:8">
      <c r="A3410" t="str">
        <f t="shared" si="126"/>
        <v>خراسان جنوبيخوسف</v>
      </c>
      <c r="B3410" t="s">
        <v>454</v>
      </c>
      <c r="C3410" t="s">
        <v>465</v>
      </c>
      <c r="D3410" t="s">
        <v>19</v>
      </c>
      <c r="E3410">
        <f t="shared" ca="1" si="125"/>
        <v>0.6</v>
      </c>
      <c r="F3410">
        <f>IFERROR(VLOOKUP(H3410,ProfessionalRisk!A:I,9,0),0)</f>
        <v>208</v>
      </c>
      <c r="G3410">
        <f t="shared" ca="1" si="127"/>
        <v>125</v>
      </c>
      <c r="H3410" t="s">
        <v>655</v>
      </c>
    </row>
    <row r="3411" spans="1:8">
      <c r="A3411" t="str">
        <f t="shared" si="126"/>
        <v>خراسان جنوبيخوسف</v>
      </c>
      <c r="B3411" t="s">
        <v>454</v>
      </c>
      <c r="C3411" t="s">
        <v>465</v>
      </c>
      <c r="D3411" t="s">
        <v>477</v>
      </c>
      <c r="E3411">
        <f t="shared" ca="1" si="125"/>
        <v>0.4</v>
      </c>
      <c r="F3411">
        <f>IFERROR(VLOOKUP(H3411,ProfessionalRisk!A:I,9,0),0)</f>
        <v>208</v>
      </c>
      <c r="G3411">
        <f t="shared" ca="1" si="127"/>
        <v>83</v>
      </c>
      <c r="H3411" t="s">
        <v>655</v>
      </c>
    </row>
    <row r="3412" spans="1:8">
      <c r="A3412" t="str">
        <f t="shared" si="126"/>
        <v>خراسان جنوبيخوسف</v>
      </c>
      <c r="B3412" t="s">
        <v>454</v>
      </c>
      <c r="C3412" t="s">
        <v>465</v>
      </c>
      <c r="D3412" t="s">
        <v>23</v>
      </c>
      <c r="E3412">
        <f t="shared" ca="1" si="125"/>
        <v>1.5777876216784769E-3</v>
      </c>
      <c r="F3412">
        <f>IFERROR(VLOOKUP(H3412,ProfessionalRisk!A:I,9,0),0)</f>
        <v>208</v>
      </c>
      <c r="G3412">
        <f t="shared" ca="1" si="127"/>
        <v>0</v>
      </c>
      <c r="H3412" t="s">
        <v>655</v>
      </c>
    </row>
    <row r="3413" spans="1:8">
      <c r="A3413" t="str">
        <f t="shared" si="126"/>
        <v xml:space="preserve">خراسان جنوبيطبس </v>
      </c>
      <c r="B3413" t="s">
        <v>454</v>
      </c>
      <c r="C3413" t="s">
        <v>466</v>
      </c>
      <c r="D3413" t="s">
        <v>19</v>
      </c>
      <c r="E3413">
        <f t="shared" ca="1" si="125"/>
        <v>0.6</v>
      </c>
      <c r="F3413">
        <f>IFERROR(VLOOKUP(H3413,ProfessionalRisk!A:I,9,0),0)</f>
        <v>1374</v>
      </c>
      <c r="G3413">
        <f t="shared" ca="1" si="127"/>
        <v>824</v>
      </c>
      <c r="H3413" t="s">
        <v>662</v>
      </c>
    </row>
    <row r="3414" spans="1:8">
      <c r="A3414" t="str">
        <f t="shared" si="126"/>
        <v xml:space="preserve">خراسان جنوبيطبس </v>
      </c>
      <c r="B3414" t="s">
        <v>454</v>
      </c>
      <c r="C3414" t="s">
        <v>466</v>
      </c>
      <c r="D3414" t="s">
        <v>477</v>
      </c>
      <c r="E3414">
        <f t="shared" ca="1" si="125"/>
        <v>0.4</v>
      </c>
      <c r="F3414">
        <f>IFERROR(VLOOKUP(H3414,ProfessionalRisk!A:I,9,0),0)</f>
        <v>1374</v>
      </c>
      <c r="G3414">
        <f t="shared" ca="1" si="127"/>
        <v>550</v>
      </c>
      <c r="H3414" t="s">
        <v>662</v>
      </c>
    </row>
    <row r="3415" spans="1:8">
      <c r="A3415" t="str">
        <f t="shared" si="126"/>
        <v xml:space="preserve">خراسان جنوبيطبس </v>
      </c>
      <c r="B3415" t="s">
        <v>454</v>
      </c>
      <c r="C3415" t="s">
        <v>466</v>
      </c>
      <c r="D3415" t="s">
        <v>23</v>
      </c>
      <c r="E3415">
        <f t="shared" ca="1" si="125"/>
        <v>5.2809085972326964E-3</v>
      </c>
      <c r="F3415">
        <f>IFERROR(VLOOKUP(H3415,ProfessionalRisk!A:I,9,0),0)</f>
        <v>1374</v>
      </c>
      <c r="G3415">
        <f t="shared" ca="1" si="127"/>
        <v>7</v>
      </c>
      <c r="H3415" t="s">
        <v>662</v>
      </c>
    </row>
    <row r="3416" spans="1:8">
      <c r="A3416" t="str">
        <f t="shared" si="126"/>
        <v>البرزکرج</v>
      </c>
      <c r="B3416" t="s">
        <v>429</v>
      </c>
      <c r="C3416" t="s">
        <v>467</v>
      </c>
      <c r="D3416" t="s">
        <v>19</v>
      </c>
      <c r="E3416">
        <f t="shared" ca="1" si="125"/>
        <v>0.6</v>
      </c>
      <c r="F3416">
        <f>IFERROR(VLOOKUP(H3416,ProfessionalRisk!A:I,9,0),0)</f>
        <v>29180</v>
      </c>
      <c r="G3416">
        <f t="shared" ca="1" si="127"/>
        <v>17508</v>
      </c>
      <c r="H3416" t="s">
        <v>605</v>
      </c>
    </row>
    <row r="3417" spans="1:8">
      <c r="A3417" t="str">
        <f t="shared" si="126"/>
        <v>البرزکرج</v>
      </c>
      <c r="B3417" t="s">
        <v>429</v>
      </c>
      <c r="C3417" t="s">
        <v>467</v>
      </c>
      <c r="D3417" t="s">
        <v>477</v>
      </c>
      <c r="E3417">
        <f t="shared" ca="1" si="125"/>
        <v>0.4</v>
      </c>
      <c r="F3417">
        <f>IFERROR(VLOOKUP(H3417,ProfessionalRisk!A:I,9,0),0)</f>
        <v>29180</v>
      </c>
      <c r="G3417">
        <f t="shared" ca="1" si="127"/>
        <v>11672</v>
      </c>
      <c r="H3417" t="s">
        <v>605</v>
      </c>
    </row>
    <row r="3418" spans="1:8">
      <c r="A3418" t="str">
        <f t="shared" si="126"/>
        <v>البرزکرج</v>
      </c>
      <c r="B3418" t="s">
        <v>429</v>
      </c>
      <c r="C3418" t="s">
        <v>467</v>
      </c>
      <c r="D3418" t="s">
        <v>23</v>
      </c>
      <c r="E3418">
        <f t="shared" ca="1" si="125"/>
        <v>1.9292311713020541E-2</v>
      </c>
      <c r="F3418">
        <f>IFERROR(VLOOKUP(H3418,ProfessionalRisk!A:I,9,0),0)</f>
        <v>29180</v>
      </c>
      <c r="G3418">
        <f t="shared" ca="1" si="127"/>
        <v>563</v>
      </c>
      <c r="H3418" t="s">
        <v>605</v>
      </c>
    </row>
    <row r="3419" spans="1:8">
      <c r="A3419" t="str">
        <f t="shared" si="126"/>
        <v>البرزساوجبلاغ</v>
      </c>
      <c r="B3419" t="s">
        <v>429</v>
      </c>
      <c r="C3419" t="s">
        <v>468</v>
      </c>
      <c r="D3419" t="s">
        <v>19</v>
      </c>
      <c r="E3419">
        <f t="shared" ca="1" si="125"/>
        <v>0.6</v>
      </c>
      <c r="F3419">
        <f>IFERROR(VLOOKUP(H3419,ProfessionalRisk!A:I,9,0),0)</f>
        <v>1623</v>
      </c>
      <c r="G3419">
        <f t="shared" ca="1" si="127"/>
        <v>974</v>
      </c>
      <c r="H3419" t="s">
        <v>602</v>
      </c>
    </row>
    <row r="3420" spans="1:8">
      <c r="A3420" t="str">
        <f t="shared" si="126"/>
        <v>البرزساوجبلاغ</v>
      </c>
      <c r="B3420" t="s">
        <v>429</v>
      </c>
      <c r="C3420" t="s">
        <v>468</v>
      </c>
      <c r="D3420" t="s">
        <v>477</v>
      </c>
      <c r="E3420">
        <f t="shared" ca="1" si="125"/>
        <v>0.4</v>
      </c>
      <c r="F3420">
        <f>IFERROR(VLOOKUP(H3420,ProfessionalRisk!A:I,9,0),0)</f>
        <v>1623</v>
      </c>
      <c r="G3420">
        <f t="shared" ca="1" si="127"/>
        <v>649</v>
      </c>
      <c r="H3420" t="s">
        <v>602</v>
      </c>
    </row>
    <row r="3421" spans="1:8">
      <c r="A3421" t="str">
        <f t="shared" si="126"/>
        <v>البرزساوجبلاغ</v>
      </c>
      <c r="B3421" t="s">
        <v>429</v>
      </c>
      <c r="C3421" t="s">
        <v>468</v>
      </c>
      <c r="D3421" t="s">
        <v>23</v>
      </c>
      <c r="E3421">
        <f t="shared" ca="1" si="125"/>
        <v>1.3372567028824363E-2</v>
      </c>
      <c r="F3421">
        <f>IFERROR(VLOOKUP(H3421,ProfessionalRisk!A:I,9,0),0)</f>
        <v>1623</v>
      </c>
      <c r="G3421">
        <f t="shared" ca="1" si="127"/>
        <v>22</v>
      </c>
      <c r="H3421" t="s">
        <v>602</v>
      </c>
    </row>
    <row r="3422" spans="1:8">
      <c r="A3422" t="str">
        <f t="shared" si="126"/>
        <v>البرزنظرآباد</v>
      </c>
      <c r="B3422" t="s">
        <v>429</v>
      </c>
      <c r="C3422" t="s">
        <v>469</v>
      </c>
      <c r="D3422" t="s">
        <v>19</v>
      </c>
      <c r="E3422">
        <f t="shared" ca="1" si="125"/>
        <v>0.6</v>
      </c>
      <c r="F3422">
        <f>IFERROR(VLOOKUP(H3422,ProfessionalRisk!A:I,9,0),0)</f>
        <v>916</v>
      </c>
      <c r="G3422">
        <f t="shared" ca="1" si="127"/>
        <v>550</v>
      </c>
      <c r="H3422" t="s">
        <v>609</v>
      </c>
    </row>
    <row r="3423" spans="1:8">
      <c r="A3423" t="str">
        <f t="shared" si="126"/>
        <v>البرزنظرآباد</v>
      </c>
      <c r="B3423" t="s">
        <v>429</v>
      </c>
      <c r="C3423" t="s">
        <v>469</v>
      </c>
      <c r="D3423" t="s">
        <v>477</v>
      </c>
      <c r="E3423">
        <f t="shared" ca="1" si="125"/>
        <v>0.4</v>
      </c>
      <c r="F3423">
        <f>IFERROR(VLOOKUP(H3423,ProfessionalRisk!A:I,9,0),0)</f>
        <v>916</v>
      </c>
      <c r="G3423">
        <f t="shared" ca="1" si="127"/>
        <v>366</v>
      </c>
      <c r="H3423" t="s">
        <v>609</v>
      </c>
    </row>
    <row r="3424" spans="1:8">
      <c r="A3424" t="str">
        <f t="shared" si="126"/>
        <v>البرزنظرآباد</v>
      </c>
      <c r="B3424" t="s">
        <v>429</v>
      </c>
      <c r="C3424" t="s">
        <v>469</v>
      </c>
      <c r="D3424" t="s">
        <v>23</v>
      </c>
      <c r="E3424">
        <f t="shared" ca="1" si="125"/>
        <v>1.4284760705482576E-2</v>
      </c>
      <c r="F3424">
        <f>IFERROR(VLOOKUP(H3424,ProfessionalRisk!A:I,9,0),0)</f>
        <v>916</v>
      </c>
      <c r="G3424">
        <f t="shared" ca="1" si="127"/>
        <v>13</v>
      </c>
      <c r="H3424" t="s">
        <v>609</v>
      </c>
    </row>
    <row r="3425" spans="1:8">
      <c r="A3425" t="str">
        <f t="shared" si="126"/>
        <v>البرزطالقان</v>
      </c>
      <c r="B3425" t="s">
        <v>429</v>
      </c>
      <c r="C3425" t="s">
        <v>470</v>
      </c>
      <c r="D3425" t="s">
        <v>19</v>
      </c>
      <c r="E3425">
        <f t="shared" ca="1" si="125"/>
        <v>0.6</v>
      </c>
      <c r="F3425">
        <f>IFERROR(VLOOKUP(H3425,ProfessionalRisk!A:I,9,0),0)</f>
        <v>143</v>
      </c>
      <c r="G3425">
        <f t="shared" ca="1" si="127"/>
        <v>86</v>
      </c>
      <c r="H3425" t="s">
        <v>607</v>
      </c>
    </row>
    <row r="3426" spans="1:8">
      <c r="A3426" t="str">
        <f t="shared" si="126"/>
        <v>البرزطالقان</v>
      </c>
      <c r="B3426" t="s">
        <v>429</v>
      </c>
      <c r="C3426" t="s">
        <v>470</v>
      </c>
      <c r="D3426" t="s">
        <v>477</v>
      </c>
      <c r="E3426">
        <f t="shared" ca="1" si="125"/>
        <v>0.4</v>
      </c>
      <c r="F3426">
        <f>IFERROR(VLOOKUP(H3426,ProfessionalRisk!A:I,9,0),0)</f>
        <v>143</v>
      </c>
      <c r="G3426">
        <f t="shared" ca="1" si="127"/>
        <v>57</v>
      </c>
      <c r="H3426" t="s">
        <v>607</v>
      </c>
    </row>
    <row r="3427" spans="1:8">
      <c r="A3427" t="str">
        <f t="shared" si="126"/>
        <v>البرزطالقان</v>
      </c>
      <c r="B3427" t="s">
        <v>429</v>
      </c>
      <c r="C3427" t="s">
        <v>470</v>
      </c>
      <c r="D3427" t="s">
        <v>23</v>
      </c>
      <c r="E3427">
        <f t="shared" ref="E3427:E3433" ca="1" si="128">IF(D3427="AP",0.6,IF(D3427="BP",0.4,RAND()*0.02))</f>
        <v>9.9442863413620672E-3</v>
      </c>
      <c r="F3427">
        <f>IFERROR(VLOOKUP(H3427,ProfessionalRisk!A:I,9,0),0)</f>
        <v>143</v>
      </c>
      <c r="G3427">
        <f t="shared" ca="1" si="127"/>
        <v>1</v>
      </c>
      <c r="H3427" t="s">
        <v>607</v>
      </c>
    </row>
    <row r="3428" spans="1:8">
      <c r="A3428" t="str">
        <f t="shared" si="126"/>
        <v>البرزاشتهارد</v>
      </c>
      <c r="B3428" t="s">
        <v>429</v>
      </c>
      <c r="C3428" t="s">
        <v>471</v>
      </c>
      <c r="D3428" t="s">
        <v>19</v>
      </c>
      <c r="E3428">
        <f t="shared" ca="1" si="128"/>
        <v>0.6</v>
      </c>
      <c r="F3428">
        <f>IFERROR(VLOOKUP(H3428,ProfessionalRisk!A:I,9,0),0)</f>
        <v>444</v>
      </c>
      <c r="G3428">
        <f t="shared" ca="1" si="127"/>
        <v>266</v>
      </c>
      <c r="H3428" t="s">
        <v>608</v>
      </c>
    </row>
    <row r="3429" spans="1:8">
      <c r="A3429" t="str">
        <f t="shared" si="126"/>
        <v>البرزاشتهارد</v>
      </c>
      <c r="B3429" t="s">
        <v>429</v>
      </c>
      <c r="C3429" t="s">
        <v>471</v>
      </c>
      <c r="D3429" t="s">
        <v>477</v>
      </c>
      <c r="E3429">
        <f t="shared" ca="1" si="128"/>
        <v>0.4</v>
      </c>
      <c r="F3429">
        <f>IFERROR(VLOOKUP(H3429,ProfessionalRisk!A:I,9,0),0)</f>
        <v>444</v>
      </c>
      <c r="G3429">
        <f t="shared" ca="1" si="127"/>
        <v>178</v>
      </c>
      <c r="H3429" t="s">
        <v>608</v>
      </c>
    </row>
    <row r="3430" spans="1:8">
      <c r="A3430" t="str">
        <f t="shared" si="126"/>
        <v>البرزاشتهارد</v>
      </c>
      <c r="B3430" t="s">
        <v>429</v>
      </c>
      <c r="C3430" t="s">
        <v>471</v>
      </c>
      <c r="D3430" t="s">
        <v>23</v>
      </c>
      <c r="E3430">
        <f t="shared" ca="1" si="128"/>
        <v>1.8989828066958012E-2</v>
      </c>
      <c r="F3430">
        <f>IFERROR(VLOOKUP(H3430,ProfessionalRisk!A:I,9,0),0)</f>
        <v>444</v>
      </c>
      <c r="G3430">
        <f t="shared" ca="1" si="127"/>
        <v>8</v>
      </c>
      <c r="H3430" t="s">
        <v>608</v>
      </c>
    </row>
    <row r="3431" spans="1:8">
      <c r="A3431" t="str">
        <f t="shared" si="126"/>
        <v>البرزفرديس</v>
      </c>
      <c r="B3431" t="s">
        <v>429</v>
      </c>
      <c r="C3431" t="s">
        <v>604</v>
      </c>
      <c r="D3431" t="s">
        <v>19</v>
      </c>
      <c r="E3431">
        <f t="shared" ca="1" si="128"/>
        <v>0.6</v>
      </c>
      <c r="F3431">
        <f>IFERROR(VLOOKUP(H3431,ProfessionalRisk!A:I,9,0),0)</f>
        <v>11701</v>
      </c>
      <c r="G3431">
        <f t="shared" ca="1" si="127"/>
        <v>7021</v>
      </c>
      <c r="H3431" t="s">
        <v>855</v>
      </c>
    </row>
    <row r="3432" spans="1:8">
      <c r="A3432" t="str">
        <f t="shared" si="126"/>
        <v>البرزفرديس</v>
      </c>
      <c r="B3432" t="s">
        <v>429</v>
      </c>
      <c r="C3432" t="s">
        <v>604</v>
      </c>
      <c r="D3432" t="s">
        <v>477</v>
      </c>
      <c r="E3432">
        <f t="shared" ca="1" si="128"/>
        <v>0.4</v>
      </c>
      <c r="F3432">
        <f>IFERROR(VLOOKUP(H3432,ProfessionalRisk!A:I,9,0),0)</f>
        <v>11701</v>
      </c>
      <c r="G3432">
        <f t="shared" ca="1" si="127"/>
        <v>4680</v>
      </c>
      <c r="H3432" t="s">
        <v>855</v>
      </c>
    </row>
    <row r="3433" spans="1:8">
      <c r="A3433" t="str">
        <f t="shared" si="126"/>
        <v>البرزفرديس</v>
      </c>
      <c r="B3433" t="s">
        <v>429</v>
      </c>
      <c r="C3433" t="s">
        <v>604</v>
      </c>
      <c r="D3433" t="s">
        <v>23</v>
      </c>
      <c r="E3433">
        <f t="shared" ca="1" si="128"/>
        <v>2.6350501999468758E-4</v>
      </c>
      <c r="F3433">
        <f>IFERROR(VLOOKUP(H3433,ProfessionalRisk!A:I,9,0),0)</f>
        <v>11701</v>
      </c>
      <c r="G3433">
        <f t="shared" ca="1" si="127"/>
        <v>3</v>
      </c>
      <c r="H3433" t="s">
        <v>855</v>
      </c>
    </row>
    <row r="3434" spans="1:8">
      <c r="A3434" t="str">
        <f t="shared" ref="A3434:A3497" si="129">B3434&amp;C3434</f>
        <v>مركزئاراك</v>
      </c>
      <c r="B3434" t="s">
        <v>27</v>
      </c>
      <c r="C3434" t="s">
        <v>28</v>
      </c>
      <c r="D3434" t="s">
        <v>24</v>
      </c>
      <c r="E3434">
        <f ca="1">IF(D3434="AP",0.6,IF(D3434="BP",0.4,RAND()*0.2))</f>
        <v>0.16500502065020964</v>
      </c>
      <c r="F3434">
        <f>IFERROR(VLOOKUP(H3434,ProfessionalRisk!A:I,9,0),0)</f>
        <v>11701</v>
      </c>
      <c r="G3434">
        <f t="shared" ca="1" si="127"/>
        <v>1931</v>
      </c>
      <c r="H3434" t="s">
        <v>855</v>
      </c>
    </row>
    <row r="3435" spans="1:8">
      <c r="A3435" t="str">
        <f t="shared" si="129"/>
        <v>مركزئآشتيان</v>
      </c>
      <c r="B3435" t="s">
        <v>27</v>
      </c>
      <c r="C3435" t="s">
        <v>29</v>
      </c>
      <c r="D3435" t="s">
        <v>24</v>
      </c>
      <c r="E3435">
        <f t="shared" ref="E3435:E3498" ca="1" si="130">IF(D3435="AP",0.6,IF(D3435="BP",0.4,RAND()*0.2))</f>
        <v>8.9186314816573867E-2</v>
      </c>
      <c r="F3435">
        <f>IFERROR(VLOOKUP(H3435,ProfessionalRisk!A:I,9,0),0)</f>
        <v>402</v>
      </c>
      <c r="G3435">
        <f t="shared" ca="1" si="127"/>
        <v>36</v>
      </c>
      <c r="H3435" t="s">
        <v>852</v>
      </c>
    </row>
    <row r="3436" spans="1:8">
      <c r="A3436" t="str">
        <f t="shared" si="129"/>
        <v>مركزئتفرش</v>
      </c>
      <c r="B3436" t="s">
        <v>27</v>
      </c>
      <c r="C3436" t="s">
        <v>30</v>
      </c>
      <c r="D3436" t="s">
        <v>24</v>
      </c>
      <c r="E3436">
        <f t="shared" ca="1" si="130"/>
        <v>2.3829111994588505E-2</v>
      </c>
      <c r="F3436">
        <f>IFERROR(VLOOKUP(H3436,ProfessionalRisk!A:I,9,0),0)</f>
        <v>559</v>
      </c>
      <c r="G3436">
        <f t="shared" ca="1" si="127"/>
        <v>13</v>
      </c>
      <c r="H3436" t="s">
        <v>863</v>
      </c>
    </row>
    <row r="3437" spans="1:8">
      <c r="A3437" t="str">
        <f t="shared" si="129"/>
        <v>مركزئخمين</v>
      </c>
      <c r="B3437" t="s">
        <v>27</v>
      </c>
      <c r="C3437" t="s">
        <v>31</v>
      </c>
      <c r="D3437" t="s">
        <v>24</v>
      </c>
      <c r="E3437">
        <f t="shared" ca="1" si="130"/>
        <v>0.1302245026690205</v>
      </c>
      <c r="F3437">
        <f>IFERROR(VLOOKUP(H3437,ProfessionalRisk!A:I,9,0),0)</f>
        <v>1536</v>
      </c>
      <c r="G3437">
        <f t="shared" ca="1" si="127"/>
        <v>200</v>
      </c>
      <c r="H3437" t="s">
        <v>861</v>
      </c>
    </row>
    <row r="3438" spans="1:8">
      <c r="A3438" t="str">
        <f t="shared" si="129"/>
        <v>مركزئدليجان</v>
      </c>
      <c r="B3438" t="s">
        <v>27</v>
      </c>
      <c r="C3438" t="s">
        <v>32</v>
      </c>
      <c r="D3438" t="s">
        <v>24</v>
      </c>
      <c r="E3438">
        <f t="shared" ca="1" si="130"/>
        <v>0.10292658955845058</v>
      </c>
      <c r="F3438">
        <f>IFERROR(VLOOKUP(H3438,ProfessionalRisk!A:I,9,0),0)</f>
        <v>674</v>
      </c>
      <c r="G3438">
        <f t="shared" ca="1" si="127"/>
        <v>69</v>
      </c>
      <c r="H3438" t="s">
        <v>859</v>
      </c>
    </row>
    <row r="3439" spans="1:8">
      <c r="A3439" t="str">
        <f t="shared" si="129"/>
        <v>مركزئساوه</v>
      </c>
      <c r="B3439" t="s">
        <v>27</v>
      </c>
      <c r="C3439" t="s">
        <v>33</v>
      </c>
      <c r="D3439" t="s">
        <v>24</v>
      </c>
      <c r="E3439">
        <f t="shared" ca="1" si="130"/>
        <v>5.0697871086383885E-2</v>
      </c>
      <c r="F3439">
        <f>IFERROR(VLOOKUP(H3439,ProfessionalRisk!A:I,9,0),0)</f>
        <v>3746</v>
      </c>
      <c r="G3439">
        <f t="shared" ca="1" si="127"/>
        <v>190</v>
      </c>
      <c r="H3439" t="s">
        <v>862</v>
      </c>
    </row>
    <row r="3440" spans="1:8">
      <c r="A3440" t="str">
        <f t="shared" si="129"/>
        <v>مركزئشازند</v>
      </c>
      <c r="B3440" t="s">
        <v>27</v>
      </c>
      <c r="C3440" t="s">
        <v>34</v>
      </c>
      <c r="D3440" t="s">
        <v>24</v>
      </c>
      <c r="E3440">
        <f t="shared" ca="1" si="130"/>
        <v>0.12174808401991916</v>
      </c>
      <c r="F3440">
        <f>IFERROR(VLOOKUP(H3440,ProfessionalRisk!A:I,9,0),0)</f>
        <v>1294</v>
      </c>
      <c r="G3440">
        <f t="shared" ca="1" si="127"/>
        <v>158</v>
      </c>
      <c r="H3440" t="s">
        <v>860</v>
      </c>
    </row>
    <row r="3441" spans="1:8">
      <c r="A3441" t="str">
        <f t="shared" si="129"/>
        <v>مركزئمحلات</v>
      </c>
      <c r="B3441" t="s">
        <v>27</v>
      </c>
      <c r="C3441" t="s">
        <v>35</v>
      </c>
      <c r="D3441" t="s">
        <v>24</v>
      </c>
      <c r="E3441">
        <f t="shared" ca="1" si="130"/>
        <v>9.3909913617304705E-2</v>
      </c>
      <c r="F3441">
        <f>IFERROR(VLOOKUP(H3441,ProfessionalRisk!A:I,9,0),0)</f>
        <v>640</v>
      </c>
      <c r="G3441">
        <f t="shared" ca="1" si="127"/>
        <v>60</v>
      </c>
      <c r="H3441" t="s">
        <v>856</v>
      </c>
    </row>
    <row r="3442" spans="1:8">
      <c r="A3442" t="str">
        <f t="shared" si="129"/>
        <v>مركزئزرنديه</v>
      </c>
      <c r="B3442" t="s">
        <v>27</v>
      </c>
      <c r="C3442" t="s">
        <v>36</v>
      </c>
      <c r="D3442" t="s">
        <v>24</v>
      </c>
      <c r="E3442">
        <f t="shared" ca="1" si="130"/>
        <v>7.0305193940353838E-2</v>
      </c>
      <c r="F3442">
        <f>IFERROR(VLOOKUP(H3442,ProfessionalRisk!A:I,9,0),0)</f>
        <v>686</v>
      </c>
      <c r="G3442">
        <f t="shared" ca="1" si="127"/>
        <v>48</v>
      </c>
      <c r="H3442" t="s">
        <v>857</v>
      </c>
    </row>
    <row r="3443" spans="1:8">
      <c r="A3443" t="str">
        <f t="shared" si="129"/>
        <v>مركزئكميجان</v>
      </c>
      <c r="B3443" t="s">
        <v>27</v>
      </c>
      <c r="C3443" t="s">
        <v>37</v>
      </c>
      <c r="D3443" t="s">
        <v>24</v>
      </c>
      <c r="E3443">
        <f t="shared" ca="1" si="130"/>
        <v>0.13058060417520445</v>
      </c>
      <c r="F3443">
        <f>IFERROR(VLOOKUP(H3443,ProfessionalRisk!A:I,9,0),0)</f>
        <v>481</v>
      </c>
      <c r="G3443">
        <f t="shared" ca="1" si="127"/>
        <v>63</v>
      </c>
      <c r="H3443" t="s">
        <v>854</v>
      </c>
    </row>
    <row r="3444" spans="1:8">
      <c r="A3444" t="str">
        <f t="shared" si="129"/>
        <v>مركزئخنداب</v>
      </c>
      <c r="B3444" t="s">
        <v>27</v>
      </c>
      <c r="C3444" t="s">
        <v>38</v>
      </c>
      <c r="D3444" t="s">
        <v>24</v>
      </c>
      <c r="E3444">
        <f t="shared" ca="1" si="130"/>
        <v>0.16798251642910844</v>
      </c>
      <c r="F3444">
        <f>IFERROR(VLOOKUP(H3444,ProfessionalRisk!A:I,9,0),0)</f>
        <v>713</v>
      </c>
      <c r="G3444">
        <f t="shared" ca="1" si="127"/>
        <v>120</v>
      </c>
      <c r="H3444" t="s">
        <v>858</v>
      </c>
    </row>
    <row r="3445" spans="1:8">
      <c r="A3445" t="str">
        <f t="shared" si="129"/>
        <v>مركزئفراهان</v>
      </c>
      <c r="B3445" t="s">
        <v>27</v>
      </c>
      <c r="C3445" t="s">
        <v>40</v>
      </c>
      <c r="D3445" t="s">
        <v>24</v>
      </c>
      <c r="E3445">
        <f t="shared" ca="1" si="130"/>
        <v>2.5948905818802961E-2</v>
      </c>
      <c r="F3445">
        <f>IFERROR(VLOOKUP(H3445,ProfessionalRisk!A:I,9,0),0)</f>
        <v>498</v>
      </c>
      <c r="G3445">
        <f t="shared" ca="1" si="127"/>
        <v>13</v>
      </c>
      <c r="H3445" t="s">
        <v>864</v>
      </c>
    </row>
    <row r="3446" spans="1:8">
      <c r="A3446" t="str">
        <f t="shared" si="129"/>
        <v>گيلانآستارا</v>
      </c>
      <c r="B3446" t="s">
        <v>39</v>
      </c>
      <c r="C3446" t="s">
        <v>41</v>
      </c>
      <c r="D3446" t="s">
        <v>24</v>
      </c>
      <c r="E3446">
        <f t="shared" ca="1" si="130"/>
        <v>0.13986041262312707</v>
      </c>
      <c r="F3446">
        <f>IFERROR(VLOOKUP(H3446,ProfessionalRisk!A:I,9,0),0)</f>
        <v>1184</v>
      </c>
      <c r="G3446">
        <f t="shared" ca="1" si="127"/>
        <v>166</v>
      </c>
      <c r="H3446" t="s">
        <v>987</v>
      </c>
    </row>
    <row r="3447" spans="1:8">
      <c r="A3447" t="str">
        <f t="shared" si="129"/>
        <v>گيلانآستانه اشرفيه</v>
      </c>
      <c r="B3447" t="s">
        <v>39</v>
      </c>
      <c r="C3447" t="s">
        <v>42</v>
      </c>
      <c r="D3447" t="s">
        <v>24</v>
      </c>
      <c r="E3447">
        <f t="shared" ca="1" si="130"/>
        <v>4.6798127461806893E-2</v>
      </c>
      <c r="F3447">
        <f>IFERROR(VLOOKUP(H3447,ProfessionalRisk!A:I,9,0),0)</f>
        <v>708</v>
      </c>
      <c r="G3447">
        <f t="shared" ca="1" si="127"/>
        <v>33</v>
      </c>
      <c r="H3447" t="s">
        <v>978</v>
      </c>
    </row>
    <row r="3448" spans="1:8">
      <c r="A3448" t="str">
        <f t="shared" si="129"/>
        <v>گيلانبندرانزلي</v>
      </c>
      <c r="B3448" t="s">
        <v>39</v>
      </c>
      <c r="C3448" t="s">
        <v>43</v>
      </c>
      <c r="D3448" t="s">
        <v>24</v>
      </c>
      <c r="E3448">
        <f t="shared" ca="1" si="130"/>
        <v>0.14212236596815103</v>
      </c>
      <c r="F3448">
        <f>IFERROR(VLOOKUP(H3448,ProfessionalRisk!A:I,9,0),0)</f>
        <v>1802</v>
      </c>
      <c r="G3448">
        <f t="shared" ca="1" si="127"/>
        <v>256</v>
      </c>
      <c r="H3448" t="s">
        <v>984</v>
      </c>
    </row>
    <row r="3449" spans="1:8">
      <c r="A3449" t="str">
        <f t="shared" si="129"/>
        <v>گيلانتالش</v>
      </c>
      <c r="B3449" t="s">
        <v>39</v>
      </c>
      <c r="C3449" t="s">
        <v>44</v>
      </c>
      <c r="D3449" t="s">
        <v>24</v>
      </c>
      <c r="E3449">
        <f t="shared" ca="1" si="130"/>
        <v>9.7867787248138258E-2</v>
      </c>
      <c r="F3449">
        <f>IFERROR(VLOOKUP(H3449,ProfessionalRisk!A:I,9,0),0)</f>
        <v>2317</v>
      </c>
      <c r="G3449">
        <f t="shared" ca="1" si="127"/>
        <v>227</v>
      </c>
      <c r="H3449" t="s">
        <v>980</v>
      </c>
    </row>
    <row r="3450" spans="1:8">
      <c r="A3450" t="str">
        <f t="shared" si="129"/>
        <v>گيلانرشت</v>
      </c>
      <c r="B3450" t="s">
        <v>39</v>
      </c>
      <c r="C3450" t="s">
        <v>45</v>
      </c>
      <c r="D3450" t="s">
        <v>24</v>
      </c>
      <c r="E3450">
        <f t="shared" ca="1" si="130"/>
        <v>7.3312404655743804E-2</v>
      </c>
      <c r="F3450">
        <f>IFERROR(VLOOKUP(H3450,ProfessionalRisk!A:I,9,0),0)</f>
        <v>24908</v>
      </c>
      <c r="G3450">
        <f t="shared" ca="1" si="127"/>
        <v>1826</v>
      </c>
      <c r="H3450" t="s">
        <v>985</v>
      </c>
    </row>
    <row r="3451" spans="1:8">
      <c r="A3451" t="str">
        <f t="shared" si="129"/>
        <v>گيلانرودبار</v>
      </c>
      <c r="B3451" t="s">
        <v>39</v>
      </c>
      <c r="C3451" t="s">
        <v>46</v>
      </c>
      <c r="D3451" t="s">
        <v>24</v>
      </c>
      <c r="E3451">
        <f t="shared" ca="1" si="130"/>
        <v>7.2739408087551555E-2</v>
      </c>
      <c r="F3451">
        <f>IFERROR(VLOOKUP(H3451,ProfessionalRisk!A:I,9,0),0)</f>
        <v>1482</v>
      </c>
      <c r="G3451">
        <f t="shared" ca="1" si="127"/>
        <v>108</v>
      </c>
      <c r="H3451" t="s">
        <v>986</v>
      </c>
    </row>
    <row r="3452" spans="1:8">
      <c r="A3452" t="str">
        <f t="shared" si="129"/>
        <v>گيلانرودسر</v>
      </c>
      <c r="B3452" t="s">
        <v>39</v>
      </c>
      <c r="C3452" t="s">
        <v>47</v>
      </c>
      <c r="D3452" t="s">
        <v>24</v>
      </c>
      <c r="E3452">
        <f t="shared" ca="1" si="130"/>
        <v>1.7749959600710397E-2</v>
      </c>
      <c r="F3452">
        <f>IFERROR(VLOOKUP(H3452,ProfessionalRisk!A:I,9,0),0)</f>
        <v>1931</v>
      </c>
      <c r="G3452">
        <f t="shared" ca="1" si="127"/>
        <v>34</v>
      </c>
      <c r="H3452" t="s">
        <v>983</v>
      </c>
    </row>
    <row r="3453" spans="1:8">
      <c r="A3453" t="str">
        <f t="shared" si="129"/>
        <v>گيلانصومعه سرا</v>
      </c>
      <c r="B3453" t="s">
        <v>39</v>
      </c>
      <c r="C3453" t="s">
        <v>48</v>
      </c>
      <c r="D3453" t="s">
        <v>24</v>
      </c>
      <c r="E3453">
        <f t="shared" ca="1" si="130"/>
        <v>0.19449206982204878</v>
      </c>
      <c r="F3453">
        <f>IFERROR(VLOOKUP(H3453,ProfessionalRisk!A:I,9,0),0)</f>
        <v>916</v>
      </c>
      <c r="G3453">
        <f t="shared" ca="1" si="127"/>
        <v>178</v>
      </c>
      <c r="H3453" t="s">
        <v>973</v>
      </c>
    </row>
    <row r="3454" spans="1:8">
      <c r="A3454" t="str">
        <f t="shared" si="129"/>
        <v>گيلانفومن</v>
      </c>
      <c r="B3454" t="s">
        <v>39</v>
      </c>
      <c r="C3454" t="s">
        <v>49</v>
      </c>
      <c r="D3454" t="s">
        <v>24</v>
      </c>
      <c r="E3454">
        <f t="shared" ca="1" si="130"/>
        <v>1.483775990209415E-2</v>
      </c>
      <c r="F3454">
        <f>IFERROR(VLOOKUP(H3454,ProfessionalRisk!A:I,9,0),0)</f>
        <v>1097</v>
      </c>
      <c r="G3454">
        <f t="shared" ca="1" si="127"/>
        <v>16</v>
      </c>
      <c r="H3454" t="s">
        <v>976</v>
      </c>
    </row>
    <row r="3455" spans="1:8">
      <c r="A3455" t="str">
        <f t="shared" si="129"/>
        <v>گيلانلنگرود</v>
      </c>
      <c r="B3455" t="s">
        <v>39</v>
      </c>
      <c r="C3455" t="s">
        <v>50</v>
      </c>
      <c r="D3455" t="s">
        <v>24</v>
      </c>
      <c r="E3455">
        <f t="shared" ca="1" si="130"/>
        <v>6.7646133043257534E-2</v>
      </c>
      <c r="F3455">
        <f>IFERROR(VLOOKUP(H3455,ProfessionalRisk!A:I,9,0),0)</f>
        <v>1742</v>
      </c>
      <c r="G3455">
        <f t="shared" ca="1" si="127"/>
        <v>118</v>
      </c>
      <c r="H3455" t="s">
        <v>975</v>
      </c>
    </row>
    <row r="3456" spans="1:8">
      <c r="A3456" t="str">
        <f t="shared" si="129"/>
        <v>گيلانلاهيجان</v>
      </c>
      <c r="B3456" t="s">
        <v>39</v>
      </c>
      <c r="C3456" t="s">
        <v>51</v>
      </c>
      <c r="D3456" t="s">
        <v>24</v>
      </c>
      <c r="E3456">
        <f t="shared" ca="1" si="130"/>
        <v>0.1418527964962539</v>
      </c>
      <c r="F3456">
        <f>IFERROR(VLOOKUP(H3456,ProfessionalRisk!A:I,9,0),0)</f>
        <v>4040</v>
      </c>
      <c r="G3456">
        <f t="shared" ca="1" si="127"/>
        <v>573</v>
      </c>
      <c r="H3456" t="s">
        <v>979</v>
      </c>
    </row>
    <row r="3457" spans="1:8">
      <c r="A3457" t="str">
        <f t="shared" si="129"/>
        <v>گيلانشفت</v>
      </c>
      <c r="B3457" t="s">
        <v>39</v>
      </c>
      <c r="C3457" t="s">
        <v>52</v>
      </c>
      <c r="D3457" t="s">
        <v>24</v>
      </c>
      <c r="E3457">
        <f t="shared" ca="1" si="130"/>
        <v>1.5569336051674366E-2</v>
      </c>
      <c r="F3457">
        <f>IFERROR(VLOOKUP(H3457,ProfessionalRisk!A:I,9,0),0)</f>
        <v>665</v>
      </c>
      <c r="G3457">
        <f t="shared" ca="1" si="127"/>
        <v>10</v>
      </c>
      <c r="H3457" t="s">
        <v>989</v>
      </c>
    </row>
    <row r="3458" spans="1:8">
      <c r="A3458" t="str">
        <f t="shared" si="129"/>
        <v>گيلاناملش</v>
      </c>
      <c r="B3458" t="s">
        <v>39</v>
      </c>
      <c r="C3458" t="s">
        <v>53</v>
      </c>
      <c r="D3458" t="s">
        <v>24</v>
      </c>
      <c r="E3458">
        <f t="shared" ca="1" si="130"/>
        <v>0.1132598540712223</v>
      </c>
      <c r="F3458">
        <f>IFERROR(VLOOKUP(H3458,ProfessionalRisk!A:I,9,0),0)</f>
        <v>503</v>
      </c>
      <c r="G3458">
        <f t="shared" ca="1" si="127"/>
        <v>57</v>
      </c>
      <c r="H3458" t="s">
        <v>982</v>
      </c>
    </row>
    <row r="3459" spans="1:8">
      <c r="A3459" t="str">
        <f t="shared" si="129"/>
        <v>گيلانرضوانشهر</v>
      </c>
      <c r="B3459" t="s">
        <v>39</v>
      </c>
      <c r="C3459" t="s">
        <v>54</v>
      </c>
      <c r="D3459" t="s">
        <v>24</v>
      </c>
      <c r="E3459">
        <f t="shared" ca="1" si="130"/>
        <v>0.17778277263674536</v>
      </c>
      <c r="F3459">
        <f>IFERROR(VLOOKUP(H3459,ProfessionalRisk!A:I,9,0),0)</f>
        <v>543</v>
      </c>
      <c r="G3459">
        <f t="shared" ref="G3459:G3522" ca="1" si="131">IFERROR(ROUND(F3459*E3459,0),0)</f>
        <v>97</v>
      </c>
      <c r="H3459" t="s">
        <v>988</v>
      </c>
    </row>
    <row r="3460" spans="1:8">
      <c r="A3460" t="str">
        <f t="shared" si="129"/>
        <v>گيلانسياهكل</v>
      </c>
      <c r="B3460" t="s">
        <v>39</v>
      </c>
      <c r="C3460" t="s">
        <v>55</v>
      </c>
      <c r="D3460" t="s">
        <v>24</v>
      </c>
      <c r="E3460">
        <f t="shared" ca="1" si="130"/>
        <v>0.14519277240329434</v>
      </c>
      <c r="F3460">
        <f>IFERROR(VLOOKUP(H3460,ProfessionalRisk!A:I,9,0),0)</f>
        <v>794</v>
      </c>
      <c r="G3460">
        <f t="shared" ca="1" si="131"/>
        <v>115</v>
      </c>
      <c r="H3460" t="s">
        <v>977</v>
      </c>
    </row>
    <row r="3461" spans="1:8">
      <c r="A3461" t="str">
        <f t="shared" si="129"/>
        <v>گيلانماسال</v>
      </c>
      <c r="B3461" t="s">
        <v>39</v>
      </c>
      <c r="C3461" t="s">
        <v>57</v>
      </c>
      <c r="D3461" t="s">
        <v>24</v>
      </c>
      <c r="E3461">
        <f t="shared" ca="1" si="130"/>
        <v>3.648420731684332E-2</v>
      </c>
      <c r="F3461">
        <f>IFERROR(VLOOKUP(H3461,ProfessionalRisk!A:I,9,0),0)</f>
        <v>500</v>
      </c>
      <c r="G3461">
        <f t="shared" ca="1" si="131"/>
        <v>18</v>
      </c>
      <c r="H3461" t="s">
        <v>990</v>
      </c>
    </row>
    <row r="3462" spans="1:8">
      <c r="A3462" t="str">
        <f t="shared" si="129"/>
        <v>مازندرانآمل</v>
      </c>
      <c r="B3462" t="s">
        <v>56</v>
      </c>
      <c r="C3462" t="s">
        <v>58</v>
      </c>
      <c r="D3462" t="s">
        <v>24</v>
      </c>
      <c r="E3462">
        <f t="shared" ca="1" si="130"/>
        <v>6.7179801663365374E-2</v>
      </c>
      <c r="F3462">
        <f>IFERROR(VLOOKUP(H3462,ProfessionalRisk!A:I,9,0),0)</f>
        <v>7212</v>
      </c>
      <c r="G3462">
        <f t="shared" ca="1" si="131"/>
        <v>485</v>
      </c>
      <c r="H3462" t="s">
        <v>844</v>
      </c>
    </row>
    <row r="3463" spans="1:8">
      <c r="A3463" t="str">
        <f t="shared" si="129"/>
        <v>مازندرانبابل</v>
      </c>
      <c r="B3463" t="s">
        <v>56</v>
      </c>
      <c r="C3463" t="s">
        <v>59</v>
      </c>
      <c r="D3463" t="s">
        <v>24</v>
      </c>
      <c r="E3463">
        <f t="shared" ca="1" si="130"/>
        <v>0.14114077617296425</v>
      </c>
      <c r="F3463">
        <f>IFERROR(VLOOKUP(H3463,ProfessionalRisk!A:I,9,0),0)</f>
        <v>12504</v>
      </c>
      <c r="G3463">
        <f t="shared" ca="1" si="131"/>
        <v>1765</v>
      </c>
      <c r="H3463" t="s">
        <v>851</v>
      </c>
    </row>
    <row r="3464" spans="1:8">
      <c r="A3464" t="str">
        <f t="shared" si="129"/>
        <v>مازندرانبهشهر</v>
      </c>
      <c r="B3464" t="s">
        <v>56</v>
      </c>
      <c r="C3464" t="s">
        <v>60</v>
      </c>
      <c r="D3464" t="s">
        <v>24</v>
      </c>
      <c r="E3464">
        <f t="shared" ca="1" si="130"/>
        <v>0.14068206605456521</v>
      </c>
      <c r="F3464">
        <f>IFERROR(VLOOKUP(H3464,ProfessionalRisk!A:I,9,0),0)</f>
        <v>3050</v>
      </c>
      <c r="G3464">
        <f t="shared" ca="1" si="131"/>
        <v>429</v>
      </c>
      <c r="H3464" t="s">
        <v>839</v>
      </c>
    </row>
    <row r="3465" spans="1:8">
      <c r="A3465" t="str">
        <f t="shared" si="129"/>
        <v>مازندرانتنكابن</v>
      </c>
      <c r="B3465" t="s">
        <v>56</v>
      </c>
      <c r="C3465" t="s">
        <v>61</v>
      </c>
      <c r="D3465" t="s">
        <v>24</v>
      </c>
      <c r="E3465">
        <f t="shared" ca="1" si="130"/>
        <v>0.16956689453548202</v>
      </c>
      <c r="F3465">
        <f>IFERROR(VLOOKUP(H3465,ProfessionalRisk!A:I,9,0),0)</f>
        <v>2893</v>
      </c>
      <c r="G3465">
        <f t="shared" ca="1" si="131"/>
        <v>491</v>
      </c>
      <c r="H3465" t="s">
        <v>837</v>
      </c>
    </row>
    <row r="3466" spans="1:8">
      <c r="A3466" t="str">
        <f t="shared" si="129"/>
        <v>مازندرانرامسر</v>
      </c>
      <c r="B3466" t="s">
        <v>56</v>
      </c>
      <c r="C3466" t="s">
        <v>62</v>
      </c>
      <c r="D3466" t="s">
        <v>24</v>
      </c>
      <c r="E3466">
        <f t="shared" ca="1" si="130"/>
        <v>0.12522811267337047</v>
      </c>
      <c r="F3466">
        <f>IFERROR(VLOOKUP(H3466,ProfessionalRisk!A:I,9,0),0)</f>
        <v>1778</v>
      </c>
      <c r="G3466">
        <f t="shared" ca="1" si="131"/>
        <v>223</v>
      </c>
      <c r="H3466" t="s">
        <v>829</v>
      </c>
    </row>
    <row r="3467" spans="1:8">
      <c r="A3467" t="str">
        <f t="shared" si="129"/>
        <v>مازندرانسارئ</v>
      </c>
      <c r="B3467" t="s">
        <v>56</v>
      </c>
      <c r="C3467" t="s">
        <v>63</v>
      </c>
      <c r="D3467" t="s">
        <v>24</v>
      </c>
      <c r="E3467">
        <f t="shared" ca="1" si="130"/>
        <v>0.12321505342407579</v>
      </c>
      <c r="F3467">
        <f>IFERROR(VLOOKUP(H3467,ProfessionalRisk!A:I,9,0),0)</f>
        <v>6330</v>
      </c>
      <c r="G3467">
        <f t="shared" ca="1" si="131"/>
        <v>780</v>
      </c>
      <c r="H3467" t="s">
        <v>836</v>
      </c>
    </row>
    <row r="3468" spans="1:8">
      <c r="A3468" t="str">
        <f t="shared" si="129"/>
        <v>مازندرانسوادكوه</v>
      </c>
      <c r="B3468" t="s">
        <v>56</v>
      </c>
      <c r="C3468" t="s">
        <v>64</v>
      </c>
      <c r="D3468" t="s">
        <v>24</v>
      </c>
      <c r="E3468">
        <f t="shared" ca="1" si="130"/>
        <v>8.1198956819675289E-2</v>
      </c>
      <c r="F3468">
        <f>IFERROR(VLOOKUP(H3468,ProfessionalRisk!A:I,9,0),0)</f>
        <v>859</v>
      </c>
      <c r="G3468">
        <f t="shared" ca="1" si="131"/>
        <v>70</v>
      </c>
      <c r="H3468" t="s">
        <v>846</v>
      </c>
    </row>
    <row r="3469" spans="1:8">
      <c r="A3469" t="str">
        <f t="shared" si="129"/>
        <v>مازندرانقائم شهر</v>
      </c>
      <c r="B3469" t="s">
        <v>56</v>
      </c>
      <c r="C3469" t="s">
        <v>65</v>
      </c>
      <c r="D3469" t="s">
        <v>24</v>
      </c>
      <c r="E3469">
        <f t="shared" ca="1" si="130"/>
        <v>2.5927362658472952E-2</v>
      </c>
      <c r="F3469">
        <f>IFERROR(VLOOKUP(H3469,ProfessionalRisk!A:I,9,0),0)</f>
        <v>2914</v>
      </c>
      <c r="G3469">
        <f t="shared" ca="1" si="131"/>
        <v>76</v>
      </c>
      <c r="H3469" t="s">
        <v>841</v>
      </c>
    </row>
    <row r="3470" spans="1:8">
      <c r="A3470" t="str">
        <f t="shared" si="129"/>
        <v>مازندراننور</v>
      </c>
      <c r="B3470" t="s">
        <v>56</v>
      </c>
      <c r="C3470" t="s">
        <v>66</v>
      </c>
      <c r="D3470" t="s">
        <v>24</v>
      </c>
      <c r="E3470">
        <f t="shared" ca="1" si="130"/>
        <v>2.7517945832673887E-2</v>
      </c>
      <c r="F3470">
        <f>IFERROR(VLOOKUP(H3470,ProfessionalRisk!A:I,9,0),0)</f>
        <v>1670</v>
      </c>
      <c r="G3470">
        <f t="shared" ca="1" si="131"/>
        <v>46</v>
      </c>
      <c r="H3470" t="s">
        <v>843</v>
      </c>
    </row>
    <row r="3471" spans="1:8">
      <c r="A3471" t="str">
        <f t="shared" si="129"/>
        <v>مازندراننوشهر</v>
      </c>
      <c r="B3471" t="s">
        <v>56</v>
      </c>
      <c r="C3471" t="s">
        <v>67</v>
      </c>
      <c r="D3471" t="s">
        <v>24</v>
      </c>
      <c r="E3471">
        <f t="shared" ca="1" si="130"/>
        <v>7.4198994872936894E-2</v>
      </c>
      <c r="F3471">
        <f>IFERROR(VLOOKUP(H3471,ProfessionalRisk!A:I,9,0),0)</f>
        <v>1860</v>
      </c>
      <c r="G3471">
        <f t="shared" ca="1" si="131"/>
        <v>138</v>
      </c>
      <c r="H3471" t="s">
        <v>842</v>
      </c>
    </row>
    <row r="3472" spans="1:8">
      <c r="A3472" t="str">
        <f t="shared" si="129"/>
        <v>مازندرانبابلسر</v>
      </c>
      <c r="B3472" t="s">
        <v>56</v>
      </c>
      <c r="C3472" t="s">
        <v>68</v>
      </c>
      <c r="D3472" t="s">
        <v>24</v>
      </c>
      <c r="E3472">
        <f t="shared" ca="1" si="130"/>
        <v>0.14946921913664055</v>
      </c>
      <c r="F3472">
        <f>IFERROR(VLOOKUP(H3472,ProfessionalRisk!A:I,9,0),0)</f>
        <v>1578</v>
      </c>
      <c r="G3472">
        <f t="shared" ca="1" si="131"/>
        <v>236</v>
      </c>
      <c r="H3472" t="s">
        <v>835</v>
      </c>
    </row>
    <row r="3473" spans="1:8">
      <c r="A3473" t="str">
        <f t="shared" si="129"/>
        <v>مازندرانمحمودآباد</v>
      </c>
      <c r="B3473" t="s">
        <v>56</v>
      </c>
      <c r="C3473" t="s">
        <v>69</v>
      </c>
      <c r="D3473" t="s">
        <v>24</v>
      </c>
      <c r="E3473">
        <f t="shared" ca="1" si="130"/>
        <v>6.6374383333590456E-2</v>
      </c>
      <c r="F3473">
        <f>IFERROR(VLOOKUP(H3473,ProfessionalRisk!A:I,9,0),0)</f>
        <v>934</v>
      </c>
      <c r="G3473">
        <f t="shared" ca="1" si="131"/>
        <v>62</v>
      </c>
      <c r="H3473" t="s">
        <v>847</v>
      </c>
    </row>
    <row r="3474" spans="1:8">
      <c r="A3474" t="str">
        <f t="shared" si="129"/>
        <v>مازندراننكا</v>
      </c>
      <c r="B3474" t="s">
        <v>56</v>
      </c>
      <c r="C3474" t="s">
        <v>70</v>
      </c>
      <c r="D3474" t="s">
        <v>24</v>
      </c>
      <c r="E3474">
        <f t="shared" ca="1" si="130"/>
        <v>5.1891661239738207E-2</v>
      </c>
      <c r="F3474">
        <f>IFERROR(VLOOKUP(H3474,ProfessionalRisk!A:I,9,0),0)</f>
        <v>1500</v>
      </c>
      <c r="G3474">
        <f t="shared" ca="1" si="131"/>
        <v>78</v>
      </c>
      <c r="H3474" t="s">
        <v>840</v>
      </c>
    </row>
    <row r="3475" spans="1:8">
      <c r="A3475" t="str">
        <f t="shared" si="129"/>
        <v>مازندرانچالوس</v>
      </c>
      <c r="B3475" t="s">
        <v>56</v>
      </c>
      <c r="C3475" t="s">
        <v>71</v>
      </c>
      <c r="D3475" t="s">
        <v>24</v>
      </c>
      <c r="E3475">
        <f t="shared" ca="1" si="130"/>
        <v>5.8544009930429526E-3</v>
      </c>
      <c r="F3475">
        <f>IFERROR(VLOOKUP(H3475,ProfessionalRisk!A:I,9,0),0)</f>
        <v>2606</v>
      </c>
      <c r="G3475">
        <f t="shared" ca="1" si="131"/>
        <v>15</v>
      </c>
      <c r="H3475" t="s">
        <v>848</v>
      </c>
    </row>
    <row r="3476" spans="1:8">
      <c r="A3476" t="str">
        <f t="shared" si="129"/>
        <v>مازندرانجويبار</v>
      </c>
      <c r="B3476" t="s">
        <v>56</v>
      </c>
      <c r="C3476" t="s">
        <v>72</v>
      </c>
      <c r="D3476" t="s">
        <v>24</v>
      </c>
      <c r="E3476">
        <f t="shared" ca="1" si="130"/>
        <v>0.10427960989808696</v>
      </c>
      <c r="F3476">
        <f>IFERROR(VLOOKUP(H3476,ProfessionalRisk!A:I,9,0),0)</f>
        <v>924</v>
      </c>
      <c r="G3476">
        <f t="shared" ca="1" si="131"/>
        <v>96</v>
      </c>
      <c r="H3476" t="s">
        <v>827</v>
      </c>
    </row>
    <row r="3477" spans="1:8">
      <c r="A3477" t="str">
        <f t="shared" si="129"/>
        <v>مازندرانگلوگاه</v>
      </c>
      <c r="B3477" t="s">
        <v>56</v>
      </c>
      <c r="C3477" t="s">
        <v>73</v>
      </c>
      <c r="D3477" t="s">
        <v>24</v>
      </c>
      <c r="E3477">
        <f t="shared" ca="1" si="130"/>
        <v>7.892648518141368E-2</v>
      </c>
      <c r="F3477">
        <f>IFERROR(VLOOKUP(H3477,ProfessionalRisk!A:I,9,0),0)</f>
        <v>530</v>
      </c>
      <c r="G3477">
        <f t="shared" ca="1" si="131"/>
        <v>42</v>
      </c>
      <c r="H3477" t="s">
        <v>838</v>
      </c>
    </row>
    <row r="3478" spans="1:8">
      <c r="A3478" t="str">
        <f t="shared" si="129"/>
        <v>مازندرانفريدونكنار</v>
      </c>
      <c r="B3478" t="s">
        <v>56</v>
      </c>
      <c r="C3478" t="s">
        <v>74</v>
      </c>
      <c r="D3478" t="s">
        <v>24</v>
      </c>
      <c r="E3478">
        <f t="shared" ca="1" si="130"/>
        <v>0.19407607092137236</v>
      </c>
      <c r="F3478">
        <f>IFERROR(VLOOKUP(H3478,ProfessionalRisk!A:I,9,0),0)</f>
        <v>2410</v>
      </c>
      <c r="G3478">
        <f t="shared" ca="1" si="131"/>
        <v>468</v>
      </c>
      <c r="H3478" t="s">
        <v>845</v>
      </c>
    </row>
    <row r="3479" spans="1:8">
      <c r="A3479" t="str">
        <f t="shared" si="129"/>
        <v>مازندرانعباس آباد</v>
      </c>
      <c r="B3479" t="s">
        <v>56</v>
      </c>
      <c r="C3479" t="s">
        <v>75</v>
      </c>
      <c r="D3479" t="s">
        <v>24</v>
      </c>
      <c r="E3479">
        <f t="shared" ca="1" si="130"/>
        <v>0.12455748902128072</v>
      </c>
      <c r="F3479">
        <f>IFERROR(VLOOKUP(H3479,ProfessionalRisk!A:I,9,0),0)</f>
        <v>403</v>
      </c>
      <c r="G3479">
        <f t="shared" ca="1" si="131"/>
        <v>50</v>
      </c>
      <c r="H3479" t="s">
        <v>832</v>
      </c>
    </row>
    <row r="3480" spans="1:8">
      <c r="A3480" t="str">
        <f t="shared" si="129"/>
        <v>مازندرانمياندورد</v>
      </c>
      <c r="B3480" t="s">
        <v>56</v>
      </c>
      <c r="C3480" t="s">
        <v>76</v>
      </c>
      <c r="D3480" t="s">
        <v>24</v>
      </c>
      <c r="E3480">
        <f t="shared" ca="1" si="130"/>
        <v>9.2592841269847959E-2</v>
      </c>
      <c r="F3480">
        <f>IFERROR(VLOOKUP(H3480,ProfessionalRisk!A:I,9,0),0)</f>
        <v>850</v>
      </c>
      <c r="G3480">
        <f t="shared" ca="1" si="131"/>
        <v>79</v>
      </c>
      <c r="H3480" t="s">
        <v>833</v>
      </c>
    </row>
    <row r="3481" spans="1:8">
      <c r="A3481" t="str">
        <f t="shared" si="129"/>
        <v>مازندرانسيمرغ</v>
      </c>
      <c r="B3481" t="s">
        <v>56</v>
      </c>
      <c r="C3481" t="s">
        <v>77</v>
      </c>
      <c r="D3481" t="s">
        <v>24</v>
      </c>
      <c r="E3481">
        <f t="shared" ca="1" si="130"/>
        <v>7.0664549101829626E-3</v>
      </c>
      <c r="F3481">
        <f>IFERROR(VLOOKUP(H3481,ProfessionalRisk!A:I,9,0),0)</f>
        <v>428</v>
      </c>
      <c r="G3481">
        <f t="shared" ca="1" si="131"/>
        <v>3</v>
      </c>
      <c r="H3481" t="s">
        <v>828</v>
      </c>
    </row>
    <row r="3482" spans="1:8">
      <c r="A3482" t="str">
        <f t="shared" si="129"/>
        <v>مازندرانسوادکوه شمالی</v>
      </c>
      <c r="B3482" t="s">
        <v>56</v>
      </c>
      <c r="C3482" t="s">
        <v>78</v>
      </c>
      <c r="D3482" t="s">
        <v>24</v>
      </c>
      <c r="E3482">
        <f t="shared" ca="1" si="130"/>
        <v>0.19095615510599051</v>
      </c>
      <c r="F3482">
        <f>IFERROR(VLOOKUP(H3482,ProfessionalRisk!A:I,9,0),0)</f>
        <v>454</v>
      </c>
      <c r="G3482">
        <f t="shared" ca="1" si="131"/>
        <v>87</v>
      </c>
      <c r="H3482" t="s">
        <v>830</v>
      </c>
    </row>
    <row r="3483" spans="1:8">
      <c r="A3483" t="str">
        <f t="shared" si="129"/>
        <v>مازندرانکلاردشت</v>
      </c>
      <c r="B3483" t="s">
        <v>56</v>
      </c>
      <c r="C3483" t="s">
        <v>80</v>
      </c>
      <c r="D3483" t="s">
        <v>24</v>
      </c>
      <c r="E3483">
        <f t="shared" ca="1" si="130"/>
        <v>9.5018942535375683E-2</v>
      </c>
      <c r="F3483">
        <f>IFERROR(VLOOKUP(H3483,ProfessionalRisk!A:I,9,0),0)</f>
        <v>304</v>
      </c>
      <c r="G3483">
        <f t="shared" ca="1" si="131"/>
        <v>29</v>
      </c>
      <c r="H3483" t="s">
        <v>849</v>
      </c>
    </row>
    <row r="3484" spans="1:8">
      <c r="A3484" t="str">
        <f t="shared" si="129"/>
        <v>آذربايجان شرقياهر</v>
      </c>
      <c r="B3484" t="s">
        <v>79</v>
      </c>
      <c r="C3484" t="s">
        <v>81</v>
      </c>
      <c r="D3484" t="s">
        <v>24</v>
      </c>
      <c r="E3484">
        <f t="shared" ca="1" si="130"/>
        <v>0.12106960930950122</v>
      </c>
      <c r="F3484">
        <f>IFERROR(VLOOKUP(H3484,ProfessionalRisk!A:I,9,0),0)</f>
        <v>2012</v>
      </c>
      <c r="G3484">
        <f t="shared" ca="1" si="131"/>
        <v>244</v>
      </c>
      <c r="H3484" t="s">
        <v>531</v>
      </c>
    </row>
    <row r="3485" spans="1:8">
      <c r="A3485" t="str">
        <f t="shared" si="129"/>
        <v>آذربايجان شرقيتبريز</v>
      </c>
      <c r="B3485" t="s">
        <v>79</v>
      </c>
      <c r="C3485" t="s">
        <v>82</v>
      </c>
      <c r="D3485" t="s">
        <v>24</v>
      </c>
      <c r="E3485">
        <f t="shared" ca="1" si="130"/>
        <v>0.19342537501025781</v>
      </c>
      <c r="F3485">
        <f>IFERROR(VLOOKUP(H3485,ProfessionalRisk!A:I,9,0),0)</f>
        <v>43164</v>
      </c>
      <c r="G3485">
        <f t="shared" ca="1" si="131"/>
        <v>8349</v>
      </c>
      <c r="H3485" t="s">
        <v>524</v>
      </c>
    </row>
    <row r="3486" spans="1:8">
      <c r="A3486" t="str">
        <f t="shared" si="129"/>
        <v>آذربايجان شرقيسراب</v>
      </c>
      <c r="B3486" t="s">
        <v>79</v>
      </c>
      <c r="C3486" t="s">
        <v>83</v>
      </c>
      <c r="D3486" t="s">
        <v>24</v>
      </c>
      <c r="E3486">
        <f t="shared" ca="1" si="130"/>
        <v>5.3958657486358669E-2</v>
      </c>
      <c r="F3486">
        <f>IFERROR(VLOOKUP(H3486,ProfessionalRisk!A:I,9,0),0)</f>
        <v>2106</v>
      </c>
      <c r="G3486">
        <f t="shared" ca="1" si="131"/>
        <v>114</v>
      </c>
      <c r="H3486" t="s">
        <v>522</v>
      </c>
    </row>
    <row r="3487" spans="1:8">
      <c r="A3487" t="str">
        <f t="shared" si="129"/>
        <v>آذربايجان شرقيمراغه</v>
      </c>
      <c r="B3487" t="s">
        <v>79</v>
      </c>
      <c r="C3487" t="s">
        <v>84</v>
      </c>
      <c r="D3487" t="s">
        <v>24</v>
      </c>
      <c r="E3487">
        <f t="shared" ca="1" si="130"/>
        <v>0.12481982617902061</v>
      </c>
      <c r="F3487">
        <f>IFERROR(VLOOKUP(H3487,ProfessionalRisk!A:I,9,0),0)</f>
        <v>3544</v>
      </c>
      <c r="G3487">
        <f t="shared" ca="1" si="131"/>
        <v>442</v>
      </c>
      <c r="H3487" t="s">
        <v>528</v>
      </c>
    </row>
    <row r="3488" spans="1:8">
      <c r="A3488" t="str">
        <f t="shared" si="129"/>
        <v>آذربايجان شرقيمرند</v>
      </c>
      <c r="B3488" t="s">
        <v>79</v>
      </c>
      <c r="C3488" t="s">
        <v>85</v>
      </c>
      <c r="D3488" t="s">
        <v>24</v>
      </c>
      <c r="E3488">
        <f t="shared" ca="1" si="130"/>
        <v>0.17097813915252191</v>
      </c>
      <c r="F3488">
        <f>IFERROR(VLOOKUP(H3488,ProfessionalRisk!A:I,9,0),0)</f>
        <v>2153</v>
      </c>
      <c r="G3488">
        <f t="shared" ca="1" si="131"/>
        <v>368</v>
      </c>
      <c r="H3488" t="s">
        <v>535</v>
      </c>
    </row>
    <row r="3489" spans="1:8">
      <c r="A3489" t="str">
        <f t="shared" si="129"/>
        <v>آذربايجان شرقيميانه</v>
      </c>
      <c r="B3489" t="s">
        <v>79</v>
      </c>
      <c r="C3489" t="s">
        <v>86</v>
      </c>
      <c r="D3489" t="s">
        <v>24</v>
      </c>
      <c r="E3489">
        <f t="shared" ca="1" si="130"/>
        <v>0.1149581206955545</v>
      </c>
      <c r="F3489">
        <f>IFERROR(VLOOKUP(H3489,ProfessionalRisk!A:I,9,0),0)</f>
        <v>2584</v>
      </c>
      <c r="G3489">
        <f t="shared" ca="1" si="131"/>
        <v>297</v>
      </c>
      <c r="H3489" t="s">
        <v>529</v>
      </c>
    </row>
    <row r="3490" spans="1:8">
      <c r="A3490" t="str">
        <f t="shared" si="129"/>
        <v>آذربايجان شرقيهشترود</v>
      </c>
      <c r="B3490" t="s">
        <v>79</v>
      </c>
      <c r="C3490" t="s">
        <v>87</v>
      </c>
      <c r="D3490" t="s">
        <v>24</v>
      </c>
      <c r="E3490">
        <f t="shared" ca="1" si="130"/>
        <v>0.19345216251065411</v>
      </c>
      <c r="F3490">
        <f>IFERROR(VLOOKUP(H3490,ProfessionalRisk!A:I,9,0),0)</f>
        <v>1485</v>
      </c>
      <c r="G3490">
        <f t="shared" ca="1" si="131"/>
        <v>287</v>
      </c>
      <c r="H3490" t="s">
        <v>523</v>
      </c>
    </row>
    <row r="3491" spans="1:8">
      <c r="A3491" t="str">
        <f t="shared" si="129"/>
        <v>آذربايجان شرقيبناب</v>
      </c>
      <c r="B3491" t="s">
        <v>79</v>
      </c>
      <c r="C3491" t="s">
        <v>88</v>
      </c>
      <c r="D3491" t="s">
        <v>24</v>
      </c>
      <c r="E3491">
        <f t="shared" ca="1" si="130"/>
        <v>6.3277743242637352E-2</v>
      </c>
      <c r="F3491">
        <f>IFERROR(VLOOKUP(H3491,ProfessionalRisk!A:I,9,0),0)</f>
        <v>2019</v>
      </c>
      <c r="G3491">
        <f t="shared" ca="1" si="131"/>
        <v>128</v>
      </c>
      <c r="H3491" t="s">
        <v>520</v>
      </c>
    </row>
    <row r="3492" spans="1:8">
      <c r="A3492" t="str">
        <f t="shared" si="129"/>
        <v>آذربايجان شرقيبستان آباد</v>
      </c>
      <c r="B3492" t="s">
        <v>79</v>
      </c>
      <c r="C3492" t="s">
        <v>89</v>
      </c>
      <c r="D3492" t="s">
        <v>24</v>
      </c>
      <c r="E3492">
        <f t="shared" ca="1" si="130"/>
        <v>0.17581106654313927</v>
      </c>
      <c r="F3492">
        <f>IFERROR(VLOOKUP(H3492,ProfessionalRisk!A:I,9,0),0)</f>
        <v>1547</v>
      </c>
      <c r="G3492">
        <f t="shared" ca="1" si="131"/>
        <v>272</v>
      </c>
      <c r="H3492" t="s">
        <v>532</v>
      </c>
    </row>
    <row r="3493" spans="1:8">
      <c r="A3493" t="str">
        <f t="shared" si="129"/>
        <v>آذربايجان شرقيشبستر</v>
      </c>
      <c r="B3493" t="s">
        <v>79</v>
      </c>
      <c r="C3493" t="s">
        <v>90</v>
      </c>
      <c r="D3493" t="s">
        <v>24</v>
      </c>
      <c r="E3493">
        <f t="shared" ca="1" si="130"/>
        <v>0.14926757298358415</v>
      </c>
      <c r="F3493">
        <f>IFERROR(VLOOKUP(H3493,ProfessionalRisk!A:I,9,0),0)</f>
        <v>1428</v>
      </c>
      <c r="G3493">
        <f t="shared" ca="1" si="131"/>
        <v>213</v>
      </c>
      <c r="H3493" t="s">
        <v>527</v>
      </c>
    </row>
    <row r="3494" spans="1:8">
      <c r="A3494" t="str">
        <f t="shared" si="129"/>
        <v>آذربايجان شرقيكليبر</v>
      </c>
      <c r="B3494" t="s">
        <v>79</v>
      </c>
      <c r="C3494" t="s">
        <v>91</v>
      </c>
      <c r="D3494" t="s">
        <v>24</v>
      </c>
      <c r="E3494">
        <f t="shared" ca="1" si="130"/>
        <v>7.3929582536780863E-2</v>
      </c>
      <c r="F3494">
        <f>IFERROR(VLOOKUP(H3494,ProfessionalRisk!A:I,9,0),0)</f>
        <v>764</v>
      </c>
      <c r="G3494">
        <f t="shared" ca="1" si="131"/>
        <v>56</v>
      </c>
      <c r="H3494" t="s">
        <v>534</v>
      </c>
    </row>
    <row r="3495" spans="1:8">
      <c r="A3495" t="str">
        <f t="shared" si="129"/>
        <v>آذربايجان شرقيهريس</v>
      </c>
      <c r="B3495" t="s">
        <v>79</v>
      </c>
      <c r="C3495" t="s">
        <v>92</v>
      </c>
      <c r="D3495" t="s">
        <v>24</v>
      </c>
      <c r="E3495">
        <f t="shared" ca="1" si="130"/>
        <v>0.14562328586453313</v>
      </c>
      <c r="F3495">
        <f>IFERROR(VLOOKUP(H3495,ProfessionalRisk!A:I,9,0),0)</f>
        <v>1034</v>
      </c>
      <c r="G3495">
        <f t="shared" ca="1" si="131"/>
        <v>151</v>
      </c>
      <c r="H3495" t="s">
        <v>533</v>
      </c>
    </row>
    <row r="3496" spans="1:8">
      <c r="A3496" t="str">
        <f t="shared" si="129"/>
        <v>آذربايجان شرقيجلفا</v>
      </c>
      <c r="B3496" t="s">
        <v>79</v>
      </c>
      <c r="C3496" t="s">
        <v>93</v>
      </c>
      <c r="D3496" t="s">
        <v>24</v>
      </c>
      <c r="E3496">
        <f t="shared" ca="1" si="130"/>
        <v>3.8167251746713142E-2</v>
      </c>
      <c r="F3496">
        <f>IFERROR(VLOOKUP(H3496,ProfessionalRisk!A:I,9,0),0)</f>
        <v>601</v>
      </c>
      <c r="G3496">
        <f t="shared" ca="1" si="131"/>
        <v>23</v>
      </c>
      <c r="H3496" t="s">
        <v>530</v>
      </c>
    </row>
    <row r="3497" spans="1:8">
      <c r="A3497" t="str">
        <f t="shared" si="129"/>
        <v>آذربايجان شرقيملكان</v>
      </c>
      <c r="B3497" t="s">
        <v>79</v>
      </c>
      <c r="C3497" t="s">
        <v>94</v>
      </c>
      <c r="D3497" t="s">
        <v>24</v>
      </c>
      <c r="E3497">
        <f t="shared" ca="1" si="130"/>
        <v>8.3466486980864896E-2</v>
      </c>
      <c r="F3497">
        <f>IFERROR(VLOOKUP(H3497,ProfessionalRisk!A:I,9,0),0)</f>
        <v>1176</v>
      </c>
      <c r="G3497">
        <f t="shared" ca="1" si="131"/>
        <v>98</v>
      </c>
      <c r="H3497" t="s">
        <v>526</v>
      </c>
    </row>
    <row r="3498" spans="1:8">
      <c r="A3498" t="str">
        <f t="shared" ref="A3498:A3561" si="132">B3498&amp;C3498</f>
        <v>آذربايجان شرقيآذرشهر</v>
      </c>
      <c r="B3498" t="s">
        <v>79</v>
      </c>
      <c r="C3498" t="s">
        <v>95</v>
      </c>
      <c r="D3498" t="s">
        <v>24</v>
      </c>
      <c r="E3498">
        <f t="shared" ca="1" si="130"/>
        <v>0.16028124447415873</v>
      </c>
      <c r="F3498">
        <f>IFERROR(VLOOKUP(H3498,ProfessionalRisk!A:I,9,0),0)</f>
        <v>846</v>
      </c>
      <c r="G3498">
        <f t="shared" ca="1" si="131"/>
        <v>136</v>
      </c>
      <c r="H3498" t="s">
        <v>541</v>
      </c>
    </row>
    <row r="3499" spans="1:8">
      <c r="A3499" t="str">
        <f t="shared" si="132"/>
        <v>آذربايجان شرقياسكو</v>
      </c>
      <c r="B3499" t="s">
        <v>79</v>
      </c>
      <c r="C3499" t="s">
        <v>96</v>
      </c>
      <c r="D3499" t="s">
        <v>24</v>
      </c>
      <c r="E3499">
        <f t="shared" ref="E3499:E3562" ca="1" si="133">IF(D3499="AP",0.6,IF(D3499="BP",0.4,RAND()*0.2))</f>
        <v>5.4101700500276274E-2</v>
      </c>
      <c r="F3499">
        <f>IFERROR(VLOOKUP(H3499,ProfessionalRisk!A:I,9,0),0)</f>
        <v>826</v>
      </c>
      <c r="G3499">
        <f t="shared" ca="1" si="131"/>
        <v>45</v>
      </c>
      <c r="H3499" t="s">
        <v>536</v>
      </c>
    </row>
    <row r="3500" spans="1:8">
      <c r="A3500" t="str">
        <f t="shared" si="132"/>
        <v>آذربايجان شرقيچاراويماق</v>
      </c>
      <c r="B3500" t="s">
        <v>79</v>
      </c>
      <c r="C3500" t="s">
        <v>97</v>
      </c>
      <c r="D3500" t="s">
        <v>24</v>
      </c>
      <c r="E3500">
        <f t="shared" ca="1" si="133"/>
        <v>9.793280145186059E-2</v>
      </c>
      <c r="F3500">
        <f>IFERROR(VLOOKUP(H3500,ProfessionalRisk!A:I,9,0),0)</f>
        <v>666</v>
      </c>
      <c r="G3500">
        <f t="shared" ca="1" si="131"/>
        <v>65</v>
      </c>
      <c r="H3500" t="s">
        <v>540</v>
      </c>
    </row>
    <row r="3501" spans="1:8">
      <c r="A3501" t="str">
        <f t="shared" si="132"/>
        <v>آذربايجان شرقيورزقان</v>
      </c>
      <c r="B3501" t="s">
        <v>79</v>
      </c>
      <c r="C3501" t="s">
        <v>98</v>
      </c>
      <c r="D3501" t="s">
        <v>24</v>
      </c>
      <c r="E3501">
        <f t="shared" ca="1" si="133"/>
        <v>0.18883601764812216</v>
      </c>
      <c r="F3501">
        <f>IFERROR(VLOOKUP(H3501,ProfessionalRisk!A:I,9,0),0)</f>
        <v>625</v>
      </c>
      <c r="G3501">
        <f t="shared" ca="1" si="131"/>
        <v>118</v>
      </c>
      <c r="H3501" t="s">
        <v>539</v>
      </c>
    </row>
    <row r="3502" spans="1:8">
      <c r="A3502" t="str">
        <f t="shared" si="132"/>
        <v>آذربايجان شرقيعجب شير</v>
      </c>
      <c r="B3502" t="s">
        <v>79</v>
      </c>
      <c r="C3502" t="s">
        <v>99</v>
      </c>
      <c r="D3502" t="s">
        <v>24</v>
      </c>
      <c r="E3502">
        <f t="shared" ca="1" si="133"/>
        <v>3.4120431078812553E-2</v>
      </c>
      <c r="F3502">
        <f>IFERROR(VLOOKUP(H3502,ProfessionalRisk!A:I,9,0),0)</f>
        <v>746</v>
      </c>
      <c r="G3502">
        <f t="shared" ca="1" si="131"/>
        <v>25</v>
      </c>
      <c r="H3502" t="s">
        <v>525</v>
      </c>
    </row>
    <row r="3503" spans="1:8">
      <c r="A3503" t="str">
        <f t="shared" si="132"/>
        <v>آذربايجان شرقيخداافرين</v>
      </c>
      <c r="B3503" t="s">
        <v>79</v>
      </c>
      <c r="C3503" t="s">
        <v>101</v>
      </c>
      <c r="D3503" t="s">
        <v>24</v>
      </c>
      <c r="E3503">
        <f t="shared" ca="1" si="133"/>
        <v>0.10080812819680579</v>
      </c>
      <c r="F3503">
        <f>IFERROR(VLOOKUP(H3503,ProfessionalRisk!A:I,9,0),0)</f>
        <v>389</v>
      </c>
      <c r="G3503">
        <f t="shared" ca="1" si="131"/>
        <v>39</v>
      </c>
      <c r="H3503" t="s">
        <v>537</v>
      </c>
    </row>
    <row r="3504" spans="1:8">
      <c r="A3504" t="str">
        <f t="shared" si="132"/>
        <v>آذربايجان غربياروميه</v>
      </c>
      <c r="B3504" t="s">
        <v>100</v>
      </c>
      <c r="C3504" t="s">
        <v>102</v>
      </c>
      <c r="D3504" t="s">
        <v>24</v>
      </c>
      <c r="E3504">
        <f t="shared" ca="1" si="133"/>
        <v>0.19543635062372697</v>
      </c>
      <c r="F3504">
        <f>IFERROR(VLOOKUP(H3504,ProfessionalRisk!A:I,9,0),0)</f>
        <v>20538</v>
      </c>
      <c r="G3504">
        <f t="shared" ca="1" si="131"/>
        <v>4014</v>
      </c>
      <c r="H3504" t="s">
        <v>555</v>
      </c>
    </row>
    <row r="3505" spans="1:8">
      <c r="A3505" t="str">
        <f t="shared" si="132"/>
        <v>آذربايجان غربيپيرانشهر</v>
      </c>
      <c r="B3505" t="s">
        <v>100</v>
      </c>
      <c r="C3505" t="s">
        <v>103</v>
      </c>
      <c r="D3505" t="s">
        <v>24</v>
      </c>
      <c r="E3505">
        <f t="shared" ca="1" si="133"/>
        <v>5.475590178710215E-2</v>
      </c>
      <c r="F3505">
        <f>IFERROR(VLOOKUP(H3505,ProfessionalRisk!A:I,9,0),0)</f>
        <v>1190</v>
      </c>
      <c r="G3505">
        <f t="shared" ca="1" si="131"/>
        <v>65</v>
      </c>
      <c r="H3505" t="s">
        <v>542</v>
      </c>
    </row>
    <row r="3506" spans="1:8">
      <c r="A3506" t="str">
        <f t="shared" si="132"/>
        <v>آذربايجان غربيخوئ</v>
      </c>
      <c r="B3506" t="s">
        <v>100</v>
      </c>
      <c r="C3506" t="s">
        <v>104</v>
      </c>
      <c r="D3506" t="s">
        <v>24</v>
      </c>
      <c r="E3506">
        <f t="shared" ca="1" si="133"/>
        <v>3.2640692836549003E-2</v>
      </c>
      <c r="F3506">
        <f>IFERROR(VLOOKUP(H3506,ProfessionalRisk!A:I,9,0),0)</f>
        <v>1736</v>
      </c>
      <c r="G3506">
        <f t="shared" ca="1" si="131"/>
        <v>57</v>
      </c>
      <c r="H3506" t="s">
        <v>547</v>
      </c>
    </row>
    <row r="3507" spans="1:8">
      <c r="A3507" t="str">
        <f t="shared" si="132"/>
        <v>آذربايجان غربيسردشت</v>
      </c>
      <c r="B3507" t="s">
        <v>100</v>
      </c>
      <c r="C3507" t="s">
        <v>105</v>
      </c>
      <c r="D3507" t="s">
        <v>24</v>
      </c>
      <c r="E3507">
        <f t="shared" ca="1" si="133"/>
        <v>0.19154353235211791</v>
      </c>
      <c r="F3507">
        <f>IFERROR(VLOOKUP(H3507,ProfessionalRisk!A:I,9,0),0)</f>
        <v>1466</v>
      </c>
      <c r="G3507">
        <f t="shared" ca="1" si="131"/>
        <v>281</v>
      </c>
      <c r="H3507" t="s">
        <v>558</v>
      </c>
    </row>
    <row r="3508" spans="1:8">
      <c r="A3508" t="str">
        <f t="shared" si="132"/>
        <v>آذربايجان غربيسلماس</v>
      </c>
      <c r="B3508" t="s">
        <v>100</v>
      </c>
      <c r="C3508" t="s">
        <v>106</v>
      </c>
      <c r="D3508" t="s">
        <v>24</v>
      </c>
      <c r="E3508">
        <f t="shared" ca="1" si="133"/>
        <v>0.19559637441156241</v>
      </c>
      <c r="F3508">
        <f>IFERROR(VLOOKUP(H3508,ProfessionalRisk!A:I,9,0),0)</f>
        <v>2060</v>
      </c>
      <c r="G3508">
        <f t="shared" ca="1" si="131"/>
        <v>403</v>
      </c>
      <c r="H3508" t="s">
        <v>549</v>
      </c>
    </row>
    <row r="3509" spans="1:8">
      <c r="A3509" t="str">
        <f t="shared" si="132"/>
        <v>آذربايجان غربيماكو</v>
      </c>
      <c r="B3509" t="s">
        <v>100</v>
      </c>
      <c r="C3509" t="s">
        <v>107</v>
      </c>
      <c r="D3509" t="s">
        <v>24</v>
      </c>
      <c r="E3509">
        <f t="shared" ca="1" si="133"/>
        <v>0.19501011194664208</v>
      </c>
      <c r="F3509">
        <f>IFERROR(VLOOKUP(H3509,ProfessionalRisk!A:I,9,0),0)</f>
        <v>1284</v>
      </c>
      <c r="G3509">
        <f t="shared" ca="1" si="131"/>
        <v>250</v>
      </c>
      <c r="H3509" t="s">
        <v>552</v>
      </c>
    </row>
    <row r="3510" spans="1:8">
      <c r="A3510" t="str">
        <f t="shared" si="132"/>
        <v>آذربايجان غربيمهاباد</v>
      </c>
      <c r="B3510" t="s">
        <v>100</v>
      </c>
      <c r="C3510" t="s">
        <v>108</v>
      </c>
      <c r="D3510" t="s">
        <v>24</v>
      </c>
      <c r="E3510">
        <f t="shared" ca="1" si="133"/>
        <v>0.14407150425300061</v>
      </c>
      <c r="F3510">
        <f>IFERROR(VLOOKUP(H3510,ProfessionalRisk!A:I,9,0),0)</f>
        <v>2716</v>
      </c>
      <c r="G3510">
        <f t="shared" ca="1" si="131"/>
        <v>391</v>
      </c>
      <c r="H3510" t="s">
        <v>551</v>
      </c>
    </row>
    <row r="3511" spans="1:8">
      <c r="A3511" t="str">
        <f t="shared" si="132"/>
        <v>آذربايجان غربيمياندوآب</v>
      </c>
      <c r="B3511" t="s">
        <v>100</v>
      </c>
      <c r="C3511" t="s">
        <v>109</v>
      </c>
      <c r="D3511" t="s">
        <v>24</v>
      </c>
      <c r="E3511">
        <f t="shared" ca="1" si="133"/>
        <v>0.11272826906044756</v>
      </c>
      <c r="F3511">
        <f>IFERROR(VLOOKUP(H3511,ProfessionalRisk!A:I,9,0),0)</f>
        <v>3464</v>
      </c>
      <c r="G3511">
        <f t="shared" ca="1" si="131"/>
        <v>390</v>
      </c>
      <c r="H3511" t="s">
        <v>548</v>
      </c>
    </row>
    <row r="3512" spans="1:8">
      <c r="A3512" t="str">
        <f t="shared" si="132"/>
        <v>آذربايجان غربينقده</v>
      </c>
      <c r="B3512" t="s">
        <v>100</v>
      </c>
      <c r="C3512" t="s">
        <v>110</v>
      </c>
      <c r="D3512" t="s">
        <v>24</v>
      </c>
      <c r="E3512">
        <f t="shared" ca="1" si="133"/>
        <v>5.5643534052915292E-2</v>
      </c>
      <c r="F3512">
        <f>IFERROR(VLOOKUP(H3512,ProfessionalRisk!A:I,9,0),0)</f>
        <v>1548</v>
      </c>
      <c r="G3512">
        <f t="shared" ca="1" si="131"/>
        <v>86</v>
      </c>
      <c r="H3512" t="s">
        <v>550</v>
      </c>
    </row>
    <row r="3513" spans="1:8">
      <c r="A3513" t="str">
        <f t="shared" si="132"/>
        <v>آذربايجان غربيبوكان</v>
      </c>
      <c r="B3513" t="s">
        <v>100</v>
      </c>
      <c r="C3513" t="s">
        <v>111</v>
      </c>
      <c r="D3513" t="s">
        <v>24</v>
      </c>
      <c r="E3513">
        <f t="shared" ca="1" si="133"/>
        <v>5.1154534659311947E-2</v>
      </c>
      <c r="F3513">
        <f>IFERROR(VLOOKUP(H3513,ProfessionalRisk!A:I,9,0),0)</f>
        <v>2518</v>
      </c>
      <c r="G3513">
        <f t="shared" ca="1" si="131"/>
        <v>129</v>
      </c>
      <c r="H3513" t="s">
        <v>556</v>
      </c>
    </row>
    <row r="3514" spans="1:8">
      <c r="A3514" t="str">
        <f t="shared" si="132"/>
        <v>آذربايجان غربيشاهين دژ</v>
      </c>
      <c r="B3514" t="s">
        <v>100</v>
      </c>
      <c r="C3514" t="s">
        <v>112</v>
      </c>
      <c r="D3514" t="s">
        <v>24</v>
      </c>
      <c r="E3514">
        <f t="shared" ca="1" si="133"/>
        <v>7.5470701361978379E-2</v>
      </c>
      <c r="F3514">
        <f>IFERROR(VLOOKUP(H3514,ProfessionalRisk!A:I,9,0),0)</f>
        <v>827</v>
      </c>
      <c r="G3514">
        <f t="shared" ca="1" si="131"/>
        <v>62</v>
      </c>
      <c r="H3514" t="s">
        <v>553</v>
      </c>
    </row>
    <row r="3515" spans="1:8">
      <c r="A3515" t="str">
        <f t="shared" si="132"/>
        <v>آذربايجان غربيتكاب</v>
      </c>
      <c r="B3515" t="s">
        <v>100</v>
      </c>
      <c r="C3515" t="s">
        <v>113</v>
      </c>
      <c r="D3515" t="s">
        <v>24</v>
      </c>
      <c r="E3515">
        <f t="shared" ca="1" si="133"/>
        <v>0.12064165076463514</v>
      </c>
      <c r="F3515">
        <f>IFERROR(VLOOKUP(H3515,ProfessionalRisk!A:I,9,0),0)</f>
        <v>2291</v>
      </c>
      <c r="G3515">
        <f t="shared" ca="1" si="131"/>
        <v>276</v>
      </c>
      <c r="H3515" t="s">
        <v>546</v>
      </c>
    </row>
    <row r="3516" spans="1:8">
      <c r="A3516" t="str">
        <f t="shared" si="132"/>
        <v>آذربايجان غربياشنويه</v>
      </c>
      <c r="B3516" t="s">
        <v>100</v>
      </c>
      <c r="C3516" t="s">
        <v>114</v>
      </c>
      <c r="D3516" t="s">
        <v>24</v>
      </c>
      <c r="E3516">
        <f t="shared" ca="1" si="133"/>
        <v>0.14006369801744561</v>
      </c>
      <c r="F3516">
        <f>IFERROR(VLOOKUP(H3516,ProfessionalRisk!A:I,9,0),0)</f>
        <v>726</v>
      </c>
      <c r="G3516">
        <f t="shared" ca="1" si="131"/>
        <v>102</v>
      </c>
      <c r="H3516" t="s">
        <v>557</v>
      </c>
    </row>
    <row r="3517" spans="1:8">
      <c r="A3517" t="str">
        <f t="shared" si="132"/>
        <v>آذربايجان غربيچالدران</v>
      </c>
      <c r="B3517" t="s">
        <v>100</v>
      </c>
      <c r="C3517" t="s">
        <v>115</v>
      </c>
      <c r="D3517" t="s">
        <v>24</v>
      </c>
      <c r="E3517">
        <f t="shared" ca="1" si="133"/>
        <v>7.4702577966815994E-2</v>
      </c>
      <c r="F3517">
        <f>IFERROR(VLOOKUP(H3517,ProfessionalRisk!A:I,9,0),0)</f>
        <v>601</v>
      </c>
      <c r="G3517">
        <f t="shared" ca="1" si="131"/>
        <v>45</v>
      </c>
      <c r="H3517" t="s">
        <v>554</v>
      </c>
    </row>
    <row r="3518" spans="1:8">
      <c r="A3518" t="str">
        <f t="shared" si="132"/>
        <v>آذربايجان غربيپلدشت</v>
      </c>
      <c r="B3518" t="s">
        <v>100</v>
      </c>
      <c r="C3518" t="s">
        <v>116</v>
      </c>
      <c r="D3518" t="s">
        <v>24</v>
      </c>
      <c r="E3518">
        <f t="shared" ca="1" si="133"/>
        <v>4.2441083722860706E-2</v>
      </c>
      <c r="F3518">
        <f>IFERROR(VLOOKUP(H3518,ProfessionalRisk!A:I,9,0),0)</f>
        <v>496</v>
      </c>
      <c r="G3518">
        <f t="shared" ca="1" si="131"/>
        <v>21</v>
      </c>
      <c r="H3518" t="s">
        <v>559</v>
      </c>
    </row>
    <row r="3519" spans="1:8">
      <c r="A3519" t="str">
        <f t="shared" si="132"/>
        <v>آذربايجان غربيچايپاره</v>
      </c>
      <c r="B3519" t="s">
        <v>100</v>
      </c>
      <c r="C3519" t="s">
        <v>117</v>
      </c>
      <c r="D3519" t="s">
        <v>24</v>
      </c>
      <c r="E3519">
        <f t="shared" ca="1" si="133"/>
        <v>8.4845777927464894E-2</v>
      </c>
      <c r="F3519">
        <f>IFERROR(VLOOKUP(H3519,ProfessionalRisk!A:I,9,0),0)</f>
        <v>600</v>
      </c>
      <c r="G3519">
        <f t="shared" ca="1" si="131"/>
        <v>51</v>
      </c>
      <c r="H3519" t="s">
        <v>545</v>
      </c>
    </row>
    <row r="3520" spans="1:8">
      <c r="A3520" t="str">
        <f t="shared" si="132"/>
        <v>آذربايجان غربيشوط</v>
      </c>
      <c r="B3520" t="s">
        <v>100</v>
      </c>
      <c r="C3520" t="s">
        <v>119</v>
      </c>
      <c r="D3520" t="s">
        <v>24</v>
      </c>
      <c r="E3520">
        <f t="shared" ca="1" si="133"/>
        <v>6.6812777472677443E-2</v>
      </c>
      <c r="F3520">
        <f>IFERROR(VLOOKUP(H3520,ProfessionalRisk!A:I,9,0),0)</f>
        <v>535</v>
      </c>
      <c r="G3520">
        <f t="shared" ca="1" si="131"/>
        <v>36</v>
      </c>
      <c r="H3520" t="s">
        <v>544</v>
      </c>
    </row>
    <row r="3521" spans="1:8">
      <c r="A3521" t="str">
        <f t="shared" si="132"/>
        <v>كرمانشاهاسلام آبادغرب</v>
      </c>
      <c r="B3521" t="s">
        <v>118</v>
      </c>
      <c r="C3521" t="s">
        <v>120</v>
      </c>
      <c r="D3521" t="s">
        <v>24</v>
      </c>
      <c r="E3521">
        <f t="shared" ca="1" si="133"/>
        <v>4.4527527447980391E-3</v>
      </c>
      <c r="F3521">
        <f>IFERROR(VLOOKUP(H3521,ProfessionalRisk!A:I,9,0),0)</f>
        <v>770</v>
      </c>
      <c r="G3521">
        <f t="shared" ca="1" si="131"/>
        <v>3</v>
      </c>
      <c r="H3521" t="s">
        <v>946</v>
      </c>
    </row>
    <row r="3522" spans="1:8">
      <c r="A3522" t="str">
        <f t="shared" si="132"/>
        <v>كرمانشاهكرمانشاه</v>
      </c>
      <c r="B3522" t="s">
        <v>118</v>
      </c>
      <c r="C3522" t="s">
        <v>118</v>
      </c>
      <c r="D3522" t="s">
        <v>24</v>
      </c>
      <c r="E3522">
        <f t="shared" ca="1" si="133"/>
        <v>0.15152851481527557</v>
      </c>
      <c r="F3522">
        <f>IFERROR(VLOOKUP(H3522,ProfessionalRisk!A:I,9,0),0)</f>
        <v>20296</v>
      </c>
      <c r="G3522">
        <f t="shared" ca="1" si="131"/>
        <v>3075</v>
      </c>
      <c r="H3522" t="s">
        <v>938</v>
      </c>
    </row>
    <row r="3523" spans="1:8">
      <c r="A3523" t="str">
        <f t="shared" si="132"/>
        <v>كرمانشاهپاوه</v>
      </c>
      <c r="B3523" t="s">
        <v>118</v>
      </c>
      <c r="C3523" t="s">
        <v>121</v>
      </c>
      <c r="D3523" t="s">
        <v>24</v>
      </c>
      <c r="E3523">
        <f t="shared" ca="1" si="133"/>
        <v>9.2039600798994703E-2</v>
      </c>
      <c r="F3523">
        <f>IFERROR(VLOOKUP(H3523,ProfessionalRisk!A:I,9,0),0)</f>
        <v>867</v>
      </c>
      <c r="G3523">
        <f t="shared" ref="G3523:G3586" ca="1" si="134">IFERROR(ROUND(F3523*E3523,0),0)</f>
        <v>80</v>
      </c>
      <c r="H3523" t="s">
        <v>942</v>
      </c>
    </row>
    <row r="3524" spans="1:8">
      <c r="A3524" t="str">
        <f t="shared" si="132"/>
        <v>كرمانشاهسرپل ذهاب</v>
      </c>
      <c r="B3524" t="s">
        <v>118</v>
      </c>
      <c r="C3524" t="s">
        <v>122</v>
      </c>
      <c r="D3524" t="s">
        <v>24</v>
      </c>
      <c r="E3524">
        <f t="shared" ca="1" si="133"/>
        <v>0.19486996197997342</v>
      </c>
      <c r="F3524">
        <f>IFERROR(VLOOKUP(H3524,ProfessionalRisk!A:I,9,0),0)</f>
        <v>525</v>
      </c>
      <c r="G3524">
        <f t="shared" ca="1" si="134"/>
        <v>102</v>
      </c>
      <c r="H3524" t="s">
        <v>947</v>
      </c>
    </row>
    <row r="3525" spans="1:8">
      <c r="A3525" t="str">
        <f t="shared" si="132"/>
        <v>كرمانشاهسنقر</v>
      </c>
      <c r="B3525" t="s">
        <v>118</v>
      </c>
      <c r="C3525" t="s">
        <v>123</v>
      </c>
      <c r="D3525" t="s">
        <v>24</v>
      </c>
      <c r="E3525">
        <f t="shared" ca="1" si="133"/>
        <v>2.1193708179953211E-2</v>
      </c>
      <c r="F3525">
        <f>IFERROR(VLOOKUP(H3525,ProfessionalRisk!A:I,9,0),0)</f>
        <v>1572</v>
      </c>
      <c r="G3525">
        <f t="shared" ca="1" si="134"/>
        <v>33</v>
      </c>
      <c r="H3525" t="s">
        <v>943</v>
      </c>
    </row>
    <row r="3526" spans="1:8">
      <c r="A3526" t="str">
        <f t="shared" si="132"/>
        <v>كرمانشاهقصرشيرين</v>
      </c>
      <c r="B3526" t="s">
        <v>118</v>
      </c>
      <c r="C3526" t="s">
        <v>124</v>
      </c>
      <c r="D3526" t="s">
        <v>24</v>
      </c>
      <c r="E3526">
        <f t="shared" ca="1" si="133"/>
        <v>0.1939907624394081</v>
      </c>
      <c r="F3526">
        <f>IFERROR(VLOOKUP(H3526,ProfessionalRisk!A:I,9,0),0)</f>
        <v>253</v>
      </c>
      <c r="G3526">
        <f t="shared" ca="1" si="134"/>
        <v>49</v>
      </c>
      <c r="H3526" t="s">
        <v>945</v>
      </c>
    </row>
    <row r="3527" spans="1:8">
      <c r="A3527" t="str">
        <f t="shared" si="132"/>
        <v>كرمانشاهكنگاور</v>
      </c>
      <c r="B3527" t="s">
        <v>118</v>
      </c>
      <c r="C3527" t="s">
        <v>125</v>
      </c>
      <c r="D3527" t="s">
        <v>24</v>
      </c>
      <c r="E3527">
        <f t="shared" ca="1" si="133"/>
        <v>6.7139272239808742E-2</v>
      </c>
      <c r="F3527">
        <f>IFERROR(VLOOKUP(H3527,ProfessionalRisk!A:I,9,0),0)</f>
        <v>1058</v>
      </c>
      <c r="G3527">
        <f t="shared" ca="1" si="134"/>
        <v>71</v>
      </c>
      <c r="H3527" t="s">
        <v>944</v>
      </c>
    </row>
    <row r="3528" spans="1:8">
      <c r="A3528" t="str">
        <f t="shared" si="132"/>
        <v>كرمانشاهگيلانغرب</v>
      </c>
      <c r="B3528" t="s">
        <v>118</v>
      </c>
      <c r="C3528" t="s">
        <v>126</v>
      </c>
      <c r="D3528" t="s">
        <v>24</v>
      </c>
      <c r="E3528">
        <f t="shared" ca="1" si="133"/>
        <v>4.395062638965086E-2</v>
      </c>
      <c r="F3528">
        <f>IFERROR(VLOOKUP(H3528,ProfessionalRisk!A:I,9,0),0)</f>
        <v>667</v>
      </c>
      <c r="G3528">
        <f t="shared" ca="1" si="134"/>
        <v>29</v>
      </c>
      <c r="H3528" t="s">
        <v>941</v>
      </c>
    </row>
    <row r="3529" spans="1:8">
      <c r="A3529" t="str">
        <f t="shared" si="132"/>
        <v>كرمانشاهجوانرود</v>
      </c>
      <c r="B3529" t="s">
        <v>118</v>
      </c>
      <c r="C3529" t="s">
        <v>127</v>
      </c>
      <c r="D3529" t="s">
        <v>24</v>
      </c>
      <c r="E3529">
        <f t="shared" ca="1" si="133"/>
        <v>0.19306137407633761</v>
      </c>
      <c r="F3529">
        <f>IFERROR(VLOOKUP(H3529,ProfessionalRisk!A:I,9,0),0)</f>
        <v>1147</v>
      </c>
      <c r="G3529">
        <f t="shared" ca="1" si="134"/>
        <v>221</v>
      </c>
      <c r="H3529" t="s">
        <v>936</v>
      </c>
    </row>
    <row r="3530" spans="1:8">
      <c r="A3530" t="str">
        <f t="shared" si="132"/>
        <v>كرمانشاهصحنه</v>
      </c>
      <c r="B3530" t="s">
        <v>118</v>
      </c>
      <c r="C3530" t="s">
        <v>128</v>
      </c>
      <c r="D3530" t="s">
        <v>24</v>
      </c>
      <c r="E3530">
        <f t="shared" ca="1" si="133"/>
        <v>0.19100354571745842</v>
      </c>
      <c r="F3530">
        <f>IFERROR(VLOOKUP(H3530,ProfessionalRisk!A:I,9,0),0)</f>
        <v>1048</v>
      </c>
      <c r="G3530">
        <f t="shared" ca="1" si="134"/>
        <v>200</v>
      </c>
      <c r="H3530" t="s">
        <v>948</v>
      </c>
    </row>
    <row r="3531" spans="1:8">
      <c r="A3531" t="str">
        <f t="shared" si="132"/>
        <v>كرمانشاههرسين</v>
      </c>
      <c r="B3531" t="s">
        <v>118</v>
      </c>
      <c r="C3531" t="s">
        <v>129</v>
      </c>
      <c r="D3531" t="s">
        <v>24</v>
      </c>
      <c r="E3531">
        <f t="shared" ca="1" si="133"/>
        <v>9.6809407849422074E-2</v>
      </c>
      <c r="F3531">
        <f>IFERROR(VLOOKUP(H3531,ProfessionalRisk!A:I,9,0),0)</f>
        <v>1054</v>
      </c>
      <c r="G3531">
        <f t="shared" ca="1" si="134"/>
        <v>102</v>
      </c>
      <c r="H3531" t="s">
        <v>937</v>
      </c>
    </row>
    <row r="3532" spans="1:8">
      <c r="A3532" t="str">
        <f t="shared" si="132"/>
        <v>كرمانشاهثلاث باباجاني</v>
      </c>
      <c r="B3532" t="s">
        <v>118</v>
      </c>
      <c r="C3532" t="s">
        <v>130</v>
      </c>
      <c r="D3532" t="s">
        <v>24</v>
      </c>
      <c r="E3532">
        <f t="shared" ca="1" si="133"/>
        <v>0.19459664972750362</v>
      </c>
      <c r="F3532">
        <f>IFERROR(VLOOKUP(H3532,ProfessionalRisk!A:I,9,0),0)</f>
        <v>392</v>
      </c>
      <c r="G3532">
        <f t="shared" ca="1" si="134"/>
        <v>76</v>
      </c>
      <c r="H3532" t="s">
        <v>940</v>
      </c>
    </row>
    <row r="3533" spans="1:8">
      <c r="A3533" t="str">
        <f t="shared" si="132"/>
        <v>كرمانشاهدالاهو</v>
      </c>
      <c r="B3533" t="s">
        <v>118</v>
      </c>
      <c r="C3533" t="s">
        <v>131</v>
      </c>
      <c r="D3533" t="s">
        <v>24</v>
      </c>
      <c r="E3533">
        <f t="shared" ca="1" si="133"/>
        <v>0.13576032523606699</v>
      </c>
      <c r="F3533">
        <f>IFERROR(VLOOKUP(H3533,ProfessionalRisk!A:I,9,0),0)</f>
        <v>351</v>
      </c>
      <c r="G3533">
        <f t="shared" ca="1" si="134"/>
        <v>48</v>
      </c>
      <c r="H3533" t="s">
        <v>939</v>
      </c>
    </row>
    <row r="3534" spans="1:8">
      <c r="A3534" t="str">
        <f t="shared" si="132"/>
        <v>كرمانشاهروانسر</v>
      </c>
      <c r="B3534" t="s">
        <v>118</v>
      </c>
      <c r="C3534" t="s">
        <v>133</v>
      </c>
      <c r="D3534" t="s">
        <v>24</v>
      </c>
      <c r="E3534">
        <f t="shared" ca="1" si="133"/>
        <v>4.5232068644261728E-2</v>
      </c>
      <c r="F3534">
        <f>IFERROR(VLOOKUP(H3534,ProfessionalRisk!A:I,9,0),0)</f>
        <v>444</v>
      </c>
      <c r="G3534">
        <f t="shared" ca="1" si="134"/>
        <v>20</v>
      </c>
      <c r="H3534" t="s">
        <v>934</v>
      </c>
    </row>
    <row r="3535" spans="1:8">
      <c r="A3535" t="str">
        <f t="shared" si="132"/>
        <v>خوزستانآبادان</v>
      </c>
      <c r="B3535" t="s">
        <v>132</v>
      </c>
      <c r="C3535" t="s">
        <v>134</v>
      </c>
      <c r="D3535" t="s">
        <v>24</v>
      </c>
      <c r="E3535">
        <f t="shared" ca="1" si="133"/>
        <v>7.5182680986533357E-2</v>
      </c>
      <c r="F3535">
        <f>IFERROR(VLOOKUP(H3535,ProfessionalRisk!A:I,9,0),0)</f>
        <v>4560</v>
      </c>
      <c r="G3535">
        <f t="shared" ca="1" si="134"/>
        <v>343</v>
      </c>
      <c r="H3535" t="s">
        <v>736</v>
      </c>
    </row>
    <row r="3536" spans="1:8">
      <c r="A3536" t="str">
        <f t="shared" si="132"/>
        <v>خوزستانانديمشک</v>
      </c>
      <c r="B3536" t="s">
        <v>132</v>
      </c>
      <c r="C3536" t="s">
        <v>135</v>
      </c>
      <c r="D3536" t="s">
        <v>24</v>
      </c>
      <c r="E3536">
        <f t="shared" ca="1" si="133"/>
        <v>0.10710187889334677</v>
      </c>
      <c r="F3536">
        <f>IFERROR(VLOOKUP(H3536,ProfessionalRisk!A:I,9,0),0)</f>
        <v>1472</v>
      </c>
      <c r="G3536">
        <f t="shared" ca="1" si="134"/>
        <v>158</v>
      </c>
      <c r="H3536" t="s">
        <v>730</v>
      </c>
    </row>
    <row r="3537" spans="1:8">
      <c r="A3537" t="str">
        <f t="shared" si="132"/>
        <v>خوزستاناهواز</v>
      </c>
      <c r="B3537" t="s">
        <v>132</v>
      </c>
      <c r="C3537" t="s">
        <v>136</v>
      </c>
      <c r="D3537" t="s">
        <v>24</v>
      </c>
      <c r="E3537">
        <f t="shared" ca="1" si="133"/>
        <v>4.453108953225704E-2</v>
      </c>
      <c r="F3537">
        <f>IFERROR(VLOOKUP(H3537,ProfessionalRisk!A:I,9,0),0)</f>
        <v>33255</v>
      </c>
      <c r="G3537">
        <f t="shared" ca="1" si="134"/>
        <v>1481</v>
      </c>
      <c r="H3537" t="s">
        <v>711</v>
      </c>
    </row>
    <row r="3538" spans="1:8">
      <c r="A3538" t="str">
        <f t="shared" si="132"/>
        <v>خوزستانايذه</v>
      </c>
      <c r="B3538" t="s">
        <v>132</v>
      </c>
      <c r="C3538" t="s">
        <v>137</v>
      </c>
      <c r="D3538" t="s">
        <v>24</v>
      </c>
      <c r="E3538">
        <f t="shared" ca="1" si="133"/>
        <v>7.0085799096692549E-3</v>
      </c>
      <c r="F3538">
        <f>IFERROR(VLOOKUP(H3538,ProfessionalRisk!A:I,9,0),0)</f>
        <v>1653</v>
      </c>
      <c r="G3538">
        <f t="shared" ca="1" si="134"/>
        <v>12</v>
      </c>
      <c r="H3538" t="s">
        <v>727</v>
      </c>
    </row>
    <row r="3539" spans="1:8">
      <c r="A3539" t="str">
        <f t="shared" si="132"/>
        <v>خوزستانبندرماهشهر</v>
      </c>
      <c r="B3539" t="s">
        <v>132</v>
      </c>
      <c r="C3539" t="s">
        <v>138</v>
      </c>
      <c r="D3539" t="s">
        <v>24</v>
      </c>
      <c r="E3539">
        <f t="shared" ca="1" si="133"/>
        <v>0.19317388683657341</v>
      </c>
      <c r="F3539">
        <f>IFERROR(VLOOKUP(H3539,ProfessionalRisk!A:I,9,0),0)</f>
        <v>3192</v>
      </c>
      <c r="G3539">
        <f t="shared" ca="1" si="134"/>
        <v>617</v>
      </c>
      <c r="H3539" t="s">
        <v>728</v>
      </c>
    </row>
    <row r="3540" spans="1:8">
      <c r="A3540" t="str">
        <f t="shared" si="132"/>
        <v>خوزستانبهبهان</v>
      </c>
      <c r="B3540" t="s">
        <v>132</v>
      </c>
      <c r="C3540" t="s">
        <v>139</v>
      </c>
      <c r="D3540" t="s">
        <v>24</v>
      </c>
      <c r="E3540">
        <f t="shared" ca="1" si="133"/>
        <v>0.12823735459703339</v>
      </c>
      <c r="F3540">
        <f>IFERROR(VLOOKUP(H3540,ProfessionalRisk!A:I,9,0),0)</f>
        <v>3243</v>
      </c>
      <c r="G3540">
        <f t="shared" ca="1" si="134"/>
        <v>416</v>
      </c>
      <c r="H3540" t="s">
        <v>707</v>
      </c>
    </row>
    <row r="3541" spans="1:8">
      <c r="A3541" t="str">
        <f t="shared" si="132"/>
        <v>خوزستانخرمشهر</v>
      </c>
      <c r="B3541" t="s">
        <v>132</v>
      </c>
      <c r="C3541" t="s">
        <v>140</v>
      </c>
      <c r="D3541" t="s">
        <v>24</v>
      </c>
      <c r="E3541">
        <f t="shared" ca="1" si="133"/>
        <v>3.5435655895881511E-2</v>
      </c>
      <c r="F3541">
        <f>IFERROR(VLOOKUP(H3541,ProfessionalRisk!A:I,9,0),0)</f>
        <v>1600</v>
      </c>
      <c r="G3541">
        <f t="shared" ca="1" si="134"/>
        <v>57</v>
      </c>
      <c r="H3541" t="s">
        <v>708</v>
      </c>
    </row>
    <row r="3542" spans="1:8">
      <c r="A3542" t="str">
        <f t="shared" si="132"/>
        <v>خوزستاندزفول</v>
      </c>
      <c r="B3542" t="s">
        <v>132</v>
      </c>
      <c r="C3542" t="s">
        <v>141</v>
      </c>
      <c r="D3542" t="s">
        <v>24</v>
      </c>
      <c r="E3542">
        <f t="shared" ca="1" si="133"/>
        <v>3.2440858593903714E-2</v>
      </c>
      <c r="F3542">
        <f>IFERROR(VLOOKUP(H3542,ProfessionalRisk!A:I,9,0),0)</f>
        <v>5870</v>
      </c>
      <c r="G3542">
        <f t="shared" ca="1" si="134"/>
        <v>190</v>
      </c>
      <c r="H3542" t="s">
        <v>723</v>
      </c>
    </row>
    <row r="3543" spans="1:8">
      <c r="A3543" t="str">
        <f t="shared" si="132"/>
        <v>خوزستاندشت آزادگان</v>
      </c>
      <c r="B3543" t="s">
        <v>132</v>
      </c>
      <c r="C3543" t="s">
        <v>142</v>
      </c>
      <c r="D3543" t="s">
        <v>24</v>
      </c>
      <c r="E3543">
        <f t="shared" ca="1" si="133"/>
        <v>9.6917702252935015E-2</v>
      </c>
      <c r="F3543">
        <f>IFERROR(VLOOKUP(H3543,ProfessionalRisk!A:I,9,0),0)</f>
        <v>356</v>
      </c>
      <c r="G3543">
        <f t="shared" ca="1" si="134"/>
        <v>35</v>
      </c>
      <c r="H3543" t="s">
        <v>715</v>
      </c>
    </row>
    <row r="3544" spans="1:8">
      <c r="A3544" t="str">
        <f t="shared" si="132"/>
        <v>خوزستانرامهرمز</v>
      </c>
      <c r="B3544" t="s">
        <v>132</v>
      </c>
      <c r="C3544" t="s">
        <v>143</v>
      </c>
      <c r="D3544" t="s">
        <v>24</v>
      </c>
      <c r="E3544">
        <f t="shared" ca="1" si="133"/>
        <v>4.6925743973422754E-4</v>
      </c>
      <c r="F3544">
        <f>IFERROR(VLOOKUP(H3544,ProfessionalRisk!A:I,9,0),0)</f>
        <v>1313</v>
      </c>
      <c r="G3544">
        <f t="shared" ca="1" si="134"/>
        <v>1</v>
      </c>
      <c r="H3544" t="s">
        <v>732</v>
      </c>
    </row>
    <row r="3545" spans="1:8">
      <c r="A3545" t="str">
        <f t="shared" si="132"/>
        <v>خوزستانشادگان</v>
      </c>
      <c r="B3545" t="s">
        <v>132</v>
      </c>
      <c r="C3545" t="s">
        <v>144</v>
      </c>
      <c r="D3545" t="s">
        <v>24</v>
      </c>
      <c r="E3545">
        <f t="shared" ca="1" si="133"/>
        <v>0.17071965595733565</v>
      </c>
      <c r="F3545">
        <f>IFERROR(VLOOKUP(H3545,ProfessionalRisk!A:I,9,0),0)</f>
        <v>1432</v>
      </c>
      <c r="G3545">
        <f t="shared" ca="1" si="134"/>
        <v>244</v>
      </c>
      <c r="H3545" t="s">
        <v>717</v>
      </c>
    </row>
    <row r="3546" spans="1:8">
      <c r="A3546" t="str">
        <f t="shared" si="132"/>
        <v>خوزستانشوشتر</v>
      </c>
      <c r="B3546" t="s">
        <v>132</v>
      </c>
      <c r="C3546" t="s">
        <v>145</v>
      </c>
      <c r="D3546" t="s">
        <v>24</v>
      </c>
      <c r="E3546">
        <f t="shared" ca="1" si="133"/>
        <v>3.4657008706038737E-2</v>
      </c>
      <c r="F3546">
        <f>IFERROR(VLOOKUP(H3546,ProfessionalRisk!A:I,9,0),0)</f>
        <v>2260</v>
      </c>
      <c r="G3546">
        <f t="shared" ca="1" si="134"/>
        <v>78</v>
      </c>
      <c r="H3546" t="s">
        <v>729</v>
      </c>
    </row>
    <row r="3547" spans="1:8">
      <c r="A3547" t="str">
        <f t="shared" si="132"/>
        <v>خوزستانمسجدسليمان</v>
      </c>
      <c r="B3547" t="s">
        <v>132</v>
      </c>
      <c r="C3547" t="s">
        <v>146</v>
      </c>
      <c r="D3547" t="s">
        <v>24</v>
      </c>
      <c r="E3547">
        <f t="shared" ca="1" si="133"/>
        <v>3.7100637304930829E-2</v>
      </c>
      <c r="F3547">
        <f>IFERROR(VLOOKUP(H3547,ProfessionalRisk!A:I,9,0),0)</f>
        <v>1909</v>
      </c>
      <c r="G3547">
        <f t="shared" ca="1" si="134"/>
        <v>71</v>
      </c>
      <c r="H3547" t="s">
        <v>733</v>
      </c>
    </row>
    <row r="3548" spans="1:8">
      <c r="A3548" t="str">
        <f t="shared" si="132"/>
        <v>خوزستانشوش</v>
      </c>
      <c r="B3548" t="s">
        <v>132</v>
      </c>
      <c r="C3548" t="s">
        <v>147</v>
      </c>
      <c r="D3548" t="s">
        <v>24</v>
      </c>
      <c r="E3548">
        <f t="shared" ca="1" si="133"/>
        <v>8.502632876018322E-2</v>
      </c>
      <c r="F3548">
        <f>IFERROR(VLOOKUP(H3548,ProfessionalRisk!A:I,9,0),0)</f>
        <v>1760</v>
      </c>
      <c r="G3548">
        <f t="shared" ca="1" si="134"/>
        <v>150</v>
      </c>
      <c r="H3548" t="s">
        <v>714</v>
      </c>
    </row>
    <row r="3549" spans="1:8">
      <c r="A3549" t="str">
        <f t="shared" si="132"/>
        <v>خوزستانباغ ملک</v>
      </c>
      <c r="B3549" t="s">
        <v>132</v>
      </c>
      <c r="C3549" t="s">
        <v>148</v>
      </c>
      <c r="D3549" t="s">
        <v>24</v>
      </c>
      <c r="E3549">
        <f t="shared" ca="1" si="133"/>
        <v>0.17156782568154605</v>
      </c>
      <c r="F3549">
        <f>IFERROR(VLOOKUP(H3549,ProfessionalRisk!A:I,9,0),0)</f>
        <v>599</v>
      </c>
      <c r="G3549">
        <f t="shared" ca="1" si="134"/>
        <v>103</v>
      </c>
      <c r="H3549" t="s">
        <v>724</v>
      </c>
    </row>
    <row r="3550" spans="1:8">
      <c r="A3550" t="str">
        <f t="shared" si="132"/>
        <v>خوزستاناميديه</v>
      </c>
      <c r="B3550" t="s">
        <v>132</v>
      </c>
      <c r="C3550" t="s">
        <v>149</v>
      </c>
      <c r="D3550" t="s">
        <v>24</v>
      </c>
      <c r="E3550">
        <f t="shared" ca="1" si="133"/>
        <v>1.4167575495620711E-2</v>
      </c>
      <c r="F3550">
        <f>IFERROR(VLOOKUP(H3550,ProfessionalRisk!A:I,9,0),0)</f>
        <v>1046</v>
      </c>
      <c r="G3550">
        <f t="shared" ca="1" si="134"/>
        <v>15</v>
      </c>
      <c r="H3550" t="s">
        <v>734</v>
      </c>
    </row>
    <row r="3551" spans="1:8">
      <c r="A3551" t="str">
        <f t="shared" si="132"/>
        <v>خوزستانلالي</v>
      </c>
      <c r="B3551" t="s">
        <v>132</v>
      </c>
      <c r="C3551" t="s">
        <v>150</v>
      </c>
      <c r="D3551" t="s">
        <v>24</v>
      </c>
      <c r="E3551">
        <f t="shared" ca="1" si="133"/>
        <v>0.13338993114824602</v>
      </c>
      <c r="F3551">
        <f>IFERROR(VLOOKUP(H3551,ProfessionalRisk!A:I,9,0),0)</f>
        <v>406</v>
      </c>
      <c r="G3551">
        <f t="shared" ca="1" si="134"/>
        <v>54</v>
      </c>
      <c r="H3551" t="s">
        <v>735</v>
      </c>
    </row>
    <row r="3552" spans="1:8">
      <c r="A3552" t="str">
        <f t="shared" si="132"/>
        <v>خوزستانهنديجان</v>
      </c>
      <c r="B3552" t="s">
        <v>132</v>
      </c>
      <c r="C3552" t="s">
        <v>151</v>
      </c>
      <c r="D3552" t="s">
        <v>24</v>
      </c>
      <c r="E3552">
        <f t="shared" ca="1" si="133"/>
        <v>7.5671483560763253E-2</v>
      </c>
      <c r="F3552">
        <f>IFERROR(VLOOKUP(H3552,ProfessionalRisk!A:I,9,0),0)</f>
        <v>404</v>
      </c>
      <c r="G3552">
        <f t="shared" ca="1" si="134"/>
        <v>31</v>
      </c>
      <c r="H3552" t="s">
        <v>716</v>
      </c>
    </row>
    <row r="3553" spans="1:8">
      <c r="A3553" t="str">
        <f t="shared" si="132"/>
        <v>خوزستانرامشير</v>
      </c>
      <c r="B3553" t="s">
        <v>132</v>
      </c>
      <c r="C3553" t="s">
        <v>152</v>
      </c>
      <c r="D3553" t="s">
        <v>24</v>
      </c>
      <c r="E3553">
        <f t="shared" ca="1" si="133"/>
        <v>0.18548129608649852</v>
      </c>
      <c r="F3553">
        <f>IFERROR(VLOOKUP(H3553,ProfessionalRisk!A:I,9,0),0)</f>
        <v>422</v>
      </c>
      <c r="G3553">
        <f t="shared" ca="1" si="134"/>
        <v>78</v>
      </c>
      <c r="H3553" t="s">
        <v>712</v>
      </c>
    </row>
    <row r="3554" spans="1:8">
      <c r="A3554" t="str">
        <f t="shared" si="132"/>
        <v>خوزستانگتوند</v>
      </c>
      <c r="B3554" t="s">
        <v>132</v>
      </c>
      <c r="C3554" t="s">
        <v>153</v>
      </c>
      <c r="D3554" t="s">
        <v>24</v>
      </c>
      <c r="E3554">
        <f t="shared" ca="1" si="133"/>
        <v>4.4772992398085701E-2</v>
      </c>
      <c r="F3554">
        <f>IFERROR(VLOOKUP(H3554,ProfessionalRisk!A:I,9,0),0)</f>
        <v>677</v>
      </c>
      <c r="G3554">
        <f t="shared" ca="1" si="134"/>
        <v>30</v>
      </c>
      <c r="H3554" t="s">
        <v>726</v>
      </c>
    </row>
    <row r="3555" spans="1:8">
      <c r="A3555" t="str">
        <f t="shared" si="132"/>
        <v>خوزستانانديکا</v>
      </c>
      <c r="B3555" t="s">
        <v>132</v>
      </c>
      <c r="C3555" t="s">
        <v>154</v>
      </c>
      <c r="D3555" t="s">
        <v>24</v>
      </c>
      <c r="E3555">
        <f t="shared" ca="1" si="133"/>
        <v>0.16388762261093032</v>
      </c>
      <c r="F3555">
        <f>IFERROR(VLOOKUP(H3555,ProfessionalRisk!A:I,9,0),0)</f>
        <v>484</v>
      </c>
      <c r="G3555">
        <f t="shared" ca="1" si="134"/>
        <v>79</v>
      </c>
      <c r="H3555" t="s">
        <v>718</v>
      </c>
    </row>
    <row r="3556" spans="1:8">
      <c r="A3556" t="str">
        <f t="shared" si="132"/>
        <v>خوزستانهفتگل</v>
      </c>
      <c r="B3556" t="s">
        <v>132</v>
      </c>
      <c r="C3556" t="s">
        <v>155</v>
      </c>
      <c r="D3556" t="s">
        <v>24</v>
      </c>
      <c r="E3556">
        <f t="shared" ca="1" si="133"/>
        <v>0.10150251144089462</v>
      </c>
      <c r="F3556">
        <f>IFERROR(VLOOKUP(H3556,ProfessionalRisk!A:I,9,0),0)</f>
        <v>115</v>
      </c>
      <c r="G3556">
        <f t="shared" ca="1" si="134"/>
        <v>12</v>
      </c>
      <c r="H3556" t="s">
        <v>737</v>
      </c>
    </row>
    <row r="3557" spans="1:8">
      <c r="A3557" t="str">
        <f t="shared" si="132"/>
        <v>خوزستانهويزه</v>
      </c>
      <c r="B3557" t="s">
        <v>132</v>
      </c>
      <c r="C3557" t="s">
        <v>156</v>
      </c>
      <c r="D3557" t="s">
        <v>24</v>
      </c>
      <c r="E3557">
        <f t="shared" ca="1" si="133"/>
        <v>5.5875920186774147E-2</v>
      </c>
      <c r="F3557">
        <f>IFERROR(VLOOKUP(H3557,ProfessionalRisk!A:I,9,0),0)</f>
        <v>164</v>
      </c>
      <c r="G3557">
        <f t="shared" ca="1" si="134"/>
        <v>9</v>
      </c>
      <c r="H3557" t="s">
        <v>709</v>
      </c>
    </row>
    <row r="3558" spans="1:8">
      <c r="A3558" t="str">
        <f t="shared" si="132"/>
        <v>خوزستانباوي</v>
      </c>
      <c r="B3558" t="s">
        <v>132</v>
      </c>
      <c r="C3558" t="s">
        <v>157</v>
      </c>
      <c r="D3558" t="s">
        <v>24</v>
      </c>
      <c r="E3558">
        <f t="shared" ca="1" si="133"/>
        <v>0.19303661408945014</v>
      </c>
      <c r="F3558">
        <f>IFERROR(VLOOKUP(H3558,ProfessionalRisk!A:I,9,0),0)</f>
        <v>842</v>
      </c>
      <c r="G3558">
        <f t="shared" ca="1" si="134"/>
        <v>163</v>
      </c>
      <c r="H3558" t="s">
        <v>710</v>
      </c>
    </row>
    <row r="3559" spans="1:8">
      <c r="A3559" t="str">
        <f t="shared" si="132"/>
        <v>خوزستانحميديه</v>
      </c>
      <c r="B3559" t="s">
        <v>132</v>
      </c>
      <c r="C3559" t="s">
        <v>158</v>
      </c>
      <c r="D3559" t="s">
        <v>24</v>
      </c>
      <c r="E3559">
        <f t="shared" ca="1" si="133"/>
        <v>2.8386125549092103E-2</v>
      </c>
      <c r="F3559">
        <f>IFERROR(VLOOKUP(H3559,ProfessionalRisk!A:I,9,0),0)</f>
        <v>466</v>
      </c>
      <c r="G3559">
        <f t="shared" ca="1" si="134"/>
        <v>13</v>
      </c>
      <c r="H3559" t="s">
        <v>722</v>
      </c>
    </row>
    <row r="3560" spans="1:8">
      <c r="A3560" t="str">
        <f t="shared" si="132"/>
        <v>خوزستانآغاجاري</v>
      </c>
      <c r="B3560" t="s">
        <v>132</v>
      </c>
      <c r="C3560" t="s">
        <v>159</v>
      </c>
      <c r="D3560" t="s">
        <v>24</v>
      </c>
      <c r="E3560">
        <f t="shared" ca="1" si="133"/>
        <v>8.6365406327594332E-2</v>
      </c>
      <c r="F3560">
        <f>IFERROR(VLOOKUP(H3560,ProfessionalRisk!A:I,9,0),0)</f>
        <v>518</v>
      </c>
      <c r="G3560">
        <f t="shared" ca="1" si="134"/>
        <v>45</v>
      </c>
      <c r="H3560" t="s">
        <v>713</v>
      </c>
    </row>
    <row r="3561" spans="1:8">
      <c r="A3561" t="str">
        <f t="shared" si="132"/>
        <v>خوزستانکارون</v>
      </c>
      <c r="B3561" t="s">
        <v>132</v>
      </c>
      <c r="C3561" t="s">
        <v>161</v>
      </c>
      <c r="D3561" t="s">
        <v>24</v>
      </c>
      <c r="E3561">
        <f t="shared" ca="1" si="133"/>
        <v>2.5564993894198931E-2</v>
      </c>
      <c r="F3561">
        <f>IFERROR(VLOOKUP(H3561,ProfessionalRisk!A:I,9,0),0)</f>
        <v>2539</v>
      </c>
      <c r="G3561">
        <f t="shared" ca="1" si="134"/>
        <v>65</v>
      </c>
      <c r="H3561" t="s">
        <v>720</v>
      </c>
    </row>
    <row r="3562" spans="1:8">
      <c r="A3562" t="str">
        <f t="shared" ref="A3562:A3625" si="135">B3562&amp;C3562</f>
        <v>فارسآباده</v>
      </c>
      <c r="B3562" t="s">
        <v>160</v>
      </c>
      <c r="C3562" t="s">
        <v>162</v>
      </c>
      <c r="D3562" t="s">
        <v>24</v>
      </c>
      <c r="E3562">
        <f t="shared" ca="1" si="133"/>
        <v>1.9997171632490908E-2</v>
      </c>
      <c r="F3562">
        <f>IFERROR(VLOOKUP(H3562,ProfessionalRisk!A:I,9,0),0)</f>
        <v>1578</v>
      </c>
      <c r="G3562">
        <f t="shared" ca="1" si="134"/>
        <v>32</v>
      </c>
      <c r="H3562" t="s">
        <v>792</v>
      </c>
    </row>
    <row r="3563" spans="1:8">
      <c r="A3563" t="str">
        <f t="shared" si="135"/>
        <v>فارساستهبان</v>
      </c>
      <c r="B3563" t="s">
        <v>160</v>
      </c>
      <c r="C3563" t="s">
        <v>163</v>
      </c>
      <c r="D3563" t="s">
        <v>24</v>
      </c>
      <c r="E3563">
        <f t="shared" ref="E3563:E3626" ca="1" si="136">IF(D3563="AP",0.6,IF(D3563="BP",0.4,RAND()*0.2))</f>
        <v>1.7586170434859241E-2</v>
      </c>
      <c r="F3563">
        <f>IFERROR(VLOOKUP(H3563,ProfessionalRisk!A:I,9,0),0)</f>
        <v>972</v>
      </c>
      <c r="G3563">
        <f t="shared" ca="1" si="134"/>
        <v>17</v>
      </c>
      <c r="H3563" t="s">
        <v>791</v>
      </c>
    </row>
    <row r="3564" spans="1:8">
      <c r="A3564" t="str">
        <f t="shared" si="135"/>
        <v>فارساقليد</v>
      </c>
      <c r="B3564" t="s">
        <v>160</v>
      </c>
      <c r="C3564" t="s">
        <v>164</v>
      </c>
      <c r="D3564" t="s">
        <v>24</v>
      </c>
      <c r="E3564">
        <f t="shared" ca="1" si="136"/>
        <v>9.8309218125108871E-2</v>
      </c>
      <c r="F3564">
        <f>IFERROR(VLOOKUP(H3564,ProfessionalRisk!A:I,9,0),0)</f>
        <v>1146</v>
      </c>
      <c r="G3564">
        <f t="shared" ca="1" si="134"/>
        <v>113</v>
      </c>
      <c r="H3564" t="s">
        <v>800</v>
      </c>
    </row>
    <row r="3565" spans="1:8">
      <c r="A3565" t="str">
        <f t="shared" si="135"/>
        <v>فارسجهرم</v>
      </c>
      <c r="B3565" t="s">
        <v>160</v>
      </c>
      <c r="C3565" t="s">
        <v>165</v>
      </c>
      <c r="D3565" t="s">
        <v>24</v>
      </c>
      <c r="E3565">
        <f t="shared" ca="1" si="136"/>
        <v>5.1749194271050181E-2</v>
      </c>
      <c r="F3565">
        <f>IFERROR(VLOOKUP(H3565,ProfessionalRisk!A:I,9,0),0)</f>
        <v>4174</v>
      </c>
      <c r="G3565">
        <f t="shared" ca="1" si="134"/>
        <v>216</v>
      </c>
      <c r="H3565" t="s">
        <v>785</v>
      </c>
    </row>
    <row r="3566" spans="1:8">
      <c r="A3566" t="str">
        <f t="shared" si="135"/>
        <v>فارسداراب</v>
      </c>
      <c r="B3566" t="s">
        <v>160</v>
      </c>
      <c r="C3566" t="s">
        <v>166</v>
      </c>
      <c r="D3566" t="s">
        <v>24</v>
      </c>
      <c r="E3566">
        <f t="shared" ca="1" si="136"/>
        <v>6.4364603312759658E-2</v>
      </c>
      <c r="F3566">
        <f>IFERROR(VLOOKUP(H3566,ProfessionalRisk!A:I,9,0),0)</f>
        <v>1943</v>
      </c>
      <c r="G3566">
        <f t="shared" ca="1" si="134"/>
        <v>125</v>
      </c>
      <c r="H3566" t="s">
        <v>793</v>
      </c>
    </row>
    <row r="3567" spans="1:8">
      <c r="A3567" t="str">
        <f t="shared" si="135"/>
        <v>فارسسپيدان</v>
      </c>
      <c r="B3567" t="s">
        <v>160</v>
      </c>
      <c r="C3567" t="s">
        <v>167</v>
      </c>
      <c r="D3567" t="s">
        <v>24</v>
      </c>
      <c r="E3567">
        <f t="shared" ca="1" si="136"/>
        <v>0.19107083778736644</v>
      </c>
      <c r="F3567">
        <f>IFERROR(VLOOKUP(H3567,ProfessionalRisk!A:I,9,0),0)</f>
        <v>1126</v>
      </c>
      <c r="G3567">
        <f t="shared" ca="1" si="134"/>
        <v>215</v>
      </c>
      <c r="H3567" t="s">
        <v>799</v>
      </c>
    </row>
    <row r="3568" spans="1:8">
      <c r="A3568" t="str">
        <f t="shared" si="135"/>
        <v>فارسشيراز</v>
      </c>
      <c r="B3568" t="s">
        <v>160</v>
      </c>
      <c r="C3568" t="s">
        <v>168</v>
      </c>
      <c r="D3568" t="s">
        <v>24</v>
      </c>
      <c r="E3568">
        <f t="shared" ca="1" si="136"/>
        <v>7.0761136790606693E-2</v>
      </c>
      <c r="F3568">
        <f>IFERROR(VLOOKUP(H3568,ProfessionalRisk!A:I,9,0),0)</f>
        <v>53026</v>
      </c>
      <c r="G3568">
        <f t="shared" ca="1" si="134"/>
        <v>3752</v>
      </c>
      <c r="H3568" t="s">
        <v>789</v>
      </c>
    </row>
    <row r="3569" spans="1:8">
      <c r="A3569" t="str">
        <f t="shared" si="135"/>
        <v>فارسفسا</v>
      </c>
      <c r="B3569" t="s">
        <v>160</v>
      </c>
      <c r="C3569" t="s">
        <v>169</v>
      </c>
      <c r="D3569" t="s">
        <v>24</v>
      </c>
      <c r="E3569">
        <f t="shared" ca="1" si="136"/>
        <v>0.17775707211817415</v>
      </c>
      <c r="F3569">
        <f>IFERROR(VLOOKUP(H3569,ProfessionalRisk!A:I,9,0),0)</f>
        <v>4282</v>
      </c>
      <c r="G3569">
        <f t="shared" ca="1" si="134"/>
        <v>761</v>
      </c>
      <c r="H3569" t="s">
        <v>801</v>
      </c>
    </row>
    <row r="3570" spans="1:8">
      <c r="A3570" t="str">
        <f t="shared" si="135"/>
        <v>فارسفيروزآباد</v>
      </c>
      <c r="B3570" t="s">
        <v>160</v>
      </c>
      <c r="C3570" t="s">
        <v>170</v>
      </c>
      <c r="D3570" t="s">
        <v>24</v>
      </c>
      <c r="E3570">
        <f t="shared" ca="1" si="136"/>
        <v>5.6217359335257737E-4</v>
      </c>
      <c r="F3570">
        <f>IFERROR(VLOOKUP(H3570,ProfessionalRisk!A:I,9,0),0)</f>
        <v>1400</v>
      </c>
      <c r="G3570">
        <f t="shared" ca="1" si="134"/>
        <v>1</v>
      </c>
      <c r="H3570" t="s">
        <v>795</v>
      </c>
    </row>
    <row r="3571" spans="1:8">
      <c r="A3571" t="str">
        <f t="shared" si="135"/>
        <v>فارسكازرون</v>
      </c>
      <c r="B3571" t="s">
        <v>160</v>
      </c>
      <c r="C3571" t="s">
        <v>171</v>
      </c>
      <c r="D3571" t="s">
        <v>24</v>
      </c>
      <c r="E3571">
        <f t="shared" ca="1" si="136"/>
        <v>0.19272912916498788</v>
      </c>
      <c r="F3571">
        <f>IFERROR(VLOOKUP(H3571,ProfessionalRisk!A:I,9,0),0)</f>
        <v>2652</v>
      </c>
      <c r="G3571">
        <f t="shared" ca="1" si="134"/>
        <v>511</v>
      </c>
      <c r="H3571" t="s">
        <v>797</v>
      </c>
    </row>
    <row r="3572" spans="1:8">
      <c r="A3572" t="str">
        <f t="shared" si="135"/>
        <v>فارسلارستان</v>
      </c>
      <c r="B3572" t="s">
        <v>160</v>
      </c>
      <c r="C3572" t="s">
        <v>172</v>
      </c>
      <c r="D3572" t="s">
        <v>24</v>
      </c>
      <c r="E3572">
        <f t="shared" ca="1" si="136"/>
        <v>4.4044219474162462E-2</v>
      </c>
      <c r="F3572">
        <f>IFERROR(VLOOKUP(H3572,ProfessionalRisk!A:I,9,0),0)</f>
        <v>1206</v>
      </c>
      <c r="G3572">
        <f t="shared" ca="1" si="134"/>
        <v>53</v>
      </c>
      <c r="H3572" t="s">
        <v>804</v>
      </c>
    </row>
    <row r="3573" spans="1:8">
      <c r="A3573" t="str">
        <f t="shared" si="135"/>
        <v>فارسمرودشت</v>
      </c>
      <c r="B3573" t="s">
        <v>160</v>
      </c>
      <c r="C3573" t="s">
        <v>173</v>
      </c>
      <c r="D3573" t="s">
        <v>24</v>
      </c>
      <c r="E3573">
        <f t="shared" ca="1" si="136"/>
        <v>8.9412628940821248E-2</v>
      </c>
      <c r="F3573">
        <f>IFERROR(VLOOKUP(H3573,ProfessionalRisk!A:I,9,0),0)</f>
        <v>3020</v>
      </c>
      <c r="G3573">
        <f t="shared" ca="1" si="134"/>
        <v>270</v>
      </c>
      <c r="H3573" t="s">
        <v>782</v>
      </c>
    </row>
    <row r="3574" spans="1:8">
      <c r="A3574" t="str">
        <f t="shared" si="135"/>
        <v>فارسممسني</v>
      </c>
      <c r="B3574" t="s">
        <v>160</v>
      </c>
      <c r="C3574" t="s">
        <v>174</v>
      </c>
      <c r="D3574" t="s">
        <v>24</v>
      </c>
      <c r="E3574">
        <f t="shared" ca="1" si="136"/>
        <v>7.5503727277055149E-2</v>
      </c>
      <c r="F3574">
        <f>IFERROR(VLOOKUP(H3574,ProfessionalRisk!A:I,9,0),0)</f>
        <v>1679</v>
      </c>
      <c r="G3574">
        <f t="shared" ca="1" si="134"/>
        <v>127</v>
      </c>
      <c r="H3574" t="s">
        <v>779</v>
      </c>
    </row>
    <row r="3575" spans="1:8">
      <c r="A3575" t="str">
        <f t="shared" si="135"/>
        <v>فارسني ريز</v>
      </c>
      <c r="B3575" t="s">
        <v>160</v>
      </c>
      <c r="C3575" t="s">
        <v>175</v>
      </c>
      <c r="D3575" t="s">
        <v>24</v>
      </c>
      <c r="E3575">
        <f t="shared" ca="1" si="136"/>
        <v>9.117886037466516E-2</v>
      </c>
      <c r="F3575">
        <f>IFERROR(VLOOKUP(H3575,ProfessionalRisk!A:I,9,0),0)</f>
        <v>600</v>
      </c>
      <c r="G3575">
        <f t="shared" ca="1" si="134"/>
        <v>55</v>
      </c>
      <c r="H3575" t="s">
        <v>794</v>
      </c>
    </row>
    <row r="3576" spans="1:8">
      <c r="A3576" t="str">
        <f t="shared" si="135"/>
        <v>فارسلامرد</v>
      </c>
      <c r="B3576" t="s">
        <v>160</v>
      </c>
      <c r="C3576" t="s">
        <v>176</v>
      </c>
      <c r="D3576" t="s">
        <v>24</v>
      </c>
      <c r="E3576">
        <f t="shared" ca="1" si="136"/>
        <v>0.15894283011414112</v>
      </c>
      <c r="F3576">
        <f>IFERROR(VLOOKUP(H3576,ProfessionalRisk!A:I,9,0),0)</f>
        <v>1899</v>
      </c>
      <c r="G3576">
        <f t="shared" ca="1" si="134"/>
        <v>302</v>
      </c>
      <c r="H3576" t="s">
        <v>805</v>
      </c>
    </row>
    <row r="3577" spans="1:8">
      <c r="A3577" t="str">
        <f t="shared" si="135"/>
        <v>فارسبوانات</v>
      </c>
      <c r="B3577" t="s">
        <v>160</v>
      </c>
      <c r="C3577" t="s">
        <v>177</v>
      </c>
      <c r="D3577" t="s">
        <v>24</v>
      </c>
      <c r="E3577">
        <f t="shared" ca="1" si="136"/>
        <v>0.14961186335959969</v>
      </c>
      <c r="F3577">
        <f>IFERROR(VLOOKUP(H3577,ProfessionalRisk!A:I,9,0),0)</f>
        <v>851</v>
      </c>
      <c r="G3577">
        <f t="shared" ca="1" si="134"/>
        <v>127</v>
      </c>
      <c r="H3577" t="s">
        <v>790</v>
      </c>
    </row>
    <row r="3578" spans="1:8">
      <c r="A3578" t="str">
        <f t="shared" si="135"/>
        <v>فارسارسنجان</v>
      </c>
      <c r="B3578" t="s">
        <v>160</v>
      </c>
      <c r="C3578" t="s">
        <v>178</v>
      </c>
      <c r="D3578" t="s">
        <v>24</v>
      </c>
      <c r="E3578">
        <f t="shared" ca="1" si="136"/>
        <v>7.5731551125010649E-2</v>
      </c>
      <c r="F3578">
        <f>IFERROR(VLOOKUP(H3578,ProfessionalRisk!A:I,9,0),0)</f>
        <v>698</v>
      </c>
      <c r="G3578">
        <f t="shared" ca="1" si="134"/>
        <v>53</v>
      </c>
      <c r="H3578" t="s">
        <v>802</v>
      </c>
    </row>
    <row r="3579" spans="1:8">
      <c r="A3579" t="str">
        <f t="shared" si="135"/>
        <v>فارسخرم بيد</v>
      </c>
      <c r="B3579" t="s">
        <v>160</v>
      </c>
      <c r="C3579" t="s">
        <v>179</v>
      </c>
      <c r="D3579" t="s">
        <v>24</v>
      </c>
      <c r="E3579">
        <f t="shared" ca="1" si="136"/>
        <v>5.0673295381600175E-2</v>
      </c>
      <c r="F3579">
        <f>IFERROR(VLOOKUP(H3579,ProfessionalRisk!A:I,9,0),0)</f>
        <v>759</v>
      </c>
      <c r="G3579">
        <f t="shared" ca="1" si="134"/>
        <v>38</v>
      </c>
      <c r="H3579" t="s">
        <v>780</v>
      </c>
    </row>
    <row r="3580" spans="1:8">
      <c r="A3580" t="str">
        <f t="shared" si="135"/>
        <v>فارسزرين دشت</v>
      </c>
      <c r="B3580" t="s">
        <v>160</v>
      </c>
      <c r="C3580" t="s">
        <v>180</v>
      </c>
      <c r="D3580" t="s">
        <v>24</v>
      </c>
      <c r="E3580">
        <f t="shared" ca="1" si="136"/>
        <v>0.11416254002793624</v>
      </c>
      <c r="F3580">
        <f>IFERROR(VLOOKUP(H3580,ProfessionalRisk!A:I,9,0),0)</f>
        <v>515</v>
      </c>
      <c r="G3580">
        <f t="shared" ca="1" si="134"/>
        <v>59</v>
      </c>
      <c r="H3580" t="s">
        <v>777</v>
      </c>
    </row>
    <row r="3581" spans="1:8">
      <c r="A3581" t="str">
        <f t="shared" si="135"/>
        <v>فارسقيروكارزين</v>
      </c>
      <c r="B3581" t="s">
        <v>160</v>
      </c>
      <c r="C3581" t="s">
        <v>181</v>
      </c>
      <c r="D3581" t="s">
        <v>24</v>
      </c>
      <c r="E3581">
        <f t="shared" ca="1" si="136"/>
        <v>0.10312985194114094</v>
      </c>
      <c r="F3581">
        <f>IFERROR(VLOOKUP(H3581,ProfessionalRisk!A:I,9,0),0)</f>
        <v>386</v>
      </c>
      <c r="G3581">
        <f t="shared" ca="1" si="134"/>
        <v>40</v>
      </c>
      <c r="H3581" t="s">
        <v>803</v>
      </c>
    </row>
    <row r="3582" spans="1:8">
      <c r="A3582" t="str">
        <f t="shared" si="135"/>
        <v>فارسمهر</v>
      </c>
      <c r="B3582" t="s">
        <v>160</v>
      </c>
      <c r="C3582" t="s">
        <v>182</v>
      </c>
      <c r="D3582" t="s">
        <v>24</v>
      </c>
      <c r="E3582">
        <f t="shared" ca="1" si="136"/>
        <v>0.13371910658329353</v>
      </c>
      <c r="F3582">
        <f>IFERROR(VLOOKUP(H3582,ProfessionalRisk!A:I,9,0),0)</f>
        <v>1007</v>
      </c>
      <c r="G3582">
        <f t="shared" ca="1" si="134"/>
        <v>135</v>
      </c>
      <c r="H3582" t="s">
        <v>778</v>
      </c>
    </row>
    <row r="3583" spans="1:8">
      <c r="A3583" t="str">
        <f t="shared" si="135"/>
        <v>فارسفراشبند</v>
      </c>
      <c r="B3583" t="s">
        <v>160</v>
      </c>
      <c r="C3583" t="s">
        <v>183</v>
      </c>
      <c r="D3583" t="s">
        <v>24</v>
      </c>
      <c r="E3583">
        <f t="shared" ca="1" si="136"/>
        <v>8.4548824759752839E-2</v>
      </c>
      <c r="F3583">
        <f>IFERROR(VLOOKUP(H3583,ProfessionalRisk!A:I,9,0),0)</f>
        <v>313</v>
      </c>
      <c r="G3583">
        <f t="shared" ca="1" si="134"/>
        <v>26</v>
      </c>
      <c r="H3583" t="s">
        <v>796</v>
      </c>
    </row>
    <row r="3584" spans="1:8">
      <c r="A3584" t="str">
        <f t="shared" si="135"/>
        <v>فارسپاسارگاد</v>
      </c>
      <c r="B3584" t="s">
        <v>160</v>
      </c>
      <c r="C3584" t="s">
        <v>184</v>
      </c>
      <c r="D3584" t="s">
        <v>24</v>
      </c>
      <c r="E3584">
        <f t="shared" ca="1" si="136"/>
        <v>8.1084743427072448E-2</v>
      </c>
      <c r="F3584">
        <f>IFERROR(VLOOKUP(H3584,ProfessionalRisk!A:I,9,0),0)</f>
        <v>730</v>
      </c>
      <c r="G3584">
        <f t="shared" ca="1" si="134"/>
        <v>59</v>
      </c>
      <c r="H3584" t="s">
        <v>798</v>
      </c>
    </row>
    <row r="3585" spans="1:8">
      <c r="A3585" t="str">
        <f t="shared" si="135"/>
        <v>فارسخنج</v>
      </c>
      <c r="B3585" t="s">
        <v>160</v>
      </c>
      <c r="C3585" t="s">
        <v>185</v>
      </c>
      <c r="D3585" t="s">
        <v>24</v>
      </c>
      <c r="E3585">
        <f t="shared" ca="1" si="136"/>
        <v>0.15322404956943209</v>
      </c>
      <c r="F3585">
        <f>IFERROR(VLOOKUP(H3585,ProfessionalRisk!A:I,9,0),0)</f>
        <v>508</v>
      </c>
      <c r="G3585">
        <f t="shared" ca="1" si="134"/>
        <v>78</v>
      </c>
      <c r="H3585" t="s">
        <v>783</v>
      </c>
    </row>
    <row r="3586" spans="1:8">
      <c r="A3586" t="str">
        <f t="shared" si="135"/>
        <v>فارسسروستان</v>
      </c>
      <c r="B3586" t="s">
        <v>160</v>
      </c>
      <c r="C3586" t="s">
        <v>186</v>
      </c>
      <c r="D3586" t="s">
        <v>24</v>
      </c>
      <c r="E3586">
        <f t="shared" ca="1" si="136"/>
        <v>0.19221019304970557</v>
      </c>
      <c r="F3586">
        <f>IFERROR(VLOOKUP(H3586,ProfessionalRisk!A:I,9,0),0)</f>
        <v>639</v>
      </c>
      <c r="G3586">
        <f t="shared" ca="1" si="134"/>
        <v>123</v>
      </c>
      <c r="H3586" t="s">
        <v>786</v>
      </c>
    </row>
    <row r="3587" spans="1:8">
      <c r="A3587" t="str">
        <f t="shared" si="135"/>
        <v>فارسرستم</v>
      </c>
      <c r="B3587" t="s">
        <v>160</v>
      </c>
      <c r="C3587" t="s">
        <v>187</v>
      </c>
      <c r="D3587" t="s">
        <v>24</v>
      </c>
      <c r="E3587">
        <f t="shared" ca="1" si="136"/>
        <v>0.15862619708802084</v>
      </c>
      <c r="F3587">
        <f>IFERROR(VLOOKUP(H3587,ProfessionalRisk!A:I,9,0),0)</f>
        <v>343</v>
      </c>
      <c r="G3587">
        <f t="shared" ref="G3587:G3650" ca="1" si="137">IFERROR(ROUND(F3587*E3587,0),0)</f>
        <v>54</v>
      </c>
      <c r="H3587" t="s">
        <v>788</v>
      </c>
    </row>
    <row r="3588" spans="1:8">
      <c r="A3588" t="str">
        <f t="shared" si="135"/>
        <v>فارسگراش</v>
      </c>
      <c r="B3588" t="s">
        <v>160</v>
      </c>
      <c r="C3588" t="s">
        <v>188</v>
      </c>
      <c r="D3588" t="s">
        <v>24</v>
      </c>
      <c r="E3588">
        <f t="shared" ca="1" si="136"/>
        <v>4.0515493752243175E-3</v>
      </c>
      <c r="F3588">
        <f>IFERROR(VLOOKUP(H3588,ProfessionalRisk!A:I,9,0),0)</f>
        <v>2322</v>
      </c>
      <c r="G3588">
        <f t="shared" ca="1" si="137"/>
        <v>9</v>
      </c>
      <c r="H3588" t="s">
        <v>781</v>
      </c>
    </row>
    <row r="3589" spans="1:8">
      <c r="A3589" t="str">
        <f t="shared" si="135"/>
        <v>فارسكوار</v>
      </c>
      <c r="B3589" t="s">
        <v>160</v>
      </c>
      <c r="C3589" t="s">
        <v>189</v>
      </c>
      <c r="D3589" t="s">
        <v>24</v>
      </c>
      <c r="E3589">
        <f t="shared" ca="1" si="136"/>
        <v>1.3609996104148238E-2</v>
      </c>
      <c r="F3589">
        <f>IFERROR(VLOOKUP(H3589,ProfessionalRisk!A:I,9,0),0)</f>
        <v>1068</v>
      </c>
      <c r="G3589">
        <f t="shared" ca="1" si="137"/>
        <v>15</v>
      </c>
      <c r="H3589" t="s">
        <v>787</v>
      </c>
    </row>
    <row r="3590" spans="1:8">
      <c r="A3590" t="str">
        <f t="shared" si="135"/>
        <v>فارسخرامه</v>
      </c>
      <c r="B3590" t="s">
        <v>160</v>
      </c>
      <c r="C3590" t="s">
        <v>191</v>
      </c>
      <c r="D3590" t="s">
        <v>24</v>
      </c>
      <c r="E3590">
        <f t="shared" ca="1" si="136"/>
        <v>0.10805537140237564</v>
      </c>
      <c r="F3590">
        <f>IFERROR(VLOOKUP(H3590,ProfessionalRisk!A:I,9,0),0)</f>
        <v>910</v>
      </c>
      <c r="G3590">
        <f t="shared" ca="1" si="137"/>
        <v>98</v>
      </c>
      <c r="H3590" t="s">
        <v>784</v>
      </c>
    </row>
    <row r="3591" spans="1:8">
      <c r="A3591" t="str">
        <f t="shared" si="135"/>
        <v>كرمانبافت</v>
      </c>
      <c r="B3591" t="s">
        <v>190</v>
      </c>
      <c r="C3591" t="s">
        <v>192</v>
      </c>
      <c r="D3591" t="s">
        <v>24</v>
      </c>
      <c r="E3591">
        <f t="shared" ca="1" si="136"/>
        <v>0.1324814304601897</v>
      </c>
      <c r="F3591">
        <f>IFERROR(VLOOKUP(H3591,ProfessionalRisk!A:I,9,0),0)</f>
        <v>1261</v>
      </c>
      <c r="G3591">
        <f t="shared" ca="1" si="137"/>
        <v>167</v>
      </c>
      <c r="H3591" t="s">
        <v>931</v>
      </c>
    </row>
    <row r="3592" spans="1:8">
      <c r="A3592" t="str">
        <f t="shared" si="135"/>
        <v>كرمانبم</v>
      </c>
      <c r="B3592" t="s">
        <v>190</v>
      </c>
      <c r="C3592" t="s">
        <v>193</v>
      </c>
      <c r="D3592" t="s">
        <v>24</v>
      </c>
      <c r="E3592">
        <f t="shared" ca="1" si="136"/>
        <v>3.326760880539701E-2</v>
      </c>
      <c r="F3592">
        <f>IFERROR(VLOOKUP(H3592,ProfessionalRisk!A:I,9,0),0)</f>
        <v>2654</v>
      </c>
      <c r="G3592">
        <f t="shared" ca="1" si="137"/>
        <v>88</v>
      </c>
      <c r="H3592" t="s">
        <v>925</v>
      </c>
    </row>
    <row r="3593" spans="1:8">
      <c r="A3593" t="str">
        <f t="shared" si="135"/>
        <v>كرمانجيرفت</v>
      </c>
      <c r="B3593" t="s">
        <v>190</v>
      </c>
      <c r="C3593" t="s">
        <v>194</v>
      </c>
      <c r="D3593" t="s">
        <v>24</v>
      </c>
      <c r="E3593">
        <f t="shared" ca="1" si="136"/>
        <v>0.16189041395027987</v>
      </c>
      <c r="F3593">
        <f>IFERROR(VLOOKUP(H3593,ProfessionalRisk!A:I,9,0),0)</f>
        <v>4073</v>
      </c>
      <c r="G3593">
        <f t="shared" ca="1" si="137"/>
        <v>659</v>
      </c>
      <c r="H3593" t="s">
        <v>921</v>
      </c>
    </row>
    <row r="3594" spans="1:8">
      <c r="A3594" t="str">
        <f t="shared" si="135"/>
        <v>كرمانرفسنجان</v>
      </c>
      <c r="B3594" t="s">
        <v>190</v>
      </c>
      <c r="C3594" t="s">
        <v>195</v>
      </c>
      <c r="D3594" t="s">
        <v>24</v>
      </c>
      <c r="E3594">
        <f t="shared" ca="1" si="136"/>
        <v>1.322898901899301E-2</v>
      </c>
      <c r="F3594">
        <f>IFERROR(VLOOKUP(H3594,ProfessionalRisk!A:I,9,0),0)</f>
        <v>4851</v>
      </c>
      <c r="G3594">
        <f t="shared" ca="1" si="137"/>
        <v>64</v>
      </c>
      <c r="H3594" t="s">
        <v>917</v>
      </c>
    </row>
    <row r="3595" spans="1:8">
      <c r="A3595" t="str">
        <f t="shared" si="135"/>
        <v>كرمانزرند</v>
      </c>
      <c r="B3595" t="s">
        <v>190</v>
      </c>
      <c r="C3595" t="s">
        <v>196</v>
      </c>
      <c r="D3595" t="s">
        <v>24</v>
      </c>
      <c r="E3595">
        <f t="shared" ca="1" si="136"/>
        <v>0.19876750180871905</v>
      </c>
      <c r="F3595">
        <f>IFERROR(VLOOKUP(H3595,ProfessionalRisk!A:I,9,0),0)</f>
        <v>1949</v>
      </c>
      <c r="G3595">
        <f t="shared" ca="1" si="137"/>
        <v>387</v>
      </c>
      <c r="H3595" t="s">
        <v>923</v>
      </c>
    </row>
    <row r="3596" spans="1:8">
      <c r="A3596" t="str">
        <f t="shared" si="135"/>
        <v>كرمانسيرجان</v>
      </c>
      <c r="B3596" t="s">
        <v>190</v>
      </c>
      <c r="C3596" t="s">
        <v>197</v>
      </c>
      <c r="D3596" t="s">
        <v>24</v>
      </c>
      <c r="E3596">
        <f t="shared" ca="1" si="136"/>
        <v>2.7216231919994185E-2</v>
      </c>
      <c r="F3596">
        <f>IFERROR(VLOOKUP(H3596,ProfessionalRisk!A:I,9,0),0)</f>
        <v>3728</v>
      </c>
      <c r="G3596">
        <f t="shared" ca="1" si="137"/>
        <v>101</v>
      </c>
      <c r="H3596" t="s">
        <v>928</v>
      </c>
    </row>
    <row r="3597" spans="1:8">
      <c r="A3597" t="str">
        <f t="shared" si="135"/>
        <v>كرمانشهربابك</v>
      </c>
      <c r="B3597" t="s">
        <v>190</v>
      </c>
      <c r="C3597" t="s">
        <v>198</v>
      </c>
      <c r="D3597" t="s">
        <v>24</v>
      </c>
      <c r="E3597">
        <f t="shared" ca="1" si="136"/>
        <v>0.17852724073996296</v>
      </c>
      <c r="F3597">
        <f>IFERROR(VLOOKUP(H3597,ProfessionalRisk!A:I,9,0),0)</f>
        <v>1102</v>
      </c>
      <c r="G3597">
        <f t="shared" ca="1" si="137"/>
        <v>197</v>
      </c>
      <c r="H3597" t="s">
        <v>930</v>
      </c>
    </row>
    <row r="3598" spans="1:8">
      <c r="A3598" t="str">
        <f t="shared" si="135"/>
        <v>كرمانكرمان</v>
      </c>
      <c r="B3598" t="s">
        <v>190</v>
      </c>
      <c r="C3598" t="s">
        <v>190</v>
      </c>
      <c r="D3598" t="s">
        <v>24</v>
      </c>
      <c r="E3598">
        <f t="shared" ca="1" si="136"/>
        <v>0.14813048862079967</v>
      </c>
      <c r="F3598">
        <f>IFERROR(VLOOKUP(H3598,ProfessionalRisk!A:I,9,0),0)</f>
        <v>20991</v>
      </c>
      <c r="G3598">
        <f t="shared" ca="1" si="137"/>
        <v>3109</v>
      </c>
      <c r="H3598" t="s">
        <v>926</v>
      </c>
    </row>
    <row r="3599" spans="1:8">
      <c r="A3599" t="str">
        <f t="shared" si="135"/>
        <v>كرمانكهنوج</v>
      </c>
      <c r="B3599" t="s">
        <v>190</v>
      </c>
      <c r="C3599" t="s">
        <v>199</v>
      </c>
      <c r="D3599" t="s">
        <v>24</v>
      </c>
      <c r="E3599">
        <f t="shared" ca="1" si="136"/>
        <v>0.13879193977372545</v>
      </c>
      <c r="F3599">
        <f>IFERROR(VLOOKUP(H3599,ProfessionalRisk!A:I,9,0),0)</f>
        <v>1034</v>
      </c>
      <c r="G3599">
        <f t="shared" ca="1" si="137"/>
        <v>144</v>
      </c>
      <c r="H3599" t="s">
        <v>932</v>
      </c>
    </row>
    <row r="3600" spans="1:8">
      <c r="A3600" t="str">
        <f t="shared" si="135"/>
        <v>كرمانبردسير</v>
      </c>
      <c r="B3600" t="s">
        <v>190</v>
      </c>
      <c r="C3600" t="s">
        <v>200</v>
      </c>
      <c r="D3600" t="s">
        <v>24</v>
      </c>
      <c r="E3600">
        <f t="shared" ca="1" si="136"/>
        <v>0.1004580148901254</v>
      </c>
      <c r="F3600">
        <f>IFERROR(VLOOKUP(H3600,ProfessionalRisk!A:I,9,0),0)</f>
        <v>1348</v>
      </c>
      <c r="G3600">
        <f t="shared" ca="1" si="137"/>
        <v>135</v>
      </c>
      <c r="H3600" t="s">
        <v>915</v>
      </c>
    </row>
    <row r="3601" spans="1:8">
      <c r="A3601" t="str">
        <f t="shared" si="135"/>
        <v>كرمانراور</v>
      </c>
      <c r="B3601" t="s">
        <v>190</v>
      </c>
      <c r="C3601" t="s">
        <v>201</v>
      </c>
      <c r="D3601" t="s">
        <v>24</v>
      </c>
      <c r="E3601">
        <f t="shared" ca="1" si="136"/>
        <v>4.9730164204722677E-2</v>
      </c>
      <c r="F3601">
        <f>IFERROR(VLOOKUP(H3601,ProfessionalRisk!A:I,9,0),0)</f>
        <v>715</v>
      </c>
      <c r="G3601">
        <f t="shared" ca="1" si="137"/>
        <v>36</v>
      </c>
      <c r="H3601" t="s">
        <v>929</v>
      </c>
    </row>
    <row r="3602" spans="1:8">
      <c r="A3602" t="str">
        <f t="shared" si="135"/>
        <v>كرمانعنبرآباد</v>
      </c>
      <c r="B3602" t="s">
        <v>190</v>
      </c>
      <c r="C3602" t="s">
        <v>202</v>
      </c>
      <c r="D3602" t="s">
        <v>24</v>
      </c>
      <c r="E3602">
        <f t="shared" ca="1" si="136"/>
        <v>0.13766659817552016</v>
      </c>
      <c r="F3602">
        <f>IFERROR(VLOOKUP(H3602,ProfessionalRisk!A:I,9,0),0)</f>
        <v>481</v>
      </c>
      <c r="G3602">
        <f t="shared" ca="1" si="137"/>
        <v>66</v>
      </c>
      <c r="H3602" t="s">
        <v>910</v>
      </c>
    </row>
    <row r="3603" spans="1:8">
      <c r="A3603" t="str">
        <f t="shared" si="135"/>
        <v>كرمانمنوجان</v>
      </c>
      <c r="B3603" t="s">
        <v>190</v>
      </c>
      <c r="C3603" t="s">
        <v>203</v>
      </c>
      <c r="D3603" t="s">
        <v>24</v>
      </c>
      <c r="E3603">
        <f t="shared" ca="1" si="136"/>
        <v>5.6764609148762094E-2</v>
      </c>
      <c r="F3603">
        <f>IFERROR(VLOOKUP(H3603,ProfessionalRisk!A:I,9,0),0)</f>
        <v>566</v>
      </c>
      <c r="G3603">
        <f t="shared" ca="1" si="137"/>
        <v>32</v>
      </c>
      <c r="H3603" t="s">
        <v>916</v>
      </c>
    </row>
    <row r="3604" spans="1:8">
      <c r="A3604" t="str">
        <f t="shared" si="135"/>
        <v>كرمانكوهبنان</v>
      </c>
      <c r="B3604" t="s">
        <v>190</v>
      </c>
      <c r="C3604" t="s">
        <v>204</v>
      </c>
      <c r="D3604" t="s">
        <v>24</v>
      </c>
      <c r="E3604">
        <f t="shared" ca="1" si="136"/>
        <v>1.7717367495246439E-2</v>
      </c>
      <c r="F3604">
        <f>IFERROR(VLOOKUP(H3604,ProfessionalRisk!A:I,9,0),0)</f>
        <v>279</v>
      </c>
      <c r="G3604">
        <f t="shared" ca="1" si="137"/>
        <v>5</v>
      </c>
      <c r="H3604" t="s">
        <v>912</v>
      </c>
    </row>
    <row r="3605" spans="1:8">
      <c r="A3605" t="str">
        <f t="shared" si="135"/>
        <v>كرمانرودبارجنوب</v>
      </c>
      <c r="B3605" t="s">
        <v>190</v>
      </c>
      <c r="C3605" t="s">
        <v>205</v>
      </c>
      <c r="D3605" t="s">
        <v>24</v>
      </c>
      <c r="E3605">
        <f t="shared" ca="1" si="136"/>
        <v>0.15717373558920197</v>
      </c>
      <c r="F3605">
        <f>IFERROR(VLOOKUP(H3605,ProfessionalRisk!A:I,9,0),0)</f>
        <v>368</v>
      </c>
      <c r="G3605">
        <f t="shared" ca="1" si="137"/>
        <v>58</v>
      </c>
      <c r="H3605" t="s">
        <v>919</v>
      </c>
    </row>
    <row r="3606" spans="1:8">
      <c r="A3606" t="str">
        <f t="shared" si="135"/>
        <v>كرمانقلعه گنج</v>
      </c>
      <c r="B3606" t="s">
        <v>190</v>
      </c>
      <c r="C3606" t="s">
        <v>206</v>
      </c>
      <c r="D3606" t="s">
        <v>24</v>
      </c>
      <c r="E3606">
        <f t="shared" ca="1" si="136"/>
        <v>3.7147824842407265E-2</v>
      </c>
      <c r="F3606">
        <f>IFERROR(VLOOKUP(H3606,ProfessionalRisk!A:I,9,0),0)</f>
        <v>543</v>
      </c>
      <c r="G3606">
        <f t="shared" ca="1" si="137"/>
        <v>20</v>
      </c>
      <c r="H3606" t="s">
        <v>914</v>
      </c>
    </row>
    <row r="3607" spans="1:8">
      <c r="A3607" t="str">
        <f t="shared" si="135"/>
        <v>كرمانريگان</v>
      </c>
      <c r="B3607" t="s">
        <v>190</v>
      </c>
      <c r="C3607" t="s">
        <v>207</v>
      </c>
      <c r="D3607" t="s">
        <v>24</v>
      </c>
      <c r="E3607">
        <f t="shared" ca="1" si="136"/>
        <v>0.16310092873483767</v>
      </c>
      <c r="F3607">
        <f>IFERROR(VLOOKUP(H3607,ProfessionalRisk!A:I,9,0),0)</f>
        <v>378</v>
      </c>
      <c r="G3607">
        <f t="shared" ca="1" si="137"/>
        <v>62</v>
      </c>
      <c r="H3607" t="s">
        <v>918</v>
      </c>
    </row>
    <row r="3608" spans="1:8">
      <c r="A3608" t="str">
        <f t="shared" si="135"/>
        <v>كرمانرابر</v>
      </c>
      <c r="B3608" t="s">
        <v>190</v>
      </c>
      <c r="C3608" t="s">
        <v>208</v>
      </c>
      <c r="D3608" t="s">
        <v>24</v>
      </c>
      <c r="E3608">
        <f t="shared" ca="1" si="136"/>
        <v>7.6916611617938557E-2</v>
      </c>
      <c r="F3608">
        <f>IFERROR(VLOOKUP(H3608,ProfessionalRisk!A:I,9,0),0)</f>
        <v>320</v>
      </c>
      <c r="G3608">
        <f t="shared" ca="1" si="137"/>
        <v>25</v>
      </c>
      <c r="H3608" t="s">
        <v>924</v>
      </c>
    </row>
    <row r="3609" spans="1:8">
      <c r="A3609" t="str">
        <f t="shared" si="135"/>
        <v>كرمانفهرج</v>
      </c>
      <c r="B3609" t="s">
        <v>190</v>
      </c>
      <c r="C3609" t="s">
        <v>209</v>
      </c>
      <c r="D3609" t="s">
        <v>24</v>
      </c>
      <c r="E3609">
        <f t="shared" ca="1" si="136"/>
        <v>6.0292816265217208E-2</v>
      </c>
      <c r="F3609">
        <f>IFERROR(VLOOKUP(H3609,ProfessionalRisk!A:I,9,0),0)</f>
        <v>265</v>
      </c>
      <c r="G3609">
        <f t="shared" ca="1" si="137"/>
        <v>16</v>
      </c>
      <c r="H3609" t="s">
        <v>920</v>
      </c>
    </row>
    <row r="3610" spans="1:8">
      <c r="A3610" t="str">
        <f t="shared" si="135"/>
        <v>كرمانانار</v>
      </c>
      <c r="B3610" t="s">
        <v>190</v>
      </c>
      <c r="C3610" t="s">
        <v>210</v>
      </c>
      <c r="D3610" t="s">
        <v>24</v>
      </c>
      <c r="E3610">
        <f t="shared" ca="1" si="136"/>
        <v>4.2374274591398156E-2</v>
      </c>
      <c r="F3610">
        <f>IFERROR(VLOOKUP(H3610,ProfessionalRisk!A:I,9,0),0)</f>
        <v>487</v>
      </c>
      <c r="G3610">
        <f t="shared" ca="1" si="137"/>
        <v>21</v>
      </c>
      <c r="H3610" t="s">
        <v>913</v>
      </c>
    </row>
    <row r="3611" spans="1:8">
      <c r="A3611" t="str">
        <f t="shared" si="135"/>
        <v>كرماننرماشير</v>
      </c>
      <c r="B3611" t="s">
        <v>190</v>
      </c>
      <c r="C3611" t="s">
        <v>211</v>
      </c>
      <c r="D3611" t="s">
        <v>24</v>
      </c>
      <c r="E3611">
        <f t="shared" ca="1" si="136"/>
        <v>0.10410991994134376</v>
      </c>
      <c r="F3611">
        <f>IFERROR(VLOOKUP(H3611,ProfessionalRisk!A:I,9,0),0)</f>
        <v>426</v>
      </c>
      <c r="G3611">
        <f t="shared" ca="1" si="137"/>
        <v>44</v>
      </c>
      <c r="H3611" t="s">
        <v>927</v>
      </c>
    </row>
    <row r="3612" spans="1:8">
      <c r="A3612" t="str">
        <f t="shared" si="135"/>
        <v>كرمانفارياب</v>
      </c>
      <c r="B3612" t="s">
        <v>190</v>
      </c>
      <c r="C3612" t="s">
        <v>212</v>
      </c>
      <c r="D3612" t="s">
        <v>24</v>
      </c>
      <c r="E3612">
        <f t="shared" ca="1" si="136"/>
        <v>0.11369001298398917</v>
      </c>
      <c r="F3612">
        <f>IFERROR(VLOOKUP(H3612,ProfessionalRisk!A:I,9,0),0)</f>
        <v>151</v>
      </c>
      <c r="G3612">
        <f t="shared" ca="1" si="137"/>
        <v>17</v>
      </c>
      <c r="H3612" t="s">
        <v>922</v>
      </c>
    </row>
    <row r="3613" spans="1:8">
      <c r="A3613" t="str">
        <f t="shared" si="135"/>
        <v>كرمانارزوئيه</v>
      </c>
      <c r="B3613" t="s">
        <v>190</v>
      </c>
      <c r="C3613" t="s">
        <v>214</v>
      </c>
      <c r="D3613" t="s">
        <v>24</v>
      </c>
      <c r="E3613">
        <f t="shared" ca="1" si="136"/>
        <v>0.1743182612905162</v>
      </c>
      <c r="F3613">
        <f>IFERROR(VLOOKUP(H3613,ProfessionalRisk!A:I,9,0),0)</f>
        <v>481</v>
      </c>
      <c r="G3613">
        <f t="shared" ca="1" si="137"/>
        <v>84</v>
      </c>
      <c r="H3613" t="s">
        <v>933</v>
      </c>
    </row>
    <row r="3614" spans="1:8">
      <c r="A3614" t="str">
        <f t="shared" si="135"/>
        <v>خراسان رضوئتايباد</v>
      </c>
      <c r="B3614" t="s">
        <v>213</v>
      </c>
      <c r="C3614" t="s">
        <v>215</v>
      </c>
      <c r="D3614" t="s">
        <v>24</v>
      </c>
      <c r="E3614">
        <f t="shared" ca="1" si="136"/>
        <v>3.3786624710415915E-2</v>
      </c>
      <c r="F3614">
        <f>IFERROR(VLOOKUP(H3614,ProfessionalRisk!A:I,9,0),0)</f>
        <v>2213</v>
      </c>
      <c r="G3614">
        <f t="shared" ca="1" si="137"/>
        <v>75</v>
      </c>
      <c r="H3614" t="s">
        <v>674</v>
      </c>
    </row>
    <row r="3615" spans="1:8">
      <c r="A3615" t="str">
        <f t="shared" si="135"/>
        <v>خراسان رضوئتربت حيدریه</v>
      </c>
      <c r="B3615" t="s">
        <v>213</v>
      </c>
      <c r="C3615" t="s">
        <v>216</v>
      </c>
      <c r="D3615" t="s">
        <v>24</v>
      </c>
      <c r="E3615">
        <f t="shared" ca="1" si="136"/>
        <v>8.4800026788671379E-2</v>
      </c>
      <c r="F3615">
        <f>IFERROR(VLOOKUP(H3615,ProfessionalRisk!A:I,9,0),0)</f>
        <v>944</v>
      </c>
      <c r="G3615">
        <f t="shared" ca="1" si="137"/>
        <v>80</v>
      </c>
      <c r="H3615" t="s">
        <v>677</v>
      </c>
    </row>
    <row r="3616" spans="1:8">
      <c r="A3616" t="str">
        <f t="shared" si="135"/>
        <v>خراسان رضوئتربت جام</v>
      </c>
      <c r="B3616" t="s">
        <v>213</v>
      </c>
      <c r="C3616" t="s">
        <v>217</v>
      </c>
      <c r="D3616" t="s">
        <v>24</v>
      </c>
      <c r="E3616">
        <f t="shared" ca="1" si="136"/>
        <v>0.14004915727111142</v>
      </c>
      <c r="F3616">
        <f>IFERROR(VLOOKUP(H3616,ProfessionalRisk!A:I,9,0),0)</f>
        <v>1504</v>
      </c>
      <c r="G3616">
        <f t="shared" ca="1" si="137"/>
        <v>211</v>
      </c>
      <c r="H3616" t="s">
        <v>670</v>
      </c>
    </row>
    <row r="3617" spans="1:8">
      <c r="A3617" t="str">
        <f t="shared" si="135"/>
        <v>خراسان رضوئدرگز</v>
      </c>
      <c r="B3617" t="s">
        <v>213</v>
      </c>
      <c r="C3617" t="s">
        <v>218</v>
      </c>
      <c r="D3617" t="s">
        <v>24</v>
      </c>
      <c r="E3617">
        <f t="shared" ca="1" si="136"/>
        <v>7.1080083657070595E-2</v>
      </c>
      <c r="F3617">
        <f>IFERROR(VLOOKUP(H3617,ProfessionalRisk!A:I,9,0),0)</f>
        <v>1058</v>
      </c>
      <c r="G3617">
        <f t="shared" ca="1" si="137"/>
        <v>75</v>
      </c>
      <c r="H3617" t="s">
        <v>682</v>
      </c>
    </row>
    <row r="3618" spans="1:8">
      <c r="A3618" t="str">
        <f t="shared" si="135"/>
        <v>خراسان رضوئسبزوار</v>
      </c>
      <c r="B3618" t="s">
        <v>213</v>
      </c>
      <c r="C3618" t="s">
        <v>219</v>
      </c>
      <c r="D3618" t="s">
        <v>24</v>
      </c>
      <c r="E3618">
        <f t="shared" ca="1" si="136"/>
        <v>5.6838881055463357E-2</v>
      </c>
      <c r="F3618">
        <f>IFERROR(VLOOKUP(H3618,ProfessionalRisk!A:I,9,0),0)</f>
        <v>5447</v>
      </c>
      <c r="G3618">
        <f t="shared" ca="1" si="137"/>
        <v>310</v>
      </c>
      <c r="H3618" t="s">
        <v>688</v>
      </c>
    </row>
    <row r="3619" spans="1:8">
      <c r="A3619" t="str">
        <f t="shared" si="135"/>
        <v>خراسان رضوئقوچان</v>
      </c>
      <c r="B3619" t="s">
        <v>213</v>
      </c>
      <c r="C3619" t="s">
        <v>220</v>
      </c>
      <c r="D3619" t="s">
        <v>24</v>
      </c>
      <c r="E3619">
        <f t="shared" ca="1" si="136"/>
        <v>5.645572015527589E-2</v>
      </c>
      <c r="F3619">
        <f>IFERROR(VLOOKUP(H3619,ProfessionalRisk!A:I,9,0),0)</f>
        <v>2342</v>
      </c>
      <c r="G3619">
        <f t="shared" ca="1" si="137"/>
        <v>132</v>
      </c>
      <c r="H3619" t="s">
        <v>683</v>
      </c>
    </row>
    <row r="3620" spans="1:8">
      <c r="A3620" t="str">
        <f t="shared" si="135"/>
        <v>خراسان رضوئكاشمر</v>
      </c>
      <c r="B3620" t="s">
        <v>213</v>
      </c>
      <c r="C3620" t="s">
        <v>221</v>
      </c>
      <c r="D3620" t="s">
        <v>24</v>
      </c>
      <c r="E3620">
        <f t="shared" ca="1" si="136"/>
        <v>0.13888541559713827</v>
      </c>
      <c r="F3620">
        <f>IFERROR(VLOOKUP(H3620,ProfessionalRisk!A:I,9,0),0)</f>
        <v>2329</v>
      </c>
      <c r="G3620">
        <f t="shared" ca="1" si="137"/>
        <v>323</v>
      </c>
      <c r="H3620" t="s">
        <v>675</v>
      </c>
    </row>
    <row r="3621" spans="1:8">
      <c r="A3621" t="str">
        <f t="shared" si="135"/>
        <v>خراسان رضوئگناباد</v>
      </c>
      <c r="B3621" t="s">
        <v>213</v>
      </c>
      <c r="C3621" t="s">
        <v>222</v>
      </c>
      <c r="D3621" t="s">
        <v>24</v>
      </c>
      <c r="E3621">
        <f t="shared" ca="1" si="136"/>
        <v>0.10820421352384063</v>
      </c>
      <c r="F3621">
        <f>IFERROR(VLOOKUP(H3621,ProfessionalRisk!A:I,9,0),0)</f>
        <v>1919</v>
      </c>
      <c r="G3621">
        <f t="shared" ca="1" si="137"/>
        <v>208</v>
      </c>
      <c r="H3621" t="s">
        <v>690</v>
      </c>
    </row>
    <row r="3622" spans="1:8">
      <c r="A3622" t="str">
        <f t="shared" si="135"/>
        <v>خراسان رضوئمشهد</v>
      </c>
      <c r="B3622" t="s">
        <v>213</v>
      </c>
      <c r="C3622" t="s">
        <v>223</v>
      </c>
      <c r="D3622" t="s">
        <v>24</v>
      </c>
      <c r="E3622">
        <f t="shared" ca="1" si="136"/>
        <v>7.0463371694068688E-2</v>
      </c>
      <c r="F3622">
        <f>IFERROR(VLOOKUP(H3622,ProfessionalRisk!A:I,9,0),0)</f>
        <v>64758</v>
      </c>
      <c r="G3622">
        <f t="shared" ca="1" si="137"/>
        <v>4563</v>
      </c>
      <c r="H3622" t="s">
        <v>665</v>
      </c>
    </row>
    <row r="3623" spans="1:8">
      <c r="A3623" t="str">
        <f t="shared" si="135"/>
        <v>خراسان رضوئنيشابور</v>
      </c>
      <c r="B3623" t="s">
        <v>213</v>
      </c>
      <c r="C3623" t="s">
        <v>224</v>
      </c>
      <c r="D3623" t="s">
        <v>24</v>
      </c>
      <c r="E3623">
        <f t="shared" ca="1" si="136"/>
        <v>3.5728230924851223E-2</v>
      </c>
      <c r="F3623">
        <f>IFERROR(VLOOKUP(H3623,ProfessionalRisk!A:I,9,0),0)</f>
        <v>5469</v>
      </c>
      <c r="G3623">
        <f t="shared" ca="1" si="137"/>
        <v>195</v>
      </c>
      <c r="H3623" t="s">
        <v>695</v>
      </c>
    </row>
    <row r="3624" spans="1:8">
      <c r="A3624" t="str">
        <f t="shared" si="135"/>
        <v>خراسان رضوئچناران</v>
      </c>
      <c r="B3624" t="s">
        <v>213</v>
      </c>
      <c r="C3624" t="s">
        <v>225</v>
      </c>
      <c r="D3624" t="s">
        <v>24</v>
      </c>
      <c r="E3624">
        <f t="shared" ca="1" si="136"/>
        <v>0.14359114398299463</v>
      </c>
      <c r="F3624">
        <f>IFERROR(VLOOKUP(H3624,ProfessionalRisk!A:I,9,0),0)</f>
        <v>1784</v>
      </c>
      <c r="G3624">
        <f t="shared" ca="1" si="137"/>
        <v>256</v>
      </c>
      <c r="H3624" t="s">
        <v>676</v>
      </c>
    </row>
    <row r="3625" spans="1:8">
      <c r="A3625" t="str">
        <f t="shared" si="135"/>
        <v>خراسان رضوئخواف</v>
      </c>
      <c r="B3625" t="s">
        <v>213</v>
      </c>
      <c r="C3625" t="s">
        <v>226</v>
      </c>
      <c r="D3625" t="s">
        <v>24</v>
      </c>
      <c r="E3625">
        <f t="shared" ca="1" si="136"/>
        <v>3.2664469784648813E-2</v>
      </c>
      <c r="F3625">
        <f>IFERROR(VLOOKUP(H3625,ProfessionalRisk!A:I,9,0),0)</f>
        <v>2941</v>
      </c>
      <c r="G3625">
        <f t="shared" ca="1" si="137"/>
        <v>96</v>
      </c>
      <c r="H3625" t="s">
        <v>686</v>
      </c>
    </row>
    <row r="3626" spans="1:8">
      <c r="A3626" t="str">
        <f t="shared" ref="A3626:A3689" si="138">B3626&amp;C3626</f>
        <v>خراسان رضوئسرخس</v>
      </c>
      <c r="B3626" t="s">
        <v>213</v>
      </c>
      <c r="C3626" t="s">
        <v>227</v>
      </c>
      <c r="D3626" t="s">
        <v>24</v>
      </c>
      <c r="E3626">
        <f t="shared" ca="1" si="136"/>
        <v>0.1783909519803715</v>
      </c>
      <c r="F3626">
        <f>IFERROR(VLOOKUP(H3626,ProfessionalRisk!A:I,9,0),0)</f>
        <v>1326</v>
      </c>
      <c r="G3626">
        <f t="shared" ca="1" si="137"/>
        <v>237</v>
      </c>
      <c r="H3626" t="s">
        <v>672</v>
      </c>
    </row>
    <row r="3627" spans="1:8">
      <c r="A3627" t="str">
        <f t="shared" si="138"/>
        <v>خراسان رضوئفريمان</v>
      </c>
      <c r="B3627" t="s">
        <v>213</v>
      </c>
      <c r="C3627" t="s">
        <v>228</v>
      </c>
      <c r="D3627" t="s">
        <v>24</v>
      </c>
      <c r="E3627">
        <f t="shared" ref="E3627:E3690" ca="1" si="139">IF(D3627="AP",0.6,IF(D3627="BP",0.4,RAND()*0.2))</f>
        <v>3.6158720482918641E-2</v>
      </c>
      <c r="F3627">
        <f>IFERROR(VLOOKUP(H3627,ProfessionalRisk!A:I,9,0),0)</f>
        <v>1459</v>
      </c>
      <c r="G3627">
        <f t="shared" ca="1" si="137"/>
        <v>53</v>
      </c>
      <c r="H3627" t="s">
        <v>667</v>
      </c>
    </row>
    <row r="3628" spans="1:8">
      <c r="A3628" t="str">
        <f t="shared" si="138"/>
        <v>خراسان رضوئبردسكن</v>
      </c>
      <c r="B3628" t="s">
        <v>213</v>
      </c>
      <c r="C3628" t="s">
        <v>229</v>
      </c>
      <c r="D3628" t="s">
        <v>24</v>
      </c>
      <c r="E3628">
        <f t="shared" ca="1" si="139"/>
        <v>7.4053905485014379E-2</v>
      </c>
      <c r="F3628">
        <f>IFERROR(VLOOKUP(H3628,ProfessionalRisk!A:I,9,0),0)</f>
        <v>1130</v>
      </c>
      <c r="G3628">
        <f t="shared" ca="1" si="137"/>
        <v>84</v>
      </c>
      <c r="H3628" t="s">
        <v>689</v>
      </c>
    </row>
    <row r="3629" spans="1:8">
      <c r="A3629" t="str">
        <f t="shared" si="138"/>
        <v>خراسان رضوئرشتخوار</v>
      </c>
      <c r="B3629" t="s">
        <v>213</v>
      </c>
      <c r="C3629" t="s">
        <v>230</v>
      </c>
      <c r="D3629" t="s">
        <v>24</v>
      </c>
      <c r="E3629">
        <f t="shared" ca="1" si="139"/>
        <v>0.1521693199973134</v>
      </c>
      <c r="F3629">
        <f>IFERROR(VLOOKUP(H3629,ProfessionalRisk!A:I,9,0),0)</f>
        <v>498</v>
      </c>
      <c r="G3629">
        <f t="shared" ca="1" si="137"/>
        <v>76</v>
      </c>
      <c r="H3629" t="s">
        <v>684</v>
      </c>
    </row>
    <row r="3630" spans="1:8">
      <c r="A3630" t="str">
        <f t="shared" si="138"/>
        <v>خراسان رضوئكلات</v>
      </c>
      <c r="B3630" t="s">
        <v>213</v>
      </c>
      <c r="C3630" t="s">
        <v>231</v>
      </c>
      <c r="D3630" t="s">
        <v>24</v>
      </c>
      <c r="E3630">
        <f t="shared" ca="1" si="139"/>
        <v>0.10307142940406196</v>
      </c>
      <c r="F3630">
        <f>IFERROR(VLOOKUP(H3630,ProfessionalRisk!A:I,9,0),0)</f>
        <v>518</v>
      </c>
      <c r="G3630">
        <f t="shared" ca="1" si="137"/>
        <v>53</v>
      </c>
      <c r="H3630" t="s">
        <v>679</v>
      </c>
    </row>
    <row r="3631" spans="1:8">
      <c r="A3631" t="str">
        <f t="shared" si="138"/>
        <v>خراسان رضوئخليل آباد</v>
      </c>
      <c r="B3631" t="s">
        <v>213</v>
      </c>
      <c r="C3631" t="s">
        <v>232</v>
      </c>
      <c r="D3631" t="s">
        <v>24</v>
      </c>
      <c r="E3631">
        <f t="shared" ca="1" si="139"/>
        <v>0.18099871850844604</v>
      </c>
      <c r="F3631">
        <f>IFERROR(VLOOKUP(H3631,ProfessionalRisk!A:I,9,0),0)</f>
        <v>369</v>
      </c>
      <c r="G3631">
        <f t="shared" ca="1" si="137"/>
        <v>67</v>
      </c>
      <c r="H3631" t="s">
        <v>673</v>
      </c>
    </row>
    <row r="3632" spans="1:8">
      <c r="A3632" t="str">
        <f t="shared" si="138"/>
        <v>خراسان رضوئمه ولات</v>
      </c>
      <c r="B3632" t="s">
        <v>213</v>
      </c>
      <c r="C3632" t="s">
        <v>233</v>
      </c>
      <c r="D3632" t="s">
        <v>24</v>
      </c>
      <c r="E3632">
        <f t="shared" ca="1" si="139"/>
        <v>0.12606444241560794</v>
      </c>
      <c r="F3632">
        <f>IFERROR(VLOOKUP(H3632,ProfessionalRisk!A:I,9,0),0)</f>
        <v>423</v>
      </c>
      <c r="G3632">
        <f t="shared" ca="1" si="137"/>
        <v>53</v>
      </c>
      <c r="H3632" t="s">
        <v>696</v>
      </c>
    </row>
    <row r="3633" spans="1:8">
      <c r="A3633" t="str">
        <f t="shared" si="138"/>
        <v>خراسان رضوئبجستان</v>
      </c>
      <c r="B3633" t="s">
        <v>213</v>
      </c>
      <c r="C3633" t="s">
        <v>234</v>
      </c>
      <c r="D3633" t="s">
        <v>24</v>
      </c>
      <c r="E3633">
        <f t="shared" ca="1" si="139"/>
        <v>0.10104935447387131</v>
      </c>
      <c r="F3633">
        <f>IFERROR(VLOOKUP(H3633,ProfessionalRisk!A:I,9,0),0)</f>
        <v>413</v>
      </c>
      <c r="G3633">
        <f t="shared" ca="1" si="137"/>
        <v>42</v>
      </c>
      <c r="H3633" t="s">
        <v>669</v>
      </c>
    </row>
    <row r="3634" spans="1:8">
      <c r="A3634" t="str">
        <f t="shared" si="138"/>
        <v>خراسان رضوئبينالود</v>
      </c>
      <c r="B3634" t="s">
        <v>213</v>
      </c>
      <c r="C3634" t="s">
        <v>235</v>
      </c>
      <c r="D3634" t="s">
        <v>24</v>
      </c>
      <c r="E3634">
        <f t="shared" ca="1" si="139"/>
        <v>0.17486728925569339</v>
      </c>
      <c r="F3634">
        <f>IFERROR(VLOOKUP(H3634,ProfessionalRisk!A:I,9,0),0)</f>
        <v>623</v>
      </c>
      <c r="G3634">
        <f t="shared" ca="1" si="137"/>
        <v>109</v>
      </c>
      <c r="H3634" t="s">
        <v>668</v>
      </c>
    </row>
    <row r="3635" spans="1:8">
      <c r="A3635" t="str">
        <f t="shared" si="138"/>
        <v>خراسان رضوئفيروزه (تخت جلگه)</v>
      </c>
      <c r="B3635" t="s">
        <v>213</v>
      </c>
      <c r="C3635" t="s">
        <v>236</v>
      </c>
      <c r="D3635" t="s">
        <v>24</v>
      </c>
      <c r="E3635">
        <f t="shared" ca="1" si="139"/>
        <v>0.10869347819193963</v>
      </c>
      <c r="F3635">
        <f>IFERROR(VLOOKUP(H3635,ProfessionalRisk!A:I,9,0),0)</f>
        <v>521</v>
      </c>
      <c r="G3635">
        <f t="shared" ca="1" si="137"/>
        <v>57</v>
      </c>
      <c r="H3635" t="s">
        <v>680</v>
      </c>
    </row>
    <row r="3636" spans="1:8">
      <c r="A3636" t="str">
        <f t="shared" si="138"/>
        <v>خراسان رضوئجغتاي</v>
      </c>
      <c r="B3636" t="s">
        <v>213</v>
      </c>
      <c r="C3636" t="s">
        <v>237</v>
      </c>
      <c r="D3636" t="s">
        <v>24</v>
      </c>
      <c r="E3636">
        <f t="shared" ca="1" si="139"/>
        <v>0.19013677103335058</v>
      </c>
      <c r="F3636">
        <f>IFERROR(VLOOKUP(H3636,ProfessionalRisk!A:I,9,0),0)</f>
        <v>738</v>
      </c>
      <c r="G3636">
        <f t="shared" ca="1" si="137"/>
        <v>140</v>
      </c>
      <c r="H3636" t="s">
        <v>685</v>
      </c>
    </row>
    <row r="3637" spans="1:8">
      <c r="A3637" t="str">
        <f t="shared" si="138"/>
        <v>خراسان رضوئزاوه</v>
      </c>
      <c r="B3637" t="s">
        <v>213</v>
      </c>
      <c r="C3637" t="s">
        <v>238</v>
      </c>
      <c r="D3637" t="s">
        <v>24</v>
      </c>
      <c r="E3637">
        <f t="shared" ca="1" si="139"/>
        <v>5.7196380714973662E-2</v>
      </c>
      <c r="F3637">
        <f>IFERROR(VLOOKUP(H3637,ProfessionalRisk!A:I,9,0),0)</f>
        <v>466</v>
      </c>
      <c r="G3637">
        <f t="shared" ca="1" si="137"/>
        <v>27</v>
      </c>
      <c r="H3637" t="s">
        <v>687</v>
      </c>
    </row>
    <row r="3638" spans="1:8">
      <c r="A3638" t="str">
        <f t="shared" si="138"/>
        <v>خراسان رضوئجوين</v>
      </c>
      <c r="B3638" t="s">
        <v>213</v>
      </c>
      <c r="C3638" t="s">
        <v>239</v>
      </c>
      <c r="D3638" t="s">
        <v>24</v>
      </c>
      <c r="E3638">
        <f t="shared" ca="1" si="139"/>
        <v>7.2307774807156097E-2</v>
      </c>
      <c r="F3638">
        <f>IFERROR(VLOOKUP(H3638,ProfessionalRisk!A:I,9,0),0)</f>
        <v>839</v>
      </c>
      <c r="G3638">
        <f t="shared" ca="1" si="137"/>
        <v>61</v>
      </c>
      <c r="H3638" t="s">
        <v>692</v>
      </c>
    </row>
    <row r="3639" spans="1:8">
      <c r="A3639" t="str">
        <f t="shared" si="138"/>
        <v>خراسان رضوئباخرز</v>
      </c>
      <c r="B3639" t="s">
        <v>213</v>
      </c>
      <c r="C3639" t="s">
        <v>240</v>
      </c>
      <c r="D3639" t="s">
        <v>24</v>
      </c>
      <c r="E3639">
        <f t="shared" ca="1" si="139"/>
        <v>0.10817071556161338</v>
      </c>
      <c r="F3639">
        <f>IFERROR(VLOOKUP(H3639,ProfessionalRisk!A:I,9,0),0)</f>
        <v>2437</v>
      </c>
      <c r="G3639">
        <f t="shared" ca="1" si="137"/>
        <v>264</v>
      </c>
      <c r="H3639" t="s">
        <v>691</v>
      </c>
    </row>
    <row r="3640" spans="1:8">
      <c r="A3640" t="str">
        <f t="shared" si="138"/>
        <v>خراسان رضوئخوشاب</v>
      </c>
      <c r="B3640" t="s">
        <v>213</v>
      </c>
      <c r="C3640" t="s">
        <v>241</v>
      </c>
      <c r="D3640" t="s">
        <v>24</v>
      </c>
      <c r="E3640">
        <f t="shared" ca="1" si="139"/>
        <v>2.2636237028749798E-2</v>
      </c>
      <c r="F3640">
        <f>IFERROR(VLOOKUP(H3640,ProfessionalRisk!A:I,9,0),0)</f>
        <v>392</v>
      </c>
      <c r="G3640">
        <f t="shared" ca="1" si="137"/>
        <v>9</v>
      </c>
      <c r="H3640" t="s">
        <v>671</v>
      </c>
    </row>
    <row r="3641" spans="1:8">
      <c r="A3641" t="str">
        <f t="shared" si="138"/>
        <v>خراسان رضوئداور زن</v>
      </c>
      <c r="B3641" t="s">
        <v>213</v>
      </c>
      <c r="C3641" t="s">
        <v>243</v>
      </c>
      <c r="D3641" t="s">
        <v>24</v>
      </c>
      <c r="E3641">
        <f t="shared" ca="1" si="139"/>
        <v>0.14637539589117812</v>
      </c>
      <c r="F3641">
        <f>IFERROR(VLOOKUP(H3641,ProfessionalRisk!A:I,9,0),0)</f>
        <v>226</v>
      </c>
      <c r="G3641">
        <f t="shared" ca="1" si="137"/>
        <v>33</v>
      </c>
      <c r="H3641" t="s">
        <v>693</v>
      </c>
    </row>
    <row r="3642" spans="1:8">
      <c r="A3642" t="str">
        <f t="shared" si="138"/>
        <v>اصفهاناردستان</v>
      </c>
      <c r="B3642" t="s">
        <v>242</v>
      </c>
      <c r="C3642" t="s">
        <v>244</v>
      </c>
      <c r="D3642" t="s">
        <v>24</v>
      </c>
      <c r="E3642">
        <f t="shared" ca="1" si="139"/>
        <v>0.14778119451751309</v>
      </c>
      <c r="F3642">
        <f>IFERROR(VLOOKUP(H3642,ProfessionalRisk!A:I,9,0),0)</f>
        <v>767</v>
      </c>
      <c r="G3642">
        <f t="shared" ca="1" si="137"/>
        <v>113</v>
      </c>
      <c r="H3642" t="s">
        <v>585</v>
      </c>
    </row>
    <row r="3643" spans="1:8">
      <c r="A3643" t="str">
        <f t="shared" si="138"/>
        <v>اصفهاناصفهان</v>
      </c>
      <c r="B3643" t="s">
        <v>242</v>
      </c>
      <c r="C3643" t="s">
        <v>242</v>
      </c>
      <c r="D3643" t="s">
        <v>24</v>
      </c>
      <c r="E3643">
        <f t="shared" ca="1" si="139"/>
        <v>0.17618942848060298</v>
      </c>
      <c r="F3643">
        <f>IFERROR(VLOOKUP(H3643,ProfessionalRisk!A:I,9,0),0)</f>
        <v>55583</v>
      </c>
      <c r="G3643">
        <f t="shared" ca="1" si="137"/>
        <v>9793</v>
      </c>
      <c r="H3643" t="s">
        <v>597</v>
      </c>
    </row>
    <row r="3644" spans="1:8">
      <c r="A3644" t="str">
        <f t="shared" si="138"/>
        <v>اصفهانخميني شهر</v>
      </c>
      <c r="B3644" t="s">
        <v>242</v>
      </c>
      <c r="C3644" t="s">
        <v>245</v>
      </c>
      <c r="D3644" t="s">
        <v>24</v>
      </c>
      <c r="E3644">
        <f t="shared" ca="1" si="139"/>
        <v>0.14177365174510448</v>
      </c>
      <c r="F3644">
        <f>IFERROR(VLOOKUP(H3644,ProfessionalRisk!A:I,9,0),0)</f>
        <v>1510</v>
      </c>
      <c r="G3644">
        <f t="shared" ca="1" si="137"/>
        <v>214</v>
      </c>
      <c r="H3644" t="s">
        <v>588</v>
      </c>
    </row>
    <row r="3645" spans="1:8">
      <c r="A3645" t="str">
        <f t="shared" si="138"/>
        <v>اصفهانخوانسار</v>
      </c>
      <c r="B3645" t="s">
        <v>242</v>
      </c>
      <c r="C3645" t="s">
        <v>246</v>
      </c>
      <c r="D3645" t="s">
        <v>24</v>
      </c>
      <c r="E3645">
        <f t="shared" ca="1" si="139"/>
        <v>5.2061763851325688E-2</v>
      </c>
      <c r="F3645">
        <f>IFERROR(VLOOKUP(H3645,ProfessionalRisk!A:I,9,0),0)</f>
        <v>886</v>
      </c>
      <c r="G3645">
        <f t="shared" ca="1" si="137"/>
        <v>46</v>
      </c>
      <c r="H3645" t="s">
        <v>572</v>
      </c>
    </row>
    <row r="3646" spans="1:8">
      <c r="A3646" t="str">
        <f t="shared" si="138"/>
        <v>اصفهانسميرم</v>
      </c>
      <c r="B3646" t="s">
        <v>242</v>
      </c>
      <c r="C3646" t="s">
        <v>247</v>
      </c>
      <c r="D3646" t="s">
        <v>24</v>
      </c>
      <c r="E3646">
        <f t="shared" ca="1" si="139"/>
        <v>0.16068088336661884</v>
      </c>
      <c r="F3646">
        <f>IFERROR(VLOOKUP(H3646,ProfessionalRisk!A:I,9,0),0)</f>
        <v>1037</v>
      </c>
      <c r="G3646">
        <f t="shared" ca="1" si="137"/>
        <v>167</v>
      </c>
      <c r="H3646" t="s">
        <v>598</v>
      </c>
    </row>
    <row r="3647" spans="1:8">
      <c r="A3647" t="str">
        <f t="shared" si="138"/>
        <v>اصفهانفريدن</v>
      </c>
      <c r="B3647" t="s">
        <v>242</v>
      </c>
      <c r="C3647" t="s">
        <v>248</v>
      </c>
      <c r="D3647" t="s">
        <v>24</v>
      </c>
      <c r="E3647">
        <f t="shared" ca="1" si="139"/>
        <v>0.17099929732716679</v>
      </c>
      <c r="F3647">
        <f>IFERROR(VLOOKUP(H3647,ProfessionalRisk!A:I,9,0),0)</f>
        <v>938</v>
      </c>
      <c r="G3647">
        <f t="shared" ca="1" si="137"/>
        <v>160</v>
      </c>
      <c r="H3647" t="s">
        <v>576</v>
      </c>
    </row>
    <row r="3648" spans="1:8">
      <c r="A3648" t="str">
        <f t="shared" si="138"/>
        <v>اصفهانفريدونشهر</v>
      </c>
      <c r="B3648" t="s">
        <v>242</v>
      </c>
      <c r="C3648" t="s">
        <v>249</v>
      </c>
      <c r="D3648" t="s">
        <v>24</v>
      </c>
      <c r="E3648">
        <f t="shared" ca="1" si="139"/>
        <v>0.18195628977169379</v>
      </c>
      <c r="F3648">
        <f>IFERROR(VLOOKUP(H3648,ProfessionalRisk!A:I,9,0),0)</f>
        <v>709</v>
      </c>
      <c r="G3648">
        <f t="shared" ca="1" si="137"/>
        <v>129</v>
      </c>
      <c r="H3648" t="s">
        <v>582</v>
      </c>
    </row>
    <row r="3649" spans="1:8">
      <c r="A3649" t="str">
        <f t="shared" si="138"/>
        <v>اصفهانفلاورجان</v>
      </c>
      <c r="B3649" t="s">
        <v>242</v>
      </c>
      <c r="C3649" t="s">
        <v>250</v>
      </c>
      <c r="D3649" t="s">
        <v>24</v>
      </c>
      <c r="E3649">
        <f t="shared" ca="1" si="139"/>
        <v>0.10178087842098718</v>
      </c>
      <c r="F3649">
        <f>IFERROR(VLOOKUP(H3649,ProfessionalRisk!A:I,9,0),0)</f>
        <v>2473</v>
      </c>
      <c r="G3649">
        <f t="shared" ca="1" si="137"/>
        <v>252</v>
      </c>
      <c r="H3649" t="s">
        <v>571</v>
      </c>
    </row>
    <row r="3650" spans="1:8">
      <c r="A3650" t="str">
        <f t="shared" si="138"/>
        <v>اصفهانشهرضا</v>
      </c>
      <c r="B3650" t="s">
        <v>242</v>
      </c>
      <c r="C3650" t="s">
        <v>251</v>
      </c>
      <c r="D3650" t="s">
        <v>24</v>
      </c>
      <c r="E3650">
        <f t="shared" ca="1" si="139"/>
        <v>8.9823274551013757E-2</v>
      </c>
      <c r="F3650">
        <f>IFERROR(VLOOKUP(H3650,ProfessionalRisk!A:I,9,0),0)</f>
        <v>1922</v>
      </c>
      <c r="G3650">
        <f t="shared" ca="1" si="137"/>
        <v>173</v>
      </c>
      <c r="H3650" t="s">
        <v>581</v>
      </c>
    </row>
    <row r="3651" spans="1:8">
      <c r="A3651" t="str">
        <f t="shared" si="138"/>
        <v>اصفهانکاشان</v>
      </c>
      <c r="B3651" t="s">
        <v>242</v>
      </c>
      <c r="C3651" t="s">
        <v>252</v>
      </c>
      <c r="D3651" t="s">
        <v>24</v>
      </c>
      <c r="E3651">
        <f t="shared" ca="1" si="139"/>
        <v>1.9051992387847605E-2</v>
      </c>
      <c r="F3651">
        <f>IFERROR(VLOOKUP(H3651,ProfessionalRisk!A:I,9,0),0)</f>
        <v>8732</v>
      </c>
      <c r="G3651">
        <f t="shared" ref="G3651:G3714" ca="1" si="140">IFERROR(ROUND(F3651*E3651,0),0)</f>
        <v>166</v>
      </c>
      <c r="H3651" t="s">
        <v>579</v>
      </c>
    </row>
    <row r="3652" spans="1:8">
      <c r="A3652" t="str">
        <f t="shared" si="138"/>
        <v>اصفهانگلپايگان</v>
      </c>
      <c r="B3652" t="s">
        <v>242</v>
      </c>
      <c r="C3652" t="s">
        <v>253</v>
      </c>
      <c r="D3652" t="s">
        <v>24</v>
      </c>
      <c r="E3652">
        <f t="shared" ca="1" si="139"/>
        <v>5.748061661328692E-2</v>
      </c>
      <c r="F3652">
        <f>IFERROR(VLOOKUP(H3652,ProfessionalRisk!A:I,9,0),0)</f>
        <v>1158</v>
      </c>
      <c r="G3652">
        <f t="shared" ca="1" si="140"/>
        <v>67</v>
      </c>
      <c r="H3652" t="s">
        <v>592</v>
      </c>
    </row>
    <row r="3653" spans="1:8">
      <c r="A3653" t="str">
        <f t="shared" si="138"/>
        <v>اصفهانلنجان</v>
      </c>
      <c r="B3653" t="s">
        <v>242</v>
      </c>
      <c r="C3653" t="s">
        <v>254</v>
      </c>
      <c r="D3653" t="s">
        <v>24</v>
      </c>
      <c r="E3653">
        <f t="shared" ca="1" si="139"/>
        <v>0.12274995597190863</v>
      </c>
      <c r="F3653">
        <f>IFERROR(VLOOKUP(H3653,ProfessionalRisk!A:I,9,0),0)</f>
        <v>2936</v>
      </c>
      <c r="G3653">
        <f t="shared" ca="1" si="140"/>
        <v>360</v>
      </c>
      <c r="H3653" t="s">
        <v>601</v>
      </c>
    </row>
    <row r="3654" spans="1:8">
      <c r="A3654" t="str">
        <f t="shared" si="138"/>
        <v>اصفهاننايين</v>
      </c>
      <c r="B3654" t="s">
        <v>242</v>
      </c>
      <c r="C3654" t="s">
        <v>255</v>
      </c>
      <c r="D3654" t="s">
        <v>24</v>
      </c>
      <c r="E3654">
        <f t="shared" ca="1" si="139"/>
        <v>0.14398578095812173</v>
      </c>
      <c r="F3654">
        <f>IFERROR(VLOOKUP(H3654,ProfessionalRisk!A:I,9,0),0)</f>
        <v>341</v>
      </c>
      <c r="G3654">
        <f t="shared" ca="1" si="140"/>
        <v>49</v>
      </c>
      <c r="H3654" t="s">
        <v>589</v>
      </c>
    </row>
    <row r="3655" spans="1:8">
      <c r="A3655" t="str">
        <f t="shared" si="138"/>
        <v>اصفهاننجف آباد</v>
      </c>
      <c r="B3655" t="s">
        <v>242</v>
      </c>
      <c r="C3655" t="s">
        <v>256</v>
      </c>
      <c r="D3655" t="s">
        <v>24</v>
      </c>
      <c r="E3655">
        <f t="shared" ca="1" si="139"/>
        <v>0.13861288843264849</v>
      </c>
      <c r="F3655">
        <f>IFERROR(VLOOKUP(H3655,ProfessionalRisk!A:I,9,0),0)</f>
        <v>1953</v>
      </c>
      <c r="G3655">
        <f t="shared" ca="1" si="140"/>
        <v>271</v>
      </c>
      <c r="H3655" t="s">
        <v>600</v>
      </c>
    </row>
    <row r="3656" spans="1:8">
      <c r="A3656" t="str">
        <f t="shared" si="138"/>
        <v>اصفهاننطنز</v>
      </c>
      <c r="B3656" t="s">
        <v>242</v>
      </c>
      <c r="C3656" t="s">
        <v>257</v>
      </c>
      <c r="D3656" t="s">
        <v>24</v>
      </c>
      <c r="E3656">
        <f t="shared" ca="1" si="139"/>
        <v>0.10881447308761716</v>
      </c>
      <c r="F3656">
        <f>IFERROR(VLOOKUP(H3656,ProfessionalRisk!A:I,9,0),0)</f>
        <v>847</v>
      </c>
      <c r="G3656">
        <f t="shared" ca="1" si="140"/>
        <v>92</v>
      </c>
      <c r="H3656" t="s">
        <v>575</v>
      </c>
    </row>
    <row r="3657" spans="1:8">
      <c r="A3657" t="str">
        <f t="shared" si="138"/>
        <v>اصفهانشاهين شهر و میمه</v>
      </c>
      <c r="B3657" t="s">
        <v>242</v>
      </c>
      <c r="C3657" t="s">
        <v>258</v>
      </c>
      <c r="D3657" t="s">
        <v>24</v>
      </c>
      <c r="E3657">
        <f t="shared" ca="1" si="139"/>
        <v>6.4795706828975327E-2</v>
      </c>
      <c r="F3657">
        <f>IFERROR(VLOOKUP(H3657,ProfessionalRisk!A:I,9,0),0)</f>
        <v>1322</v>
      </c>
      <c r="G3657">
        <f t="shared" ca="1" si="140"/>
        <v>86</v>
      </c>
      <c r="H3657" t="s">
        <v>593</v>
      </c>
    </row>
    <row r="3658" spans="1:8">
      <c r="A3658" t="str">
        <f t="shared" si="138"/>
        <v>اصفهانمبارکه</v>
      </c>
      <c r="B3658" t="s">
        <v>242</v>
      </c>
      <c r="C3658" t="s">
        <v>259</v>
      </c>
      <c r="D3658" t="s">
        <v>24</v>
      </c>
      <c r="E3658">
        <f t="shared" ca="1" si="139"/>
        <v>8.7160217578803309E-2</v>
      </c>
      <c r="F3658">
        <f>IFERROR(VLOOKUP(H3658,ProfessionalRisk!A:I,9,0),0)</f>
        <v>1380</v>
      </c>
      <c r="G3658">
        <f t="shared" ca="1" si="140"/>
        <v>120</v>
      </c>
      <c r="H3658" t="s">
        <v>577</v>
      </c>
    </row>
    <row r="3659" spans="1:8">
      <c r="A3659" t="str">
        <f t="shared" si="138"/>
        <v>اصفهانآران وبیدگل</v>
      </c>
      <c r="B3659" t="s">
        <v>242</v>
      </c>
      <c r="C3659" t="s">
        <v>260</v>
      </c>
      <c r="D3659" t="s">
        <v>24</v>
      </c>
      <c r="E3659">
        <f t="shared" ca="1" si="139"/>
        <v>0.16839126086584957</v>
      </c>
      <c r="F3659">
        <f>IFERROR(VLOOKUP(H3659,ProfessionalRisk!A:I,9,0),0)</f>
        <v>268</v>
      </c>
      <c r="G3659">
        <f t="shared" ca="1" si="140"/>
        <v>45</v>
      </c>
      <c r="H3659" t="s">
        <v>573</v>
      </c>
    </row>
    <row r="3660" spans="1:8">
      <c r="A3660" t="str">
        <f t="shared" si="138"/>
        <v>اصفهانتيران و کرون</v>
      </c>
      <c r="B3660" t="s">
        <v>242</v>
      </c>
      <c r="C3660" t="s">
        <v>261</v>
      </c>
      <c r="D3660" t="s">
        <v>24</v>
      </c>
      <c r="E3660">
        <f t="shared" ca="1" si="139"/>
        <v>2.6987713232520673E-2</v>
      </c>
      <c r="F3660">
        <f>IFERROR(VLOOKUP(H3660,ProfessionalRisk!A:I,9,0),0)</f>
        <v>560</v>
      </c>
      <c r="G3660">
        <f t="shared" ca="1" si="140"/>
        <v>15</v>
      </c>
      <c r="H3660" t="s">
        <v>586</v>
      </c>
    </row>
    <row r="3661" spans="1:8">
      <c r="A3661" t="str">
        <f t="shared" si="138"/>
        <v>اصفهانچادگان</v>
      </c>
      <c r="B3661" t="s">
        <v>242</v>
      </c>
      <c r="C3661" t="s">
        <v>262</v>
      </c>
      <c r="D3661" t="s">
        <v>24</v>
      </c>
      <c r="E3661">
        <f t="shared" ca="1" si="139"/>
        <v>0.16665106636631463</v>
      </c>
      <c r="F3661">
        <f>IFERROR(VLOOKUP(H3661,ProfessionalRisk!A:I,9,0),0)</f>
        <v>524</v>
      </c>
      <c r="G3661">
        <f t="shared" ca="1" si="140"/>
        <v>87</v>
      </c>
      <c r="H3661" t="s">
        <v>591</v>
      </c>
    </row>
    <row r="3662" spans="1:8">
      <c r="A3662" t="str">
        <f t="shared" si="138"/>
        <v>اصفهاندهاقان</v>
      </c>
      <c r="B3662" t="s">
        <v>242</v>
      </c>
      <c r="C3662" t="s">
        <v>263</v>
      </c>
      <c r="D3662" t="s">
        <v>24</v>
      </c>
      <c r="E3662">
        <f t="shared" ca="1" si="139"/>
        <v>0.11537740146869127</v>
      </c>
      <c r="F3662">
        <f>IFERROR(VLOOKUP(H3662,ProfessionalRisk!A:I,9,0),0)</f>
        <v>523</v>
      </c>
      <c r="G3662">
        <f t="shared" ca="1" si="140"/>
        <v>60</v>
      </c>
      <c r="H3662" t="s">
        <v>599</v>
      </c>
    </row>
    <row r="3663" spans="1:8">
      <c r="A3663" t="str">
        <f t="shared" si="138"/>
        <v>اصفهانبرخوار</v>
      </c>
      <c r="B3663" t="s">
        <v>242</v>
      </c>
      <c r="C3663" t="s">
        <v>264</v>
      </c>
      <c r="D3663" t="s">
        <v>24</v>
      </c>
      <c r="E3663">
        <f t="shared" ca="1" si="139"/>
        <v>8.335401335254634E-3</v>
      </c>
      <c r="F3663">
        <f>IFERROR(VLOOKUP(H3663,ProfessionalRisk!A:I,9,0),0)</f>
        <v>524</v>
      </c>
      <c r="G3663">
        <f t="shared" ca="1" si="140"/>
        <v>4</v>
      </c>
      <c r="H3663" t="s">
        <v>590</v>
      </c>
    </row>
    <row r="3664" spans="1:8">
      <c r="A3664" t="str">
        <f t="shared" si="138"/>
        <v>اصفهانخور و بیابانک</v>
      </c>
      <c r="B3664" t="s">
        <v>242</v>
      </c>
      <c r="C3664" t="s">
        <v>265</v>
      </c>
      <c r="D3664" t="s">
        <v>24</v>
      </c>
      <c r="E3664">
        <f t="shared" ca="1" si="139"/>
        <v>0.17515066860509776</v>
      </c>
      <c r="F3664">
        <f>IFERROR(VLOOKUP(H3664,ProfessionalRisk!A:I,9,0),0)</f>
        <v>227</v>
      </c>
      <c r="G3664">
        <f t="shared" ca="1" si="140"/>
        <v>40</v>
      </c>
      <c r="H3664" t="s">
        <v>583</v>
      </c>
    </row>
    <row r="3665" spans="1:8">
      <c r="A3665" t="str">
        <f t="shared" si="138"/>
        <v>اصفهانبوئین و میاندشت</v>
      </c>
      <c r="B3665" t="s">
        <v>242</v>
      </c>
      <c r="C3665" t="s">
        <v>267</v>
      </c>
      <c r="D3665" t="s">
        <v>24</v>
      </c>
      <c r="E3665">
        <f t="shared" ca="1" si="139"/>
        <v>0.13028409447925399</v>
      </c>
      <c r="F3665">
        <f>IFERROR(VLOOKUP(H3665,ProfessionalRisk!A:I,9,0),0)</f>
        <v>494</v>
      </c>
      <c r="G3665">
        <f t="shared" ca="1" si="140"/>
        <v>64</v>
      </c>
      <c r="H3665" t="s">
        <v>595</v>
      </c>
    </row>
    <row r="3666" spans="1:8">
      <c r="A3666" t="str">
        <f t="shared" si="138"/>
        <v>سيستان وبلوچستانايرانشهر</v>
      </c>
      <c r="B3666" t="s">
        <v>266</v>
      </c>
      <c r="C3666" t="s">
        <v>268</v>
      </c>
      <c r="D3666" t="s">
        <v>24</v>
      </c>
      <c r="E3666">
        <f t="shared" ca="1" si="139"/>
        <v>0.1588546045123764</v>
      </c>
      <c r="F3666">
        <f>IFERROR(VLOOKUP(H3666,ProfessionalRisk!A:I,9,0),0)</f>
        <v>3126</v>
      </c>
      <c r="G3666">
        <f t="shared" ca="1" si="140"/>
        <v>497</v>
      </c>
      <c r="H3666" t="s">
        <v>775</v>
      </c>
    </row>
    <row r="3667" spans="1:8">
      <c r="A3667" t="str">
        <f t="shared" si="138"/>
        <v>سيستان وبلوچستانچابهار</v>
      </c>
      <c r="B3667" t="s">
        <v>266</v>
      </c>
      <c r="C3667" t="s">
        <v>269</v>
      </c>
      <c r="D3667" t="s">
        <v>24</v>
      </c>
      <c r="E3667">
        <f t="shared" ca="1" si="139"/>
        <v>7.2698472179078752E-2</v>
      </c>
      <c r="F3667">
        <f>IFERROR(VLOOKUP(H3667,ProfessionalRisk!A:I,9,0),0)</f>
        <v>863</v>
      </c>
      <c r="G3667">
        <f t="shared" ca="1" si="140"/>
        <v>63</v>
      </c>
      <c r="H3667" t="s">
        <v>759</v>
      </c>
    </row>
    <row r="3668" spans="1:8">
      <c r="A3668" t="str">
        <f t="shared" si="138"/>
        <v>سيستان وبلوچستانخاش</v>
      </c>
      <c r="B3668" t="s">
        <v>266</v>
      </c>
      <c r="C3668" t="s">
        <v>270</v>
      </c>
      <c r="D3668" t="s">
        <v>24</v>
      </c>
      <c r="E3668">
        <f t="shared" ca="1" si="139"/>
        <v>2.4104523348166842E-2</v>
      </c>
      <c r="F3668">
        <f>IFERROR(VLOOKUP(H3668,ProfessionalRisk!A:I,9,0),0)</f>
        <v>2249</v>
      </c>
      <c r="G3668">
        <f t="shared" ca="1" si="140"/>
        <v>54</v>
      </c>
      <c r="H3668" t="s">
        <v>770</v>
      </c>
    </row>
    <row r="3669" spans="1:8">
      <c r="A3669" t="str">
        <f t="shared" si="138"/>
        <v>سيستان وبلوچستانزابل</v>
      </c>
      <c r="B3669" t="s">
        <v>266</v>
      </c>
      <c r="C3669" t="s">
        <v>271</v>
      </c>
      <c r="D3669" t="s">
        <v>24</v>
      </c>
      <c r="E3669">
        <f t="shared" ca="1" si="139"/>
        <v>1.9632353827440819E-2</v>
      </c>
      <c r="F3669">
        <f>IFERROR(VLOOKUP(H3669,ProfessionalRisk!A:I,9,0),0)</f>
        <v>3283</v>
      </c>
      <c r="G3669">
        <f t="shared" ca="1" si="140"/>
        <v>64</v>
      </c>
      <c r="H3669" t="s">
        <v>762</v>
      </c>
    </row>
    <row r="3670" spans="1:8">
      <c r="A3670" t="str">
        <f t="shared" si="138"/>
        <v>سيستان وبلوچستانزاهدان</v>
      </c>
      <c r="B3670" t="s">
        <v>266</v>
      </c>
      <c r="C3670" t="s">
        <v>272</v>
      </c>
      <c r="D3670" t="s">
        <v>24</v>
      </c>
      <c r="E3670">
        <f t="shared" ca="1" si="139"/>
        <v>2.2379315192116934E-2</v>
      </c>
      <c r="F3670">
        <f>IFERROR(VLOOKUP(H3670,ProfessionalRisk!A:I,9,0),0)</f>
        <v>9899</v>
      </c>
      <c r="G3670">
        <f t="shared" ca="1" si="140"/>
        <v>222</v>
      </c>
      <c r="H3670" t="s">
        <v>758</v>
      </c>
    </row>
    <row r="3671" spans="1:8">
      <c r="A3671" t="str">
        <f t="shared" si="138"/>
        <v>سيستان وبلوچستانسراوان</v>
      </c>
      <c r="B3671" t="s">
        <v>266</v>
      </c>
      <c r="C3671" t="s">
        <v>273</v>
      </c>
      <c r="D3671" t="s">
        <v>24</v>
      </c>
      <c r="E3671">
        <f t="shared" ca="1" si="139"/>
        <v>0.14712035032049195</v>
      </c>
      <c r="F3671">
        <f>IFERROR(VLOOKUP(H3671,ProfessionalRisk!A:I,9,0),0)</f>
        <v>1681</v>
      </c>
      <c r="G3671">
        <f t="shared" ca="1" si="140"/>
        <v>247</v>
      </c>
      <c r="H3671" t="s">
        <v>768</v>
      </c>
    </row>
    <row r="3672" spans="1:8">
      <c r="A3672" t="str">
        <f t="shared" si="138"/>
        <v>سيستان وبلوچستاننيك شهر</v>
      </c>
      <c r="B3672" t="s">
        <v>266</v>
      </c>
      <c r="C3672" t="s">
        <v>274</v>
      </c>
      <c r="D3672" t="s">
        <v>24</v>
      </c>
      <c r="E3672">
        <f t="shared" ca="1" si="139"/>
        <v>0.11016828944336209</v>
      </c>
      <c r="F3672">
        <f>IFERROR(VLOOKUP(H3672,ProfessionalRisk!A:I,9,0),0)</f>
        <v>724</v>
      </c>
      <c r="G3672">
        <f t="shared" ca="1" si="140"/>
        <v>80</v>
      </c>
      <c r="H3672" t="s">
        <v>774</v>
      </c>
    </row>
    <row r="3673" spans="1:8">
      <c r="A3673" t="str">
        <f t="shared" si="138"/>
        <v>سيستان وبلوچستانسرباز</v>
      </c>
      <c r="B3673" t="s">
        <v>266</v>
      </c>
      <c r="C3673" t="s">
        <v>275</v>
      </c>
      <c r="D3673" t="s">
        <v>24</v>
      </c>
      <c r="E3673">
        <f t="shared" ca="1" si="139"/>
        <v>0.19510177931104725</v>
      </c>
      <c r="F3673">
        <f>IFERROR(VLOOKUP(H3673,ProfessionalRisk!A:I,9,0),0)</f>
        <v>1547</v>
      </c>
      <c r="G3673">
        <f t="shared" ca="1" si="140"/>
        <v>302</v>
      </c>
      <c r="H3673" t="s">
        <v>760</v>
      </c>
    </row>
    <row r="3674" spans="1:8">
      <c r="A3674" t="str">
        <f t="shared" si="138"/>
        <v>سيستان وبلوچستانكنارك</v>
      </c>
      <c r="B3674" t="s">
        <v>266</v>
      </c>
      <c r="C3674" t="s">
        <v>276</v>
      </c>
      <c r="D3674" t="s">
        <v>24</v>
      </c>
      <c r="E3674">
        <f t="shared" ca="1" si="139"/>
        <v>0.15144256587676233</v>
      </c>
      <c r="F3674">
        <f>IFERROR(VLOOKUP(H3674,ProfessionalRisk!A:I,9,0),0)</f>
        <v>281</v>
      </c>
      <c r="G3674">
        <f t="shared" ca="1" si="140"/>
        <v>43</v>
      </c>
      <c r="H3674" t="s">
        <v>761</v>
      </c>
    </row>
    <row r="3675" spans="1:8">
      <c r="A3675" t="str">
        <f t="shared" si="138"/>
        <v>سيستان وبلوچستانزهك</v>
      </c>
      <c r="B3675" t="s">
        <v>266</v>
      </c>
      <c r="C3675" t="s">
        <v>277</v>
      </c>
      <c r="D3675" t="s">
        <v>24</v>
      </c>
      <c r="E3675">
        <f t="shared" ca="1" si="139"/>
        <v>0.13446283919303995</v>
      </c>
      <c r="F3675">
        <f>IFERROR(VLOOKUP(H3675,ProfessionalRisk!A:I,9,0),0)</f>
        <v>1054</v>
      </c>
      <c r="G3675">
        <f t="shared" ca="1" si="140"/>
        <v>142</v>
      </c>
      <c r="H3675" t="s">
        <v>772</v>
      </c>
    </row>
    <row r="3676" spans="1:8">
      <c r="A3676" t="str">
        <f t="shared" si="138"/>
        <v>سيستان وبلوچستانهيرمند</v>
      </c>
      <c r="B3676" t="s">
        <v>266</v>
      </c>
      <c r="C3676" t="s">
        <v>278</v>
      </c>
      <c r="D3676" t="s">
        <v>24</v>
      </c>
      <c r="E3676">
        <f t="shared" ca="1" si="139"/>
        <v>0.10539345829758298</v>
      </c>
      <c r="F3676">
        <f>IFERROR(VLOOKUP(H3676,ProfessionalRisk!A:I,9,0),0)</f>
        <v>689</v>
      </c>
      <c r="G3676">
        <f t="shared" ca="1" si="140"/>
        <v>73</v>
      </c>
      <c r="H3676" t="s">
        <v>765</v>
      </c>
    </row>
    <row r="3677" spans="1:8">
      <c r="A3677" t="str">
        <f t="shared" si="138"/>
        <v>سيستان وبلوچستاندلگان</v>
      </c>
      <c r="B3677" t="s">
        <v>266</v>
      </c>
      <c r="C3677" t="s">
        <v>279</v>
      </c>
      <c r="D3677" t="s">
        <v>24</v>
      </c>
      <c r="E3677">
        <f t="shared" ca="1" si="139"/>
        <v>0.13564022009759555</v>
      </c>
      <c r="F3677">
        <f>IFERROR(VLOOKUP(H3677,ProfessionalRisk!A:I,9,0),0)</f>
        <v>427</v>
      </c>
      <c r="G3677">
        <f t="shared" ca="1" si="140"/>
        <v>58</v>
      </c>
      <c r="H3677" t="s">
        <v>764</v>
      </c>
    </row>
    <row r="3678" spans="1:8">
      <c r="A3678" t="str">
        <f t="shared" si="138"/>
        <v>سيستان وبلوچستانمهرستان (زابلی)</v>
      </c>
      <c r="B3678" t="s">
        <v>266</v>
      </c>
      <c r="C3678" t="s">
        <v>280</v>
      </c>
      <c r="D3678" t="s">
        <v>24</v>
      </c>
      <c r="E3678">
        <f t="shared" ca="1" si="139"/>
        <v>4.9410951528649605E-2</v>
      </c>
      <c r="F3678">
        <f>IFERROR(VLOOKUP(H3678,ProfessionalRisk!A:I,9,0),0)</f>
        <v>300</v>
      </c>
      <c r="G3678">
        <f t="shared" ca="1" si="140"/>
        <v>15</v>
      </c>
      <c r="H3678" t="s">
        <v>766</v>
      </c>
    </row>
    <row r="3679" spans="1:8">
      <c r="A3679" t="str">
        <f t="shared" si="138"/>
        <v>سيستان وبلوچستانسيب و سوران</v>
      </c>
      <c r="B3679" t="s">
        <v>266</v>
      </c>
      <c r="C3679" t="s">
        <v>281</v>
      </c>
      <c r="D3679" t="s">
        <v>24</v>
      </c>
      <c r="E3679">
        <f t="shared" ca="1" si="139"/>
        <v>7.6924615931759366E-2</v>
      </c>
      <c r="F3679">
        <f>IFERROR(VLOOKUP(H3679,ProfessionalRisk!A:I,9,0),0)</f>
        <v>351</v>
      </c>
      <c r="G3679">
        <f t="shared" ca="1" si="140"/>
        <v>27</v>
      </c>
      <c r="H3679" t="s">
        <v>776</v>
      </c>
    </row>
    <row r="3680" spans="1:8">
      <c r="A3680" t="str">
        <f t="shared" si="138"/>
        <v>سيستان وبلوچستاننيمروز</v>
      </c>
      <c r="B3680" t="s">
        <v>266</v>
      </c>
      <c r="C3680" t="s">
        <v>282</v>
      </c>
      <c r="D3680" t="s">
        <v>24</v>
      </c>
      <c r="E3680">
        <f t="shared" ca="1" si="139"/>
        <v>5.5825501384097146E-3</v>
      </c>
      <c r="F3680">
        <f>IFERROR(VLOOKUP(H3680,ProfessionalRisk!A:I,9,0),0)</f>
        <v>343</v>
      </c>
      <c r="G3680">
        <f t="shared" ca="1" si="140"/>
        <v>2</v>
      </c>
      <c r="H3680" t="s">
        <v>763</v>
      </c>
    </row>
    <row r="3681" spans="1:8">
      <c r="A3681" t="str">
        <f t="shared" si="138"/>
        <v>سيستان وبلوچستانهامون</v>
      </c>
      <c r="B3681" t="s">
        <v>266</v>
      </c>
      <c r="C3681" t="s">
        <v>283</v>
      </c>
      <c r="D3681" t="s">
        <v>24</v>
      </c>
      <c r="E3681">
        <f t="shared" ca="1" si="139"/>
        <v>3.5392247524657104E-2</v>
      </c>
      <c r="F3681">
        <f>IFERROR(VLOOKUP(H3681,ProfessionalRisk!A:I,9,0),0)</f>
        <v>448</v>
      </c>
      <c r="G3681">
        <f t="shared" ca="1" si="140"/>
        <v>16</v>
      </c>
      <c r="H3681" t="s">
        <v>771</v>
      </c>
    </row>
    <row r="3682" spans="1:8">
      <c r="A3682" t="str">
        <f t="shared" si="138"/>
        <v>سيستان وبلوچستانميرجاوه</v>
      </c>
      <c r="B3682" t="s">
        <v>266</v>
      </c>
      <c r="C3682" t="s">
        <v>284</v>
      </c>
      <c r="D3682" t="s">
        <v>24</v>
      </c>
      <c r="E3682">
        <f t="shared" ca="1" si="139"/>
        <v>0.1803171408234594</v>
      </c>
      <c r="F3682">
        <f>IFERROR(VLOOKUP(H3682,ProfessionalRisk!A:I,9,0),0)</f>
        <v>346</v>
      </c>
      <c r="G3682">
        <f t="shared" ca="1" si="140"/>
        <v>62</v>
      </c>
      <c r="H3682" t="s">
        <v>769</v>
      </c>
    </row>
    <row r="3683" spans="1:8">
      <c r="A3683" t="str">
        <f t="shared" si="138"/>
        <v>سيستان وبلوچستانقصرقند</v>
      </c>
      <c r="B3683" t="s">
        <v>266</v>
      </c>
      <c r="C3683" t="s">
        <v>285</v>
      </c>
      <c r="D3683" t="s">
        <v>24</v>
      </c>
      <c r="E3683">
        <f t="shared" ca="1" si="139"/>
        <v>0.13486748591332898</v>
      </c>
      <c r="F3683">
        <f>IFERROR(VLOOKUP(H3683,ProfessionalRisk!A:I,9,0),0)</f>
        <v>254</v>
      </c>
      <c r="G3683">
        <f t="shared" ca="1" si="140"/>
        <v>34</v>
      </c>
      <c r="H3683" t="s">
        <v>756</v>
      </c>
    </row>
    <row r="3684" spans="1:8">
      <c r="A3684" t="str">
        <f t="shared" si="138"/>
        <v>سيستان وبلوچستانفنوج</v>
      </c>
      <c r="B3684" t="s">
        <v>266</v>
      </c>
      <c r="C3684" t="s">
        <v>287</v>
      </c>
      <c r="D3684" t="s">
        <v>24</v>
      </c>
      <c r="E3684">
        <f t="shared" ca="1" si="139"/>
        <v>8.1487741475945383E-2</v>
      </c>
      <c r="F3684">
        <f>IFERROR(VLOOKUP(H3684,ProfessionalRisk!A:I,9,0),0)</f>
        <v>254</v>
      </c>
      <c r="G3684">
        <f t="shared" ca="1" si="140"/>
        <v>21</v>
      </c>
      <c r="H3684" t="s">
        <v>773</v>
      </c>
    </row>
    <row r="3685" spans="1:8">
      <c r="A3685" t="str">
        <f t="shared" si="138"/>
        <v>كردستانبانه</v>
      </c>
      <c r="B3685" t="s">
        <v>286</v>
      </c>
      <c r="C3685" t="s">
        <v>288</v>
      </c>
      <c r="D3685" t="s">
        <v>24</v>
      </c>
      <c r="E3685">
        <f t="shared" ca="1" si="139"/>
        <v>3.8427427922939073E-3</v>
      </c>
      <c r="F3685">
        <f>IFERROR(VLOOKUP(H3685,ProfessionalRisk!A:I,9,0),0)</f>
        <v>1768</v>
      </c>
      <c r="G3685">
        <f t="shared" ca="1" si="140"/>
        <v>7</v>
      </c>
      <c r="H3685" t="s">
        <v>904</v>
      </c>
    </row>
    <row r="3686" spans="1:8">
      <c r="A3686" t="str">
        <f t="shared" si="138"/>
        <v>كردستانبيجار</v>
      </c>
      <c r="B3686" t="s">
        <v>286</v>
      </c>
      <c r="C3686" t="s">
        <v>289</v>
      </c>
      <c r="D3686" t="s">
        <v>24</v>
      </c>
      <c r="E3686">
        <f t="shared" ca="1" si="139"/>
        <v>6.1446363117076297E-2</v>
      </c>
      <c r="F3686">
        <f>IFERROR(VLOOKUP(H3686,ProfessionalRisk!A:I,9,0),0)</f>
        <v>1462</v>
      </c>
      <c r="G3686">
        <f t="shared" ca="1" si="140"/>
        <v>90</v>
      </c>
      <c r="H3686" t="s">
        <v>908</v>
      </c>
    </row>
    <row r="3687" spans="1:8">
      <c r="A3687" t="str">
        <f t="shared" si="138"/>
        <v>كردستانسقز</v>
      </c>
      <c r="B3687" t="s">
        <v>286</v>
      </c>
      <c r="C3687" t="s">
        <v>290</v>
      </c>
      <c r="D3687" t="s">
        <v>24</v>
      </c>
      <c r="E3687">
        <f t="shared" ca="1" si="139"/>
        <v>9.0470624718876513E-2</v>
      </c>
      <c r="F3687">
        <f>IFERROR(VLOOKUP(H3687,ProfessionalRisk!A:I,9,0),0)</f>
        <v>2784</v>
      </c>
      <c r="G3687">
        <f t="shared" ca="1" si="140"/>
        <v>252</v>
      </c>
      <c r="H3687" t="s">
        <v>901</v>
      </c>
    </row>
    <row r="3688" spans="1:8">
      <c r="A3688" t="str">
        <f t="shared" si="138"/>
        <v>كردستانسنندج</v>
      </c>
      <c r="B3688" t="s">
        <v>286</v>
      </c>
      <c r="C3688" t="s">
        <v>291</v>
      </c>
      <c r="D3688" t="s">
        <v>24</v>
      </c>
      <c r="E3688">
        <f t="shared" ca="1" si="139"/>
        <v>0.19323926860681637</v>
      </c>
      <c r="F3688">
        <f>IFERROR(VLOOKUP(H3688,ProfessionalRisk!A:I,9,0),0)</f>
        <v>11748</v>
      </c>
      <c r="G3688">
        <f t="shared" ca="1" si="140"/>
        <v>2270</v>
      </c>
      <c r="H3688" t="s">
        <v>903</v>
      </c>
    </row>
    <row r="3689" spans="1:8">
      <c r="A3689" t="str">
        <f t="shared" si="138"/>
        <v>كردستانقروه</v>
      </c>
      <c r="B3689" t="s">
        <v>286</v>
      </c>
      <c r="C3689" t="s">
        <v>292</v>
      </c>
      <c r="D3689" t="s">
        <v>24</v>
      </c>
      <c r="E3689">
        <f t="shared" ca="1" si="139"/>
        <v>0.11386225061564632</v>
      </c>
      <c r="F3689">
        <f>IFERROR(VLOOKUP(H3689,ProfessionalRisk!A:I,9,0),0)</f>
        <v>1689</v>
      </c>
      <c r="G3689">
        <f t="shared" ca="1" si="140"/>
        <v>192</v>
      </c>
      <c r="H3689" t="s">
        <v>902</v>
      </c>
    </row>
    <row r="3690" spans="1:8">
      <c r="A3690" t="str">
        <f t="shared" ref="A3690:A3753" si="141">B3690&amp;C3690</f>
        <v>كردستانمريوان</v>
      </c>
      <c r="B3690" t="s">
        <v>286</v>
      </c>
      <c r="C3690" t="s">
        <v>293</v>
      </c>
      <c r="D3690" t="s">
        <v>24</v>
      </c>
      <c r="E3690">
        <f t="shared" ca="1" si="139"/>
        <v>0.11047031782000037</v>
      </c>
      <c r="F3690">
        <f>IFERROR(VLOOKUP(H3690,ProfessionalRisk!A:I,9,0),0)</f>
        <v>2157</v>
      </c>
      <c r="G3690">
        <f t="shared" ca="1" si="140"/>
        <v>238</v>
      </c>
      <c r="H3690" t="s">
        <v>905</v>
      </c>
    </row>
    <row r="3691" spans="1:8">
      <c r="A3691" t="str">
        <f t="shared" si="141"/>
        <v>كردستانديواندره</v>
      </c>
      <c r="B3691" t="s">
        <v>286</v>
      </c>
      <c r="C3691" t="s">
        <v>294</v>
      </c>
      <c r="D3691" t="s">
        <v>24</v>
      </c>
      <c r="E3691">
        <f t="shared" ref="E3691:E3754" ca="1" si="142">IF(D3691="AP",0.6,IF(D3691="BP",0.4,RAND()*0.2))</f>
        <v>9.339226388623395E-2</v>
      </c>
      <c r="F3691">
        <f>IFERROR(VLOOKUP(H3691,ProfessionalRisk!A:I,9,0),0)</f>
        <v>1373</v>
      </c>
      <c r="G3691">
        <f t="shared" ca="1" si="140"/>
        <v>128</v>
      </c>
      <c r="H3691" t="s">
        <v>899</v>
      </c>
    </row>
    <row r="3692" spans="1:8">
      <c r="A3692" t="str">
        <f t="shared" si="141"/>
        <v>كردستانكامياران</v>
      </c>
      <c r="B3692" t="s">
        <v>286</v>
      </c>
      <c r="C3692" t="s">
        <v>295</v>
      </c>
      <c r="D3692" t="s">
        <v>24</v>
      </c>
      <c r="E3692">
        <f t="shared" ca="1" si="142"/>
        <v>4.1286779382891159E-2</v>
      </c>
      <c r="F3692">
        <f>IFERROR(VLOOKUP(H3692,ProfessionalRisk!A:I,9,0),0)</f>
        <v>1300</v>
      </c>
      <c r="G3692">
        <f t="shared" ca="1" si="140"/>
        <v>54</v>
      </c>
      <c r="H3692" t="s">
        <v>907</v>
      </c>
    </row>
    <row r="3693" spans="1:8">
      <c r="A3693" t="str">
        <f t="shared" si="141"/>
        <v>كردستانسروآباد</v>
      </c>
      <c r="B3693" t="s">
        <v>286</v>
      </c>
      <c r="C3693" t="s">
        <v>296</v>
      </c>
      <c r="D3693" t="s">
        <v>24</v>
      </c>
      <c r="E3693">
        <f t="shared" ca="1" si="142"/>
        <v>0.19631912141769878</v>
      </c>
      <c r="F3693">
        <f>IFERROR(VLOOKUP(H3693,ProfessionalRisk!A:I,9,0),0)</f>
        <v>637</v>
      </c>
      <c r="G3693">
        <f t="shared" ca="1" si="140"/>
        <v>125</v>
      </c>
      <c r="H3693" t="s">
        <v>906</v>
      </c>
    </row>
    <row r="3694" spans="1:8">
      <c r="A3694" t="str">
        <f t="shared" si="141"/>
        <v>كردستاندهگلان</v>
      </c>
      <c r="B3694" t="s">
        <v>286</v>
      </c>
      <c r="C3694" t="s">
        <v>298</v>
      </c>
      <c r="D3694" t="s">
        <v>24</v>
      </c>
      <c r="E3694">
        <f t="shared" ca="1" si="142"/>
        <v>2.6468819387405265E-2</v>
      </c>
      <c r="F3694">
        <f>IFERROR(VLOOKUP(H3694,ProfessionalRisk!A:I,9,0),0)</f>
        <v>643</v>
      </c>
      <c r="G3694">
        <f t="shared" ca="1" si="140"/>
        <v>17</v>
      </c>
      <c r="H3694" t="s">
        <v>909</v>
      </c>
    </row>
    <row r="3695" spans="1:8">
      <c r="A3695" t="str">
        <f t="shared" si="141"/>
        <v>همدانتويسركان</v>
      </c>
      <c r="B3695" t="s">
        <v>297</v>
      </c>
      <c r="C3695" t="s">
        <v>299</v>
      </c>
      <c r="D3695" t="s">
        <v>24</v>
      </c>
      <c r="E3695">
        <f t="shared" ca="1" si="142"/>
        <v>2.5234211825843823E-2</v>
      </c>
      <c r="F3695">
        <f>IFERROR(VLOOKUP(H3695,ProfessionalRisk!A:I,9,0),0)</f>
        <v>1418</v>
      </c>
      <c r="G3695">
        <f t="shared" ca="1" si="140"/>
        <v>36</v>
      </c>
      <c r="H3695" t="s">
        <v>883</v>
      </c>
    </row>
    <row r="3696" spans="1:8">
      <c r="A3696" t="str">
        <f t="shared" si="141"/>
        <v>همدانملاير</v>
      </c>
      <c r="B3696" t="s">
        <v>297</v>
      </c>
      <c r="C3696" t="s">
        <v>300</v>
      </c>
      <c r="D3696" t="s">
        <v>24</v>
      </c>
      <c r="E3696">
        <f t="shared" ca="1" si="142"/>
        <v>0.15010571349400717</v>
      </c>
      <c r="F3696">
        <f>IFERROR(VLOOKUP(H3696,ProfessionalRisk!A:I,9,0),0)</f>
        <v>4164</v>
      </c>
      <c r="G3696">
        <f t="shared" ca="1" si="140"/>
        <v>625</v>
      </c>
      <c r="H3696" t="s">
        <v>888</v>
      </c>
    </row>
    <row r="3697" spans="1:8">
      <c r="A3697" t="str">
        <f t="shared" si="141"/>
        <v>همداننهاوند</v>
      </c>
      <c r="B3697" t="s">
        <v>297</v>
      </c>
      <c r="C3697" t="s">
        <v>301</v>
      </c>
      <c r="D3697" t="s">
        <v>24</v>
      </c>
      <c r="E3697">
        <f t="shared" ca="1" si="142"/>
        <v>6.0919655959445443E-2</v>
      </c>
      <c r="F3697">
        <f>IFERROR(VLOOKUP(H3697,ProfessionalRisk!A:I,9,0),0)</f>
        <v>2354</v>
      </c>
      <c r="G3697">
        <f t="shared" ca="1" si="140"/>
        <v>143</v>
      </c>
      <c r="H3697" t="s">
        <v>879</v>
      </c>
    </row>
    <row r="3698" spans="1:8">
      <c r="A3698" t="str">
        <f t="shared" si="141"/>
        <v>همدانهمدان</v>
      </c>
      <c r="B3698" t="s">
        <v>297</v>
      </c>
      <c r="C3698" t="s">
        <v>297</v>
      </c>
      <c r="D3698" t="s">
        <v>24</v>
      </c>
      <c r="E3698">
        <f t="shared" ca="1" si="142"/>
        <v>4.2605915899013726E-2</v>
      </c>
      <c r="F3698">
        <f>IFERROR(VLOOKUP(H3698,ProfessionalRisk!A:I,9,0),0)</f>
        <v>14759</v>
      </c>
      <c r="G3698">
        <f t="shared" ca="1" si="140"/>
        <v>629</v>
      </c>
      <c r="H3698" t="s">
        <v>882</v>
      </c>
    </row>
    <row r="3699" spans="1:8">
      <c r="A3699" t="str">
        <f t="shared" si="141"/>
        <v>همدانكبودرآهنگ</v>
      </c>
      <c r="B3699" t="s">
        <v>297</v>
      </c>
      <c r="C3699" t="s">
        <v>302</v>
      </c>
      <c r="D3699" t="s">
        <v>24</v>
      </c>
      <c r="E3699">
        <f t="shared" ca="1" si="142"/>
        <v>0.17980614583604326</v>
      </c>
      <c r="F3699">
        <f>IFERROR(VLOOKUP(H3699,ProfessionalRisk!A:I,9,0),0)</f>
        <v>1412</v>
      </c>
      <c r="G3699">
        <f t="shared" ca="1" si="140"/>
        <v>254</v>
      </c>
      <c r="H3699" t="s">
        <v>886</v>
      </c>
    </row>
    <row r="3700" spans="1:8">
      <c r="A3700" t="str">
        <f t="shared" si="141"/>
        <v>همداناسداباد</v>
      </c>
      <c r="B3700" t="s">
        <v>297</v>
      </c>
      <c r="C3700" t="s">
        <v>303</v>
      </c>
      <c r="D3700" t="s">
        <v>24</v>
      </c>
      <c r="E3700">
        <f t="shared" ca="1" si="142"/>
        <v>0.19289821423779363</v>
      </c>
      <c r="F3700">
        <f>IFERROR(VLOOKUP(H3700,ProfessionalRisk!A:I,9,0),0)</f>
        <v>1192</v>
      </c>
      <c r="G3700">
        <f t="shared" ca="1" si="140"/>
        <v>230</v>
      </c>
      <c r="H3700" t="s">
        <v>880</v>
      </c>
    </row>
    <row r="3701" spans="1:8">
      <c r="A3701" t="str">
        <f t="shared" si="141"/>
        <v>همدانبهار</v>
      </c>
      <c r="B3701" t="s">
        <v>297</v>
      </c>
      <c r="C3701" t="s">
        <v>304</v>
      </c>
      <c r="D3701" t="s">
        <v>24</v>
      </c>
      <c r="E3701">
        <f t="shared" ca="1" si="142"/>
        <v>8.4672184955208347E-3</v>
      </c>
      <c r="F3701">
        <f>IFERROR(VLOOKUP(H3701,ProfessionalRisk!A:I,9,0),0)</f>
        <v>1151</v>
      </c>
      <c r="G3701">
        <f t="shared" ca="1" si="140"/>
        <v>10</v>
      </c>
      <c r="H3701" t="s">
        <v>887</v>
      </c>
    </row>
    <row r="3702" spans="1:8">
      <c r="A3702" t="str">
        <f t="shared" si="141"/>
        <v>همدانرزن</v>
      </c>
      <c r="B3702" t="s">
        <v>297</v>
      </c>
      <c r="C3702" t="s">
        <v>305</v>
      </c>
      <c r="D3702" t="s">
        <v>24</v>
      </c>
      <c r="E3702">
        <f t="shared" ca="1" si="142"/>
        <v>5.1704391832049737E-2</v>
      </c>
      <c r="F3702">
        <f>IFERROR(VLOOKUP(H3702,ProfessionalRisk!A:I,9,0),0)</f>
        <v>1378</v>
      </c>
      <c r="G3702">
        <f t="shared" ca="1" si="140"/>
        <v>71</v>
      </c>
      <c r="H3702" t="s">
        <v>885</v>
      </c>
    </row>
    <row r="3703" spans="1:8">
      <c r="A3703" t="str">
        <f t="shared" si="141"/>
        <v>همدانفامنين</v>
      </c>
      <c r="B3703" t="s">
        <v>297</v>
      </c>
      <c r="C3703" t="s">
        <v>307</v>
      </c>
      <c r="D3703" t="s">
        <v>24</v>
      </c>
      <c r="E3703">
        <f t="shared" ca="1" si="142"/>
        <v>7.774292869439868E-2</v>
      </c>
      <c r="F3703">
        <f>IFERROR(VLOOKUP(H3703,ProfessionalRisk!A:I,9,0),0)</f>
        <v>536</v>
      </c>
      <c r="G3703">
        <f t="shared" ca="1" si="140"/>
        <v>42</v>
      </c>
      <c r="H3703" t="s">
        <v>884</v>
      </c>
    </row>
    <row r="3704" spans="1:8">
      <c r="A3704" t="str">
        <f t="shared" si="141"/>
        <v>چهارمحال وبختيارئبروجن</v>
      </c>
      <c r="B3704" t="s">
        <v>306</v>
      </c>
      <c r="C3704" t="s">
        <v>308</v>
      </c>
      <c r="D3704" t="s">
        <v>24</v>
      </c>
      <c r="E3704">
        <f t="shared" ca="1" si="142"/>
        <v>4.4174628093934444E-2</v>
      </c>
      <c r="F3704">
        <f>IFERROR(VLOOKUP(H3704,ProfessionalRisk!A:I,9,0),0)</f>
        <v>2034</v>
      </c>
      <c r="G3704">
        <f t="shared" ca="1" si="140"/>
        <v>90</v>
      </c>
      <c r="H3704" t="s">
        <v>889</v>
      </c>
    </row>
    <row r="3705" spans="1:8">
      <c r="A3705" t="str">
        <f t="shared" si="141"/>
        <v>چهارمحال وبختيارئشهركرد</v>
      </c>
      <c r="B3705" t="s">
        <v>306</v>
      </c>
      <c r="C3705" t="s">
        <v>309</v>
      </c>
      <c r="D3705" t="s">
        <v>24</v>
      </c>
      <c r="E3705">
        <f t="shared" ca="1" si="142"/>
        <v>7.1542678953231076E-2</v>
      </c>
      <c r="F3705">
        <f>IFERROR(VLOOKUP(H3705,ProfessionalRisk!A:I,9,0),0)</f>
        <v>7685</v>
      </c>
      <c r="G3705">
        <f t="shared" ca="1" si="140"/>
        <v>550</v>
      </c>
      <c r="H3705" t="s">
        <v>892</v>
      </c>
    </row>
    <row r="3706" spans="1:8">
      <c r="A3706" t="str">
        <f t="shared" si="141"/>
        <v>چهارمحال وبختيارئفارسان</v>
      </c>
      <c r="B3706" t="s">
        <v>306</v>
      </c>
      <c r="C3706" t="s">
        <v>310</v>
      </c>
      <c r="D3706" t="s">
        <v>24</v>
      </c>
      <c r="E3706">
        <f t="shared" ca="1" si="142"/>
        <v>7.7220364473457176E-2</v>
      </c>
      <c r="F3706">
        <f>IFERROR(VLOOKUP(H3706,ProfessionalRisk!A:I,9,0),0)</f>
        <v>2095</v>
      </c>
      <c r="G3706">
        <f t="shared" ca="1" si="140"/>
        <v>162</v>
      </c>
      <c r="H3706" t="s">
        <v>897</v>
      </c>
    </row>
    <row r="3707" spans="1:8">
      <c r="A3707" t="str">
        <f t="shared" si="141"/>
        <v>چهارمحال وبختيارئلردگان</v>
      </c>
      <c r="B3707" t="s">
        <v>306</v>
      </c>
      <c r="C3707" t="s">
        <v>311</v>
      </c>
      <c r="D3707" t="s">
        <v>24</v>
      </c>
      <c r="E3707">
        <f t="shared" ca="1" si="142"/>
        <v>9.4112153378044627E-2</v>
      </c>
      <c r="F3707">
        <f>IFERROR(VLOOKUP(H3707,ProfessionalRisk!A:I,9,0),0)</f>
        <v>2508</v>
      </c>
      <c r="G3707">
        <f t="shared" ca="1" si="140"/>
        <v>236</v>
      </c>
      <c r="H3707" t="s">
        <v>898</v>
      </c>
    </row>
    <row r="3708" spans="1:8">
      <c r="A3708" t="str">
        <f t="shared" si="141"/>
        <v>چهارمحال وبختيارئاردل</v>
      </c>
      <c r="B3708" t="s">
        <v>306</v>
      </c>
      <c r="C3708" t="s">
        <v>312</v>
      </c>
      <c r="D3708" t="s">
        <v>24</v>
      </c>
      <c r="E3708">
        <f t="shared" ca="1" si="142"/>
        <v>0.13567946066360967</v>
      </c>
      <c r="F3708">
        <f>IFERROR(VLOOKUP(H3708,ProfessionalRisk!A:I,9,0),0)</f>
        <v>784</v>
      </c>
      <c r="G3708">
        <f t="shared" ca="1" si="140"/>
        <v>106</v>
      </c>
      <c r="H3708" t="s">
        <v>893</v>
      </c>
    </row>
    <row r="3709" spans="1:8">
      <c r="A3709" t="str">
        <f t="shared" si="141"/>
        <v>چهارمحال وبختيارئكوهرنگ</v>
      </c>
      <c r="B3709" t="s">
        <v>306</v>
      </c>
      <c r="C3709" t="s">
        <v>313</v>
      </c>
      <c r="D3709" t="s">
        <v>24</v>
      </c>
      <c r="E3709">
        <f t="shared" ca="1" si="142"/>
        <v>0.10294306223819781</v>
      </c>
      <c r="F3709">
        <f>IFERROR(VLOOKUP(H3709,ProfessionalRisk!A:I,9,0),0)</f>
        <v>539</v>
      </c>
      <c r="G3709">
        <f t="shared" ca="1" si="140"/>
        <v>55</v>
      </c>
      <c r="H3709" t="s">
        <v>894</v>
      </c>
    </row>
    <row r="3710" spans="1:8">
      <c r="A3710" t="str">
        <f t="shared" si="141"/>
        <v>چهارمحال وبختيارئكيار</v>
      </c>
      <c r="B3710" t="s">
        <v>306</v>
      </c>
      <c r="C3710" t="s">
        <v>314</v>
      </c>
      <c r="D3710" t="s">
        <v>24</v>
      </c>
      <c r="E3710">
        <f t="shared" ca="1" si="142"/>
        <v>9.0695907391876746E-2</v>
      </c>
      <c r="F3710">
        <f>IFERROR(VLOOKUP(H3710,ProfessionalRisk!A:I,9,0),0)</f>
        <v>771</v>
      </c>
      <c r="G3710">
        <f t="shared" ca="1" si="140"/>
        <v>70</v>
      </c>
      <c r="H3710" t="s">
        <v>896</v>
      </c>
    </row>
    <row r="3711" spans="1:8">
      <c r="A3711" t="str">
        <f t="shared" si="141"/>
        <v>چهارمحال وبختيارئسامان</v>
      </c>
      <c r="B3711" t="s">
        <v>306</v>
      </c>
      <c r="C3711" t="s">
        <v>315</v>
      </c>
      <c r="D3711" t="s">
        <v>24</v>
      </c>
      <c r="E3711">
        <f t="shared" ca="1" si="142"/>
        <v>4.4531992981793338E-4</v>
      </c>
      <c r="F3711">
        <f>IFERROR(VLOOKUP(H3711,ProfessionalRisk!A:I,9,0),0)</f>
        <v>612</v>
      </c>
      <c r="G3711">
        <f t="shared" ca="1" si="140"/>
        <v>0</v>
      </c>
      <c r="H3711" t="s">
        <v>891</v>
      </c>
    </row>
    <row r="3712" spans="1:8">
      <c r="A3712" t="str">
        <f t="shared" si="141"/>
        <v>چهارمحال وبختيارئبن</v>
      </c>
      <c r="B3712" t="s">
        <v>306</v>
      </c>
      <c r="C3712" t="s">
        <v>317</v>
      </c>
      <c r="D3712" t="s">
        <v>24</v>
      </c>
      <c r="E3712">
        <f t="shared" ca="1" si="142"/>
        <v>1.008485981287819E-2</v>
      </c>
      <c r="F3712">
        <f>IFERROR(VLOOKUP(H3712,ProfessionalRisk!A:I,9,0),0)</f>
        <v>472</v>
      </c>
      <c r="G3712">
        <f t="shared" ca="1" si="140"/>
        <v>5</v>
      </c>
      <c r="H3712" t="s">
        <v>895</v>
      </c>
    </row>
    <row r="3713" spans="1:8">
      <c r="A3713" t="str">
        <f t="shared" si="141"/>
        <v>لرستاناليگودرز</v>
      </c>
      <c r="B3713" t="s">
        <v>316</v>
      </c>
      <c r="C3713" t="s">
        <v>318</v>
      </c>
      <c r="D3713" t="s">
        <v>24</v>
      </c>
      <c r="E3713">
        <f t="shared" ca="1" si="142"/>
        <v>6.4685133668342096E-2</v>
      </c>
      <c r="F3713">
        <f>IFERROR(VLOOKUP(H3713,ProfessionalRisk!A:I,9,0),0)</f>
        <v>1976</v>
      </c>
      <c r="G3713">
        <f t="shared" ca="1" si="140"/>
        <v>128</v>
      </c>
      <c r="H3713" t="s">
        <v>823</v>
      </c>
    </row>
    <row r="3714" spans="1:8">
      <c r="A3714" t="str">
        <f t="shared" si="141"/>
        <v>لرستانبروجرد</v>
      </c>
      <c r="B3714" t="s">
        <v>316</v>
      </c>
      <c r="C3714" t="s">
        <v>319</v>
      </c>
      <c r="D3714" t="s">
        <v>24</v>
      </c>
      <c r="E3714">
        <f t="shared" ca="1" si="142"/>
        <v>0.12208673842928514</v>
      </c>
      <c r="F3714">
        <f>IFERROR(VLOOKUP(H3714,ProfessionalRisk!A:I,9,0),0)</f>
        <v>4034</v>
      </c>
      <c r="G3714">
        <f t="shared" ca="1" si="140"/>
        <v>492</v>
      </c>
      <c r="H3714" t="s">
        <v>820</v>
      </c>
    </row>
    <row r="3715" spans="1:8">
      <c r="A3715" t="str">
        <f t="shared" si="141"/>
        <v>لرستانخرم آباد</v>
      </c>
      <c r="B3715" t="s">
        <v>316</v>
      </c>
      <c r="C3715" t="s">
        <v>320</v>
      </c>
      <c r="D3715" t="s">
        <v>24</v>
      </c>
      <c r="E3715">
        <f t="shared" ca="1" si="142"/>
        <v>9.3803608251457286E-3</v>
      </c>
      <c r="F3715">
        <f>IFERROR(VLOOKUP(H3715,ProfessionalRisk!A:I,9,0),0)</f>
        <v>2293</v>
      </c>
      <c r="G3715">
        <f t="shared" ref="G3715:G3778" ca="1" si="143">IFERROR(ROUND(F3715*E3715,0),0)</f>
        <v>22</v>
      </c>
      <c r="H3715" t="s">
        <v>821</v>
      </c>
    </row>
    <row r="3716" spans="1:8">
      <c r="A3716" t="str">
        <f t="shared" si="141"/>
        <v>لرستاندلفان</v>
      </c>
      <c r="B3716" t="s">
        <v>316</v>
      </c>
      <c r="C3716" t="s">
        <v>321</v>
      </c>
      <c r="D3716" t="s">
        <v>24</v>
      </c>
      <c r="E3716">
        <f t="shared" ca="1" si="142"/>
        <v>0.13144933376113582</v>
      </c>
      <c r="F3716">
        <f>IFERROR(VLOOKUP(H3716,ProfessionalRisk!A:I,9,0),0)</f>
        <v>1581</v>
      </c>
      <c r="G3716">
        <f t="shared" ca="1" si="143"/>
        <v>208</v>
      </c>
      <c r="H3716" t="s">
        <v>822</v>
      </c>
    </row>
    <row r="3717" spans="1:8">
      <c r="A3717" t="str">
        <f t="shared" si="141"/>
        <v>لرستاندورود</v>
      </c>
      <c r="B3717" t="s">
        <v>316</v>
      </c>
      <c r="C3717" t="s">
        <v>322</v>
      </c>
      <c r="D3717" t="s">
        <v>24</v>
      </c>
      <c r="E3717">
        <f t="shared" ca="1" si="142"/>
        <v>2.1739063701150731E-2</v>
      </c>
      <c r="F3717">
        <f>IFERROR(VLOOKUP(H3717,ProfessionalRisk!A:I,9,0),0)</f>
        <v>1856</v>
      </c>
      <c r="G3717">
        <f t="shared" ca="1" si="143"/>
        <v>40</v>
      </c>
      <c r="H3717" t="s">
        <v>814</v>
      </c>
    </row>
    <row r="3718" spans="1:8">
      <c r="A3718" t="str">
        <f t="shared" si="141"/>
        <v>لرستانکوهدشت</v>
      </c>
      <c r="B3718" t="s">
        <v>316</v>
      </c>
      <c r="C3718" t="s">
        <v>323</v>
      </c>
      <c r="D3718" t="s">
        <v>24</v>
      </c>
      <c r="E3718">
        <f t="shared" ca="1" si="142"/>
        <v>0.18518536336671362</v>
      </c>
      <c r="F3718">
        <f>IFERROR(VLOOKUP(H3718,ProfessionalRisk!A:I,9,0),0)</f>
        <v>1598</v>
      </c>
      <c r="G3718">
        <f t="shared" ca="1" si="143"/>
        <v>296</v>
      </c>
      <c r="H3718" t="s">
        <v>818</v>
      </c>
    </row>
    <row r="3719" spans="1:8">
      <c r="A3719" t="str">
        <f t="shared" si="141"/>
        <v>لرستانازنا</v>
      </c>
      <c r="B3719" t="s">
        <v>316</v>
      </c>
      <c r="C3719" t="s">
        <v>324</v>
      </c>
      <c r="D3719" t="s">
        <v>24</v>
      </c>
      <c r="E3719">
        <f t="shared" ca="1" si="142"/>
        <v>5.1546150552948117E-2</v>
      </c>
      <c r="F3719">
        <f>IFERROR(VLOOKUP(H3719,ProfessionalRisk!A:I,9,0),0)</f>
        <v>1018</v>
      </c>
      <c r="G3719">
        <f t="shared" ca="1" si="143"/>
        <v>52</v>
      </c>
      <c r="H3719" t="s">
        <v>825</v>
      </c>
    </row>
    <row r="3720" spans="1:8">
      <c r="A3720" t="str">
        <f t="shared" si="141"/>
        <v>لرستانپلدختر</v>
      </c>
      <c r="B3720" t="s">
        <v>316</v>
      </c>
      <c r="C3720" t="s">
        <v>325</v>
      </c>
      <c r="D3720" t="s">
        <v>24</v>
      </c>
      <c r="E3720">
        <f t="shared" ca="1" si="142"/>
        <v>0.12080129643746867</v>
      </c>
      <c r="F3720">
        <f>IFERROR(VLOOKUP(H3720,ProfessionalRisk!A:I,9,0),0)</f>
        <v>1062</v>
      </c>
      <c r="G3720">
        <f t="shared" ca="1" si="143"/>
        <v>128</v>
      </c>
      <c r="H3720" t="s">
        <v>824</v>
      </c>
    </row>
    <row r="3721" spans="1:8">
      <c r="A3721" t="str">
        <f t="shared" si="141"/>
        <v>لرستانسلسله</v>
      </c>
      <c r="B3721" t="s">
        <v>316</v>
      </c>
      <c r="C3721" t="s">
        <v>326</v>
      </c>
      <c r="D3721" t="s">
        <v>24</v>
      </c>
      <c r="E3721">
        <f t="shared" ca="1" si="142"/>
        <v>5.7730333139584871E-3</v>
      </c>
      <c r="F3721">
        <f>IFERROR(VLOOKUP(H3721,ProfessionalRisk!A:I,9,0),0)</f>
        <v>1021</v>
      </c>
      <c r="G3721">
        <f t="shared" ca="1" si="143"/>
        <v>6</v>
      </c>
      <c r="H3721" t="s">
        <v>826</v>
      </c>
    </row>
    <row r="3722" spans="1:8">
      <c r="A3722" t="str">
        <f t="shared" si="141"/>
        <v>لرستاندوره</v>
      </c>
      <c r="B3722" t="s">
        <v>316</v>
      </c>
      <c r="C3722" t="s">
        <v>327</v>
      </c>
      <c r="D3722" t="s">
        <v>24</v>
      </c>
      <c r="E3722">
        <f t="shared" ca="1" si="142"/>
        <v>0.13991934127844188</v>
      </c>
      <c r="F3722">
        <f>IFERROR(VLOOKUP(H3722,ProfessionalRisk!A:I,9,0),0)</f>
        <v>565</v>
      </c>
      <c r="G3722">
        <f t="shared" ca="1" si="143"/>
        <v>79</v>
      </c>
      <c r="H3722" t="s">
        <v>815</v>
      </c>
    </row>
    <row r="3723" spans="1:8">
      <c r="A3723" t="str">
        <f t="shared" si="141"/>
        <v>لرستانرومشکان</v>
      </c>
      <c r="B3723" t="s">
        <v>316</v>
      </c>
      <c r="C3723" t="s">
        <v>329</v>
      </c>
      <c r="D3723" t="s">
        <v>24</v>
      </c>
      <c r="E3723">
        <f t="shared" ca="1" si="142"/>
        <v>0.13476267985884818</v>
      </c>
      <c r="F3723">
        <f>IFERROR(VLOOKUP(H3723,ProfessionalRisk!A:I,9,0),0)</f>
        <v>486</v>
      </c>
      <c r="G3723">
        <f t="shared" ca="1" si="143"/>
        <v>65</v>
      </c>
      <c r="H3723" t="s">
        <v>816</v>
      </c>
    </row>
    <row r="3724" spans="1:8">
      <c r="A3724" t="str">
        <f t="shared" si="141"/>
        <v>ايلامايلام</v>
      </c>
      <c r="B3724" t="s">
        <v>328</v>
      </c>
      <c r="C3724" t="s">
        <v>328</v>
      </c>
      <c r="D3724" t="s">
        <v>24</v>
      </c>
      <c r="E3724">
        <f t="shared" ca="1" si="142"/>
        <v>0.19002402151911479</v>
      </c>
      <c r="F3724">
        <f>IFERROR(VLOOKUP(H3724,ProfessionalRisk!A:I,9,0),0)</f>
        <v>4799</v>
      </c>
      <c r="G3724">
        <f t="shared" ca="1" si="143"/>
        <v>912</v>
      </c>
      <c r="H3724" t="s">
        <v>621</v>
      </c>
    </row>
    <row r="3725" spans="1:8">
      <c r="A3725" t="str">
        <f t="shared" si="141"/>
        <v>ايلامدره شهر</v>
      </c>
      <c r="B3725" t="s">
        <v>328</v>
      </c>
      <c r="C3725" t="s">
        <v>330</v>
      </c>
      <c r="D3725" t="s">
        <v>24</v>
      </c>
      <c r="E3725">
        <f t="shared" ca="1" si="142"/>
        <v>0.10252632371930877</v>
      </c>
      <c r="F3725">
        <f>IFERROR(VLOOKUP(H3725,ProfessionalRisk!A:I,9,0),0)</f>
        <v>292</v>
      </c>
      <c r="G3725">
        <f t="shared" ca="1" si="143"/>
        <v>30</v>
      </c>
      <c r="H3725" t="s">
        <v>613</v>
      </c>
    </row>
    <row r="3726" spans="1:8">
      <c r="A3726" t="str">
        <f t="shared" si="141"/>
        <v>ايلامدهلران</v>
      </c>
      <c r="B3726" t="s">
        <v>328</v>
      </c>
      <c r="C3726" t="s">
        <v>331</v>
      </c>
      <c r="D3726" t="s">
        <v>24</v>
      </c>
      <c r="E3726">
        <f t="shared" ca="1" si="142"/>
        <v>0.16998576780413011</v>
      </c>
      <c r="F3726">
        <f>IFERROR(VLOOKUP(H3726,ProfessionalRisk!A:I,9,0),0)</f>
        <v>842</v>
      </c>
      <c r="G3726">
        <f t="shared" ca="1" si="143"/>
        <v>143</v>
      </c>
      <c r="H3726" t="s">
        <v>610</v>
      </c>
    </row>
    <row r="3727" spans="1:8">
      <c r="A3727" t="str">
        <f t="shared" si="141"/>
        <v>ايلامچرداول</v>
      </c>
      <c r="B3727" t="s">
        <v>328</v>
      </c>
      <c r="C3727" t="s">
        <v>332</v>
      </c>
      <c r="D3727" t="s">
        <v>24</v>
      </c>
      <c r="E3727">
        <f t="shared" ca="1" si="142"/>
        <v>0.16922723512006657</v>
      </c>
      <c r="F3727">
        <f>IFERROR(VLOOKUP(H3727,ProfessionalRisk!A:I,9,0),0)</f>
        <v>869</v>
      </c>
      <c r="G3727">
        <f t="shared" ca="1" si="143"/>
        <v>147</v>
      </c>
      <c r="H3727" t="s">
        <v>612</v>
      </c>
    </row>
    <row r="3728" spans="1:8">
      <c r="A3728" t="str">
        <f t="shared" si="141"/>
        <v>ايلاممهران</v>
      </c>
      <c r="B3728" t="s">
        <v>328</v>
      </c>
      <c r="C3728" t="s">
        <v>333</v>
      </c>
      <c r="D3728" t="s">
        <v>24</v>
      </c>
      <c r="E3728">
        <f t="shared" ca="1" si="142"/>
        <v>7.4867233152344712E-2</v>
      </c>
      <c r="F3728">
        <f>IFERROR(VLOOKUP(H3728,ProfessionalRisk!A:I,9,0),0)</f>
        <v>522</v>
      </c>
      <c r="G3728">
        <f t="shared" ca="1" si="143"/>
        <v>39</v>
      </c>
      <c r="H3728" t="s">
        <v>620</v>
      </c>
    </row>
    <row r="3729" spans="1:8">
      <c r="A3729" t="str">
        <f t="shared" si="141"/>
        <v>ايلامآبدانان</v>
      </c>
      <c r="B3729" t="s">
        <v>328</v>
      </c>
      <c r="C3729" t="s">
        <v>334</v>
      </c>
      <c r="D3729" t="s">
        <v>24</v>
      </c>
      <c r="E3729">
        <f t="shared" ca="1" si="142"/>
        <v>0.16369926729197273</v>
      </c>
      <c r="F3729">
        <f>IFERROR(VLOOKUP(H3729,ProfessionalRisk!A:I,9,0),0)</f>
        <v>665</v>
      </c>
      <c r="G3729">
        <f t="shared" ca="1" si="143"/>
        <v>109</v>
      </c>
      <c r="H3729" t="s">
        <v>616</v>
      </c>
    </row>
    <row r="3730" spans="1:8">
      <c r="A3730" t="str">
        <f t="shared" si="141"/>
        <v>ايلامايوان</v>
      </c>
      <c r="B3730" t="s">
        <v>328</v>
      </c>
      <c r="C3730" t="s">
        <v>335</v>
      </c>
      <c r="D3730" t="s">
        <v>24</v>
      </c>
      <c r="E3730">
        <f t="shared" ca="1" si="142"/>
        <v>5.2325237799682123E-2</v>
      </c>
      <c r="F3730">
        <f>IFERROR(VLOOKUP(H3730,ProfessionalRisk!A:I,9,0),0)</f>
        <v>657</v>
      </c>
      <c r="G3730">
        <f t="shared" ca="1" si="143"/>
        <v>34</v>
      </c>
      <c r="H3730" t="s">
        <v>618</v>
      </c>
    </row>
    <row r="3731" spans="1:8">
      <c r="A3731" t="str">
        <f t="shared" si="141"/>
        <v>ايلامملكشاهي</v>
      </c>
      <c r="B3731" t="s">
        <v>328</v>
      </c>
      <c r="C3731" t="s">
        <v>336</v>
      </c>
      <c r="D3731" t="s">
        <v>24</v>
      </c>
      <c r="E3731">
        <f t="shared" ca="1" si="142"/>
        <v>1.7201505235495709E-2</v>
      </c>
      <c r="F3731">
        <f>IFERROR(VLOOKUP(H3731,ProfessionalRisk!A:I,9,0),0)</f>
        <v>185</v>
      </c>
      <c r="G3731">
        <f t="shared" ca="1" si="143"/>
        <v>3</v>
      </c>
      <c r="H3731" t="s">
        <v>617</v>
      </c>
    </row>
    <row r="3732" spans="1:8">
      <c r="A3732" t="str">
        <f t="shared" si="141"/>
        <v>ايلامسيروان</v>
      </c>
      <c r="B3732" t="s">
        <v>328</v>
      </c>
      <c r="C3732" t="s">
        <v>337</v>
      </c>
      <c r="D3732" t="s">
        <v>24</v>
      </c>
      <c r="E3732">
        <f t="shared" ca="1" si="142"/>
        <v>0.15020090958594101</v>
      </c>
      <c r="F3732">
        <f>IFERROR(VLOOKUP(H3732,ProfessionalRisk!A:I,9,0),0)</f>
        <v>190</v>
      </c>
      <c r="G3732">
        <f t="shared" ca="1" si="143"/>
        <v>29</v>
      </c>
      <c r="H3732" t="s">
        <v>619</v>
      </c>
    </row>
    <row r="3733" spans="1:8">
      <c r="A3733" t="str">
        <f t="shared" si="141"/>
        <v xml:space="preserve">ايلامبدره </v>
      </c>
      <c r="B3733" t="s">
        <v>328</v>
      </c>
      <c r="C3733" t="s">
        <v>339</v>
      </c>
      <c r="D3733" t="s">
        <v>24</v>
      </c>
      <c r="E3733">
        <f t="shared" ca="1" si="142"/>
        <v>0.12403314274835445</v>
      </c>
      <c r="F3733">
        <f>IFERROR(VLOOKUP(H3733,ProfessionalRisk!A:I,9,0),0)</f>
        <v>147</v>
      </c>
      <c r="G3733">
        <f t="shared" ca="1" si="143"/>
        <v>18</v>
      </c>
      <c r="H3733" t="s">
        <v>614</v>
      </c>
    </row>
    <row r="3734" spans="1:8">
      <c r="A3734" t="str">
        <f t="shared" si="141"/>
        <v>كهگيلويه وبويراحمدبويراحمد</v>
      </c>
      <c r="B3734" t="s">
        <v>338</v>
      </c>
      <c r="C3734" t="s">
        <v>340</v>
      </c>
      <c r="D3734" t="s">
        <v>24</v>
      </c>
      <c r="E3734">
        <f t="shared" ca="1" si="142"/>
        <v>0.14798569108417745</v>
      </c>
      <c r="F3734">
        <f>IFERROR(VLOOKUP(H3734,ProfessionalRisk!A:I,9,0),0)</f>
        <v>2586</v>
      </c>
      <c r="G3734">
        <f t="shared" ca="1" si="143"/>
        <v>383</v>
      </c>
      <c r="H3734" t="s">
        <v>953</v>
      </c>
    </row>
    <row r="3735" spans="1:8">
      <c r="A3735" t="str">
        <f t="shared" si="141"/>
        <v>كهگيلويه وبويراحمدكهگيلويه</v>
      </c>
      <c r="B3735" t="s">
        <v>338</v>
      </c>
      <c r="C3735" t="s">
        <v>341</v>
      </c>
      <c r="D3735" t="s">
        <v>24</v>
      </c>
      <c r="E3735">
        <f t="shared" ca="1" si="142"/>
        <v>7.3748692732992435E-2</v>
      </c>
      <c r="F3735">
        <f>IFERROR(VLOOKUP(H3735,ProfessionalRisk!A:I,9,0),0)</f>
        <v>2429</v>
      </c>
      <c r="G3735">
        <f t="shared" ca="1" si="143"/>
        <v>179</v>
      </c>
      <c r="H3735" t="s">
        <v>954</v>
      </c>
    </row>
    <row r="3736" spans="1:8">
      <c r="A3736" t="str">
        <f t="shared" si="141"/>
        <v>كهگيلويه وبويراحمدگچساران</v>
      </c>
      <c r="B3736" t="s">
        <v>338</v>
      </c>
      <c r="C3736" t="s">
        <v>342</v>
      </c>
      <c r="D3736" t="s">
        <v>24</v>
      </c>
      <c r="E3736">
        <f t="shared" ca="1" si="142"/>
        <v>0.10367333266437109</v>
      </c>
      <c r="F3736">
        <f>IFERROR(VLOOKUP(H3736,ProfessionalRisk!A:I,9,0),0)</f>
        <v>2342</v>
      </c>
      <c r="G3736">
        <f t="shared" ca="1" si="143"/>
        <v>243</v>
      </c>
      <c r="H3736" t="s">
        <v>949</v>
      </c>
    </row>
    <row r="3737" spans="1:8">
      <c r="A3737" t="str">
        <f t="shared" si="141"/>
        <v>كهگيلويه وبويراحمددنا</v>
      </c>
      <c r="B3737" t="s">
        <v>338</v>
      </c>
      <c r="C3737" t="s">
        <v>343</v>
      </c>
      <c r="D3737" t="s">
        <v>24</v>
      </c>
      <c r="E3737">
        <f t="shared" ca="1" si="142"/>
        <v>7.6634238172896149E-2</v>
      </c>
      <c r="F3737">
        <f>IFERROR(VLOOKUP(H3737,ProfessionalRisk!A:I,9,0),0)</f>
        <v>480</v>
      </c>
      <c r="G3737">
        <f t="shared" ca="1" si="143"/>
        <v>37</v>
      </c>
      <c r="H3737" t="s">
        <v>952</v>
      </c>
    </row>
    <row r="3738" spans="1:8">
      <c r="A3738" t="str">
        <f t="shared" si="141"/>
        <v>كهگيلويه وبويراحمدبهمئي</v>
      </c>
      <c r="B3738" t="s">
        <v>338</v>
      </c>
      <c r="C3738" t="s">
        <v>344</v>
      </c>
      <c r="D3738" t="s">
        <v>24</v>
      </c>
      <c r="E3738">
        <f t="shared" ca="1" si="142"/>
        <v>0.11367322514177843</v>
      </c>
      <c r="F3738">
        <f>IFERROR(VLOOKUP(H3738,ProfessionalRisk!A:I,9,0),0)</f>
        <v>466</v>
      </c>
      <c r="G3738">
        <f t="shared" ca="1" si="143"/>
        <v>53</v>
      </c>
      <c r="H3738" t="s">
        <v>958</v>
      </c>
    </row>
    <row r="3739" spans="1:8">
      <c r="A3739" t="str">
        <f t="shared" si="141"/>
        <v>كهگيلويه وبويراحمدچرام</v>
      </c>
      <c r="B3739" t="s">
        <v>338</v>
      </c>
      <c r="C3739" t="s">
        <v>345</v>
      </c>
      <c r="D3739" t="s">
        <v>24</v>
      </c>
      <c r="E3739">
        <f t="shared" ca="1" si="142"/>
        <v>8.6834578207820923E-2</v>
      </c>
      <c r="F3739">
        <f>IFERROR(VLOOKUP(H3739,ProfessionalRisk!A:I,9,0),0)</f>
        <v>293</v>
      </c>
      <c r="G3739">
        <f t="shared" ca="1" si="143"/>
        <v>25</v>
      </c>
      <c r="H3739" t="s">
        <v>951</v>
      </c>
    </row>
    <row r="3740" spans="1:8">
      <c r="A3740" t="str">
        <f t="shared" si="141"/>
        <v>كهگيلويه وبويراحمدباشت</v>
      </c>
      <c r="B3740" t="s">
        <v>338</v>
      </c>
      <c r="C3740" t="s">
        <v>346</v>
      </c>
      <c r="D3740" t="s">
        <v>24</v>
      </c>
      <c r="E3740">
        <f t="shared" ca="1" si="142"/>
        <v>0.1706563669390494</v>
      </c>
      <c r="F3740">
        <f>IFERROR(VLOOKUP(H3740,ProfessionalRisk!A:I,9,0),0)</f>
        <v>266</v>
      </c>
      <c r="G3740">
        <f t="shared" ca="1" si="143"/>
        <v>45</v>
      </c>
      <c r="H3740" t="s">
        <v>955</v>
      </c>
    </row>
    <row r="3741" spans="1:8">
      <c r="A3741" t="str">
        <f t="shared" si="141"/>
        <v xml:space="preserve">كهگيلويه وبويراحمدلنده </v>
      </c>
      <c r="B3741" t="s">
        <v>338</v>
      </c>
      <c r="C3741" t="s">
        <v>348</v>
      </c>
      <c r="D3741" t="s">
        <v>24</v>
      </c>
      <c r="E3741">
        <f t="shared" ca="1" si="142"/>
        <v>3.7461206476677812E-2</v>
      </c>
      <c r="F3741">
        <f>IFERROR(VLOOKUP(H3741,ProfessionalRisk!A:I,9,0),0)</f>
        <v>303</v>
      </c>
      <c r="G3741">
        <f t="shared" ca="1" si="143"/>
        <v>11</v>
      </c>
      <c r="H3741" t="s">
        <v>956</v>
      </c>
    </row>
    <row r="3742" spans="1:8">
      <c r="A3742" t="str">
        <f t="shared" si="141"/>
        <v>بوشهربوشهر</v>
      </c>
      <c r="B3742" t="s">
        <v>347</v>
      </c>
      <c r="C3742" t="s">
        <v>347</v>
      </c>
      <c r="D3742" t="s">
        <v>24</v>
      </c>
      <c r="E3742">
        <f t="shared" ca="1" si="142"/>
        <v>7.6421498241477065E-2</v>
      </c>
      <c r="F3742">
        <f>IFERROR(VLOOKUP(H3742,ProfessionalRisk!A:I,9,0),0)</f>
        <v>6150</v>
      </c>
      <c r="G3742">
        <f t="shared" ca="1" si="143"/>
        <v>470</v>
      </c>
      <c r="H3742" t="s">
        <v>633</v>
      </c>
    </row>
    <row r="3743" spans="1:8">
      <c r="A3743" t="str">
        <f t="shared" si="141"/>
        <v>بوشهرتنگستان</v>
      </c>
      <c r="B3743" t="s">
        <v>347</v>
      </c>
      <c r="C3743" t="s">
        <v>349</v>
      </c>
      <c r="D3743" t="s">
        <v>24</v>
      </c>
      <c r="E3743">
        <f t="shared" ca="1" si="142"/>
        <v>0.1881386457554389</v>
      </c>
      <c r="F3743">
        <f>IFERROR(VLOOKUP(H3743,ProfessionalRisk!A:I,9,0),0)</f>
        <v>935</v>
      </c>
      <c r="G3743">
        <f t="shared" ca="1" si="143"/>
        <v>176</v>
      </c>
      <c r="H3743" t="s">
        <v>625</v>
      </c>
    </row>
    <row r="3744" spans="1:8">
      <c r="A3744" t="str">
        <f t="shared" si="141"/>
        <v>بوشهردشتستان</v>
      </c>
      <c r="B3744" t="s">
        <v>347</v>
      </c>
      <c r="C3744" t="s">
        <v>350</v>
      </c>
      <c r="D3744" t="s">
        <v>24</v>
      </c>
      <c r="E3744">
        <f t="shared" ca="1" si="142"/>
        <v>0.13699316443729981</v>
      </c>
      <c r="F3744">
        <f>IFERROR(VLOOKUP(H3744,ProfessionalRisk!A:I,9,0),0)</f>
        <v>2962</v>
      </c>
      <c r="G3744">
        <f t="shared" ca="1" si="143"/>
        <v>406</v>
      </c>
      <c r="H3744" t="s">
        <v>629</v>
      </c>
    </row>
    <row r="3745" spans="1:8">
      <c r="A3745" t="str">
        <f t="shared" si="141"/>
        <v>بوشهردشتي</v>
      </c>
      <c r="B3745" t="s">
        <v>347</v>
      </c>
      <c r="C3745" t="s">
        <v>351</v>
      </c>
      <c r="D3745" t="s">
        <v>24</v>
      </c>
      <c r="E3745">
        <f t="shared" ca="1" si="142"/>
        <v>0.1013998032455533</v>
      </c>
      <c r="F3745">
        <f>IFERROR(VLOOKUP(H3745,ProfessionalRisk!A:I,9,0),0)</f>
        <v>1191</v>
      </c>
      <c r="G3745">
        <f t="shared" ca="1" si="143"/>
        <v>121</v>
      </c>
      <c r="H3745" t="s">
        <v>624</v>
      </c>
    </row>
    <row r="3746" spans="1:8">
      <c r="A3746" t="str">
        <f t="shared" si="141"/>
        <v>بوشهردير</v>
      </c>
      <c r="B3746" t="s">
        <v>347</v>
      </c>
      <c r="C3746" t="s">
        <v>352</v>
      </c>
      <c r="D3746" t="s">
        <v>24</v>
      </c>
      <c r="E3746">
        <f t="shared" ca="1" si="142"/>
        <v>0.17336699351599749</v>
      </c>
      <c r="F3746">
        <f>IFERROR(VLOOKUP(H3746,ProfessionalRisk!A:I,9,0),0)</f>
        <v>359</v>
      </c>
      <c r="G3746">
        <f t="shared" ca="1" si="143"/>
        <v>62</v>
      </c>
      <c r="H3746" t="s">
        <v>632</v>
      </c>
    </row>
    <row r="3747" spans="1:8">
      <c r="A3747" t="str">
        <f t="shared" si="141"/>
        <v>بوشهركنگان</v>
      </c>
      <c r="B3747" t="s">
        <v>347</v>
      </c>
      <c r="C3747" t="s">
        <v>353</v>
      </c>
      <c r="D3747" t="s">
        <v>24</v>
      </c>
      <c r="E3747">
        <f t="shared" ca="1" si="142"/>
        <v>0.14410825601319779</v>
      </c>
      <c r="F3747">
        <f>IFERROR(VLOOKUP(H3747,ProfessionalRisk!A:I,9,0),0)</f>
        <v>1292</v>
      </c>
      <c r="G3747">
        <f t="shared" ca="1" si="143"/>
        <v>186</v>
      </c>
      <c r="H3747" t="s">
        <v>622</v>
      </c>
    </row>
    <row r="3748" spans="1:8">
      <c r="A3748" t="str">
        <f t="shared" si="141"/>
        <v>بوشهرگناوه</v>
      </c>
      <c r="B3748" t="s">
        <v>347</v>
      </c>
      <c r="C3748" t="s">
        <v>354</v>
      </c>
      <c r="D3748" t="s">
        <v>24</v>
      </c>
      <c r="E3748">
        <f t="shared" ca="1" si="142"/>
        <v>0.12459310691564079</v>
      </c>
      <c r="F3748">
        <f>IFERROR(VLOOKUP(H3748,ProfessionalRisk!A:I,9,0),0)</f>
        <v>1393</v>
      </c>
      <c r="G3748">
        <f t="shared" ca="1" si="143"/>
        <v>174</v>
      </c>
      <c r="H3748" t="s">
        <v>631</v>
      </c>
    </row>
    <row r="3749" spans="1:8">
      <c r="A3749" t="str">
        <f t="shared" si="141"/>
        <v>بوشهرديلم</v>
      </c>
      <c r="B3749" t="s">
        <v>347</v>
      </c>
      <c r="C3749" t="s">
        <v>355</v>
      </c>
      <c r="D3749" t="s">
        <v>24</v>
      </c>
      <c r="E3749">
        <f t="shared" ca="1" si="142"/>
        <v>2.2598112291859086E-2</v>
      </c>
      <c r="F3749">
        <f>IFERROR(VLOOKUP(H3749,ProfessionalRisk!A:I,9,0),0)</f>
        <v>487</v>
      </c>
      <c r="G3749">
        <f t="shared" ca="1" si="143"/>
        <v>11</v>
      </c>
      <c r="H3749" t="s">
        <v>626</v>
      </c>
    </row>
    <row r="3750" spans="1:8">
      <c r="A3750" t="str">
        <f t="shared" si="141"/>
        <v>بوشهرجم</v>
      </c>
      <c r="B3750" t="s">
        <v>347</v>
      </c>
      <c r="C3750" t="s">
        <v>356</v>
      </c>
      <c r="D3750" t="s">
        <v>24</v>
      </c>
      <c r="E3750">
        <f t="shared" ca="1" si="142"/>
        <v>2.5995534641536366E-2</v>
      </c>
      <c r="F3750">
        <f>IFERROR(VLOOKUP(H3750,ProfessionalRisk!A:I,9,0),0)</f>
        <v>679</v>
      </c>
      <c r="G3750">
        <f t="shared" ca="1" si="143"/>
        <v>18</v>
      </c>
      <c r="H3750" t="s">
        <v>630</v>
      </c>
    </row>
    <row r="3751" spans="1:8">
      <c r="A3751" t="str">
        <f t="shared" si="141"/>
        <v xml:space="preserve">بوشهرعسلویه </v>
      </c>
      <c r="B3751" t="s">
        <v>347</v>
      </c>
      <c r="C3751" t="s">
        <v>358</v>
      </c>
      <c r="D3751" t="s">
        <v>24</v>
      </c>
      <c r="E3751">
        <f t="shared" ca="1" si="142"/>
        <v>1.9394040698781881E-2</v>
      </c>
      <c r="F3751">
        <f>IFERROR(VLOOKUP(H3751,ProfessionalRisk!A:I,9,0),0)</f>
        <v>594</v>
      </c>
      <c r="G3751">
        <f t="shared" ca="1" si="143"/>
        <v>12</v>
      </c>
      <c r="H3751" t="s">
        <v>627</v>
      </c>
    </row>
    <row r="3752" spans="1:8">
      <c r="A3752" t="str">
        <f t="shared" si="141"/>
        <v>زنجانابهر</v>
      </c>
      <c r="B3752" t="s">
        <v>357</v>
      </c>
      <c r="C3752" t="s">
        <v>359</v>
      </c>
      <c r="D3752" t="s">
        <v>24</v>
      </c>
      <c r="E3752">
        <f t="shared" ca="1" si="142"/>
        <v>0.18329597229862274</v>
      </c>
      <c r="F3752">
        <f>IFERROR(VLOOKUP(H3752,ProfessionalRisk!A:I,9,0),0)</f>
        <v>3124</v>
      </c>
      <c r="G3752">
        <f t="shared" ca="1" si="143"/>
        <v>573</v>
      </c>
      <c r="H3752" t="s">
        <v>740</v>
      </c>
    </row>
    <row r="3753" spans="1:8">
      <c r="A3753" t="str">
        <f t="shared" si="141"/>
        <v>زنجانخدابنده</v>
      </c>
      <c r="B3753" t="s">
        <v>357</v>
      </c>
      <c r="C3753" t="s">
        <v>360</v>
      </c>
      <c r="D3753" t="s">
        <v>24</v>
      </c>
      <c r="E3753">
        <f t="shared" ca="1" si="142"/>
        <v>0.15149712931431358</v>
      </c>
      <c r="F3753">
        <f>IFERROR(VLOOKUP(H3753,ProfessionalRisk!A:I,9,0),0)</f>
        <v>1960</v>
      </c>
      <c r="G3753">
        <f t="shared" ca="1" si="143"/>
        <v>297</v>
      </c>
      <c r="H3753" t="s">
        <v>746</v>
      </c>
    </row>
    <row r="3754" spans="1:8">
      <c r="A3754" t="str">
        <f t="shared" ref="A3754:A3817" si="144">B3754&amp;C3754</f>
        <v>زنجانزنجان</v>
      </c>
      <c r="B3754" t="s">
        <v>357</v>
      </c>
      <c r="C3754" t="s">
        <v>357</v>
      </c>
      <c r="D3754" t="s">
        <v>24</v>
      </c>
      <c r="E3754">
        <f t="shared" ca="1" si="142"/>
        <v>0.11832950269062524</v>
      </c>
      <c r="F3754">
        <f>IFERROR(VLOOKUP(H3754,ProfessionalRisk!A:I,9,0),0)</f>
        <v>10264</v>
      </c>
      <c r="G3754">
        <f t="shared" ca="1" si="143"/>
        <v>1215</v>
      </c>
      <c r="H3754" t="s">
        <v>739</v>
      </c>
    </row>
    <row r="3755" spans="1:8">
      <c r="A3755" t="str">
        <f t="shared" si="144"/>
        <v>زنجانايجرود</v>
      </c>
      <c r="B3755" t="s">
        <v>357</v>
      </c>
      <c r="C3755" t="s">
        <v>361</v>
      </c>
      <c r="D3755" t="s">
        <v>24</v>
      </c>
      <c r="E3755">
        <f t="shared" ref="E3755:E3818" ca="1" si="145">IF(D3755="AP",0.6,IF(D3755="BP",0.4,RAND()*0.2))</f>
        <v>0.15140092708103989</v>
      </c>
      <c r="F3755">
        <f>IFERROR(VLOOKUP(H3755,ProfessionalRisk!A:I,9,0),0)</f>
        <v>416</v>
      </c>
      <c r="G3755">
        <f t="shared" ca="1" si="143"/>
        <v>63</v>
      </c>
      <c r="H3755" t="s">
        <v>744</v>
      </c>
    </row>
    <row r="3756" spans="1:8">
      <c r="A3756" t="str">
        <f t="shared" si="144"/>
        <v>زنجانخرمدره</v>
      </c>
      <c r="B3756" t="s">
        <v>357</v>
      </c>
      <c r="C3756" t="s">
        <v>362</v>
      </c>
      <c r="D3756" t="s">
        <v>24</v>
      </c>
      <c r="E3756">
        <f t="shared" ca="1" si="145"/>
        <v>1.3103176733414969E-2</v>
      </c>
      <c r="F3756">
        <f>IFERROR(VLOOKUP(H3756,ProfessionalRisk!A:I,9,0),0)</f>
        <v>962</v>
      </c>
      <c r="G3756">
        <f t="shared" ca="1" si="143"/>
        <v>13</v>
      </c>
      <c r="H3756" t="s">
        <v>747</v>
      </c>
    </row>
    <row r="3757" spans="1:8">
      <c r="A3757" t="str">
        <f t="shared" si="144"/>
        <v>زنجانطارم</v>
      </c>
      <c r="B3757" t="s">
        <v>357</v>
      </c>
      <c r="C3757" t="s">
        <v>363</v>
      </c>
      <c r="D3757" t="s">
        <v>24</v>
      </c>
      <c r="E3757">
        <f t="shared" ca="1" si="145"/>
        <v>0.13351726709584333</v>
      </c>
      <c r="F3757">
        <f>IFERROR(VLOOKUP(H3757,ProfessionalRisk!A:I,9,0),0)</f>
        <v>597</v>
      </c>
      <c r="G3757">
        <f t="shared" ca="1" si="143"/>
        <v>80</v>
      </c>
      <c r="H3757" t="s">
        <v>745</v>
      </c>
    </row>
    <row r="3758" spans="1:8">
      <c r="A3758" t="str">
        <f t="shared" si="144"/>
        <v>زنجانماهنشان</v>
      </c>
      <c r="B3758" t="s">
        <v>357</v>
      </c>
      <c r="C3758" t="s">
        <v>364</v>
      </c>
      <c r="D3758" t="s">
        <v>24</v>
      </c>
      <c r="E3758">
        <f t="shared" ca="1" si="145"/>
        <v>9.8862490040206197E-2</v>
      </c>
      <c r="F3758">
        <f>IFERROR(VLOOKUP(H3758,ProfessionalRisk!A:I,9,0),0)</f>
        <v>539</v>
      </c>
      <c r="G3758">
        <f t="shared" ca="1" si="143"/>
        <v>53</v>
      </c>
      <c r="H3758" t="s">
        <v>743</v>
      </c>
    </row>
    <row r="3759" spans="1:8">
      <c r="A3759" t="str">
        <f t="shared" si="144"/>
        <v>زنجانسلطانیه</v>
      </c>
      <c r="B3759" t="s">
        <v>357</v>
      </c>
      <c r="C3759" t="s">
        <v>366</v>
      </c>
      <c r="D3759" t="s">
        <v>24</v>
      </c>
      <c r="E3759">
        <f t="shared" ca="1" si="145"/>
        <v>0.11921763468642654</v>
      </c>
      <c r="F3759">
        <f>IFERROR(VLOOKUP(H3759,ProfessionalRisk!A:I,9,0),0)</f>
        <v>278</v>
      </c>
      <c r="G3759">
        <f t="shared" ca="1" si="143"/>
        <v>33</v>
      </c>
      <c r="H3759" t="s">
        <v>741</v>
      </c>
    </row>
    <row r="3760" spans="1:8">
      <c r="A3760" t="str">
        <f t="shared" si="144"/>
        <v>سمناندامغان</v>
      </c>
      <c r="B3760" t="s">
        <v>365</v>
      </c>
      <c r="C3760" t="s">
        <v>367</v>
      </c>
      <c r="D3760" t="s">
        <v>24</v>
      </c>
      <c r="E3760">
        <f t="shared" ca="1" si="145"/>
        <v>7.3556264499873743E-3</v>
      </c>
      <c r="F3760">
        <f>IFERROR(VLOOKUP(H3760,ProfessionalRisk!A:I,9,0),0)</f>
        <v>1600</v>
      </c>
      <c r="G3760">
        <f t="shared" ca="1" si="143"/>
        <v>12</v>
      </c>
      <c r="H3760" t="s">
        <v>752</v>
      </c>
    </row>
    <row r="3761" spans="1:8">
      <c r="A3761" t="str">
        <f t="shared" si="144"/>
        <v>سمنانسمنان</v>
      </c>
      <c r="B3761" t="s">
        <v>365</v>
      </c>
      <c r="C3761" t="s">
        <v>365</v>
      </c>
      <c r="D3761" t="s">
        <v>24</v>
      </c>
      <c r="E3761">
        <f t="shared" ca="1" si="145"/>
        <v>0.10364462834065138</v>
      </c>
      <c r="F3761">
        <f>IFERROR(VLOOKUP(H3761,ProfessionalRisk!A:I,9,0),0)</f>
        <v>4529</v>
      </c>
      <c r="G3761">
        <f t="shared" ca="1" si="143"/>
        <v>469</v>
      </c>
      <c r="H3761" t="s">
        <v>748</v>
      </c>
    </row>
    <row r="3762" spans="1:8">
      <c r="A3762" t="str">
        <f t="shared" si="144"/>
        <v>سمنانشاهرود</v>
      </c>
      <c r="B3762" t="s">
        <v>365</v>
      </c>
      <c r="C3762" t="s">
        <v>368</v>
      </c>
      <c r="D3762" t="s">
        <v>24</v>
      </c>
      <c r="E3762">
        <f t="shared" ca="1" si="145"/>
        <v>0.15602955502522708</v>
      </c>
      <c r="F3762">
        <f>IFERROR(VLOOKUP(H3762,ProfessionalRisk!A:I,9,0),0)</f>
        <v>5812</v>
      </c>
      <c r="G3762">
        <f t="shared" ca="1" si="143"/>
        <v>907</v>
      </c>
      <c r="H3762" t="s">
        <v>753</v>
      </c>
    </row>
    <row r="3763" spans="1:8">
      <c r="A3763" t="str">
        <f t="shared" si="144"/>
        <v>سمنانگرمسار</v>
      </c>
      <c r="B3763" t="s">
        <v>365</v>
      </c>
      <c r="C3763" t="s">
        <v>369</v>
      </c>
      <c r="D3763" t="s">
        <v>24</v>
      </c>
      <c r="E3763">
        <f t="shared" ca="1" si="145"/>
        <v>0.17110937684354871</v>
      </c>
      <c r="F3763">
        <f>IFERROR(VLOOKUP(H3763,ProfessionalRisk!A:I,9,0),0)</f>
        <v>1290</v>
      </c>
      <c r="G3763">
        <f t="shared" ca="1" si="143"/>
        <v>221</v>
      </c>
      <c r="H3763" t="s">
        <v>755</v>
      </c>
    </row>
    <row r="3764" spans="1:8">
      <c r="A3764" t="str">
        <f t="shared" si="144"/>
        <v>سمنانمهدئ شهر</v>
      </c>
      <c r="B3764" t="s">
        <v>365</v>
      </c>
      <c r="C3764" t="s">
        <v>370</v>
      </c>
      <c r="D3764" t="s">
        <v>24</v>
      </c>
      <c r="E3764">
        <f t="shared" ca="1" si="145"/>
        <v>0.12379128051600125</v>
      </c>
      <c r="F3764">
        <f>IFERROR(VLOOKUP(H3764,ProfessionalRisk!A:I,9,0),0)</f>
        <v>361</v>
      </c>
      <c r="G3764">
        <f t="shared" ca="1" si="143"/>
        <v>45</v>
      </c>
      <c r="H3764" t="s">
        <v>751</v>
      </c>
    </row>
    <row r="3765" spans="1:8">
      <c r="A3765" t="str">
        <f t="shared" si="144"/>
        <v>سمنانآرادان</v>
      </c>
      <c r="B3765" t="s">
        <v>365</v>
      </c>
      <c r="C3765" t="s">
        <v>371</v>
      </c>
      <c r="D3765" t="s">
        <v>24</v>
      </c>
      <c r="E3765">
        <f t="shared" ca="1" si="145"/>
        <v>9.8055788267240762E-2</v>
      </c>
      <c r="F3765">
        <f>IFERROR(VLOOKUP(H3765,ProfessionalRisk!A:I,9,0),0)</f>
        <v>292</v>
      </c>
      <c r="G3765">
        <f t="shared" ca="1" si="143"/>
        <v>29</v>
      </c>
      <c r="H3765" t="s">
        <v>750</v>
      </c>
    </row>
    <row r="3766" spans="1:8">
      <c r="A3766" t="str">
        <f t="shared" si="144"/>
        <v>سمنانميامي</v>
      </c>
      <c r="B3766" t="s">
        <v>365</v>
      </c>
      <c r="C3766" t="s">
        <v>372</v>
      </c>
      <c r="D3766" t="s">
        <v>24</v>
      </c>
      <c r="E3766">
        <f t="shared" ca="1" si="145"/>
        <v>0.16445147034995608</v>
      </c>
      <c r="F3766">
        <f>IFERROR(VLOOKUP(H3766,ProfessionalRisk!A:I,9,0),0)</f>
        <v>671</v>
      </c>
      <c r="G3766">
        <f t="shared" ca="1" si="143"/>
        <v>110</v>
      </c>
      <c r="H3766" t="s">
        <v>754</v>
      </c>
    </row>
    <row r="3767" spans="1:8">
      <c r="A3767" t="str">
        <f t="shared" si="144"/>
        <v>سمنانسرخه</v>
      </c>
      <c r="B3767" t="s">
        <v>365</v>
      </c>
      <c r="C3767" t="s">
        <v>374</v>
      </c>
      <c r="D3767" t="s">
        <v>24</v>
      </c>
      <c r="E3767">
        <f t="shared" ca="1" si="145"/>
        <v>0.15786963733665901</v>
      </c>
      <c r="F3767">
        <f>IFERROR(VLOOKUP(H3767,ProfessionalRisk!A:I,9,0),0)</f>
        <v>145</v>
      </c>
      <c r="G3767">
        <f t="shared" ca="1" si="143"/>
        <v>23</v>
      </c>
      <c r="H3767" t="s">
        <v>749</v>
      </c>
    </row>
    <row r="3768" spans="1:8">
      <c r="A3768" t="str">
        <f t="shared" si="144"/>
        <v>يزداردكان</v>
      </c>
      <c r="B3768" t="s">
        <v>373</v>
      </c>
      <c r="C3768" t="s">
        <v>375</v>
      </c>
      <c r="D3768" t="s">
        <v>24</v>
      </c>
      <c r="E3768">
        <f t="shared" ca="1" si="145"/>
        <v>9.2823039496110135E-2</v>
      </c>
      <c r="F3768">
        <f>IFERROR(VLOOKUP(H3768,ProfessionalRisk!A:I,9,0),0)</f>
        <v>1598</v>
      </c>
      <c r="G3768">
        <f t="shared" ca="1" si="143"/>
        <v>148</v>
      </c>
      <c r="H3768" t="s">
        <v>996</v>
      </c>
    </row>
    <row r="3769" spans="1:8">
      <c r="A3769" t="str">
        <f t="shared" si="144"/>
        <v>يزدبافق</v>
      </c>
      <c r="B3769" t="s">
        <v>373</v>
      </c>
      <c r="C3769" t="s">
        <v>376</v>
      </c>
      <c r="D3769" t="s">
        <v>24</v>
      </c>
      <c r="E3769">
        <f t="shared" ca="1" si="145"/>
        <v>9.5255994359518481E-2</v>
      </c>
      <c r="F3769">
        <f>IFERROR(VLOOKUP(H3769,ProfessionalRisk!A:I,9,0),0)</f>
        <v>822</v>
      </c>
      <c r="G3769">
        <f t="shared" ca="1" si="143"/>
        <v>78</v>
      </c>
      <c r="H3769" t="s">
        <v>991</v>
      </c>
    </row>
    <row r="3770" spans="1:8">
      <c r="A3770" t="str">
        <f t="shared" si="144"/>
        <v>يزدتفت</v>
      </c>
      <c r="B3770" t="s">
        <v>373</v>
      </c>
      <c r="C3770" t="s">
        <v>377</v>
      </c>
      <c r="D3770" t="s">
        <v>24</v>
      </c>
      <c r="E3770">
        <f t="shared" ca="1" si="145"/>
        <v>2.0695361128540247E-2</v>
      </c>
      <c r="F3770">
        <f>IFERROR(VLOOKUP(H3770,ProfessionalRisk!A:I,9,0),0)</f>
        <v>2023</v>
      </c>
      <c r="G3770">
        <f t="shared" ca="1" si="143"/>
        <v>42</v>
      </c>
      <c r="H3770" t="s">
        <v>1002</v>
      </c>
    </row>
    <row r="3771" spans="1:8">
      <c r="A3771" t="str">
        <f t="shared" si="144"/>
        <v>يزدمهريز</v>
      </c>
      <c r="B3771" t="s">
        <v>373</v>
      </c>
      <c r="C3771" t="s">
        <v>378</v>
      </c>
      <c r="D3771" t="s">
        <v>24</v>
      </c>
      <c r="E3771">
        <f t="shared" ca="1" si="145"/>
        <v>0.18768092534027636</v>
      </c>
      <c r="F3771">
        <f>IFERROR(VLOOKUP(H3771,ProfessionalRisk!A:I,9,0),0)</f>
        <v>1475</v>
      </c>
      <c r="G3771">
        <f t="shared" ca="1" si="143"/>
        <v>277</v>
      </c>
      <c r="H3771" t="s">
        <v>995</v>
      </c>
    </row>
    <row r="3772" spans="1:8">
      <c r="A3772" t="str">
        <f t="shared" si="144"/>
        <v>يزديزد</v>
      </c>
      <c r="B3772" t="s">
        <v>373</v>
      </c>
      <c r="C3772" t="s">
        <v>373</v>
      </c>
      <c r="D3772" t="s">
        <v>24</v>
      </c>
      <c r="E3772">
        <f t="shared" ca="1" si="145"/>
        <v>0.12856628185970007</v>
      </c>
      <c r="F3772">
        <f>IFERROR(VLOOKUP(H3772,ProfessionalRisk!A:I,9,0),0)</f>
        <v>18070</v>
      </c>
      <c r="G3772">
        <f t="shared" ca="1" si="143"/>
        <v>2323</v>
      </c>
      <c r="H3772" t="s">
        <v>1001</v>
      </c>
    </row>
    <row r="3773" spans="1:8">
      <c r="A3773" t="str">
        <f t="shared" si="144"/>
        <v>يزدميبد</v>
      </c>
      <c r="B3773" t="s">
        <v>373</v>
      </c>
      <c r="C3773" t="s">
        <v>379</v>
      </c>
      <c r="D3773" t="s">
        <v>24</v>
      </c>
      <c r="E3773">
        <f t="shared" ca="1" si="145"/>
        <v>0.1658523077428945</v>
      </c>
      <c r="F3773">
        <f>IFERROR(VLOOKUP(H3773,ProfessionalRisk!A:I,9,0),0)</f>
        <v>1734</v>
      </c>
      <c r="G3773">
        <f t="shared" ca="1" si="143"/>
        <v>288</v>
      </c>
      <c r="H3773" t="s">
        <v>997</v>
      </c>
    </row>
    <row r="3774" spans="1:8">
      <c r="A3774" t="str">
        <f t="shared" si="144"/>
        <v>يزدابركوه</v>
      </c>
      <c r="B3774" t="s">
        <v>373</v>
      </c>
      <c r="C3774" t="s">
        <v>380</v>
      </c>
      <c r="D3774" t="s">
        <v>24</v>
      </c>
      <c r="E3774">
        <f t="shared" ca="1" si="145"/>
        <v>3.080677639060192E-2</v>
      </c>
      <c r="F3774">
        <f>IFERROR(VLOOKUP(H3774,ProfessionalRisk!A:I,9,0),0)</f>
        <v>948</v>
      </c>
      <c r="G3774">
        <f t="shared" ca="1" si="143"/>
        <v>29</v>
      </c>
      <c r="H3774" t="s">
        <v>1000</v>
      </c>
    </row>
    <row r="3775" spans="1:8">
      <c r="A3775" t="str">
        <f t="shared" si="144"/>
        <v>يزداشکذر</v>
      </c>
      <c r="B3775" t="s">
        <v>373</v>
      </c>
      <c r="C3775" t="s">
        <v>381</v>
      </c>
      <c r="D3775" t="s">
        <v>24</v>
      </c>
      <c r="E3775">
        <f t="shared" ca="1" si="145"/>
        <v>0.13843520539548745</v>
      </c>
      <c r="F3775">
        <f>IFERROR(VLOOKUP(H3775,ProfessionalRisk!A:I,9,0),0)</f>
        <v>380</v>
      </c>
      <c r="G3775">
        <f t="shared" ca="1" si="143"/>
        <v>53</v>
      </c>
      <c r="H3775" t="s">
        <v>998</v>
      </c>
    </row>
    <row r="3776" spans="1:8">
      <c r="A3776" t="str">
        <f t="shared" si="144"/>
        <v>يزدخاتم</v>
      </c>
      <c r="B3776" t="s">
        <v>373</v>
      </c>
      <c r="C3776" t="s">
        <v>382</v>
      </c>
      <c r="D3776" t="s">
        <v>24</v>
      </c>
      <c r="E3776">
        <f t="shared" ca="1" si="145"/>
        <v>7.8316272070105997E-2</v>
      </c>
      <c r="F3776">
        <f>IFERROR(VLOOKUP(H3776,ProfessionalRisk!A:I,9,0),0)</f>
        <v>860</v>
      </c>
      <c r="G3776">
        <f t="shared" ca="1" si="143"/>
        <v>67</v>
      </c>
      <c r="H3776" t="s">
        <v>993</v>
      </c>
    </row>
    <row r="3777" spans="1:8">
      <c r="A3777" t="e">
        <f t="shared" si="144"/>
        <v>#N/A</v>
      </c>
      <c r="B3777" t="e">
        <v>#N/A</v>
      </c>
      <c r="D3777" t="s">
        <v>24</v>
      </c>
      <c r="E3777">
        <f t="shared" ca="1" si="145"/>
        <v>0.18403243715271478</v>
      </c>
      <c r="F3777">
        <f>IFERROR(VLOOKUP(H3777,ProfessionalRisk!A:I,9,0),0)</f>
        <v>0</v>
      </c>
      <c r="G3777">
        <f t="shared" ca="1" si="143"/>
        <v>0</v>
      </c>
      <c r="H3777" t="e">
        <v>#N/A</v>
      </c>
    </row>
    <row r="3778" spans="1:8">
      <c r="A3778" t="str">
        <f t="shared" si="144"/>
        <v>هرمزگانابوموسي</v>
      </c>
      <c r="B3778" t="s">
        <v>383</v>
      </c>
      <c r="C3778" t="s">
        <v>385</v>
      </c>
      <c r="D3778" t="s">
        <v>24</v>
      </c>
      <c r="E3778">
        <f t="shared" ca="1" si="145"/>
        <v>0.16328169018327815</v>
      </c>
      <c r="F3778">
        <f>IFERROR(VLOOKUP(H3778,ProfessionalRisk!A:I,9,0),0)</f>
        <v>112</v>
      </c>
      <c r="G3778">
        <f t="shared" ca="1" si="143"/>
        <v>18</v>
      </c>
      <c r="H3778" t="s">
        <v>872</v>
      </c>
    </row>
    <row r="3779" spans="1:8">
      <c r="A3779" t="str">
        <f t="shared" si="144"/>
        <v>هرمزگانبندرعباس</v>
      </c>
      <c r="B3779" t="s">
        <v>383</v>
      </c>
      <c r="C3779" t="s">
        <v>386</v>
      </c>
      <c r="D3779" t="s">
        <v>24</v>
      </c>
      <c r="E3779">
        <f t="shared" ca="1" si="145"/>
        <v>7.5819653612259508E-2</v>
      </c>
      <c r="F3779">
        <f>IFERROR(VLOOKUP(H3779,ProfessionalRisk!A:I,9,0),0)</f>
        <v>11488</v>
      </c>
      <c r="G3779">
        <f t="shared" ref="G3779:G3842" ca="1" si="146">IFERROR(ROUND(F3779*E3779,0),0)</f>
        <v>871</v>
      </c>
      <c r="H3779" t="s">
        <v>876</v>
      </c>
    </row>
    <row r="3780" spans="1:8">
      <c r="A3780" t="str">
        <f t="shared" si="144"/>
        <v>هرمزگانبندرلنگه</v>
      </c>
      <c r="B3780" t="s">
        <v>383</v>
      </c>
      <c r="C3780" t="s">
        <v>387</v>
      </c>
      <c r="D3780" t="s">
        <v>24</v>
      </c>
      <c r="E3780">
        <f t="shared" ca="1" si="145"/>
        <v>8.227590561226672E-2</v>
      </c>
      <c r="F3780">
        <f>IFERROR(VLOOKUP(H3780,ProfessionalRisk!A:I,9,0),0)</f>
        <v>2193</v>
      </c>
      <c r="G3780">
        <f t="shared" ca="1" si="146"/>
        <v>180</v>
      </c>
      <c r="H3780" t="s">
        <v>868</v>
      </c>
    </row>
    <row r="3781" spans="1:8">
      <c r="A3781" t="str">
        <f t="shared" si="144"/>
        <v>هرمزگانقشم</v>
      </c>
      <c r="B3781" t="s">
        <v>383</v>
      </c>
      <c r="C3781" t="s">
        <v>388</v>
      </c>
      <c r="D3781" t="s">
        <v>24</v>
      </c>
      <c r="E3781">
        <f t="shared" ca="1" si="145"/>
        <v>2.3203212989526992E-3</v>
      </c>
      <c r="F3781">
        <f>IFERROR(VLOOKUP(H3781,ProfessionalRisk!A:I,9,0),0)</f>
        <v>1216</v>
      </c>
      <c r="G3781">
        <f t="shared" ca="1" si="146"/>
        <v>3</v>
      </c>
      <c r="H3781" t="s">
        <v>878</v>
      </c>
    </row>
    <row r="3782" spans="1:8">
      <c r="A3782" t="str">
        <f t="shared" si="144"/>
        <v>هرمزگانميناب</v>
      </c>
      <c r="B3782" t="s">
        <v>383</v>
      </c>
      <c r="C3782" t="s">
        <v>389</v>
      </c>
      <c r="D3782" t="s">
        <v>24</v>
      </c>
      <c r="E3782">
        <f t="shared" ca="1" si="145"/>
        <v>0.13732186616127903</v>
      </c>
      <c r="F3782">
        <f>IFERROR(VLOOKUP(H3782,ProfessionalRisk!A:I,9,0),0)</f>
        <v>2644</v>
      </c>
      <c r="G3782">
        <f t="shared" ca="1" si="146"/>
        <v>363</v>
      </c>
      <c r="H3782" t="s">
        <v>870</v>
      </c>
    </row>
    <row r="3783" spans="1:8">
      <c r="A3783" t="str">
        <f t="shared" si="144"/>
        <v>هرمزگانجاسك</v>
      </c>
      <c r="B3783" t="s">
        <v>383</v>
      </c>
      <c r="C3783" t="s">
        <v>390</v>
      </c>
      <c r="D3783" t="s">
        <v>24</v>
      </c>
      <c r="E3783">
        <f t="shared" ca="1" si="145"/>
        <v>9.1001418036055048E-2</v>
      </c>
      <c r="F3783">
        <f>IFERROR(VLOOKUP(H3783,ProfessionalRisk!A:I,9,0),0)</f>
        <v>477</v>
      </c>
      <c r="G3783">
        <f t="shared" ca="1" si="146"/>
        <v>43</v>
      </c>
      <c r="H3783" t="s">
        <v>866</v>
      </c>
    </row>
    <row r="3784" spans="1:8">
      <c r="A3784" t="str">
        <f t="shared" si="144"/>
        <v>هرمزگانرودان</v>
      </c>
      <c r="B3784" t="s">
        <v>383</v>
      </c>
      <c r="C3784" t="s">
        <v>391</v>
      </c>
      <c r="D3784" t="s">
        <v>24</v>
      </c>
      <c r="E3784">
        <f t="shared" ca="1" si="145"/>
        <v>2.76012199937411E-2</v>
      </c>
      <c r="F3784">
        <f>IFERROR(VLOOKUP(H3784,ProfessionalRisk!A:I,9,0),0)</f>
        <v>1670</v>
      </c>
      <c r="G3784">
        <f t="shared" ca="1" si="146"/>
        <v>46</v>
      </c>
      <c r="H3784" t="s">
        <v>875</v>
      </c>
    </row>
    <row r="3785" spans="1:8">
      <c r="A3785" t="str">
        <f t="shared" si="144"/>
        <v>هرمزگانحاجي اباد</v>
      </c>
      <c r="B3785" t="s">
        <v>383</v>
      </c>
      <c r="C3785" t="s">
        <v>392</v>
      </c>
      <c r="D3785" t="s">
        <v>24</v>
      </c>
      <c r="E3785">
        <f t="shared" ca="1" si="145"/>
        <v>9.3202997996829628E-2</v>
      </c>
      <c r="F3785">
        <f>IFERROR(VLOOKUP(H3785,ProfessionalRisk!A:I,9,0),0)</f>
        <v>682</v>
      </c>
      <c r="G3785">
        <f t="shared" ca="1" si="146"/>
        <v>64</v>
      </c>
      <c r="H3785" t="s">
        <v>877</v>
      </c>
    </row>
    <row r="3786" spans="1:8">
      <c r="A3786" t="str">
        <f t="shared" si="144"/>
        <v>هرمزگانبستك</v>
      </c>
      <c r="B3786" t="s">
        <v>383</v>
      </c>
      <c r="C3786" t="s">
        <v>393</v>
      </c>
      <c r="D3786" t="s">
        <v>24</v>
      </c>
      <c r="E3786">
        <f t="shared" ca="1" si="145"/>
        <v>0.16446541256209757</v>
      </c>
      <c r="F3786">
        <f>IFERROR(VLOOKUP(H3786,ProfessionalRisk!A:I,9,0),0)</f>
        <v>2127</v>
      </c>
      <c r="G3786">
        <f t="shared" ca="1" si="146"/>
        <v>350</v>
      </c>
      <c r="H3786" t="s">
        <v>867</v>
      </c>
    </row>
    <row r="3787" spans="1:8">
      <c r="A3787" t="str">
        <f t="shared" si="144"/>
        <v>هرمزگانخمير</v>
      </c>
      <c r="B3787" t="s">
        <v>383</v>
      </c>
      <c r="C3787" t="s">
        <v>394</v>
      </c>
      <c r="D3787" t="s">
        <v>24</v>
      </c>
      <c r="E3787">
        <f t="shared" ca="1" si="145"/>
        <v>0.10889361510517337</v>
      </c>
      <c r="F3787">
        <f>IFERROR(VLOOKUP(H3787,ProfessionalRisk!A:I,9,0),0)</f>
        <v>756</v>
      </c>
      <c r="G3787">
        <f t="shared" ca="1" si="146"/>
        <v>82</v>
      </c>
      <c r="H3787" t="s">
        <v>865</v>
      </c>
    </row>
    <row r="3788" spans="1:8">
      <c r="A3788" t="str">
        <f t="shared" si="144"/>
        <v>هرمزگانگاوبندئ</v>
      </c>
      <c r="B3788" t="s">
        <v>383</v>
      </c>
      <c r="C3788" t="s">
        <v>395</v>
      </c>
      <c r="D3788" t="s">
        <v>24</v>
      </c>
      <c r="E3788">
        <f t="shared" ca="1" si="145"/>
        <v>0.19274978582652616</v>
      </c>
      <c r="F3788">
        <f>IFERROR(VLOOKUP(H3788,ProfessionalRisk!A:I,9,0),0)</f>
        <v>1674</v>
      </c>
      <c r="G3788">
        <f t="shared" ca="1" si="146"/>
        <v>323</v>
      </c>
      <c r="H3788" t="s">
        <v>873</v>
      </c>
    </row>
    <row r="3789" spans="1:8">
      <c r="A3789" t="str">
        <f t="shared" si="144"/>
        <v>هرمزگانسيريك</v>
      </c>
      <c r="B3789" t="s">
        <v>383</v>
      </c>
      <c r="C3789" t="s">
        <v>396</v>
      </c>
      <c r="D3789" t="s">
        <v>24</v>
      </c>
      <c r="E3789">
        <f t="shared" ca="1" si="145"/>
        <v>1.4043344002529091E-2</v>
      </c>
      <c r="F3789">
        <f>IFERROR(VLOOKUP(H3789,ProfessionalRisk!A:I,9,0),0)</f>
        <v>499</v>
      </c>
      <c r="G3789">
        <f t="shared" ca="1" si="146"/>
        <v>7</v>
      </c>
      <c r="H3789" t="s">
        <v>869</v>
      </c>
    </row>
    <row r="3790" spans="1:8">
      <c r="A3790" t="str">
        <f t="shared" si="144"/>
        <v>هرمزگانبشاگرد</v>
      </c>
      <c r="B3790" t="s">
        <v>383</v>
      </c>
      <c r="C3790" t="s">
        <v>398</v>
      </c>
      <c r="D3790" t="s">
        <v>24</v>
      </c>
      <c r="E3790">
        <f t="shared" ca="1" si="145"/>
        <v>0.14452909275710291</v>
      </c>
      <c r="F3790">
        <f>IFERROR(VLOOKUP(H3790,ProfessionalRisk!A:I,9,0),0)</f>
        <v>440</v>
      </c>
      <c r="G3790">
        <f t="shared" ca="1" si="146"/>
        <v>64</v>
      </c>
      <c r="H3790" t="s">
        <v>871</v>
      </c>
    </row>
    <row r="3791" spans="1:8">
      <c r="A3791" t="str">
        <f t="shared" si="144"/>
        <v>تهرانتهران</v>
      </c>
      <c r="B3791" t="s">
        <v>397</v>
      </c>
      <c r="C3791" t="s">
        <v>397</v>
      </c>
      <c r="D3791" t="s">
        <v>24</v>
      </c>
      <c r="E3791">
        <f t="shared" ca="1" si="145"/>
        <v>0.19153734256190946</v>
      </c>
      <c r="F3791">
        <f>IFERROR(VLOOKUP(H3791,ProfessionalRisk!A:I,9,0),0)</f>
        <v>144933</v>
      </c>
      <c r="G3791">
        <f t="shared" ca="1" si="146"/>
        <v>27760</v>
      </c>
      <c r="H3791" t="s">
        <v>641</v>
      </c>
    </row>
    <row r="3792" spans="1:8">
      <c r="A3792" t="str">
        <f t="shared" si="144"/>
        <v>تهراندماوند</v>
      </c>
      <c r="B3792" t="s">
        <v>397</v>
      </c>
      <c r="C3792" t="s">
        <v>399</v>
      </c>
      <c r="D3792" t="s">
        <v>24</v>
      </c>
      <c r="E3792">
        <f t="shared" ca="1" si="145"/>
        <v>0.14796578034493643</v>
      </c>
      <c r="F3792">
        <f>IFERROR(VLOOKUP(H3792,ProfessionalRisk!A:I,9,0),0)</f>
        <v>1366</v>
      </c>
      <c r="G3792">
        <f t="shared" ca="1" si="146"/>
        <v>202</v>
      </c>
      <c r="H3792" t="s">
        <v>643</v>
      </c>
    </row>
    <row r="3793" spans="1:8">
      <c r="A3793" t="str">
        <f t="shared" si="144"/>
        <v>تهرانرئ</v>
      </c>
      <c r="B3793" t="s">
        <v>397</v>
      </c>
      <c r="C3793" t="s">
        <v>400</v>
      </c>
      <c r="D3793" t="s">
        <v>24</v>
      </c>
      <c r="E3793">
        <f t="shared" ca="1" si="145"/>
        <v>4.2155045877108638E-2</v>
      </c>
      <c r="F3793">
        <f>IFERROR(VLOOKUP(H3793,ProfessionalRisk!A:I,9,0),0)</f>
        <v>5999</v>
      </c>
      <c r="G3793">
        <f t="shared" ca="1" si="146"/>
        <v>253</v>
      </c>
      <c r="H3793" t="s">
        <v>639</v>
      </c>
    </row>
    <row r="3794" spans="1:8">
      <c r="A3794" t="str">
        <f t="shared" si="144"/>
        <v>تهرانشميرانات</v>
      </c>
      <c r="B3794" t="s">
        <v>397</v>
      </c>
      <c r="C3794" t="s">
        <v>401</v>
      </c>
      <c r="D3794" t="s">
        <v>24</v>
      </c>
      <c r="E3794">
        <f t="shared" ca="1" si="145"/>
        <v>0.18686629773377805</v>
      </c>
      <c r="F3794">
        <f>IFERROR(VLOOKUP(H3794,ProfessionalRisk!A:I,9,0),0)</f>
        <v>1040</v>
      </c>
      <c r="G3794">
        <f t="shared" ca="1" si="146"/>
        <v>194</v>
      </c>
      <c r="H3794" t="s">
        <v>635</v>
      </c>
    </row>
    <row r="3795" spans="1:8">
      <c r="A3795" t="str">
        <f t="shared" si="144"/>
        <v>تهرانورامين</v>
      </c>
      <c r="B3795" t="s">
        <v>397</v>
      </c>
      <c r="C3795" t="s">
        <v>402</v>
      </c>
      <c r="D3795" t="s">
        <v>24</v>
      </c>
      <c r="E3795">
        <f t="shared" ca="1" si="145"/>
        <v>0.18617812715969473</v>
      </c>
      <c r="F3795">
        <f>IFERROR(VLOOKUP(H3795,ProfessionalRisk!A:I,9,0),0)</f>
        <v>3472</v>
      </c>
      <c r="G3795">
        <f t="shared" ca="1" si="146"/>
        <v>646</v>
      </c>
      <c r="H3795" t="s">
        <v>645</v>
      </c>
    </row>
    <row r="3796" spans="1:8">
      <c r="A3796" t="str">
        <f t="shared" si="144"/>
        <v>تهرانشهريار</v>
      </c>
      <c r="B3796" t="s">
        <v>397</v>
      </c>
      <c r="C3796" t="s">
        <v>403</v>
      </c>
      <c r="D3796" t="s">
        <v>24</v>
      </c>
      <c r="E3796">
        <f t="shared" ca="1" si="145"/>
        <v>1.7461156042117711E-2</v>
      </c>
      <c r="F3796">
        <f>IFERROR(VLOOKUP(H3796,ProfessionalRisk!A:I,9,0),0)</f>
        <v>5281</v>
      </c>
      <c r="G3796">
        <f t="shared" ca="1" si="146"/>
        <v>92</v>
      </c>
      <c r="H3796" t="s">
        <v>646</v>
      </c>
    </row>
    <row r="3797" spans="1:8">
      <c r="A3797" t="str">
        <f t="shared" si="144"/>
        <v>تهراناسلامشهر</v>
      </c>
      <c r="B3797" t="s">
        <v>397</v>
      </c>
      <c r="C3797" t="s">
        <v>404</v>
      </c>
      <c r="D3797" t="s">
        <v>24</v>
      </c>
      <c r="E3797">
        <f t="shared" ca="1" si="145"/>
        <v>0.12676621623341469</v>
      </c>
      <c r="F3797">
        <f>IFERROR(VLOOKUP(H3797,ProfessionalRisk!A:I,9,0),0)</f>
        <v>3188</v>
      </c>
      <c r="G3797">
        <f t="shared" ca="1" si="146"/>
        <v>404</v>
      </c>
      <c r="H3797" t="s">
        <v>648</v>
      </c>
    </row>
    <row r="3798" spans="1:8">
      <c r="A3798" t="str">
        <f t="shared" si="144"/>
        <v>تهرانرباطكريم</v>
      </c>
      <c r="B3798" t="s">
        <v>397</v>
      </c>
      <c r="C3798" t="s">
        <v>405</v>
      </c>
      <c r="D3798" t="s">
        <v>24</v>
      </c>
      <c r="E3798">
        <f t="shared" ca="1" si="145"/>
        <v>1.0696535613133952E-2</v>
      </c>
      <c r="F3798">
        <f>IFERROR(VLOOKUP(H3798,ProfessionalRisk!A:I,9,0),0)</f>
        <v>968</v>
      </c>
      <c r="G3798">
        <f t="shared" ca="1" si="146"/>
        <v>10</v>
      </c>
      <c r="H3798" t="s">
        <v>634</v>
      </c>
    </row>
    <row r="3799" spans="1:8">
      <c r="A3799" t="str">
        <f t="shared" si="144"/>
        <v>تهرانپاكدشت</v>
      </c>
      <c r="B3799" t="s">
        <v>397</v>
      </c>
      <c r="C3799" t="s">
        <v>406</v>
      </c>
      <c r="D3799" t="s">
        <v>24</v>
      </c>
      <c r="E3799">
        <f t="shared" ca="1" si="145"/>
        <v>0.15312462863085838</v>
      </c>
      <c r="F3799">
        <f>IFERROR(VLOOKUP(H3799,ProfessionalRisk!A:I,9,0),0)</f>
        <v>2206</v>
      </c>
      <c r="G3799">
        <f t="shared" ca="1" si="146"/>
        <v>338</v>
      </c>
      <c r="H3799" t="s">
        <v>642</v>
      </c>
    </row>
    <row r="3800" spans="1:8">
      <c r="A3800" t="str">
        <f t="shared" si="144"/>
        <v>تهرانفيروزكوه</v>
      </c>
      <c r="B3800" t="s">
        <v>397</v>
      </c>
      <c r="C3800" t="s">
        <v>407</v>
      </c>
      <c r="D3800" t="s">
        <v>24</v>
      </c>
      <c r="E3800">
        <f t="shared" ca="1" si="145"/>
        <v>0.18159587021683918</v>
      </c>
      <c r="F3800">
        <f>IFERROR(VLOOKUP(H3800,ProfessionalRisk!A:I,9,0),0)</f>
        <v>496</v>
      </c>
      <c r="G3800">
        <f t="shared" ca="1" si="146"/>
        <v>90</v>
      </c>
      <c r="H3800" t="s">
        <v>638</v>
      </c>
    </row>
    <row r="3801" spans="1:8">
      <c r="A3801" t="str">
        <f t="shared" si="144"/>
        <v>تهرانقدس</v>
      </c>
      <c r="B3801" t="s">
        <v>397</v>
      </c>
      <c r="C3801" t="s">
        <v>408</v>
      </c>
      <c r="D3801" t="s">
        <v>24</v>
      </c>
      <c r="E3801">
        <f t="shared" ca="1" si="145"/>
        <v>0.12660396207240673</v>
      </c>
      <c r="F3801">
        <f>IFERROR(VLOOKUP(H3801,ProfessionalRisk!A:I,9,0),0)</f>
        <v>955</v>
      </c>
      <c r="G3801">
        <f t="shared" ca="1" si="146"/>
        <v>121</v>
      </c>
      <c r="H3801" t="s">
        <v>637</v>
      </c>
    </row>
    <row r="3802" spans="1:8">
      <c r="A3802" t="str">
        <f t="shared" si="144"/>
        <v>تهرانملارد</v>
      </c>
      <c r="B3802" t="s">
        <v>397</v>
      </c>
      <c r="C3802" t="s">
        <v>409</v>
      </c>
      <c r="D3802" t="s">
        <v>24</v>
      </c>
      <c r="E3802">
        <f t="shared" ca="1" si="145"/>
        <v>8.2655514288891271E-2</v>
      </c>
      <c r="F3802">
        <f>IFERROR(VLOOKUP(H3802,ProfessionalRisk!A:I,9,0),0)</f>
        <v>1311</v>
      </c>
      <c r="G3802">
        <f t="shared" ca="1" si="146"/>
        <v>108</v>
      </c>
      <c r="H3802" t="s">
        <v>647</v>
      </c>
    </row>
    <row r="3803" spans="1:8">
      <c r="A3803" t="str">
        <f t="shared" si="144"/>
        <v>تهرانپيشوا</v>
      </c>
      <c r="B3803" t="s">
        <v>397</v>
      </c>
      <c r="C3803" t="s">
        <v>410</v>
      </c>
      <c r="D3803" t="s">
        <v>24</v>
      </c>
      <c r="E3803">
        <f t="shared" ca="1" si="145"/>
        <v>0.16787988825674194</v>
      </c>
      <c r="F3803">
        <f>IFERROR(VLOOKUP(H3803,ProfessionalRisk!A:I,9,0),0)</f>
        <v>540</v>
      </c>
      <c r="G3803">
        <f t="shared" ca="1" si="146"/>
        <v>91</v>
      </c>
      <c r="H3803" t="s">
        <v>640</v>
      </c>
    </row>
    <row r="3804" spans="1:8">
      <c r="A3804" t="str">
        <f t="shared" si="144"/>
        <v>تهرانبهارستان</v>
      </c>
      <c r="B3804" t="s">
        <v>397</v>
      </c>
      <c r="C3804" t="s">
        <v>411</v>
      </c>
      <c r="D3804" t="s">
        <v>24</v>
      </c>
      <c r="E3804">
        <f t="shared" ca="1" si="145"/>
        <v>9.9951041318200387E-2</v>
      </c>
      <c r="F3804">
        <f>IFERROR(VLOOKUP(H3804,ProfessionalRisk!A:I,9,0),0)</f>
        <v>1870</v>
      </c>
      <c r="G3804">
        <f t="shared" ca="1" si="146"/>
        <v>187</v>
      </c>
      <c r="H3804" t="s">
        <v>644</v>
      </c>
    </row>
    <row r="3805" spans="1:8">
      <c r="A3805" t="str">
        <f t="shared" si="144"/>
        <v>تهرانپرديس</v>
      </c>
      <c r="B3805" t="s">
        <v>397</v>
      </c>
      <c r="C3805" t="s">
        <v>412</v>
      </c>
      <c r="D3805" t="s">
        <v>24</v>
      </c>
      <c r="E3805">
        <f t="shared" ca="1" si="145"/>
        <v>0.18679461821687926</v>
      </c>
      <c r="F3805">
        <f>IFERROR(VLOOKUP(H3805,ProfessionalRisk!A:I,9,0),0)</f>
        <v>2046</v>
      </c>
      <c r="G3805">
        <f t="shared" ca="1" si="146"/>
        <v>382</v>
      </c>
      <c r="H3805" t="s">
        <v>636</v>
      </c>
    </row>
    <row r="3806" spans="1:8">
      <c r="A3806" t="str">
        <f t="shared" si="144"/>
        <v>تهرانقرچک</v>
      </c>
      <c r="B3806" t="s">
        <v>397</v>
      </c>
      <c r="C3806" t="s">
        <v>414</v>
      </c>
      <c r="D3806" t="s">
        <v>24</v>
      </c>
      <c r="E3806">
        <f t="shared" ca="1" si="145"/>
        <v>9.363285601367255E-2</v>
      </c>
      <c r="F3806">
        <f>IFERROR(VLOOKUP(H3806,ProfessionalRisk!A:I,9,0),0)</f>
        <v>2237</v>
      </c>
      <c r="G3806">
        <f t="shared" ca="1" si="146"/>
        <v>209</v>
      </c>
      <c r="H3806" t="s">
        <v>649</v>
      </c>
    </row>
    <row r="3807" spans="1:8">
      <c r="A3807" t="str">
        <f t="shared" si="144"/>
        <v>اردبيلاردبيل</v>
      </c>
      <c r="B3807" t="s">
        <v>413</v>
      </c>
      <c r="C3807" t="s">
        <v>413</v>
      </c>
      <c r="D3807" t="s">
        <v>24</v>
      </c>
      <c r="E3807">
        <f t="shared" ca="1" si="145"/>
        <v>8.9575696891527556E-2</v>
      </c>
      <c r="F3807">
        <f>IFERROR(VLOOKUP(H3807,ProfessionalRisk!A:I,9,0),0)</f>
        <v>12494</v>
      </c>
      <c r="G3807">
        <f t="shared" ca="1" si="146"/>
        <v>1119</v>
      </c>
      <c r="H3807" t="s">
        <v>563</v>
      </c>
    </row>
    <row r="3808" spans="1:8">
      <c r="A3808" t="str">
        <f t="shared" si="144"/>
        <v>اردبيلبيله سوار</v>
      </c>
      <c r="B3808" t="s">
        <v>413</v>
      </c>
      <c r="C3808" t="s">
        <v>415</v>
      </c>
      <c r="D3808" t="s">
        <v>24</v>
      </c>
      <c r="E3808">
        <f t="shared" ca="1" si="145"/>
        <v>7.5808811514880725E-2</v>
      </c>
      <c r="F3808">
        <f>IFERROR(VLOOKUP(H3808,ProfessionalRisk!A:I,9,0),0)</f>
        <v>356</v>
      </c>
      <c r="G3808">
        <f t="shared" ca="1" si="146"/>
        <v>27</v>
      </c>
      <c r="H3808" t="s">
        <v>560</v>
      </c>
    </row>
    <row r="3809" spans="1:8">
      <c r="A3809" t="str">
        <f t="shared" si="144"/>
        <v>اردبيلخلخال</v>
      </c>
      <c r="B3809" t="s">
        <v>413</v>
      </c>
      <c r="C3809" t="s">
        <v>416</v>
      </c>
      <c r="D3809" t="s">
        <v>24</v>
      </c>
      <c r="E3809">
        <f t="shared" ca="1" si="145"/>
        <v>0.1738637375872171</v>
      </c>
      <c r="F3809">
        <f>IFERROR(VLOOKUP(H3809,ProfessionalRisk!A:I,9,0),0)</f>
        <v>1370</v>
      </c>
      <c r="G3809">
        <f t="shared" ca="1" si="146"/>
        <v>238</v>
      </c>
      <c r="H3809" t="s">
        <v>564</v>
      </c>
    </row>
    <row r="3810" spans="1:8">
      <c r="A3810" t="str">
        <f t="shared" si="144"/>
        <v>اردبيلمشگين شهر</v>
      </c>
      <c r="B3810" t="s">
        <v>413</v>
      </c>
      <c r="C3810" t="s">
        <v>417</v>
      </c>
      <c r="D3810" t="s">
        <v>24</v>
      </c>
      <c r="E3810">
        <f t="shared" ca="1" si="145"/>
        <v>0.14242577835523995</v>
      </c>
      <c r="F3810">
        <f>IFERROR(VLOOKUP(H3810,ProfessionalRisk!A:I,9,0),0)</f>
        <v>1172</v>
      </c>
      <c r="G3810">
        <f t="shared" ca="1" si="146"/>
        <v>167</v>
      </c>
      <c r="H3810" t="s">
        <v>565</v>
      </c>
    </row>
    <row r="3811" spans="1:8">
      <c r="A3811" t="str">
        <f t="shared" si="144"/>
        <v>اردبيلگرمي</v>
      </c>
      <c r="B3811" t="s">
        <v>413</v>
      </c>
      <c r="C3811" t="s">
        <v>418</v>
      </c>
      <c r="D3811" t="s">
        <v>24</v>
      </c>
      <c r="E3811">
        <f t="shared" ca="1" si="145"/>
        <v>3.656163887227213E-2</v>
      </c>
      <c r="F3811">
        <f>IFERROR(VLOOKUP(H3811,ProfessionalRisk!A:I,9,0),0)</f>
        <v>1166</v>
      </c>
      <c r="G3811">
        <f t="shared" ca="1" si="146"/>
        <v>43</v>
      </c>
      <c r="H3811" t="s">
        <v>567</v>
      </c>
    </row>
    <row r="3812" spans="1:8">
      <c r="A3812" t="str">
        <f t="shared" si="144"/>
        <v>اردبيلپارس آباد</v>
      </c>
      <c r="B3812" t="s">
        <v>413</v>
      </c>
      <c r="C3812" t="s">
        <v>419</v>
      </c>
      <c r="D3812" t="s">
        <v>24</v>
      </c>
      <c r="E3812">
        <f t="shared" ca="1" si="145"/>
        <v>2.6549655953000118E-2</v>
      </c>
      <c r="F3812">
        <f>IFERROR(VLOOKUP(H3812,ProfessionalRisk!A:I,9,0),0)</f>
        <v>864</v>
      </c>
      <c r="G3812">
        <f t="shared" ca="1" si="146"/>
        <v>23</v>
      </c>
      <c r="H3812" t="s">
        <v>568</v>
      </c>
    </row>
    <row r="3813" spans="1:8">
      <c r="A3813" t="str">
        <f t="shared" si="144"/>
        <v>اردبيلكوثر</v>
      </c>
      <c r="B3813" t="s">
        <v>413</v>
      </c>
      <c r="C3813" t="s">
        <v>420</v>
      </c>
      <c r="D3813" t="s">
        <v>24</v>
      </c>
      <c r="E3813">
        <f t="shared" ca="1" si="145"/>
        <v>6.2077936596395935E-3</v>
      </c>
      <c r="F3813">
        <f>IFERROR(VLOOKUP(H3813,ProfessionalRisk!A:I,9,0),0)</f>
        <v>358</v>
      </c>
      <c r="G3813">
        <f t="shared" ca="1" si="146"/>
        <v>2</v>
      </c>
      <c r="H3813" t="s">
        <v>570</v>
      </c>
    </row>
    <row r="3814" spans="1:8">
      <c r="A3814" t="str">
        <f t="shared" si="144"/>
        <v>اردبيلنمين</v>
      </c>
      <c r="B3814" t="s">
        <v>413</v>
      </c>
      <c r="C3814" t="s">
        <v>421</v>
      </c>
      <c r="D3814" t="s">
        <v>24</v>
      </c>
      <c r="E3814">
        <f t="shared" ca="1" si="145"/>
        <v>0.11185514816540386</v>
      </c>
      <c r="F3814">
        <f>IFERROR(VLOOKUP(H3814,ProfessionalRisk!A:I,9,0),0)</f>
        <v>798</v>
      </c>
      <c r="G3814">
        <f t="shared" ca="1" si="146"/>
        <v>89</v>
      </c>
      <c r="H3814" t="s">
        <v>562</v>
      </c>
    </row>
    <row r="3815" spans="1:8">
      <c r="A3815" t="str">
        <f t="shared" si="144"/>
        <v>اردبيلنير</v>
      </c>
      <c r="B3815" t="s">
        <v>413</v>
      </c>
      <c r="C3815" t="s">
        <v>422</v>
      </c>
      <c r="D3815" t="s">
        <v>24</v>
      </c>
      <c r="E3815">
        <f t="shared" ca="1" si="145"/>
        <v>0.1104467338572402</v>
      </c>
      <c r="F3815">
        <f>IFERROR(VLOOKUP(H3815,ProfessionalRisk!A:I,9,0),0)</f>
        <v>265</v>
      </c>
      <c r="G3815">
        <f t="shared" ca="1" si="146"/>
        <v>29</v>
      </c>
      <c r="H3815" t="s">
        <v>569</v>
      </c>
    </row>
    <row r="3816" spans="1:8">
      <c r="A3816" t="str">
        <f t="shared" si="144"/>
        <v>اردبيلسرعين</v>
      </c>
      <c r="B3816" t="s">
        <v>413</v>
      </c>
      <c r="C3816" t="s">
        <v>424</v>
      </c>
      <c r="D3816" t="s">
        <v>24</v>
      </c>
      <c r="E3816">
        <f t="shared" ca="1" si="145"/>
        <v>7.1976060776569581E-2</v>
      </c>
      <c r="F3816">
        <f>IFERROR(VLOOKUP(H3816,ProfessionalRisk!A:I,9,0),0)</f>
        <v>204</v>
      </c>
      <c r="G3816">
        <f t="shared" ca="1" si="146"/>
        <v>15</v>
      </c>
      <c r="H3816" t="s">
        <v>566</v>
      </c>
    </row>
    <row r="3817" spans="1:8">
      <c r="A3817" t="str">
        <f t="shared" si="144"/>
        <v>قمقم</v>
      </c>
      <c r="B3817" t="s">
        <v>423</v>
      </c>
      <c r="C3817" t="s">
        <v>423</v>
      </c>
      <c r="D3817" t="s">
        <v>24</v>
      </c>
      <c r="E3817">
        <f t="shared" ca="1" si="145"/>
        <v>4.8176683705451362E-2</v>
      </c>
      <c r="F3817">
        <f>IFERROR(VLOOKUP(H3817,ProfessionalRisk!A:I,9,0),0)</f>
        <v>19334</v>
      </c>
      <c r="G3817">
        <f t="shared" ca="1" si="146"/>
        <v>931</v>
      </c>
      <c r="H3817" t="s">
        <v>813</v>
      </c>
    </row>
    <row r="3818" spans="1:8">
      <c r="A3818" t="str">
        <f t="shared" ref="A3818:A3862" si="147">B3818&amp;C3818</f>
        <v>قزوينبوئين زهرا</v>
      </c>
      <c r="B3818" t="s">
        <v>425</v>
      </c>
      <c r="C3818" t="s">
        <v>426</v>
      </c>
      <c r="D3818" t="s">
        <v>24</v>
      </c>
      <c r="E3818">
        <f t="shared" ca="1" si="145"/>
        <v>5.3324824313907643E-2</v>
      </c>
      <c r="F3818">
        <f>IFERROR(VLOOKUP(H3818,ProfessionalRisk!A:I,9,0),0)</f>
        <v>1156</v>
      </c>
      <c r="G3818">
        <f t="shared" ca="1" si="146"/>
        <v>62</v>
      </c>
      <c r="H3818" t="s">
        <v>806</v>
      </c>
    </row>
    <row r="3819" spans="1:8">
      <c r="A3819" t="str">
        <f t="shared" si="147"/>
        <v>قزوينتاكستان</v>
      </c>
      <c r="B3819" t="s">
        <v>425</v>
      </c>
      <c r="C3819" t="s">
        <v>427</v>
      </c>
      <c r="D3819" t="s">
        <v>24</v>
      </c>
      <c r="E3819">
        <f t="shared" ref="E3819:E3862" ca="1" si="148">IF(D3819="AP",0.6,IF(D3819="BP",0.4,RAND()*0.2))</f>
        <v>1.9977151921069903E-2</v>
      </c>
      <c r="F3819">
        <f>IFERROR(VLOOKUP(H3819,ProfessionalRisk!A:I,9,0),0)</f>
        <v>2446</v>
      </c>
      <c r="G3819">
        <f t="shared" ca="1" si="146"/>
        <v>49</v>
      </c>
      <c r="H3819" t="s">
        <v>810</v>
      </c>
    </row>
    <row r="3820" spans="1:8">
      <c r="A3820" t="str">
        <f t="shared" si="147"/>
        <v>قزوينقزوين</v>
      </c>
      <c r="B3820" t="s">
        <v>425</v>
      </c>
      <c r="C3820" t="s">
        <v>425</v>
      </c>
      <c r="D3820" t="s">
        <v>24</v>
      </c>
      <c r="E3820">
        <f t="shared" ca="1" si="148"/>
        <v>0.16705029140757768</v>
      </c>
      <c r="F3820">
        <f>IFERROR(VLOOKUP(H3820,ProfessionalRisk!A:I,9,0),0)</f>
        <v>14272</v>
      </c>
      <c r="G3820">
        <f t="shared" ca="1" si="146"/>
        <v>2384</v>
      </c>
      <c r="H3820" t="s">
        <v>812</v>
      </c>
    </row>
    <row r="3821" spans="1:8">
      <c r="A3821" t="str">
        <f t="shared" si="147"/>
        <v>قزوينآبيك</v>
      </c>
      <c r="B3821" t="s">
        <v>425</v>
      </c>
      <c r="C3821" t="s">
        <v>428</v>
      </c>
      <c r="D3821" t="s">
        <v>24</v>
      </c>
      <c r="E3821">
        <f t="shared" ca="1" si="148"/>
        <v>0.11594502675515349</v>
      </c>
      <c r="F3821">
        <f>IFERROR(VLOOKUP(H3821,ProfessionalRisk!A:I,9,0),0)</f>
        <v>730</v>
      </c>
      <c r="G3821">
        <f t="shared" ca="1" si="146"/>
        <v>85</v>
      </c>
      <c r="H3821" t="s">
        <v>808</v>
      </c>
    </row>
    <row r="3822" spans="1:8">
      <c r="A3822" t="str">
        <f t="shared" si="147"/>
        <v>قزوينالبرز</v>
      </c>
      <c r="B3822" t="s">
        <v>425</v>
      </c>
      <c r="C3822" t="s">
        <v>429</v>
      </c>
      <c r="D3822" t="s">
        <v>24</v>
      </c>
      <c r="E3822">
        <f t="shared" ca="1" si="148"/>
        <v>0.18908869437094325</v>
      </c>
      <c r="F3822">
        <f>IFERROR(VLOOKUP(H3822,ProfessionalRisk!A:I,9,0),0)</f>
        <v>820</v>
      </c>
      <c r="G3822">
        <f t="shared" ca="1" si="146"/>
        <v>155</v>
      </c>
      <c r="H3822" t="s">
        <v>811</v>
      </c>
    </row>
    <row r="3823" spans="1:8">
      <c r="A3823" t="str">
        <f t="shared" si="147"/>
        <v>قزوينآوج</v>
      </c>
      <c r="B3823" t="s">
        <v>425</v>
      </c>
      <c r="C3823" t="s">
        <v>431</v>
      </c>
      <c r="D3823" t="s">
        <v>24</v>
      </c>
      <c r="E3823">
        <f t="shared" ca="1" si="148"/>
        <v>0.17943801979988294</v>
      </c>
      <c r="F3823">
        <f>IFERROR(VLOOKUP(H3823,ProfessionalRisk!A:I,9,0),0)</f>
        <v>486</v>
      </c>
      <c r="G3823">
        <f t="shared" ca="1" si="146"/>
        <v>87</v>
      </c>
      <c r="H3823" t="s">
        <v>809</v>
      </c>
    </row>
    <row r="3824" spans="1:8">
      <c r="A3824" t="str">
        <f t="shared" si="147"/>
        <v>گلستانبندرگز</v>
      </c>
      <c r="B3824" t="s">
        <v>430</v>
      </c>
      <c r="C3824" t="s">
        <v>432</v>
      </c>
      <c r="D3824" t="s">
        <v>24</v>
      </c>
      <c r="E3824">
        <f t="shared" ca="1" si="148"/>
        <v>6.193383304876883E-2</v>
      </c>
      <c r="F3824">
        <f>IFERROR(VLOOKUP(H3824,ProfessionalRisk!A:I,9,0),0)</f>
        <v>948</v>
      </c>
      <c r="G3824">
        <f t="shared" ca="1" si="146"/>
        <v>59</v>
      </c>
      <c r="H3824" t="s">
        <v>965</v>
      </c>
    </row>
    <row r="3825" spans="1:8">
      <c r="A3825" t="str">
        <f t="shared" si="147"/>
        <v>گلستانتركمن</v>
      </c>
      <c r="B3825" t="s">
        <v>430</v>
      </c>
      <c r="C3825" t="s">
        <v>433</v>
      </c>
      <c r="D3825" t="s">
        <v>24</v>
      </c>
      <c r="E3825">
        <f t="shared" ca="1" si="148"/>
        <v>7.4393035966552376E-2</v>
      </c>
      <c r="F3825">
        <f>IFERROR(VLOOKUP(H3825,ProfessionalRisk!A:I,9,0),0)</f>
        <v>362</v>
      </c>
      <c r="G3825">
        <f t="shared" ca="1" si="146"/>
        <v>27</v>
      </c>
      <c r="H3825" t="s">
        <v>960</v>
      </c>
    </row>
    <row r="3826" spans="1:8">
      <c r="A3826" t="str">
        <f t="shared" si="147"/>
        <v>گلستانعلي آباد</v>
      </c>
      <c r="B3826" t="s">
        <v>430</v>
      </c>
      <c r="C3826" t="s">
        <v>434</v>
      </c>
      <c r="D3826" t="s">
        <v>24</v>
      </c>
      <c r="E3826">
        <f t="shared" ca="1" si="148"/>
        <v>4.619479107095055E-2</v>
      </c>
      <c r="F3826">
        <f>IFERROR(VLOOKUP(H3826,ProfessionalRisk!A:I,9,0),0)</f>
        <v>944</v>
      </c>
      <c r="G3826">
        <f t="shared" ca="1" si="146"/>
        <v>44</v>
      </c>
      <c r="H3826" t="s">
        <v>969</v>
      </c>
    </row>
    <row r="3827" spans="1:8">
      <c r="A3827" t="str">
        <f t="shared" si="147"/>
        <v>گلستانكردكوئ</v>
      </c>
      <c r="B3827" t="s">
        <v>430</v>
      </c>
      <c r="C3827" t="s">
        <v>435</v>
      </c>
      <c r="D3827" t="s">
        <v>24</v>
      </c>
      <c r="E3827">
        <f t="shared" ca="1" si="148"/>
        <v>9.9098878794731879E-2</v>
      </c>
      <c r="F3827">
        <f>IFERROR(VLOOKUP(H3827,ProfessionalRisk!A:I,9,0),0)</f>
        <v>460</v>
      </c>
      <c r="G3827">
        <f t="shared" ca="1" si="146"/>
        <v>46</v>
      </c>
      <c r="H3827" t="s">
        <v>961</v>
      </c>
    </row>
    <row r="3828" spans="1:8">
      <c r="A3828" t="str">
        <f t="shared" si="147"/>
        <v>گلستانگرگان</v>
      </c>
      <c r="B3828" t="s">
        <v>430</v>
      </c>
      <c r="C3828" t="s">
        <v>436</v>
      </c>
      <c r="D3828" t="s">
        <v>24</v>
      </c>
      <c r="E3828">
        <f t="shared" ca="1" si="148"/>
        <v>2.5174793000760712E-2</v>
      </c>
      <c r="F3828">
        <f>IFERROR(VLOOKUP(H3828,ProfessionalRisk!A:I,9,0),0)</f>
        <v>11530</v>
      </c>
      <c r="G3828">
        <f t="shared" ca="1" si="146"/>
        <v>290</v>
      </c>
      <c r="H3828" t="s">
        <v>964</v>
      </c>
    </row>
    <row r="3829" spans="1:8">
      <c r="A3829" t="str">
        <f t="shared" si="147"/>
        <v>گلستانگنبدكاووس</v>
      </c>
      <c r="B3829" t="s">
        <v>430</v>
      </c>
      <c r="C3829" t="s">
        <v>437</v>
      </c>
      <c r="D3829" t="s">
        <v>24</v>
      </c>
      <c r="E3829">
        <f t="shared" ca="1" si="148"/>
        <v>2.4965912409010138E-2</v>
      </c>
      <c r="F3829">
        <f>IFERROR(VLOOKUP(H3829,ProfessionalRisk!A:I,9,0),0)</f>
        <v>2181</v>
      </c>
      <c r="G3829">
        <f t="shared" ca="1" si="146"/>
        <v>54</v>
      </c>
      <c r="H3829" t="s">
        <v>966</v>
      </c>
    </row>
    <row r="3830" spans="1:8">
      <c r="A3830" t="str">
        <f t="shared" si="147"/>
        <v>گلستانمينودشت</v>
      </c>
      <c r="B3830" t="s">
        <v>430</v>
      </c>
      <c r="C3830" t="s">
        <v>438</v>
      </c>
      <c r="D3830" t="s">
        <v>24</v>
      </c>
      <c r="E3830">
        <f t="shared" ca="1" si="148"/>
        <v>9.6377871430918499E-2</v>
      </c>
      <c r="F3830">
        <f>IFERROR(VLOOKUP(H3830,ProfessionalRisk!A:I,9,0),0)</f>
        <v>1464</v>
      </c>
      <c r="G3830">
        <f t="shared" ca="1" si="146"/>
        <v>141</v>
      </c>
      <c r="H3830" t="s">
        <v>971</v>
      </c>
    </row>
    <row r="3831" spans="1:8">
      <c r="A3831" t="str">
        <f t="shared" si="147"/>
        <v>گلستانآق قلا</v>
      </c>
      <c r="B3831" t="s">
        <v>430</v>
      </c>
      <c r="C3831" t="s">
        <v>439</v>
      </c>
      <c r="D3831" t="s">
        <v>24</v>
      </c>
      <c r="E3831">
        <f t="shared" ca="1" si="148"/>
        <v>2.6586166730936767E-2</v>
      </c>
      <c r="F3831">
        <f>IFERROR(VLOOKUP(H3831,ProfessionalRisk!A:I,9,0),0)</f>
        <v>2182</v>
      </c>
      <c r="G3831">
        <f t="shared" ca="1" si="146"/>
        <v>58</v>
      </c>
      <c r="H3831" t="s">
        <v>962</v>
      </c>
    </row>
    <row r="3832" spans="1:8">
      <c r="A3832" t="str">
        <f t="shared" si="147"/>
        <v>گلستانكلاله</v>
      </c>
      <c r="B3832" t="s">
        <v>430</v>
      </c>
      <c r="C3832" t="s">
        <v>440</v>
      </c>
      <c r="D3832" t="s">
        <v>24</v>
      </c>
      <c r="E3832">
        <f t="shared" ca="1" si="148"/>
        <v>5.5915642450928685E-2</v>
      </c>
      <c r="F3832">
        <f>IFERROR(VLOOKUP(H3832,ProfessionalRisk!A:I,9,0),0)</f>
        <v>2989</v>
      </c>
      <c r="G3832">
        <f t="shared" ca="1" si="146"/>
        <v>167</v>
      </c>
      <c r="H3832" t="s">
        <v>967</v>
      </c>
    </row>
    <row r="3833" spans="1:8">
      <c r="A3833" t="str">
        <f t="shared" si="147"/>
        <v>گلستانآزادشهر</v>
      </c>
      <c r="B3833" t="s">
        <v>430</v>
      </c>
      <c r="C3833" t="s">
        <v>441</v>
      </c>
      <c r="D3833" t="s">
        <v>24</v>
      </c>
      <c r="E3833">
        <f t="shared" ca="1" si="148"/>
        <v>0.14662973815398714</v>
      </c>
      <c r="F3833">
        <f>IFERROR(VLOOKUP(H3833,ProfessionalRisk!A:I,9,0),0)</f>
        <v>978</v>
      </c>
      <c r="G3833">
        <f t="shared" ca="1" si="146"/>
        <v>143</v>
      </c>
      <c r="H3833" t="s">
        <v>970</v>
      </c>
    </row>
    <row r="3834" spans="1:8">
      <c r="A3834" t="str">
        <f t="shared" si="147"/>
        <v>گلستانراميان</v>
      </c>
      <c r="B3834" t="s">
        <v>430</v>
      </c>
      <c r="C3834" t="s">
        <v>442</v>
      </c>
      <c r="D3834" t="s">
        <v>24</v>
      </c>
      <c r="E3834">
        <f t="shared" ca="1" si="148"/>
        <v>0.16667566697644418</v>
      </c>
      <c r="F3834">
        <f>IFERROR(VLOOKUP(H3834,ProfessionalRisk!A:I,9,0),0)</f>
        <v>897</v>
      </c>
      <c r="G3834">
        <f t="shared" ca="1" si="146"/>
        <v>150</v>
      </c>
      <c r="H3834" t="s">
        <v>963</v>
      </c>
    </row>
    <row r="3835" spans="1:8">
      <c r="A3835" t="str">
        <f t="shared" si="147"/>
        <v>گلستانمراوه تپه</v>
      </c>
      <c r="B3835" t="s">
        <v>430</v>
      </c>
      <c r="C3835" t="s">
        <v>443</v>
      </c>
      <c r="D3835" t="s">
        <v>24</v>
      </c>
      <c r="E3835">
        <f t="shared" ca="1" si="148"/>
        <v>5.4150064579145486E-2</v>
      </c>
      <c r="F3835">
        <f>IFERROR(VLOOKUP(H3835,ProfessionalRisk!A:I,9,0),0)</f>
        <v>1608</v>
      </c>
      <c r="G3835">
        <f t="shared" ca="1" si="146"/>
        <v>87</v>
      </c>
      <c r="H3835" t="s">
        <v>959</v>
      </c>
    </row>
    <row r="3836" spans="1:8">
      <c r="A3836" t="str">
        <f t="shared" si="147"/>
        <v>گلستانگميشان</v>
      </c>
      <c r="B3836" t="s">
        <v>430</v>
      </c>
      <c r="C3836" t="s">
        <v>444</v>
      </c>
      <c r="D3836" t="s">
        <v>24</v>
      </c>
      <c r="E3836">
        <f t="shared" ca="1" si="148"/>
        <v>0.1101196033346734</v>
      </c>
      <c r="F3836">
        <f>IFERROR(VLOOKUP(H3836,ProfessionalRisk!A:I,9,0),0)</f>
        <v>402</v>
      </c>
      <c r="G3836">
        <f t="shared" ca="1" si="146"/>
        <v>44</v>
      </c>
      <c r="H3836" t="s">
        <v>968</v>
      </c>
    </row>
    <row r="3837" spans="1:8">
      <c r="A3837" t="str">
        <f t="shared" si="147"/>
        <v>گلستانگاليكش</v>
      </c>
      <c r="B3837" t="s">
        <v>430</v>
      </c>
      <c r="C3837" t="s">
        <v>446</v>
      </c>
      <c r="D3837" t="s">
        <v>24</v>
      </c>
      <c r="E3837">
        <f t="shared" ca="1" si="148"/>
        <v>6.3071319362588169E-2</v>
      </c>
      <c r="F3837">
        <f>IFERROR(VLOOKUP(H3837,ProfessionalRisk!A:I,9,0),0)</f>
        <v>564</v>
      </c>
      <c r="G3837">
        <f t="shared" ca="1" si="146"/>
        <v>36</v>
      </c>
      <c r="H3837" t="s">
        <v>972</v>
      </c>
    </row>
    <row r="3838" spans="1:8">
      <c r="A3838" t="str">
        <f t="shared" si="147"/>
        <v>خراسان شمالياسفراين</v>
      </c>
      <c r="B3838" t="s">
        <v>445</v>
      </c>
      <c r="C3838" t="s">
        <v>447</v>
      </c>
      <c r="D3838" t="s">
        <v>24</v>
      </c>
      <c r="E3838">
        <f t="shared" ca="1" si="148"/>
        <v>0.14128541697474714</v>
      </c>
      <c r="F3838">
        <f>IFERROR(VLOOKUP(H3838,ProfessionalRisk!A:I,9,0),0)</f>
        <v>1538</v>
      </c>
      <c r="G3838">
        <f t="shared" ca="1" si="146"/>
        <v>217</v>
      </c>
      <c r="H3838" t="s">
        <v>701</v>
      </c>
    </row>
    <row r="3839" spans="1:8">
      <c r="A3839" t="str">
        <f t="shared" si="147"/>
        <v>خراسان شماليبجنورد</v>
      </c>
      <c r="B3839" t="s">
        <v>445</v>
      </c>
      <c r="C3839" t="s">
        <v>448</v>
      </c>
      <c r="D3839" t="s">
        <v>24</v>
      </c>
      <c r="E3839">
        <f t="shared" ca="1" si="148"/>
        <v>7.8961624660836007E-4</v>
      </c>
      <c r="F3839">
        <f>IFERROR(VLOOKUP(H3839,ProfessionalRisk!A:I,9,0),0)</f>
        <v>6329</v>
      </c>
      <c r="G3839">
        <f t="shared" ca="1" si="146"/>
        <v>5</v>
      </c>
      <c r="H3839" t="s">
        <v>703</v>
      </c>
    </row>
    <row r="3840" spans="1:8">
      <c r="A3840" t="str">
        <f t="shared" si="147"/>
        <v>خراسان شماليجاجرم</v>
      </c>
      <c r="B3840" t="s">
        <v>445</v>
      </c>
      <c r="C3840" t="s">
        <v>449</v>
      </c>
      <c r="D3840" t="s">
        <v>24</v>
      </c>
      <c r="E3840">
        <f t="shared" ca="1" si="148"/>
        <v>0.12088753261628532</v>
      </c>
      <c r="F3840">
        <f>IFERROR(VLOOKUP(H3840,ProfessionalRisk!A:I,9,0),0)</f>
        <v>509</v>
      </c>
      <c r="G3840">
        <f t="shared" ca="1" si="146"/>
        <v>62</v>
      </c>
      <c r="H3840" t="s">
        <v>702</v>
      </c>
    </row>
    <row r="3841" spans="1:8">
      <c r="A3841" t="str">
        <f t="shared" si="147"/>
        <v>خراسان شماليشيروان</v>
      </c>
      <c r="B3841" t="s">
        <v>445</v>
      </c>
      <c r="C3841" t="s">
        <v>450</v>
      </c>
      <c r="D3841" t="s">
        <v>24</v>
      </c>
      <c r="E3841">
        <f t="shared" ca="1" si="148"/>
        <v>8.6676742351821157E-2</v>
      </c>
      <c r="F3841">
        <f>IFERROR(VLOOKUP(H3841,ProfessionalRisk!A:I,9,0),0)</f>
        <v>2203</v>
      </c>
      <c r="G3841">
        <f t="shared" ca="1" si="146"/>
        <v>191</v>
      </c>
      <c r="H3841" t="s">
        <v>697</v>
      </c>
    </row>
    <row r="3842" spans="1:8">
      <c r="A3842" t="str">
        <f t="shared" si="147"/>
        <v>خراسان شماليفاروج</v>
      </c>
      <c r="B3842" t="s">
        <v>445</v>
      </c>
      <c r="C3842" t="s">
        <v>451</v>
      </c>
      <c r="D3842" t="s">
        <v>24</v>
      </c>
      <c r="E3842">
        <f t="shared" ca="1" si="148"/>
        <v>8.0541478496643532E-2</v>
      </c>
      <c r="F3842">
        <f>IFERROR(VLOOKUP(H3842,ProfessionalRisk!A:I,9,0),0)</f>
        <v>539</v>
      </c>
      <c r="G3842">
        <f t="shared" ca="1" si="146"/>
        <v>43</v>
      </c>
      <c r="H3842" t="s">
        <v>704</v>
      </c>
    </row>
    <row r="3843" spans="1:8">
      <c r="A3843" t="str">
        <f t="shared" si="147"/>
        <v>خراسان شماليمانه و سملقان</v>
      </c>
      <c r="B3843" t="s">
        <v>445</v>
      </c>
      <c r="C3843" t="s">
        <v>452</v>
      </c>
      <c r="D3843" t="s">
        <v>24</v>
      </c>
      <c r="E3843">
        <f t="shared" ca="1" si="148"/>
        <v>0.17687438517972398</v>
      </c>
      <c r="F3843">
        <f>IFERROR(VLOOKUP(H3843,ProfessionalRisk!A:I,9,0),0)</f>
        <v>692</v>
      </c>
      <c r="G3843">
        <f t="shared" ref="G3843:G3862" ca="1" si="149">IFERROR(ROUND(F3843*E3843,0),0)</f>
        <v>122</v>
      </c>
      <c r="H3843" t="s">
        <v>705</v>
      </c>
    </row>
    <row r="3844" spans="1:8">
      <c r="A3844" t="str">
        <f t="shared" si="147"/>
        <v>خراسان شماليگرمه</v>
      </c>
      <c r="B3844" t="s">
        <v>445</v>
      </c>
      <c r="C3844" t="s">
        <v>453</v>
      </c>
      <c r="D3844" t="s">
        <v>24</v>
      </c>
      <c r="E3844">
        <f t="shared" ca="1" si="148"/>
        <v>0.10848097261243535</v>
      </c>
      <c r="F3844">
        <f>IFERROR(VLOOKUP(H3844,ProfessionalRisk!A:I,9,0),0)</f>
        <v>156</v>
      </c>
      <c r="G3844">
        <f t="shared" ca="1" si="149"/>
        <v>17</v>
      </c>
      <c r="H3844" t="s">
        <v>700</v>
      </c>
    </row>
    <row r="3845" spans="1:8">
      <c r="A3845" t="str">
        <f t="shared" si="147"/>
        <v>خراسان شماليراز و جرگلان</v>
      </c>
      <c r="B3845" t="s">
        <v>445</v>
      </c>
      <c r="C3845" t="s">
        <v>455</v>
      </c>
      <c r="D3845" t="s">
        <v>24</v>
      </c>
      <c r="E3845">
        <f t="shared" ca="1" si="148"/>
        <v>0.12872865184630208</v>
      </c>
      <c r="F3845">
        <f>IFERROR(VLOOKUP(H3845,ProfessionalRisk!A:I,9,0),0)</f>
        <v>553</v>
      </c>
      <c r="G3845">
        <f t="shared" ca="1" si="149"/>
        <v>71</v>
      </c>
      <c r="H3845" t="s">
        <v>699</v>
      </c>
    </row>
    <row r="3846" spans="1:8">
      <c r="A3846" t="str">
        <f t="shared" si="147"/>
        <v>خراسان جنوبيبيرجند</v>
      </c>
      <c r="B3846" t="s">
        <v>454</v>
      </c>
      <c r="C3846" t="s">
        <v>456</v>
      </c>
      <c r="D3846" t="s">
        <v>24</v>
      </c>
      <c r="E3846">
        <f t="shared" ca="1" si="148"/>
        <v>0.17053105967681237</v>
      </c>
      <c r="F3846">
        <f>IFERROR(VLOOKUP(H3846,ProfessionalRisk!A:I,9,0),0)</f>
        <v>6420</v>
      </c>
      <c r="G3846">
        <f t="shared" ca="1" si="149"/>
        <v>1095</v>
      </c>
      <c r="H3846" t="s">
        <v>656</v>
      </c>
    </row>
    <row r="3847" spans="1:8">
      <c r="A3847" t="str">
        <f t="shared" si="147"/>
        <v>خراسان جنوبيدرميان</v>
      </c>
      <c r="B3847" t="s">
        <v>454</v>
      </c>
      <c r="C3847" t="s">
        <v>457</v>
      </c>
      <c r="D3847" t="s">
        <v>24</v>
      </c>
      <c r="E3847">
        <f t="shared" ca="1" si="148"/>
        <v>8.1780559358790278E-2</v>
      </c>
      <c r="F3847">
        <f>IFERROR(VLOOKUP(H3847,ProfessionalRisk!A:I,9,0),0)</f>
        <v>632</v>
      </c>
      <c r="G3847">
        <f t="shared" ca="1" si="149"/>
        <v>52</v>
      </c>
      <c r="H3847" t="s">
        <v>664</v>
      </c>
    </row>
    <row r="3848" spans="1:8">
      <c r="A3848" t="str">
        <f t="shared" si="147"/>
        <v>خراسان جنوبيسربيشه</v>
      </c>
      <c r="B3848" t="s">
        <v>454</v>
      </c>
      <c r="C3848" t="s">
        <v>458</v>
      </c>
      <c r="D3848" t="s">
        <v>24</v>
      </c>
      <c r="E3848">
        <f t="shared" ca="1" si="148"/>
        <v>8.3562975054029237E-2</v>
      </c>
      <c r="F3848">
        <f>IFERROR(VLOOKUP(H3848,ProfessionalRisk!A:I,9,0),0)</f>
        <v>469</v>
      </c>
      <c r="G3848">
        <f t="shared" ca="1" si="149"/>
        <v>39</v>
      </c>
      <c r="H3848" t="s">
        <v>659</v>
      </c>
    </row>
    <row r="3849" spans="1:8">
      <c r="A3849" t="str">
        <f t="shared" si="147"/>
        <v>خراسان جنوبيقائنات</v>
      </c>
      <c r="B3849" t="s">
        <v>454</v>
      </c>
      <c r="C3849" t="s">
        <v>459</v>
      </c>
      <c r="D3849" t="s">
        <v>24</v>
      </c>
      <c r="E3849">
        <f t="shared" ca="1" si="148"/>
        <v>2.7717785838122368E-2</v>
      </c>
      <c r="F3849">
        <f>IFERROR(VLOOKUP(H3849,ProfessionalRisk!A:I,9,0),0)</f>
        <v>1615</v>
      </c>
      <c r="G3849">
        <f t="shared" ca="1" si="149"/>
        <v>45</v>
      </c>
      <c r="H3849" t="s">
        <v>658</v>
      </c>
    </row>
    <row r="3850" spans="1:8">
      <c r="A3850" t="str">
        <f t="shared" si="147"/>
        <v>خراسان جنوبينهبندان</v>
      </c>
      <c r="B3850" t="s">
        <v>454</v>
      </c>
      <c r="C3850" t="s">
        <v>460</v>
      </c>
      <c r="D3850" t="s">
        <v>24</v>
      </c>
      <c r="E3850">
        <f t="shared" ca="1" si="148"/>
        <v>0.12203612278429772</v>
      </c>
      <c r="F3850">
        <f>IFERROR(VLOOKUP(H3850,ProfessionalRisk!A:I,9,0),0)</f>
        <v>659</v>
      </c>
      <c r="G3850">
        <f t="shared" ca="1" si="149"/>
        <v>80</v>
      </c>
      <c r="H3850" t="s">
        <v>654</v>
      </c>
    </row>
    <row r="3851" spans="1:8">
      <c r="A3851" t="str">
        <f t="shared" si="147"/>
        <v>خراسان جنوبيسرايان</v>
      </c>
      <c r="B3851" t="s">
        <v>454</v>
      </c>
      <c r="C3851" t="s">
        <v>461</v>
      </c>
      <c r="D3851" t="s">
        <v>24</v>
      </c>
      <c r="E3851">
        <f t="shared" ca="1" si="148"/>
        <v>0.18705383598355954</v>
      </c>
      <c r="F3851">
        <f>IFERROR(VLOOKUP(H3851,ProfessionalRisk!A:I,9,0),0)</f>
        <v>398</v>
      </c>
      <c r="G3851">
        <f t="shared" ca="1" si="149"/>
        <v>74</v>
      </c>
      <c r="H3851" t="s">
        <v>661</v>
      </c>
    </row>
    <row r="3852" spans="1:8">
      <c r="A3852" t="str">
        <f t="shared" si="147"/>
        <v>خراسان جنوبيفردوس</v>
      </c>
      <c r="B3852" t="s">
        <v>454</v>
      </c>
      <c r="C3852" t="s">
        <v>462</v>
      </c>
      <c r="D3852" t="s">
        <v>24</v>
      </c>
      <c r="E3852">
        <f t="shared" ca="1" si="148"/>
        <v>0.19396983513766908</v>
      </c>
      <c r="F3852">
        <f>IFERROR(VLOOKUP(H3852,ProfessionalRisk!A:I,9,0),0)</f>
        <v>1251</v>
      </c>
      <c r="G3852">
        <f t="shared" ca="1" si="149"/>
        <v>243</v>
      </c>
      <c r="H3852" t="s">
        <v>657</v>
      </c>
    </row>
    <row r="3853" spans="1:8">
      <c r="A3853" t="str">
        <f t="shared" si="147"/>
        <v>خراسان جنوبيبشرويه</v>
      </c>
      <c r="B3853" t="s">
        <v>454</v>
      </c>
      <c r="C3853" t="s">
        <v>463</v>
      </c>
      <c r="D3853" t="s">
        <v>24</v>
      </c>
      <c r="E3853">
        <f t="shared" ca="1" si="148"/>
        <v>5.6259436278276634E-2</v>
      </c>
      <c r="F3853">
        <f>IFERROR(VLOOKUP(H3853,ProfessionalRisk!A:I,9,0),0)</f>
        <v>362</v>
      </c>
      <c r="G3853">
        <f t="shared" ca="1" si="149"/>
        <v>20</v>
      </c>
      <c r="H3853" t="s">
        <v>660</v>
      </c>
    </row>
    <row r="3854" spans="1:8">
      <c r="A3854" t="str">
        <f t="shared" si="147"/>
        <v>خراسان جنوبيزيرکوه</v>
      </c>
      <c r="B3854" t="s">
        <v>454</v>
      </c>
      <c r="C3854" t="s">
        <v>464</v>
      </c>
      <c r="D3854" t="s">
        <v>24</v>
      </c>
      <c r="E3854">
        <f t="shared" ca="1" si="148"/>
        <v>0.14701473364300055</v>
      </c>
      <c r="F3854">
        <f>IFERROR(VLOOKUP(H3854,ProfessionalRisk!A:I,9,0),0)</f>
        <v>575</v>
      </c>
      <c r="G3854">
        <f t="shared" ca="1" si="149"/>
        <v>85</v>
      </c>
      <c r="H3854" t="s">
        <v>651</v>
      </c>
    </row>
    <row r="3855" spans="1:8">
      <c r="A3855" t="str">
        <f t="shared" si="147"/>
        <v>خراسان جنوبيخوسف</v>
      </c>
      <c r="B3855" t="s">
        <v>454</v>
      </c>
      <c r="C3855" t="s">
        <v>465</v>
      </c>
      <c r="D3855" t="s">
        <v>24</v>
      </c>
      <c r="E3855">
        <f t="shared" ca="1" si="148"/>
        <v>0.13082553512916562</v>
      </c>
      <c r="F3855">
        <f>IFERROR(VLOOKUP(H3855,ProfessionalRisk!A:I,9,0),0)</f>
        <v>208</v>
      </c>
      <c r="G3855">
        <f t="shared" ca="1" si="149"/>
        <v>27</v>
      </c>
      <c r="H3855" t="s">
        <v>655</v>
      </c>
    </row>
    <row r="3856" spans="1:8">
      <c r="A3856" t="str">
        <f t="shared" si="147"/>
        <v xml:space="preserve">خراسان جنوبيطبس </v>
      </c>
      <c r="B3856" t="s">
        <v>454</v>
      </c>
      <c r="C3856" t="s">
        <v>466</v>
      </c>
      <c r="D3856" t="s">
        <v>24</v>
      </c>
      <c r="E3856">
        <f t="shared" ca="1" si="148"/>
        <v>0.19955765989303262</v>
      </c>
      <c r="F3856">
        <f>IFERROR(VLOOKUP(H3856,ProfessionalRisk!A:I,9,0),0)</f>
        <v>1374</v>
      </c>
      <c r="G3856">
        <f t="shared" ca="1" si="149"/>
        <v>274</v>
      </c>
      <c r="H3856" t="s">
        <v>662</v>
      </c>
    </row>
    <row r="3857" spans="1:8">
      <c r="A3857" t="str">
        <f t="shared" si="147"/>
        <v>البرزکرج</v>
      </c>
      <c r="B3857" t="s">
        <v>429</v>
      </c>
      <c r="C3857" t="s">
        <v>467</v>
      </c>
      <c r="D3857" t="s">
        <v>24</v>
      </c>
      <c r="E3857">
        <f t="shared" ca="1" si="148"/>
        <v>5.1994230777341069E-2</v>
      </c>
      <c r="F3857">
        <f>IFERROR(VLOOKUP(H3857,ProfessionalRisk!A:I,9,0),0)</f>
        <v>29180</v>
      </c>
      <c r="G3857">
        <f t="shared" ca="1" si="149"/>
        <v>1517</v>
      </c>
      <c r="H3857" t="s">
        <v>605</v>
      </c>
    </row>
    <row r="3858" spans="1:8">
      <c r="A3858" t="str">
        <f t="shared" si="147"/>
        <v>البرزساوجبلاغ</v>
      </c>
      <c r="B3858" t="s">
        <v>429</v>
      </c>
      <c r="C3858" t="s">
        <v>468</v>
      </c>
      <c r="D3858" t="s">
        <v>24</v>
      </c>
      <c r="E3858">
        <f t="shared" ca="1" si="148"/>
        <v>0.13315181096510117</v>
      </c>
      <c r="F3858">
        <f>IFERROR(VLOOKUP(H3858,ProfessionalRisk!A:I,9,0),0)</f>
        <v>1623</v>
      </c>
      <c r="G3858">
        <f t="shared" ca="1" si="149"/>
        <v>216</v>
      </c>
      <c r="H3858" t="s">
        <v>602</v>
      </c>
    </row>
    <row r="3859" spans="1:8">
      <c r="A3859" t="str">
        <f t="shared" si="147"/>
        <v>البرزنظرآباد</v>
      </c>
      <c r="B3859" t="s">
        <v>429</v>
      </c>
      <c r="C3859" t="s">
        <v>469</v>
      </c>
      <c r="D3859" t="s">
        <v>24</v>
      </c>
      <c r="E3859">
        <f t="shared" ca="1" si="148"/>
        <v>1.9318177275777806E-2</v>
      </c>
      <c r="F3859">
        <f>IFERROR(VLOOKUP(H3859,ProfessionalRisk!A:I,9,0),0)</f>
        <v>916</v>
      </c>
      <c r="G3859">
        <f t="shared" ca="1" si="149"/>
        <v>18</v>
      </c>
      <c r="H3859" t="s">
        <v>609</v>
      </c>
    </row>
    <row r="3860" spans="1:8">
      <c r="A3860" t="str">
        <f t="shared" si="147"/>
        <v>البرزطالقان</v>
      </c>
      <c r="B3860" t="s">
        <v>429</v>
      </c>
      <c r="C3860" t="s">
        <v>470</v>
      </c>
      <c r="D3860" t="s">
        <v>24</v>
      </c>
      <c r="E3860">
        <f t="shared" ca="1" si="148"/>
        <v>0.15086996863399724</v>
      </c>
      <c r="F3860">
        <f>IFERROR(VLOOKUP(H3860,ProfessionalRisk!A:I,9,0),0)</f>
        <v>143</v>
      </c>
      <c r="G3860">
        <f t="shared" ca="1" si="149"/>
        <v>22</v>
      </c>
      <c r="H3860" t="s">
        <v>607</v>
      </c>
    </row>
    <row r="3861" spans="1:8">
      <c r="A3861" t="str">
        <f t="shared" si="147"/>
        <v>البرزاشتهارد</v>
      </c>
      <c r="B3861" t="s">
        <v>429</v>
      </c>
      <c r="C3861" t="s">
        <v>471</v>
      </c>
      <c r="D3861" t="s">
        <v>24</v>
      </c>
      <c r="E3861">
        <f t="shared" ca="1" si="148"/>
        <v>6.9708326487715702E-2</v>
      </c>
      <c r="F3861">
        <f>IFERROR(VLOOKUP(H3861,ProfessionalRisk!A:I,9,0),0)</f>
        <v>444</v>
      </c>
      <c r="G3861">
        <f t="shared" ca="1" si="149"/>
        <v>31</v>
      </c>
      <c r="H3861" t="s">
        <v>608</v>
      </c>
    </row>
    <row r="3862" spans="1:8">
      <c r="A3862" t="str">
        <f t="shared" si="147"/>
        <v>البرزفردیس</v>
      </c>
      <c r="B3862" t="s">
        <v>429</v>
      </c>
      <c r="C3862" t="s">
        <v>472</v>
      </c>
      <c r="D3862" t="s">
        <v>24</v>
      </c>
      <c r="E3862">
        <f t="shared" ca="1" si="148"/>
        <v>0.1462030547629716</v>
      </c>
      <c r="F3862">
        <f>IFERROR(VLOOKUP(H3862,ProfessionalRisk!A:I,9,0),0)</f>
        <v>1987</v>
      </c>
      <c r="G3862">
        <f t="shared" ca="1" si="149"/>
        <v>291</v>
      </c>
      <c r="H3862" t="s">
        <v>603</v>
      </c>
    </row>
  </sheetData>
  <autoFilter ref="A1:G3862" xr:uid="{00000000-0009-0000-0000-00000A000000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B32"/>
  <sheetViews>
    <sheetView workbookViewId="0">
      <selection activeCell="A10" sqref="A10"/>
    </sheetView>
  </sheetViews>
  <sheetFormatPr defaultRowHeight="15"/>
  <cols>
    <col min="1" max="1" width="101.28515625" customWidth="1"/>
  </cols>
  <sheetData>
    <row r="1" spans="1:2" ht="22.5">
      <c r="A1" s="7" t="s">
        <v>481</v>
      </c>
    </row>
    <row r="2" spans="1:2" ht="24.75">
      <c r="A2" s="8" t="s">
        <v>482</v>
      </c>
      <c r="B2" t="s">
        <v>510</v>
      </c>
    </row>
    <row r="3" spans="1:2" ht="18">
      <c r="A3" s="6" t="s">
        <v>483</v>
      </c>
    </row>
    <row r="4" spans="1:2" ht="18">
      <c r="A4" s="6" t="s">
        <v>484</v>
      </c>
    </row>
    <row r="5" spans="1:2" ht="18">
      <c r="A5" s="6" t="s">
        <v>485</v>
      </c>
    </row>
    <row r="6" spans="1:2" ht="18">
      <c r="A6" s="6" t="s">
        <v>486</v>
      </c>
    </row>
    <row r="7" spans="1:2" ht="18">
      <c r="A7" s="6" t="s">
        <v>487</v>
      </c>
    </row>
    <row r="8" spans="1:2" ht="18">
      <c r="A8" s="6" t="s">
        <v>488</v>
      </c>
    </row>
    <row r="9" spans="1:2" ht="18">
      <c r="A9" s="6" t="s">
        <v>489</v>
      </c>
    </row>
    <row r="10" spans="1:2" ht="18">
      <c r="A10" s="6" t="s">
        <v>490</v>
      </c>
    </row>
    <row r="11" spans="1:2" ht="18">
      <c r="A11" s="6" t="s">
        <v>491</v>
      </c>
    </row>
    <row r="12" spans="1:2" ht="18">
      <c r="A12" s="6" t="s">
        <v>492</v>
      </c>
    </row>
    <row r="13" spans="1:2" ht="18">
      <c r="A13" s="6" t="s">
        <v>493</v>
      </c>
    </row>
    <row r="14" spans="1:2" ht="15.75">
      <c r="A14" s="11" t="s">
        <v>511</v>
      </c>
    </row>
    <row r="15" spans="1:2" ht="24.75">
      <c r="A15" s="8" t="s">
        <v>494</v>
      </c>
    </row>
    <row r="16" spans="1:2" ht="18">
      <c r="A16" s="6" t="s">
        <v>495</v>
      </c>
    </row>
    <row r="17" spans="1:1" ht="18">
      <c r="A17" s="6" t="s">
        <v>496</v>
      </c>
    </row>
    <row r="18" spans="1:1" ht="18">
      <c r="A18" s="6" t="s">
        <v>497</v>
      </c>
    </row>
    <row r="19" spans="1:1" ht="18">
      <c r="A19" s="6" t="s">
        <v>498</v>
      </c>
    </row>
    <row r="20" spans="1:1" ht="18">
      <c r="A20" s="6" t="s">
        <v>499</v>
      </c>
    </row>
    <row r="21" spans="1:1" ht="18">
      <c r="A21" s="6" t="s">
        <v>500</v>
      </c>
    </row>
    <row r="22" spans="1:1" ht="18">
      <c r="A22" s="6" t="s">
        <v>501</v>
      </c>
    </row>
    <row r="23" spans="1:1" ht="18">
      <c r="A23" s="6" t="s">
        <v>502</v>
      </c>
    </row>
    <row r="24" spans="1:1" ht="18">
      <c r="A24" s="6" t="s">
        <v>503</v>
      </c>
    </row>
    <row r="25" spans="1:1" ht="18">
      <c r="A25" s="6" t="s">
        <v>504</v>
      </c>
    </row>
    <row r="26" spans="1:1">
      <c r="A26" s="9" t="s">
        <v>511</v>
      </c>
    </row>
    <row r="27" spans="1:1" ht="24.75">
      <c r="A27" s="8" t="s">
        <v>505</v>
      </c>
    </row>
    <row r="28" spans="1:1" ht="18">
      <c r="A28" s="6" t="s">
        <v>506</v>
      </c>
    </row>
    <row r="29" spans="1:1" ht="18">
      <c r="A29" s="6" t="s">
        <v>507</v>
      </c>
    </row>
    <row r="30" spans="1:1" ht="18">
      <c r="A30" s="6" t="s">
        <v>508</v>
      </c>
    </row>
    <row r="31" spans="1:1" ht="18">
      <c r="A31" s="6" t="s">
        <v>509</v>
      </c>
    </row>
    <row r="32" spans="1:1" ht="21">
      <c r="A32" s="10" t="s">
        <v>511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36</vt:i4>
      </vt:variant>
    </vt:vector>
  </HeadingPairs>
  <TitlesOfParts>
    <vt:vector size="48" baseType="lpstr">
      <vt:lpstr>definedNames</vt:lpstr>
      <vt:lpstr>data</vt:lpstr>
      <vt:lpstr>USERS</vt:lpstr>
      <vt:lpstr>pivot</vt:lpstr>
      <vt:lpstr>controls</vt:lpstr>
      <vt:lpstr>Sheet2</vt:lpstr>
      <vt:lpstr>provPivot</vt:lpstr>
      <vt:lpstr>distPivot</vt:lpstr>
      <vt:lpstr>Sheet1</vt:lpstr>
      <vt:lpstr>ProfessionalRisk</vt:lpstr>
      <vt:lpstr>generalRisks</vt:lpstr>
      <vt:lpstr>healthProfessionalRisks</vt:lpstr>
      <vt:lpstr>east</vt:lpstr>
      <vt:lpstr>north</vt:lpstr>
      <vt:lpstr>Province</vt:lpstr>
      <vt:lpstr>south</vt:lpstr>
      <vt:lpstr>west</vt:lpstr>
      <vt:lpstr>آذربايجان_شرقي</vt:lpstr>
      <vt:lpstr>آذربايجان_غربي</vt:lpstr>
      <vt:lpstr>اردبيل</vt:lpstr>
      <vt:lpstr>اصفهان</vt:lpstr>
      <vt:lpstr>البرز</vt:lpstr>
      <vt:lpstr>ايلام</vt:lpstr>
      <vt:lpstr>بوشهر</vt:lpstr>
      <vt:lpstr>تهران</vt:lpstr>
      <vt:lpstr>چهارمحال_وبختيارئ</vt:lpstr>
      <vt:lpstr>خراسان_جنوبي</vt:lpstr>
      <vt:lpstr>خراسان_رضوئ</vt:lpstr>
      <vt:lpstr>خراسان_شمالي</vt:lpstr>
      <vt:lpstr>خوزستان</vt:lpstr>
      <vt:lpstr>زنجان</vt:lpstr>
      <vt:lpstr>سمنان</vt:lpstr>
      <vt:lpstr>سيستان_وبلوچستان</vt:lpstr>
      <vt:lpstr>فارس</vt:lpstr>
      <vt:lpstr>قزوين</vt:lpstr>
      <vt:lpstr>قم</vt:lpstr>
      <vt:lpstr>كردستان</vt:lpstr>
      <vt:lpstr>كرمان</vt:lpstr>
      <vt:lpstr>كرمانشاه</vt:lpstr>
      <vt:lpstr>كهگيلويه_وبويراحمد</vt:lpstr>
      <vt:lpstr>گلستان</vt:lpstr>
      <vt:lpstr>گيلان</vt:lpstr>
      <vt:lpstr>لرستان</vt:lpstr>
      <vt:lpstr>مازندران</vt:lpstr>
      <vt:lpstr>مركزئ</vt:lpstr>
      <vt:lpstr>هرمزگان</vt:lpstr>
      <vt:lpstr>همدان</vt:lpstr>
      <vt:lpstr>يزد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yosef farzi</dc:creator>
  <cp:lastModifiedBy>Yosef Farzi</cp:lastModifiedBy>
  <cp:lastPrinted>2020-12-12T12:49:14Z</cp:lastPrinted>
  <dcterms:created xsi:type="dcterms:W3CDTF">2020-12-12T04:00:43Z</dcterms:created>
  <dcterms:modified xsi:type="dcterms:W3CDTF">2021-01-02T14:13:06Z</dcterms:modified>
</cp:coreProperties>
</file>